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ctrlProps/ctrlProp424.xml" ContentType="application/vnd.ms-excel.controlproperties+xml"/>
  <Override PartName="/xl/ctrlProps/ctrlProp4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ctrlProps/ctrlProp426.xml" ContentType="application/vnd.ms-excel.controlproperties+xml"/>
  <Override PartName="/xl/ctrlProps/ctrlProp42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D:\Users\Felipe\Documentos\EESC USP\Natal\2018\"/>
    </mc:Choice>
  </mc:AlternateContent>
  <xr:revisionPtr revIDLastSave="0" documentId="13_ncr:1_{A328ACE5-1DED-4214-8839-13DA6D2E6348}" xr6:coauthVersionLast="36" xr6:coauthVersionMax="36" xr10:uidLastSave="{00000000-0000-0000-0000-000000000000}"/>
  <bookViews>
    <workbookView xWindow="0" yWindow="0" windowWidth="28800" windowHeight="11610" activeTab="2" xr2:uid="{00000000-000D-0000-FFFF-FFFF00000000}"/>
  </bookViews>
  <sheets>
    <sheet name="Cadastro" sheetId="2" r:id="rId1"/>
    <sheet name="CadastroCB" sheetId="12" r:id="rId2"/>
    <sheet name="Resumo total" sheetId="6" r:id="rId3"/>
    <sheet name="Pivot tables e charts" sheetId="10" state="hidden" r:id="rId4"/>
    <sheet name="Categorias" sheetId="1" r:id="rId5"/>
    <sheet name="Base de dados" sheetId="11" r:id="rId6"/>
  </sheets>
  <definedNames>
    <definedName name="Codigo_barras">CadastroCB!$D$5</definedName>
    <definedName name="Codigo_barras_unidade">CadastroCB!$D$8</definedName>
    <definedName name="extras">Categorias!$M$27</definedName>
    <definedName name="frase">CadastroCB!$D$10</definedName>
    <definedName name="lista">Categorias!$Q$4:$Q$367</definedName>
    <definedName name="mercado1">Categorias!$M$9</definedName>
    <definedName name="mercado10">Categorias!$M$18</definedName>
    <definedName name="mercado11">Categorias!$M$19</definedName>
    <definedName name="mercado12">Categorias!$M$20</definedName>
    <definedName name="mercado13">Categorias!$M$21</definedName>
    <definedName name="mercado14">Categorias!$M$22</definedName>
    <definedName name="mercado15">Categorias!$M$23</definedName>
    <definedName name="mercado16">Categorias!$M$24</definedName>
    <definedName name="mercado17">Categorias!$M$25</definedName>
    <definedName name="mercado18">Categorias!$M$26</definedName>
    <definedName name="mercado2">Categorias!$M$10</definedName>
    <definedName name="mercado3">Categorias!$M$11</definedName>
    <definedName name="mercado4">Categorias!$M$12</definedName>
    <definedName name="mercado5">Categorias!$M$13</definedName>
    <definedName name="mercado6">Categorias!$M$14</definedName>
    <definedName name="mercado7">Categorias!$M$15</definedName>
    <definedName name="mercado8">Categorias!$M$16</definedName>
    <definedName name="mercado9">Categorias!$M$17</definedName>
    <definedName name="nome_mercado">Cadastro!$A$7</definedName>
    <definedName name="nome_mercado_cb">CadastroCB!$A$7</definedName>
    <definedName name="PM">'Resumo total'!#REF!</definedName>
    <definedName name="PMA">'Resumo total'!$A$38</definedName>
    <definedName name="Slicer_Qtde__tot">#N/A</definedName>
    <definedName name="Slicer_Qtde__tot1">#N/A</definedName>
    <definedName name="topo_basedados">'Base de dados'!$C$3</definedName>
    <definedName name="topo_cb">CadastroCB!$C$3</definedName>
    <definedName name="topo1">Cadastro!$C$3</definedName>
    <definedName name="topo10">#REF!</definedName>
    <definedName name="topo11">#REF!</definedName>
    <definedName name="topo12">#REF!</definedName>
    <definedName name="topo13">#REF!</definedName>
    <definedName name="topo2">#REF!</definedName>
    <definedName name="topo3">#REF!</definedName>
    <definedName name="topo4">#REF!</definedName>
    <definedName name="topo5">#REF!</definedName>
    <definedName name="topo6">#REF!</definedName>
    <definedName name="topo7">#REF!</definedName>
    <definedName name="topo8">#REF!</definedName>
    <definedName name="topo9">#REF!</definedName>
    <definedName name="topocategorias">Categorias!$C$3</definedName>
    <definedName name="topoextras">#REF!</definedName>
    <definedName name="toporesumo">'Resumo total'!$H$3</definedName>
  </definedNames>
  <calcPr calcId="179021"/>
  <pivotCaches>
    <pivotCache cacheId="0" r:id="rId7"/>
    <pivotCache cacheId="1" r:id="rId8"/>
  </pivotCaches>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H215" i="6" l="1"/>
  <c r="AQ215" i="6" s="1"/>
  <c r="AJ215" i="6"/>
  <c r="AH216" i="6"/>
  <c r="AR216" i="6" s="1"/>
  <c r="AJ216" i="6"/>
  <c r="AP216" i="6"/>
  <c r="AH217" i="6"/>
  <c r="AO217" i="6" s="1"/>
  <c r="AJ217" i="6"/>
  <c r="AL217" i="6"/>
  <c r="AN217" i="6"/>
  <c r="AP217" i="6"/>
  <c r="AQ217" i="6"/>
  <c r="AT217" i="6"/>
  <c r="AV217" i="6"/>
  <c r="AY217" i="6"/>
  <c r="AZ217" i="6"/>
  <c r="BA217" i="6"/>
  <c r="BC217" i="6"/>
  <c r="AH218" i="6"/>
  <c r="AQ218" i="6" s="1"/>
  <c r="AJ218" i="6"/>
  <c r="AN218" i="6"/>
  <c r="AO218" i="6"/>
  <c r="AP218" i="6"/>
  <c r="AV218" i="6"/>
  <c r="AW218" i="6"/>
  <c r="AX218" i="6"/>
  <c r="AH219" i="6"/>
  <c r="AJ219" i="6"/>
  <c r="AN219" i="6"/>
  <c r="AV219" i="6"/>
  <c r="AX219" i="6"/>
  <c r="AH220" i="6"/>
  <c r="AR220" i="6" s="1"/>
  <c r="AJ220" i="6"/>
  <c r="AP220" i="6"/>
  <c r="AH221" i="6"/>
  <c r="AJ221" i="6"/>
  <c r="AL221" i="6"/>
  <c r="AM221" i="6"/>
  <c r="AN221" i="6"/>
  <c r="AR221" i="6"/>
  <c r="AT221" i="6"/>
  <c r="AU221" i="6"/>
  <c r="AX221" i="6"/>
  <c r="AZ221" i="6"/>
  <c r="BB221" i="6"/>
  <c r="AH222" i="6"/>
  <c r="AT222" i="6" s="1"/>
  <c r="AI222" i="6"/>
  <c r="AJ222" i="6"/>
  <c r="AL222" i="6"/>
  <c r="AP222" i="6"/>
  <c r="AQ222" i="6"/>
  <c r="AR222" i="6"/>
  <c r="AU222" i="6"/>
  <c r="AV222" i="6"/>
  <c r="AZ222" i="6"/>
  <c r="BB222" i="6"/>
  <c r="BC222" i="6"/>
  <c r="AH223" i="6"/>
  <c r="AI223" i="6"/>
  <c r="AJ223" i="6"/>
  <c r="AN223" i="6"/>
  <c r="AO223" i="6"/>
  <c r="AP223" i="6"/>
  <c r="AR223" i="6"/>
  <c r="AS223" i="6"/>
  <c r="AT223" i="6"/>
  <c r="AX223" i="6"/>
  <c r="AZ223" i="6"/>
  <c r="BA223" i="6"/>
  <c r="BB223" i="6"/>
  <c r="AH224" i="6"/>
  <c r="AI224" i="6"/>
  <c r="AJ224" i="6"/>
  <c r="AM224" i="6"/>
  <c r="AX224" i="6"/>
  <c r="BC224" i="6"/>
  <c r="AH225" i="6"/>
  <c r="AS225" i="6" s="1"/>
  <c r="AI225" i="6"/>
  <c r="AJ225" i="6"/>
  <c r="AK225" i="6"/>
  <c r="AL225" i="6"/>
  <c r="AP225" i="6"/>
  <c r="AR225" i="6"/>
  <c r="AV225" i="6"/>
  <c r="AW225" i="6"/>
  <c r="BA225" i="6"/>
  <c r="BB225" i="6"/>
  <c r="AH226" i="6"/>
  <c r="AT226" i="6" s="1"/>
  <c r="AI226" i="6"/>
  <c r="AJ226" i="6"/>
  <c r="AL226" i="6"/>
  <c r="AM226" i="6"/>
  <c r="AN226" i="6"/>
  <c r="AP226" i="6"/>
  <c r="AQ226" i="6"/>
  <c r="AR226" i="6"/>
  <c r="AU226" i="6"/>
  <c r="AV226" i="6"/>
  <c r="AX226" i="6"/>
  <c r="AY226" i="6"/>
  <c r="AZ226" i="6"/>
  <c r="BB226" i="6"/>
  <c r="BC226" i="6"/>
  <c r="AH227" i="6"/>
  <c r="AI227" i="6"/>
  <c r="AJ227" i="6"/>
  <c r="AK227" i="6"/>
  <c r="AL227" i="6"/>
  <c r="AN227" i="6"/>
  <c r="AO227" i="6"/>
  <c r="AP227" i="6"/>
  <c r="AR227" i="6"/>
  <c r="AS227" i="6"/>
  <c r="AT227" i="6"/>
  <c r="AV227" i="6"/>
  <c r="AW227" i="6"/>
  <c r="AX227" i="6"/>
  <c r="AZ227" i="6"/>
  <c r="BA227" i="6"/>
  <c r="BB227" i="6"/>
  <c r="AH228" i="6"/>
  <c r="BC228" i="6" s="1"/>
  <c r="AI228" i="6"/>
  <c r="AJ228" i="6"/>
  <c r="AM228" i="6"/>
  <c r="AN228" i="6"/>
  <c r="AT228" i="6"/>
  <c r="AX228" i="6"/>
  <c r="AY228" i="6"/>
  <c r="AH229" i="6"/>
  <c r="AI229" i="6"/>
  <c r="AJ229" i="6"/>
  <c r="AK229" i="6"/>
  <c r="AL229" i="6"/>
  <c r="AP229" i="6"/>
  <c r="AR229" i="6"/>
  <c r="AV229" i="6"/>
  <c r="AW229" i="6"/>
  <c r="BA229" i="6"/>
  <c r="BB229" i="6"/>
  <c r="AH230" i="6"/>
  <c r="AT230" i="6" s="1"/>
  <c r="AI230" i="6"/>
  <c r="AJ230" i="6"/>
  <c r="AL230" i="6"/>
  <c r="AP230" i="6"/>
  <c r="AQ230" i="6"/>
  <c r="AR230" i="6"/>
  <c r="AU230" i="6"/>
  <c r="AV230" i="6"/>
  <c r="AZ230" i="6"/>
  <c r="BB230" i="6"/>
  <c r="BC230" i="6"/>
  <c r="AH231" i="6"/>
  <c r="AI231" i="6"/>
  <c r="AJ231" i="6"/>
  <c r="AN231" i="6"/>
  <c r="AO231" i="6"/>
  <c r="AP231" i="6"/>
  <c r="AR231" i="6"/>
  <c r="AS231" i="6"/>
  <c r="AT231" i="6"/>
  <c r="AX231" i="6"/>
  <c r="AZ231" i="6"/>
  <c r="BA231" i="6"/>
  <c r="BB231" i="6"/>
  <c r="AH232" i="6"/>
  <c r="AI232" i="6"/>
  <c r="AJ232" i="6"/>
  <c r="AR232" i="6"/>
  <c r="AX232" i="6"/>
  <c r="AH233" i="6"/>
  <c r="AI233" i="6"/>
  <c r="AJ233" i="6"/>
  <c r="AK233" i="6"/>
  <c r="AL233" i="6"/>
  <c r="AN233" i="6"/>
  <c r="AP233" i="6"/>
  <c r="AR233" i="6"/>
  <c r="AV233" i="6"/>
  <c r="AW233" i="6"/>
  <c r="AX233" i="6"/>
  <c r="BA233" i="6"/>
  <c r="BB233" i="6"/>
  <c r="AH234" i="6"/>
  <c r="AT234" i="6" s="1"/>
  <c r="AI234" i="6"/>
  <c r="AJ234" i="6"/>
  <c r="AL234" i="6"/>
  <c r="AM234" i="6"/>
  <c r="AN234" i="6"/>
  <c r="AP234" i="6"/>
  <c r="AQ234" i="6"/>
  <c r="AR234" i="6"/>
  <c r="AU234" i="6"/>
  <c r="AV234" i="6"/>
  <c r="AX234" i="6"/>
  <c r="AY234" i="6"/>
  <c r="AZ234" i="6"/>
  <c r="BB234" i="6"/>
  <c r="BC234" i="6"/>
  <c r="AH235" i="6"/>
  <c r="AI235" i="6"/>
  <c r="AJ235" i="6"/>
  <c r="AK235" i="6"/>
  <c r="AL235" i="6"/>
  <c r="AN235" i="6"/>
  <c r="AO235" i="6"/>
  <c r="AP235" i="6"/>
  <c r="AR235" i="6"/>
  <c r="AS235" i="6"/>
  <c r="AT235" i="6"/>
  <c r="AV235" i="6"/>
  <c r="AW235" i="6"/>
  <c r="AX235" i="6"/>
  <c r="AZ235" i="6"/>
  <c r="BA235" i="6"/>
  <c r="BB235" i="6"/>
  <c r="AH236" i="6"/>
  <c r="AY236" i="6" s="1"/>
  <c r="AI236" i="6"/>
  <c r="AJ236" i="6"/>
  <c r="AM236" i="6"/>
  <c r="AN236" i="6"/>
  <c r="AR236" i="6"/>
  <c r="AT236" i="6"/>
  <c r="AU236" i="6"/>
  <c r="AX236" i="6"/>
  <c r="AH237" i="6"/>
  <c r="AI237" i="6"/>
  <c r="AJ237" i="6"/>
  <c r="AK237" i="6"/>
  <c r="AL237" i="6"/>
  <c r="AV237" i="6"/>
  <c r="AW237" i="6"/>
  <c r="BA237" i="6"/>
  <c r="BB237" i="6"/>
  <c r="AH238" i="6"/>
  <c r="AI238" i="6"/>
  <c r="AJ238" i="6"/>
  <c r="AQ238" i="6"/>
  <c r="AU238" i="6"/>
  <c r="AV238" i="6"/>
  <c r="AH239" i="6"/>
  <c r="AI239" i="6"/>
  <c r="AJ239" i="6"/>
  <c r="AN239" i="6"/>
  <c r="AO239" i="6"/>
  <c r="AP239" i="6"/>
  <c r="AR239" i="6"/>
  <c r="AS239" i="6"/>
  <c r="AT239" i="6"/>
  <c r="AX239" i="6"/>
  <c r="AZ239" i="6"/>
  <c r="BA239" i="6"/>
  <c r="BB239" i="6"/>
  <c r="AH240" i="6"/>
  <c r="AX240" i="6" s="1"/>
  <c r="AI240" i="6"/>
  <c r="AJ240" i="6"/>
  <c r="AM240" i="6"/>
  <c r="AN240" i="6"/>
  <c r="AP240" i="6"/>
  <c r="AQ240" i="6"/>
  <c r="AR240" i="6"/>
  <c r="AT240" i="6"/>
  <c r="AZ240" i="6"/>
  <c r="BB240" i="6"/>
  <c r="BC240" i="6"/>
  <c r="AH241" i="6"/>
  <c r="AI241" i="6"/>
  <c r="AJ241" i="6"/>
  <c r="AH242" i="6"/>
  <c r="AT242" i="6" s="1"/>
  <c r="AI242" i="6"/>
  <c r="AJ242" i="6"/>
  <c r="AL242" i="6"/>
  <c r="AM242" i="6"/>
  <c r="AN242" i="6"/>
  <c r="AP242" i="6"/>
  <c r="AQ242" i="6"/>
  <c r="AR242" i="6"/>
  <c r="AU242" i="6"/>
  <c r="AV242" i="6"/>
  <c r="AX242" i="6"/>
  <c r="AY242" i="6"/>
  <c r="AZ242" i="6"/>
  <c r="BB242" i="6"/>
  <c r="BC242" i="6"/>
  <c r="AH243" i="6"/>
  <c r="AI243" i="6"/>
  <c r="AJ243" i="6"/>
  <c r="AK243" i="6"/>
  <c r="AL243" i="6"/>
  <c r="AN243" i="6"/>
  <c r="AO243" i="6"/>
  <c r="AP243" i="6"/>
  <c r="AR243" i="6"/>
  <c r="AS243" i="6"/>
  <c r="AT243" i="6"/>
  <c r="AV243" i="6"/>
  <c r="AW243" i="6"/>
  <c r="AX243" i="6"/>
  <c r="AZ243" i="6"/>
  <c r="BA243" i="6"/>
  <c r="BB243" i="6"/>
  <c r="AH244" i="6"/>
  <c r="AI244" i="6"/>
  <c r="AJ244" i="6"/>
  <c r="AH245" i="6"/>
  <c r="AW245" i="6" s="1"/>
  <c r="AI245" i="6"/>
  <c r="AJ245" i="6"/>
  <c r="AK245" i="6"/>
  <c r="AL245" i="6"/>
  <c r="AT245" i="6"/>
  <c r="AV245" i="6"/>
  <c r="BA245" i="6"/>
  <c r="BB245" i="6"/>
  <c r="AH246" i="6"/>
  <c r="AV246" i="6" s="1"/>
  <c r="AI246" i="6"/>
  <c r="AJ246" i="6"/>
  <c r="AL246" i="6"/>
  <c r="AP246" i="6"/>
  <c r="AQ246" i="6"/>
  <c r="AR246" i="6"/>
  <c r="AT246" i="6"/>
  <c r="AU246" i="6"/>
  <c r="BB246" i="6"/>
  <c r="BC246" i="6"/>
  <c r="AH247" i="6"/>
  <c r="AI247" i="6"/>
  <c r="AJ247" i="6"/>
  <c r="AR247" i="6"/>
  <c r="AS247" i="6"/>
  <c r="AT247" i="6"/>
  <c r="AX247" i="6"/>
  <c r="AZ247" i="6"/>
  <c r="AH248" i="6"/>
  <c r="AI248" i="6"/>
  <c r="AJ248" i="6"/>
  <c r="AM248" i="6"/>
  <c r="AN248" i="6"/>
  <c r="AP248" i="6"/>
  <c r="AQ248" i="6"/>
  <c r="AT248" i="6"/>
  <c r="AX248" i="6"/>
  <c r="AY248" i="6"/>
  <c r="AZ248" i="6"/>
  <c r="BB248" i="6"/>
  <c r="BC248" i="6"/>
  <c r="AH249" i="6"/>
  <c r="AV249" i="6" s="1"/>
  <c r="AI249" i="6"/>
  <c r="AJ249" i="6"/>
  <c r="AK249" i="6"/>
  <c r="AL249" i="6"/>
  <c r="AN249" i="6"/>
  <c r="AO249" i="6"/>
  <c r="AP249" i="6"/>
  <c r="AR249" i="6"/>
  <c r="AX249" i="6"/>
  <c r="AZ249" i="6"/>
  <c r="BA249" i="6"/>
  <c r="BB249" i="6"/>
  <c r="AH250" i="6"/>
  <c r="AT250" i="6" s="1"/>
  <c r="AI250" i="6"/>
  <c r="AJ250" i="6"/>
  <c r="AL250" i="6"/>
  <c r="AM250" i="6"/>
  <c r="AN250" i="6"/>
  <c r="AP250" i="6"/>
  <c r="AQ250" i="6"/>
  <c r="AR250" i="6"/>
  <c r="AU250" i="6"/>
  <c r="AV250" i="6"/>
  <c r="AX250" i="6"/>
  <c r="AY250" i="6"/>
  <c r="AZ250" i="6"/>
  <c r="BB250" i="6"/>
  <c r="BC250" i="6"/>
  <c r="AH251" i="6"/>
  <c r="AI251" i="6"/>
  <c r="AJ251" i="6"/>
  <c r="AK251" i="6"/>
  <c r="AL251" i="6"/>
  <c r="AN251" i="6"/>
  <c r="AO251" i="6"/>
  <c r="AP251" i="6"/>
  <c r="AR251" i="6"/>
  <c r="AS251" i="6"/>
  <c r="AT251" i="6"/>
  <c r="AV251" i="6"/>
  <c r="AW251" i="6"/>
  <c r="AX251" i="6"/>
  <c r="AZ251" i="6"/>
  <c r="BA251" i="6"/>
  <c r="BB251" i="6"/>
  <c r="AH252" i="6"/>
  <c r="AU252" i="6" s="1"/>
  <c r="AI252" i="6"/>
  <c r="AJ252" i="6"/>
  <c r="AL252" i="6"/>
  <c r="AM252" i="6"/>
  <c r="AN252" i="6"/>
  <c r="AP252" i="6"/>
  <c r="AR252" i="6"/>
  <c r="AT252" i="6"/>
  <c r="AX252" i="6"/>
  <c r="AY252" i="6"/>
  <c r="AZ252" i="6"/>
  <c r="BC252" i="6"/>
  <c r="AH253" i="6"/>
  <c r="AI253" i="6"/>
  <c r="AJ253" i="6"/>
  <c r="AW253" i="6"/>
  <c r="AH254" i="6"/>
  <c r="AI254" i="6"/>
  <c r="AJ254" i="6"/>
  <c r="AK254" i="6"/>
  <c r="AL254" i="6"/>
  <c r="AM254" i="6"/>
  <c r="AN254" i="6"/>
  <c r="AO254" i="6"/>
  <c r="AP254" i="6"/>
  <c r="AQ254" i="6"/>
  <c r="AS254" i="6"/>
  <c r="AT254" i="6"/>
  <c r="AU254" i="6"/>
  <c r="AV254" i="6"/>
  <c r="AW254" i="6"/>
  <c r="AX254" i="6"/>
  <c r="AY254" i="6"/>
  <c r="BA254" i="6"/>
  <c r="BB254" i="6"/>
  <c r="BC254" i="6"/>
  <c r="AH255" i="6"/>
  <c r="AY255" i="6" s="1"/>
  <c r="AI255" i="6"/>
  <c r="AJ255" i="6"/>
  <c r="AO255" i="6"/>
  <c r="AP255" i="6"/>
  <c r="AR255" i="6"/>
  <c r="AS255" i="6"/>
  <c r="AX255" i="6"/>
  <c r="AZ255" i="6"/>
  <c r="BA255" i="6"/>
  <c r="BC255" i="6"/>
  <c r="AH256" i="6"/>
  <c r="AR256" i="6" s="1"/>
  <c r="AI256" i="6"/>
  <c r="AJ256" i="6"/>
  <c r="AK256" i="6"/>
  <c r="AL256" i="6"/>
  <c r="AM256" i="6"/>
  <c r="AO256" i="6"/>
  <c r="AP256" i="6"/>
  <c r="AQ256" i="6"/>
  <c r="AT256" i="6"/>
  <c r="AU256" i="6"/>
  <c r="AW256" i="6"/>
  <c r="AX256" i="6"/>
  <c r="AY256" i="6"/>
  <c r="AZ256" i="6"/>
  <c r="BC256" i="6"/>
  <c r="AH257" i="6"/>
  <c r="AI257" i="6"/>
  <c r="AJ257" i="6"/>
  <c r="AK257" i="6"/>
  <c r="AL257" i="6"/>
  <c r="AM257" i="6"/>
  <c r="AN257" i="6"/>
  <c r="AO257" i="6"/>
  <c r="AP257" i="6"/>
  <c r="AQ257" i="6"/>
  <c r="AR257" i="6"/>
  <c r="AS257" i="6"/>
  <c r="AT257" i="6"/>
  <c r="AU257" i="6"/>
  <c r="AV257" i="6"/>
  <c r="AW257" i="6"/>
  <c r="AX257" i="6"/>
  <c r="AY257" i="6"/>
  <c r="AZ257" i="6"/>
  <c r="BA257" i="6"/>
  <c r="BB257" i="6"/>
  <c r="BC257" i="6"/>
  <c r="AH258" i="6"/>
  <c r="AI258" i="6"/>
  <c r="AJ258" i="6"/>
  <c r="AK258" i="6"/>
  <c r="AL258" i="6"/>
  <c r="AM258" i="6"/>
  <c r="AN258" i="6"/>
  <c r="AP258" i="6"/>
  <c r="AQ258" i="6"/>
  <c r="AS258" i="6"/>
  <c r="AT258" i="6"/>
  <c r="AU258" i="6"/>
  <c r="AV258" i="6"/>
  <c r="AW258" i="6"/>
  <c r="AY258" i="6"/>
  <c r="BA258" i="6"/>
  <c r="BB258" i="6"/>
  <c r="BC258" i="6"/>
  <c r="AH259" i="6"/>
  <c r="AI259" i="6"/>
  <c r="AJ259" i="6"/>
  <c r="AN259" i="6"/>
  <c r="AO259" i="6"/>
  <c r="AP259" i="6"/>
  <c r="AQ259" i="6"/>
  <c r="AR259" i="6"/>
  <c r="AS259" i="6"/>
  <c r="AW259" i="6"/>
  <c r="AX259" i="6"/>
  <c r="AY259" i="6"/>
  <c r="AZ259" i="6"/>
  <c r="BA259" i="6"/>
  <c r="BC259" i="6"/>
  <c r="AH260" i="6"/>
  <c r="AI260" i="6"/>
  <c r="AJ260" i="6"/>
  <c r="AK260" i="6"/>
  <c r="AL260" i="6"/>
  <c r="AM260" i="6"/>
  <c r="AO260" i="6"/>
  <c r="AP260" i="6"/>
  <c r="AQ260" i="6"/>
  <c r="AR260" i="6"/>
  <c r="AS260" i="6"/>
  <c r="AT260" i="6"/>
  <c r="AU260" i="6"/>
  <c r="AW260" i="6"/>
  <c r="AX260" i="6"/>
  <c r="AY260" i="6"/>
  <c r="AZ260" i="6"/>
  <c r="BA260" i="6"/>
  <c r="BB260" i="6"/>
  <c r="BC260" i="6"/>
  <c r="AH261" i="6"/>
  <c r="AI261" i="6"/>
  <c r="AJ261" i="6"/>
  <c r="AK261" i="6"/>
  <c r="AL261" i="6"/>
  <c r="AM261" i="6"/>
  <c r="AN261" i="6"/>
  <c r="AO261" i="6"/>
  <c r="AP261" i="6"/>
  <c r="AQ261" i="6"/>
  <c r="AR261" i="6"/>
  <c r="AS261" i="6"/>
  <c r="AT261" i="6"/>
  <c r="AU261" i="6"/>
  <c r="AV261" i="6"/>
  <c r="AW261" i="6"/>
  <c r="AX261" i="6"/>
  <c r="AY261" i="6"/>
  <c r="AZ261" i="6"/>
  <c r="BA261" i="6"/>
  <c r="BB261" i="6"/>
  <c r="BC261" i="6"/>
  <c r="AH262" i="6"/>
  <c r="AI262" i="6"/>
  <c r="AJ262" i="6"/>
  <c r="AQ262" i="6"/>
  <c r="AS262" i="6"/>
  <c r="BB262" i="6"/>
  <c r="BC262" i="6"/>
  <c r="AH263" i="6"/>
  <c r="AR263" i="6" s="1"/>
  <c r="AI263" i="6"/>
  <c r="AJ263" i="6"/>
  <c r="AK263" i="6"/>
  <c r="AO263" i="6"/>
  <c r="AP263" i="6"/>
  <c r="AQ263" i="6"/>
  <c r="AU263" i="6"/>
  <c r="AV263" i="6"/>
  <c r="AY263" i="6"/>
  <c r="AZ263" i="6"/>
  <c r="BA263" i="6"/>
  <c r="AH264" i="6"/>
  <c r="AL264" i="6" s="1"/>
  <c r="AI264" i="6"/>
  <c r="AJ264" i="6"/>
  <c r="AK264" i="6"/>
  <c r="AM264" i="6"/>
  <c r="AO264" i="6"/>
  <c r="AQ264" i="6"/>
  <c r="AR264" i="6"/>
  <c r="AS264" i="6"/>
  <c r="AT264" i="6"/>
  <c r="AU264" i="6"/>
  <c r="AX264" i="6"/>
  <c r="AZ264" i="6"/>
  <c r="BA264" i="6"/>
  <c r="BB264" i="6"/>
  <c r="BC264" i="6"/>
  <c r="AH265" i="6"/>
  <c r="AI265" i="6"/>
  <c r="AJ265" i="6"/>
  <c r="AK265" i="6"/>
  <c r="AL265" i="6"/>
  <c r="AM265" i="6"/>
  <c r="AN265" i="6"/>
  <c r="AO265" i="6"/>
  <c r="AP265" i="6"/>
  <c r="AQ265" i="6"/>
  <c r="AR265" i="6"/>
  <c r="AS265" i="6"/>
  <c r="AT265" i="6"/>
  <c r="AU265" i="6"/>
  <c r="AV265" i="6"/>
  <c r="AW265" i="6"/>
  <c r="AX265" i="6"/>
  <c r="AY265" i="6"/>
  <c r="AZ265" i="6"/>
  <c r="BA265" i="6"/>
  <c r="BB265" i="6"/>
  <c r="BC265" i="6"/>
  <c r="AH266" i="6"/>
  <c r="AL266" i="6" s="1"/>
  <c r="AI266" i="6"/>
  <c r="AJ266" i="6"/>
  <c r="AK266" i="6"/>
  <c r="AN266" i="6"/>
  <c r="AO266" i="6"/>
  <c r="AP266" i="6"/>
  <c r="AQ266" i="6"/>
  <c r="AS266" i="6"/>
  <c r="AT266" i="6"/>
  <c r="AU266" i="6"/>
  <c r="AX266" i="6"/>
  <c r="AY266" i="6"/>
  <c r="BA266" i="6"/>
  <c r="BB266" i="6"/>
  <c r="BC266" i="6"/>
  <c r="AH267" i="6"/>
  <c r="AU267" i="6" s="1"/>
  <c r="AI267" i="6"/>
  <c r="AJ267" i="6"/>
  <c r="AK267" i="6"/>
  <c r="AM267" i="6"/>
  <c r="AN267" i="6"/>
  <c r="AP267" i="6"/>
  <c r="AQ267" i="6"/>
  <c r="AS267" i="6"/>
  <c r="AV267" i="6"/>
  <c r="AW267" i="6"/>
  <c r="AX267" i="6"/>
  <c r="AZ267" i="6"/>
  <c r="BC267" i="6"/>
  <c r="AH268" i="6"/>
  <c r="AS268" i="6" s="1"/>
  <c r="AI268" i="6"/>
  <c r="AJ268" i="6"/>
  <c r="AK268" i="6"/>
  <c r="AR268" i="6"/>
  <c r="AT268" i="6"/>
  <c r="AU268" i="6"/>
  <c r="BB268" i="6"/>
  <c r="AH269" i="6"/>
  <c r="AI269" i="6"/>
  <c r="AJ269" i="6"/>
  <c r="AK269" i="6"/>
  <c r="AL269" i="6"/>
  <c r="AM269" i="6"/>
  <c r="AN269" i="6"/>
  <c r="AO269" i="6"/>
  <c r="AP269" i="6"/>
  <c r="AQ269" i="6"/>
  <c r="AR269" i="6"/>
  <c r="AS269" i="6"/>
  <c r="AT269" i="6"/>
  <c r="AU269" i="6"/>
  <c r="AV269" i="6"/>
  <c r="AW269" i="6"/>
  <c r="AX269" i="6"/>
  <c r="AY269" i="6"/>
  <c r="AZ269" i="6"/>
  <c r="BA269" i="6"/>
  <c r="BB269" i="6"/>
  <c r="BC269" i="6"/>
  <c r="AH270" i="6"/>
  <c r="AS270" i="6" s="1"/>
  <c r="AI270" i="6"/>
  <c r="AJ270" i="6"/>
  <c r="AK270" i="6"/>
  <c r="AQ270" i="6"/>
  <c r="AT270" i="6"/>
  <c r="AV270" i="6"/>
  <c r="BB270" i="6"/>
  <c r="AH271" i="6"/>
  <c r="AI271" i="6"/>
  <c r="AJ271" i="6"/>
  <c r="AK271" i="6"/>
  <c r="AM271" i="6"/>
  <c r="AN271" i="6"/>
  <c r="AO271" i="6"/>
  <c r="AP271" i="6"/>
  <c r="AQ271" i="6"/>
  <c r="AR271" i="6"/>
  <c r="AS271" i="6"/>
  <c r="AU271" i="6"/>
  <c r="AV271" i="6"/>
  <c r="AW271" i="6"/>
  <c r="AX271" i="6"/>
  <c r="AY271" i="6"/>
  <c r="AZ271" i="6"/>
  <c r="BA271" i="6"/>
  <c r="BC271" i="6"/>
  <c r="AH272" i="6"/>
  <c r="AL272" i="6" s="1"/>
  <c r="AI272" i="6"/>
  <c r="AJ272" i="6"/>
  <c r="AK272" i="6"/>
  <c r="AO272" i="6"/>
  <c r="AP272" i="6"/>
  <c r="AQ272" i="6"/>
  <c r="AR272" i="6"/>
  <c r="AS272" i="6"/>
  <c r="AT272" i="6"/>
  <c r="AU272" i="6"/>
  <c r="AY272" i="6"/>
  <c r="AZ272" i="6"/>
  <c r="BA272" i="6"/>
  <c r="BB272" i="6"/>
  <c r="BC272" i="6"/>
  <c r="AH273" i="6"/>
  <c r="AS273" i="6" s="1"/>
  <c r="AI273" i="6"/>
  <c r="AJ273" i="6"/>
  <c r="AK273" i="6"/>
  <c r="AL273" i="6"/>
  <c r="AO273" i="6"/>
  <c r="AP273" i="6"/>
  <c r="AR273" i="6"/>
  <c r="AT273" i="6"/>
  <c r="AU273" i="6"/>
  <c r="AX273" i="6"/>
  <c r="AZ273" i="6"/>
  <c r="BA273" i="6"/>
  <c r="BC273" i="6"/>
  <c r="AH274" i="6"/>
  <c r="AI274" i="6"/>
  <c r="AJ274" i="6"/>
  <c r="AQ274" i="6"/>
  <c r="AZ274" i="6"/>
  <c r="AH275" i="6"/>
  <c r="AR275" i="6" s="1"/>
  <c r="AI275" i="6"/>
  <c r="AJ275" i="6"/>
  <c r="AL275" i="6"/>
  <c r="AN275" i="6"/>
  <c r="AQ275" i="6"/>
  <c r="AS275" i="6"/>
  <c r="AV275" i="6"/>
  <c r="AW275" i="6"/>
  <c r="AZ275" i="6"/>
  <c r="BB275" i="6"/>
  <c r="AH276" i="6"/>
  <c r="AI276" i="6"/>
  <c r="AJ276" i="6"/>
  <c r="AK276" i="6"/>
  <c r="AL276" i="6"/>
  <c r="AM276" i="6"/>
  <c r="AN276" i="6"/>
  <c r="AP276" i="6"/>
  <c r="AQ276" i="6"/>
  <c r="AR276" i="6"/>
  <c r="AS276" i="6"/>
  <c r="AT276" i="6"/>
  <c r="AU276" i="6"/>
  <c r="AV276" i="6"/>
  <c r="AX276" i="6"/>
  <c r="AY276" i="6"/>
  <c r="AZ276" i="6"/>
  <c r="BA276" i="6"/>
  <c r="BB276" i="6"/>
  <c r="BC276" i="6"/>
  <c r="AH277" i="6"/>
  <c r="AL277" i="6" s="1"/>
  <c r="AI277" i="6"/>
  <c r="AJ277" i="6"/>
  <c r="AK277" i="6"/>
  <c r="AM277" i="6"/>
  <c r="AN277" i="6"/>
  <c r="AO277" i="6"/>
  <c r="AP277" i="6"/>
  <c r="AR277" i="6"/>
  <c r="AS277" i="6"/>
  <c r="AT277" i="6"/>
  <c r="AV277" i="6"/>
  <c r="AW277" i="6"/>
  <c r="AX277" i="6"/>
  <c r="AZ277" i="6"/>
  <c r="BA277" i="6"/>
  <c r="BB277" i="6"/>
  <c r="BC277" i="6"/>
  <c r="AH278" i="6"/>
  <c r="AI278" i="6"/>
  <c r="AJ278" i="6"/>
  <c r="AL278" i="6"/>
  <c r="AM278" i="6"/>
  <c r="AN278" i="6"/>
  <c r="AO278" i="6"/>
  <c r="AP278" i="6"/>
  <c r="AQ278" i="6"/>
  <c r="AR278" i="6"/>
  <c r="AT278" i="6"/>
  <c r="AU278" i="6"/>
  <c r="AV278" i="6"/>
  <c r="AW278" i="6"/>
  <c r="AX278" i="6"/>
  <c r="AY278" i="6"/>
  <c r="AZ278" i="6"/>
  <c r="BB278" i="6"/>
  <c r="BC278" i="6"/>
  <c r="AH279" i="6"/>
  <c r="AR279" i="6" s="1"/>
  <c r="AI279" i="6"/>
  <c r="AJ279" i="6"/>
  <c r="AK279" i="6"/>
  <c r="AL279" i="6"/>
  <c r="AO279" i="6"/>
  <c r="AP279" i="6"/>
  <c r="AQ279" i="6"/>
  <c r="AS279" i="6"/>
  <c r="AT279" i="6"/>
  <c r="AV279" i="6"/>
  <c r="AX279" i="6"/>
  <c r="AY279" i="6"/>
  <c r="AZ279" i="6"/>
  <c r="BB279" i="6"/>
  <c r="AH280" i="6"/>
  <c r="AS280" i="6" s="1"/>
  <c r="AI280" i="6"/>
  <c r="AJ280" i="6"/>
  <c r="AK280" i="6"/>
  <c r="AL280" i="6"/>
  <c r="AP280" i="6"/>
  <c r="AQ280" i="6"/>
  <c r="AR280" i="6"/>
  <c r="AT280" i="6"/>
  <c r="AU280" i="6"/>
  <c r="AY280" i="6"/>
  <c r="AZ280" i="6"/>
  <c r="BA280" i="6"/>
  <c r="BC280" i="6"/>
  <c r="AH281" i="6"/>
  <c r="AI281" i="6"/>
  <c r="AJ281" i="6"/>
  <c r="AP281" i="6"/>
  <c r="AZ281" i="6"/>
  <c r="AH282" i="6"/>
  <c r="AT282" i="6" s="1"/>
  <c r="AI282" i="6"/>
  <c r="AJ282" i="6"/>
  <c r="AL282" i="6"/>
  <c r="AM282" i="6"/>
  <c r="AP282" i="6"/>
  <c r="AQ282" i="6"/>
  <c r="AR282" i="6"/>
  <c r="AU282" i="6"/>
  <c r="AV282" i="6"/>
  <c r="AY282" i="6"/>
  <c r="AZ282" i="6"/>
  <c r="BB282" i="6"/>
  <c r="AH283" i="6"/>
  <c r="AI283" i="6"/>
  <c r="AJ283" i="6"/>
  <c r="AQ283" i="6"/>
  <c r="AR283" i="6"/>
  <c r="AZ283" i="6"/>
  <c r="BA283" i="6"/>
  <c r="AH284" i="6"/>
  <c r="AL284" i="6" s="1"/>
  <c r="AI284" i="6"/>
  <c r="AJ284" i="6"/>
  <c r="AK284" i="6"/>
  <c r="AM284" i="6"/>
  <c r="AN284" i="6"/>
  <c r="AP284" i="6"/>
  <c r="AQ284" i="6"/>
  <c r="AR284" i="6"/>
  <c r="AS284" i="6"/>
  <c r="AT284" i="6"/>
  <c r="AV284" i="6"/>
  <c r="AX284" i="6"/>
  <c r="AY284" i="6"/>
  <c r="AZ284" i="6"/>
  <c r="BA284" i="6"/>
  <c r="BB284" i="6"/>
  <c r="BC284" i="6"/>
  <c r="AH285" i="6"/>
  <c r="AI285" i="6"/>
  <c r="AJ285" i="6"/>
  <c r="AK285" i="6"/>
  <c r="AL285" i="6"/>
  <c r="AM285" i="6"/>
  <c r="AN285" i="6"/>
  <c r="AO285" i="6"/>
  <c r="AP285" i="6"/>
  <c r="AR285" i="6"/>
  <c r="AS285" i="6"/>
  <c r="AT285" i="6"/>
  <c r="AU285" i="6"/>
  <c r="AV285" i="6"/>
  <c r="AW285" i="6"/>
  <c r="AX285" i="6"/>
  <c r="AZ285" i="6"/>
  <c r="BA285" i="6"/>
  <c r="BB285" i="6"/>
  <c r="BC285" i="6"/>
  <c r="AH286" i="6"/>
  <c r="AM286" i="6" s="1"/>
  <c r="AI286" i="6"/>
  <c r="AJ286" i="6"/>
  <c r="AL286" i="6"/>
  <c r="AN286" i="6"/>
  <c r="AO286" i="6"/>
  <c r="AP286" i="6"/>
  <c r="AQ286" i="6"/>
  <c r="AR286" i="6"/>
  <c r="AT286" i="6"/>
  <c r="AU286" i="6"/>
  <c r="AW286" i="6"/>
  <c r="AX286" i="6"/>
  <c r="AY286" i="6"/>
  <c r="AZ286" i="6"/>
  <c r="BB286" i="6"/>
  <c r="BC286" i="6"/>
  <c r="AH287" i="6"/>
  <c r="AR287" i="6" s="1"/>
  <c r="AI287" i="6"/>
  <c r="AJ287" i="6"/>
  <c r="AK287" i="6"/>
  <c r="AQ287" i="6"/>
  <c r="AS287" i="6"/>
  <c r="AT287" i="6"/>
  <c r="AZ287" i="6"/>
  <c r="BB287" i="6"/>
  <c r="AH288" i="6"/>
  <c r="AQ288" i="6" s="1"/>
  <c r="AI288" i="6"/>
  <c r="AJ288" i="6"/>
  <c r="AZ288" i="6"/>
  <c r="AH289" i="6"/>
  <c r="AM289" i="6" s="1"/>
  <c r="AI289" i="6"/>
  <c r="AJ289" i="6"/>
  <c r="AK289" i="6"/>
  <c r="AL289" i="6"/>
  <c r="AO289" i="6"/>
  <c r="AP289" i="6"/>
  <c r="AQ289" i="6"/>
  <c r="AS289" i="6"/>
  <c r="AT289" i="6"/>
  <c r="AW289" i="6"/>
  <c r="AX289" i="6"/>
  <c r="AY289" i="6"/>
  <c r="BA289" i="6"/>
  <c r="BB289" i="6"/>
  <c r="AH290" i="6"/>
  <c r="AL290" i="6" s="1"/>
  <c r="AI290" i="6"/>
  <c r="AJ290" i="6"/>
  <c r="AK290" i="6"/>
  <c r="AM290" i="6"/>
  <c r="AN290" i="6"/>
  <c r="AO290" i="6"/>
  <c r="AP290" i="6"/>
  <c r="AQ290" i="6"/>
  <c r="AR290" i="6"/>
  <c r="AS290" i="6"/>
  <c r="AU290" i="6"/>
  <c r="AV290" i="6"/>
  <c r="AW290" i="6"/>
  <c r="AX290" i="6"/>
  <c r="AY290" i="6"/>
  <c r="AZ290" i="6"/>
  <c r="BA290" i="6"/>
  <c r="BC290" i="6"/>
  <c r="AH291" i="6"/>
  <c r="AP291" i="6" s="1"/>
  <c r="AI291" i="6"/>
  <c r="AJ291" i="6"/>
  <c r="AH292" i="6"/>
  <c r="AI292" i="6"/>
  <c r="AJ292" i="6"/>
  <c r="AK292" i="6"/>
  <c r="AL292" i="6"/>
  <c r="AM292" i="6"/>
  <c r="AN292" i="6"/>
  <c r="AO292" i="6"/>
  <c r="AP292" i="6"/>
  <c r="AQ292" i="6"/>
  <c r="AR292" i="6"/>
  <c r="AS292" i="6"/>
  <c r="AT292" i="6"/>
  <c r="AU292" i="6"/>
  <c r="AV292" i="6"/>
  <c r="AW292" i="6"/>
  <c r="AX292" i="6"/>
  <c r="AY292" i="6"/>
  <c r="AZ292" i="6"/>
  <c r="BA292" i="6"/>
  <c r="BB292" i="6"/>
  <c r="BC292" i="6"/>
  <c r="AH293" i="6"/>
  <c r="AM293" i="6" s="1"/>
  <c r="AI293" i="6"/>
  <c r="AJ293" i="6"/>
  <c r="AK293" i="6"/>
  <c r="AL293" i="6"/>
  <c r="AO293" i="6"/>
  <c r="AP293" i="6"/>
  <c r="AQ293" i="6"/>
  <c r="AS293" i="6"/>
  <c r="AT293" i="6"/>
  <c r="AW293" i="6"/>
  <c r="AX293" i="6"/>
  <c r="AY293" i="6"/>
  <c r="BA293" i="6"/>
  <c r="BB293" i="6"/>
  <c r="AH294" i="6"/>
  <c r="AL294" i="6" s="1"/>
  <c r="AI294" i="6"/>
  <c r="AJ294" i="6"/>
  <c r="AK294" i="6"/>
  <c r="AM294" i="6"/>
  <c r="AN294" i="6"/>
  <c r="AO294" i="6"/>
  <c r="AP294" i="6"/>
  <c r="AQ294" i="6"/>
  <c r="AR294" i="6"/>
  <c r="AS294" i="6"/>
  <c r="AU294" i="6"/>
  <c r="AV294" i="6"/>
  <c r="AW294" i="6"/>
  <c r="AX294" i="6"/>
  <c r="AY294" i="6"/>
  <c r="AZ294" i="6"/>
  <c r="BA294" i="6"/>
  <c r="BC294" i="6"/>
  <c r="AH295" i="6"/>
  <c r="AI295" i="6"/>
  <c r="AJ295" i="6"/>
  <c r="AP295" i="6"/>
  <c r="AH296" i="6"/>
  <c r="AI296" i="6"/>
  <c r="AJ296" i="6"/>
  <c r="AK296" i="6"/>
  <c r="AL296" i="6"/>
  <c r="AM296" i="6"/>
  <c r="AN296" i="6"/>
  <c r="AO296" i="6"/>
  <c r="AP296" i="6"/>
  <c r="AQ296" i="6"/>
  <c r="AR296" i="6"/>
  <c r="AS296" i="6"/>
  <c r="AT296" i="6"/>
  <c r="AU296" i="6"/>
  <c r="AV296" i="6"/>
  <c r="AW296" i="6"/>
  <c r="AX296" i="6"/>
  <c r="AY296" i="6"/>
  <c r="AZ296" i="6"/>
  <c r="BA296" i="6"/>
  <c r="BB296" i="6"/>
  <c r="BC296" i="6"/>
  <c r="AH297" i="6"/>
  <c r="AM297" i="6" s="1"/>
  <c r="AI297" i="6"/>
  <c r="AJ297" i="6"/>
  <c r="AK297" i="6"/>
  <c r="AL297" i="6"/>
  <c r="AO297" i="6"/>
  <c r="AP297" i="6"/>
  <c r="AQ297" i="6"/>
  <c r="AS297" i="6"/>
  <c r="AT297" i="6"/>
  <c r="AW297" i="6"/>
  <c r="AX297" i="6"/>
  <c r="AY297" i="6"/>
  <c r="BA297" i="6"/>
  <c r="BB297" i="6"/>
  <c r="AH298" i="6"/>
  <c r="AL298" i="6" s="1"/>
  <c r="AI298" i="6"/>
  <c r="AJ298" i="6"/>
  <c r="AK298" i="6"/>
  <c r="AM298" i="6"/>
  <c r="AN298" i="6"/>
  <c r="AO298" i="6"/>
  <c r="AP298" i="6"/>
  <c r="AQ298" i="6"/>
  <c r="AR298" i="6"/>
  <c r="AS298" i="6"/>
  <c r="AU298" i="6"/>
  <c r="AV298" i="6"/>
  <c r="AW298" i="6"/>
  <c r="AX298" i="6"/>
  <c r="AY298" i="6"/>
  <c r="AZ298" i="6"/>
  <c r="BA298" i="6"/>
  <c r="BC298" i="6"/>
  <c r="AH299" i="6"/>
  <c r="AI299" i="6"/>
  <c r="AJ299" i="6"/>
  <c r="AP299" i="6"/>
  <c r="AX299" i="6"/>
  <c r="AH300" i="6"/>
  <c r="AI300" i="6"/>
  <c r="AJ300" i="6"/>
  <c r="AK300" i="6"/>
  <c r="AL300" i="6"/>
  <c r="AM300" i="6"/>
  <c r="AN300" i="6"/>
  <c r="AO300" i="6"/>
  <c r="AP300" i="6"/>
  <c r="AQ300" i="6"/>
  <c r="AR300" i="6"/>
  <c r="AS300" i="6"/>
  <c r="AT300" i="6"/>
  <c r="AU300" i="6"/>
  <c r="AV300" i="6"/>
  <c r="AW300" i="6"/>
  <c r="AX300" i="6"/>
  <c r="AY300" i="6"/>
  <c r="AZ300" i="6"/>
  <c r="BA300" i="6"/>
  <c r="BB300" i="6"/>
  <c r="BC300" i="6"/>
  <c r="AH301" i="6"/>
  <c r="AM301" i="6" s="1"/>
  <c r="AI301" i="6"/>
  <c r="AJ301" i="6"/>
  <c r="AK301" i="6"/>
  <c r="AL301" i="6"/>
  <c r="AO301" i="6"/>
  <c r="AP301" i="6"/>
  <c r="AQ301" i="6"/>
  <c r="AS301" i="6"/>
  <c r="AT301" i="6"/>
  <c r="AW301" i="6"/>
  <c r="AX301" i="6"/>
  <c r="AY301" i="6"/>
  <c r="BA301" i="6"/>
  <c r="BB301" i="6"/>
  <c r="AH302" i="6"/>
  <c r="AL302" i="6" s="1"/>
  <c r="AI302" i="6"/>
  <c r="AJ302" i="6"/>
  <c r="AK302" i="6"/>
  <c r="AM302" i="6"/>
  <c r="AN302" i="6"/>
  <c r="AO302" i="6"/>
  <c r="AP302" i="6"/>
  <c r="AQ302" i="6"/>
  <c r="AR302" i="6"/>
  <c r="AS302" i="6"/>
  <c r="AU302" i="6"/>
  <c r="AV302" i="6"/>
  <c r="AW302" i="6"/>
  <c r="AX302" i="6"/>
  <c r="AY302" i="6"/>
  <c r="AZ302" i="6"/>
  <c r="BA302" i="6"/>
  <c r="BC302" i="6"/>
  <c r="AH303" i="6"/>
  <c r="AP303" i="6" s="1"/>
  <c r="AI303" i="6"/>
  <c r="AJ303" i="6"/>
  <c r="AH304" i="6"/>
  <c r="AI304" i="6"/>
  <c r="AJ304" i="6"/>
  <c r="AK304" i="6"/>
  <c r="AL304" i="6"/>
  <c r="AM304" i="6"/>
  <c r="AN304" i="6"/>
  <c r="AO304" i="6"/>
  <c r="AP304" i="6"/>
  <c r="AQ304" i="6"/>
  <c r="AR304" i="6"/>
  <c r="AS304" i="6"/>
  <c r="AT304" i="6"/>
  <c r="AU304" i="6"/>
  <c r="AV304" i="6"/>
  <c r="AW304" i="6"/>
  <c r="AX304" i="6"/>
  <c r="AY304" i="6"/>
  <c r="AZ304" i="6"/>
  <c r="BA304" i="6"/>
  <c r="BB304" i="6"/>
  <c r="BC304" i="6"/>
  <c r="AH305" i="6"/>
  <c r="AM305" i="6" s="1"/>
  <c r="AI305" i="6"/>
  <c r="AJ305" i="6"/>
  <c r="AK305" i="6"/>
  <c r="AL305" i="6"/>
  <c r="AO305" i="6"/>
  <c r="AP305" i="6"/>
  <c r="AQ305" i="6"/>
  <c r="AS305" i="6"/>
  <c r="AT305" i="6"/>
  <c r="AW305" i="6"/>
  <c r="AX305" i="6"/>
  <c r="AY305" i="6"/>
  <c r="BA305" i="6"/>
  <c r="BB305" i="6"/>
  <c r="AH306" i="6"/>
  <c r="AL306" i="6" s="1"/>
  <c r="AI306" i="6"/>
  <c r="AJ306" i="6"/>
  <c r="AK306" i="6"/>
  <c r="AM306" i="6"/>
  <c r="AN306" i="6"/>
  <c r="AO306" i="6"/>
  <c r="AP306" i="6"/>
  <c r="AQ306" i="6"/>
  <c r="AR306" i="6"/>
  <c r="AS306" i="6"/>
  <c r="AU306" i="6"/>
  <c r="AV306" i="6"/>
  <c r="AW306" i="6"/>
  <c r="AX306" i="6"/>
  <c r="AY306" i="6"/>
  <c r="AZ306" i="6"/>
  <c r="BA306" i="6"/>
  <c r="BC306" i="6"/>
  <c r="AH307" i="6"/>
  <c r="AI307" i="6"/>
  <c r="AJ307" i="6"/>
  <c r="AX307" i="6"/>
  <c r="AH308" i="6"/>
  <c r="AI308" i="6"/>
  <c r="AJ308" i="6"/>
  <c r="AK308" i="6"/>
  <c r="AL308" i="6"/>
  <c r="AM308" i="6"/>
  <c r="AN308" i="6"/>
  <c r="AO308" i="6"/>
  <c r="AP308" i="6"/>
  <c r="AQ308" i="6"/>
  <c r="AR308" i="6"/>
  <c r="AS308" i="6"/>
  <c r="AT308" i="6"/>
  <c r="AU308" i="6"/>
  <c r="AV308" i="6"/>
  <c r="AW308" i="6"/>
  <c r="AX308" i="6"/>
  <c r="AY308" i="6"/>
  <c r="AZ308" i="6"/>
  <c r="BA308" i="6"/>
  <c r="BB308" i="6"/>
  <c r="BC308" i="6"/>
  <c r="AH309" i="6"/>
  <c r="AM309" i="6" s="1"/>
  <c r="AI309" i="6"/>
  <c r="AJ309" i="6"/>
  <c r="AK309" i="6"/>
  <c r="AL309" i="6"/>
  <c r="AO309" i="6"/>
  <c r="AP309" i="6"/>
  <c r="AQ309" i="6"/>
  <c r="AS309" i="6"/>
  <c r="AT309" i="6"/>
  <c r="AW309" i="6"/>
  <c r="AX309" i="6"/>
  <c r="AY309" i="6"/>
  <c r="BA309" i="6"/>
  <c r="BB309" i="6"/>
  <c r="AH310" i="6"/>
  <c r="AL310" i="6" s="1"/>
  <c r="AI310" i="6"/>
  <c r="AJ310" i="6"/>
  <c r="AK310" i="6"/>
  <c r="AM310" i="6"/>
  <c r="AN310" i="6"/>
  <c r="AO310" i="6"/>
  <c r="AP310" i="6"/>
  <c r="AQ310" i="6"/>
  <c r="AR310" i="6"/>
  <c r="AS310" i="6"/>
  <c r="AU310" i="6"/>
  <c r="AV310" i="6"/>
  <c r="AW310" i="6"/>
  <c r="AX310" i="6"/>
  <c r="AY310" i="6"/>
  <c r="AZ310" i="6"/>
  <c r="BA310" i="6"/>
  <c r="BC310" i="6"/>
  <c r="AH311" i="6"/>
  <c r="AP311" i="6" s="1"/>
  <c r="AI311" i="6"/>
  <c r="AJ311" i="6"/>
  <c r="AH312" i="6"/>
  <c r="AI312" i="6"/>
  <c r="AJ312" i="6"/>
  <c r="AK312" i="6"/>
  <c r="AL312" i="6"/>
  <c r="AM312" i="6"/>
  <c r="AN312" i="6"/>
  <c r="AO312" i="6"/>
  <c r="AP312" i="6"/>
  <c r="AQ312" i="6"/>
  <c r="AR312" i="6"/>
  <c r="AS312" i="6"/>
  <c r="AT312" i="6"/>
  <c r="AU312" i="6"/>
  <c r="AV312" i="6"/>
  <c r="AW312" i="6"/>
  <c r="AX312" i="6"/>
  <c r="AY312" i="6"/>
  <c r="AZ312" i="6"/>
  <c r="BA312" i="6"/>
  <c r="BB312" i="6"/>
  <c r="BC312" i="6"/>
  <c r="AH313" i="6"/>
  <c r="AM313" i="6" s="1"/>
  <c r="AI313" i="6"/>
  <c r="AJ313" i="6"/>
  <c r="AK313" i="6"/>
  <c r="AL313" i="6"/>
  <c r="AO313" i="6"/>
  <c r="AP313" i="6"/>
  <c r="AQ313" i="6"/>
  <c r="AS313" i="6"/>
  <c r="AT313" i="6"/>
  <c r="AW313" i="6"/>
  <c r="AX313" i="6"/>
  <c r="AY313" i="6"/>
  <c r="BA313" i="6"/>
  <c r="BB313" i="6"/>
  <c r="AH314" i="6"/>
  <c r="AL314" i="6" s="1"/>
  <c r="AI314" i="6"/>
  <c r="AJ314" i="6"/>
  <c r="AK314" i="6"/>
  <c r="AM314" i="6"/>
  <c r="AN314" i="6"/>
  <c r="AO314" i="6"/>
  <c r="AP314" i="6"/>
  <c r="AQ314" i="6"/>
  <c r="AR314" i="6"/>
  <c r="AS314" i="6"/>
  <c r="AU314" i="6"/>
  <c r="AV314" i="6"/>
  <c r="AW314" i="6"/>
  <c r="AX314" i="6"/>
  <c r="AY314" i="6"/>
  <c r="AZ314" i="6"/>
  <c r="BA314" i="6"/>
  <c r="BC314" i="6"/>
  <c r="AH315" i="6"/>
  <c r="AX315" i="6" s="1"/>
  <c r="AI315" i="6"/>
  <c r="AJ315" i="6"/>
  <c r="AP315" i="6"/>
  <c r="AH187" i="6"/>
  <c r="AR187" i="6" s="1"/>
  <c r="AJ187" i="6"/>
  <c r="AL187" i="6"/>
  <c r="AM187" i="6"/>
  <c r="AO187" i="6"/>
  <c r="AP187" i="6"/>
  <c r="AQ187" i="6"/>
  <c r="AT187" i="6"/>
  <c r="AU187" i="6"/>
  <c r="AW187" i="6"/>
  <c r="AX187" i="6"/>
  <c r="AY187" i="6"/>
  <c r="BB187" i="6"/>
  <c r="BC187" i="6"/>
  <c r="AH188" i="6"/>
  <c r="AN188" i="6" s="1"/>
  <c r="AJ188" i="6"/>
  <c r="AL188" i="6"/>
  <c r="AM188" i="6"/>
  <c r="AP188" i="6"/>
  <c r="AQ188" i="6"/>
  <c r="AR188" i="6"/>
  <c r="AT188" i="6"/>
  <c r="AU188" i="6"/>
  <c r="AX188" i="6"/>
  <c r="AY188" i="6"/>
  <c r="AZ188" i="6"/>
  <c r="BB188" i="6"/>
  <c r="BC188" i="6"/>
  <c r="AH189" i="6"/>
  <c r="AN189" i="6" s="1"/>
  <c r="AJ189" i="6"/>
  <c r="AK189" i="6"/>
  <c r="AM189" i="6"/>
  <c r="AP189" i="6"/>
  <c r="AS189" i="6"/>
  <c r="AU189" i="6"/>
  <c r="AX189" i="6"/>
  <c r="BA189" i="6"/>
  <c r="BC189" i="6"/>
  <c r="AH190" i="6"/>
  <c r="AL190" i="6" s="1"/>
  <c r="AJ190" i="6"/>
  <c r="AM190" i="6"/>
  <c r="AR190" i="6"/>
  <c r="AV190" i="6"/>
  <c r="BA190" i="6"/>
  <c r="AH191" i="6"/>
  <c r="AR191" i="6" s="1"/>
  <c r="AJ191" i="6"/>
  <c r="AO191" i="6"/>
  <c r="AP191" i="6"/>
  <c r="AQ191" i="6"/>
  <c r="AU191" i="6"/>
  <c r="AW191" i="6"/>
  <c r="BB191" i="6"/>
  <c r="BC191" i="6"/>
  <c r="AH192" i="6"/>
  <c r="AL192" i="6" s="1"/>
  <c r="AJ192" i="6"/>
  <c r="AY192" i="6"/>
  <c r="AH193" i="6"/>
  <c r="AN193" i="6" s="1"/>
  <c r="AJ193" i="6"/>
  <c r="AK193" i="6"/>
  <c r="AM193" i="6"/>
  <c r="AQ193" i="6"/>
  <c r="AS193" i="6"/>
  <c r="AU193" i="6"/>
  <c r="AX193" i="6"/>
  <c r="AY193" i="6"/>
  <c r="BA193" i="6"/>
  <c r="BC193" i="6"/>
  <c r="AH194" i="6"/>
  <c r="AL194" i="6" s="1"/>
  <c r="AJ194" i="6"/>
  <c r="AK194" i="6"/>
  <c r="AM194" i="6"/>
  <c r="AN194" i="6"/>
  <c r="AO194" i="6"/>
  <c r="AP194" i="6"/>
  <c r="AQ194" i="6"/>
  <c r="AR194" i="6"/>
  <c r="AS194" i="6"/>
  <c r="AU194" i="6"/>
  <c r="AV194" i="6"/>
  <c r="AW194" i="6"/>
  <c r="AX194" i="6"/>
  <c r="AY194" i="6"/>
  <c r="AZ194" i="6"/>
  <c r="BA194" i="6"/>
  <c r="BC194" i="6"/>
  <c r="AH195" i="6"/>
  <c r="AJ195" i="6"/>
  <c r="AH196" i="6"/>
  <c r="AJ196" i="6"/>
  <c r="AK196" i="6"/>
  <c r="AL196" i="6"/>
  <c r="AM196" i="6"/>
  <c r="AN196" i="6"/>
  <c r="AO196" i="6"/>
  <c r="AP196" i="6"/>
  <c r="AQ196" i="6"/>
  <c r="AR196" i="6"/>
  <c r="AS196" i="6"/>
  <c r="AT196" i="6"/>
  <c r="AU196" i="6"/>
  <c r="AV196" i="6"/>
  <c r="AW196" i="6"/>
  <c r="AX196" i="6"/>
  <c r="AY196" i="6"/>
  <c r="AZ196" i="6"/>
  <c r="BA196" i="6"/>
  <c r="BB196" i="6"/>
  <c r="BC196" i="6"/>
  <c r="AH197" i="6"/>
  <c r="AN197" i="6" s="1"/>
  <c r="AJ197" i="6"/>
  <c r="AK197" i="6"/>
  <c r="AQ197" i="6"/>
  <c r="AX197" i="6"/>
  <c r="AY197" i="6"/>
  <c r="BA197" i="6"/>
  <c r="AH198" i="6"/>
  <c r="AL198" i="6" s="1"/>
  <c r="AJ198" i="6"/>
  <c r="AN198" i="6"/>
  <c r="AO198" i="6"/>
  <c r="AP198" i="6"/>
  <c r="AR198" i="6"/>
  <c r="AS198" i="6"/>
  <c r="AW198" i="6"/>
  <c r="AX198" i="6"/>
  <c r="AY198" i="6"/>
  <c r="BA198" i="6"/>
  <c r="BC198" i="6"/>
  <c r="AH199" i="6"/>
  <c r="AR199" i="6" s="1"/>
  <c r="AJ199" i="6"/>
  <c r="AL199" i="6"/>
  <c r="AM199" i="6"/>
  <c r="AO199" i="6"/>
  <c r="AQ199" i="6"/>
  <c r="AT199" i="6"/>
  <c r="AU199" i="6"/>
  <c r="AX199" i="6"/>
  <c r="AY199" i="6"/>
  <c r="BB199" i="6"/>
  <c r="AH200" i="6"/>
  <c r="AK200" i="6" s="1"/>
  <c r="AJ200" i="6"/>
  <c r="AM200" i="6"/>
  <c r="AN200" i="6"/>
  <c r="AO200" i="6"/>
  <c r="AQ200" i="6"/>
  <c r="AR200" i="6"/>
  <c r="AU200" i="6"/>
  <c r="AV200" i="6"/>
  <c r="AW200" i="6"/>
  <c r="AY200" i="6"/>
  <c r="AZ200" i="6"/>
  <c r="BC200" i="6"/>
  <c r="AH201" i="6"/>
  <c r="AP201" i="6" s="1"/>
  <c r="AJ201" i="6"/>
  <c r="AH202" i="6"/>
  <c r="AN202" i="6" s="1"/>
  <c r="AJ202" i="6"/>
  <c r="AM202" i="6"/>
  <c r="AO202" i="6"/>
  <c r="AR202" i="6"/>
  <c r="AV202" i="6"/>
  <c r="AX202" i="6"/>
  <c r="BA202" i="6"/>
  <c r="AH203" i="6"/>
  <c r="AR203" i="6" s="1"/>
  <c r="AJ203" i="6"/>
  <c r="AL203" i="6"/>
  <c r="AM203" i="6"/>
  <c r="AP203" i="6"/>
  <c r="AQ203" i="6"/>
  <c r="AT203" i="6"/>
  <c r="AU203" i="6"/>
  <c r="AW203" i="6"/>
  <c r="AX203" i="6"/>
  <c r="AY203" i="6"/>
  <c r="BC203" i="6"/>
  <c r="AH204" i="6"/>
  <c r="AJ204" i="6"/>
  <c r="AM204" i="6"/>
  <c r="AN204" i="6"/>
  <c r="AT204" i="6"/>
  <c r="AU204" i="6"/>
  <c r="AV204" i="6"/>
  <c r="BC204" i="6"/>
  <c r="AH205" i="6"/>
  <c r="BC205" i="6" s="1"/>
  <c r="AJ205" i="6"/>
  <c r="AH206" i="6"/>
  <c r="AL206" i="6" s="1"/>
  <c r="AJ206" i="6"/>
  <c r="AK206" i="6"/>
  <c r="AM206" i="6"/>
  <c r="AN206" i="6"/>
  <c r="AP206" i="6"/>
  <c r="AQ206" i="6"/>
  <c r="AR206" i="6"/>
  <c r="AU206" i="6"/>
  <c r="AV206" i="6"/>
  <c r="AW206" i="6"/>
  <c r="AY206" i="6"/>
  <c r="AZ206" i="6"/>
  <c r="BA206" i="6"/>
  <c r="AH207" i="6"/>
  <c r="AU207" i="6" s="1"/>
  <c r="AJ207" i="6"/>
  <c r="AL207" i="6"/>
  <c r="AP207" i="6"/>
  <c r="AW207" i="6"/>
  <c r="AX207" i="6"/>
  <c r="BC207" i="6"/>
  <c r="AH208" i="6"/>
  <c r="AR208" i="6" s="1"/>
  <c r="AJ208" i="6"/>
  <c r="AK208" i="6"/>
  <c r="AL208" i="6"/>
  <c r="AM208" i="6"/>
  <c r="AO208" i="6"/>
  <c r="AP208" i="6"/>
  <c r="AQ208" i="6"/>
  <c r="AS208" i="6"/>
  <c r="AT208" i="6"/>
  <c r="AU208" i="6"/>
  <c r="AW208" i="6"/>
  <c r="AX208" i="6"/>
  <c r="AY208" i="6"/>
  <c r="BA208" i="6"/>
  <c r="BB208" i="6"/>
  <c r="BC208" i="6"/>
  <c r="AH209" i="6"/>
  <c r="AN209" i="6" s="1"/>
  <c r="AJ209" i="6"/>
  <c r="AK209" i="6"/>
  <c r="AM209" i="6"/>
  <c r="AP209" i="6"/>
  <c r="AQ209" i="6"/>
  <c r="AS209" i="6"/>
  <c r="AU209" i="6"/>
  <c r="AX209" i="6"/>
  <c r="AY209" i="6"/>
  <c r="BA209" i="6"/>
  <c r="BC209" i="6"/>
  <c r="AH210" i="6"/>
  <c r="AL210" i="6" s="1"/>
  <c r="AJ210" i="6"/>
  <c r="AK210" i="6"/>
  <c r="AM210" i="6"/>
  <c r="AO210" i="6"/>
  <c r="AP210" i="6"/>
  <c r="AQ210" i="6"/>
  <c r="AR210" i="6"/>
  <c r="AS210" i="6"/>
  <c r="AU210" i="6"/>
  <c r="AV210" i="6"/>
  <c r="AX210" i="6"/>
  <c r="AY210" i="6"/>
  <c r="AZ210" i="6"/>
  <c r="BA210" i="6"/>
  <c r="BC210" i="6"/>
  <c r="AH211" i="6"/>
  <c r="AJ211" i="6"/>
  <c r="AO211" i="6"/>
  <c r="AW211" i="6"/>
  <c r="BB211" i="6"/>
  <c r="AH212" i="6"/>
  <c r="AM212" i="6" s="1"/>
  <c r="AJ212" i="6"/>
  <c r="AK212" i="6"/>
  <c r="AL212" i="6"/>
  <c r="AN212" i="6"/>
  <c r="AO212" i="6"/>
  <c r="AP212" i="6"/>
  <c r="AQ212" i="6"/>
  <c r="AR212" i="6"/>
  <c r="AS212" i="6"/>
  <c r="AT212" i="6"/>
  <c r="AV212" i="6"/>
  <c r="AW212" i="6"/>
  <c r="AX212" i="6"/>
  <c r="AY212" i="6"/>
  <c r="AZ212" i="6"/>
  <c r="BA212" i="6"/>
  <c r="BB212" i="6"/>
  <c r="AH213" i="6"/>
  <c r="AN213" i="6" s="1"/>
  <c r="AJ213" i="6"/>
  <c r="AK213" i="6"/>
  <c r="AP213" i="6"/>
  <c r="AQ213" i="6"/>
  <c r="AS213" i="6"/>
  <c r="AX213" i="6"/>
  <c r="AY213" i="6"/>
  <c r="BA213" i="6"/>
  <c r="AH214" i="6"/>
  <c r="AJ214" i="6"/>
  <c r="AO214" i="6"/>
  <c r="AU214" i="6"/>
  <c r="BA214" i="6"/>
  <c r="AU205" i="6" l="1"/>
  <c r="AR204" i="6"/>
  <c r="AZ204" i="6"/>
  <c r="AK204" i="6"/>
  <c r="AS204" i="6"/>
  <c r="BA204" i="6"/>
  <c r="AO204" i="6"/>
  <c r="AW204" i="6"/>
  <c r="AP204" i="6"/>
  <c r="AX204" i="6"/>
  <c r="AX201" i="6"/>
  <c r="AX311" i="6"/>
  <c r="AQ295" i="6"/>
  <c r="AY295" i="6"/>
  <c r="AR295" i="6"/>
  <c r="AZ295" i="6"/>
  <c r="AK295" i="6"/>
  <c r="AS295" i="6"/>
  <c r="BA295" i="6"/>
  <c r="AL295" i="6"/>
  <c r="AT295" i="6"/>
  <c r="BB295" i="6"/>
  <c r="AM295" i="6"/>
  <c r="AU295" i="6"/>
  <c r="BC295" i="6"/>
  <c r="AN295" i="6"/>
  <c r="AV295" i="6"/>
  <c r="AO295" i="6"/>
  <c r="AW295" i="6"/>
  <c r="AS205" i="6"/>
  <c r="AU201" i="6"/>
  <c r="AR195" i="6"/>
  <c r="AW195" i="6"/>
  <c r="AL195" i="6"/>
  <c r="AX195" i="6"/>
  <c r="AM195" i="6"/>
  <c r="AY195" i="6"/>
  <c r="AO195" i="6"/>
  <c r="BB195" i="6"/>
  <c r="AQ195" i="6"/>
  <c r="AT195" i="6"/>
  <c r="AT192" i="6"/>
  <c r="AQ307" i="6"/>
  <c r="AY307" i="6"/>
  <c r="AR307" i="6"/>
  <c r="AZ307" i="6"/>
  <c r="AK307" i="6"/>
  <c r="AS307" i="6"/>
  <c r="BA307" i="6"/>
  <c r="AL307" i="6"/>
  <c r="AT307" i="6"/>
  <c r="BB307" i="6"/>
  <c r="AM307" i="6"/>
  <c r="AU307" i="6"/>
  <c r="BC307" i="6"/>
  <c r="AN307" i="6"/>
  <c r="AV307" i="6"/>
  <c r="AO307" i="6"/>
  <c r="AW307" i="6"/>
  <c r="AX291" i="6"/>
  <c r="AR211" i="6"/>
  <c r="AP211" i="6"/>
  <c r="BC211" i="6"/>
  <c r="AQ211" i="6"/>
  <c r="AL211" i="6"/>
  <c r="AX211" i="6"/>
  <c r="AM211" i="6"/>
  <c r="AY211" i="6"/>
  <c r="AQ192" i="6"/>
  <c r="AX303" i="6"/>
  <c r="AL214" i="6"/>
  <c r="AQ214" i="6"/>
  <c r="AZ214" i="6"/>
  <c r="AM214" i="6"/>
  <c r="AV214" i="6"/>
  <c r="AS214" i="6"/>
  <c r="AR214" i="6"/>
  <c r="AM205" i="6"/>
  <c r="BC214" i="6"/>
  <c r="AP214" i="6"/>
  <c r="AQ204" i="6"/>
  <c r="AQ299" i="6"/>
  <c r="AY299" i="6"/>
  <c r="AR299" i="6"/>
  <c r="AZ299" i="6"/>
  <c r="AK299" i="6"/>
  <c r="AS299" i="6"/>
  <c r="BA299" i="6"/>
  <c r="AL299" i="6"/>
  <c r="AT299" i="6"/>
  <c r="BB299" i="6"/>
  <c r="AM299" i="6"/>
  <c r="AU299" i="6"/>
  <c r="BC299" i="6"/>
  <c r="AN299" i="6"/>
  <c r="AV299" i="6"/>
  <c r="AO299" i="6"/>
  <c r="AW299" i="6"/>
  <c r="AQ311" i="6"/>
  <c r="AY311" i="6"/>
  <c r="AR311" i="6"/>
  <c r="AZ311" i="6"/>
  <c r="AK311" i="6"/>
  <c r="AS311" i="6"/>
  <c r="BA311" i="6"/>
  <c r="AL311" i="6"/>
  <c r="AT311" i="6"/>
  <c r="BB311" i="6"/>
  <c r="AM311" i="6"/>
  <c r="AU311" i="6"/>
  <c r="BC311" i="6"/>
  <c r="AN311" i="6"/>
  <c r="AV311" i="6"/>
  <c r="AO311" i="6"/>
  <c r="AW311" i="6"/>
  <c r="AX295" i="6"/>
  <c r="AO288" i="6"/>
  <c r="AW288" i="6"/>
  <c r="AR288" i="6"/>
  <c r="BA288" i="6"/>
  <c r="AS288" i="6"/>
  <c r="BB288" i="6"/>
  <c r="AK288" i="6"/>
  <c r="AT288" i="6"/>
  <c r="BC288" i="6"/>
  <c r="AL288" i="6"/>
  <c r="AU288" i="6"/>
  <c r="AM288" i="6"/>
  <c r="AV288" i="6"/>
  <c r="AN288" i="6"/>
  <c r="AX288" i="6"/>
  <c r="AP288" i="6"/>
  <c r="AY288" i="6"/>
  <c r="AN201" i="6"/>
  <c r="AQ201" i="6"/>
  <c r="AS201" i="6"/>
  <c r="AK201" i="6"/>
  <c r="BA201" i="6"/>
  <c r="AM201" i="6"/>
  <c r="BC201" i="6"/>
  <c r="AY214" i="6"/>
  <c r="AN214" i="6"/>
  <c r="BC195" i="6"/>
  <c r="AM192" i="6"/>
  <c r="AU192" i="6"/>
  <c r="BC192" i="6"/>
  <c r="AN192" i="6"/>
  <c r="AV192" i="6"/>
  <c r="AO192" i="6"/>
  <c r="AW192" i="6"/>
  <c r="AP192" i="6"/>
  <c r="AX192" i="6"/>
  <c r="AR192" i="6"/>
  <c r="AZ192" i="6"/>
  <c r="AK192" i="6"/>
  <c r="AS192" i="6"/>
  <c r="BA192" i="6"/>
  <c r="AQ291" i="6"/>
  <c r="AY291" i="6"/>
  <c r="AR291" i="6"/>
  <c r="AZ291" i="6"/>
  <c r="AK291" i="6"/>
  <c r="AS291" i="6"/>
  <c r="BA291" i="6"/>
  <c r="AL291" i="6"/>
  <c r="AT291" i="6"/>
  <c r="BB291" i="6"/>
  <c r="AM291" i="6"/>
  <c r="AU291" i="6"/>
  <c r="BC291" i="6"/>
  <c r="AN291" i="6"/>
  <c r="AV291" i="6"/>
  <c r="AO291" i="6"/>
  <c r="AW291" i="6"/>
  <c r="AQ281" i="6"/>
  <c r="AY281" i="6"/>
  <c r="AR281" i="6"/>
  <c r="BA281" i="6"/>
  <c r="AS281" i="6"/>
  <c r="BB281" i="6"/>
  <c r="AK281" i="6"/>
  <c r="AT281" i="6"/>
  <c r="BC281" i="6"/>
  <c r="AL281" i="6"/>
  <c r="AU281" i="6"/>
  <c r="AM281" i="6"/>
  <c r="AV281" i="6"/>
  <c r="AN281" i="6"/>
  <c r="AW281" i="6"/>
  <c r="AO281" i="6"/>
  <c r="AX281" i="6"/>
  <c r="AX214" i="6"/>
  <c r="AK214" i="6"/>
  <c r="AU211" i="6"/>
  <c r="BB204" i="6"/>
  <c r="AL204" i="6"/>
  <c r="AL202" i="6"/>
  <c r="AS202" i="6"/>
  <c r="BC202" i="6"/>
  <c r="AK202" i="6"/>
  <c r="AU202" i="6"/>
  <c r="AP202" i="6"/>
  <c r="AY202" i="6"/>
  <c r="AQ202" i="6"/>
  <c r="AZ202" i="6"/>
  <c r="AU195" i="6"/>
  <c r="AP307" i="6"/>
  <c r="AQ303" i="6"/>
  <c r="AY303" i="6"/>
  <c r="AR303" i="6"/>
  <c r="AZ303" i="6"/>
  <c r="AK303" i="6"/>
  <c r="AS303" i="6"/>
  <c r="BA303" i="6"/>
  <c r="AL303" i="6"/>
  <c r="AT303" i="6"/>
  <c r="BB303" i="6"/>
  <c r="AM303" i="6"/>
  <c r="AU303" i="6"/>
  <c r="BC303" i="6"/>
  <c r="AN303" i="6"/>
  <c r="AV303" i="6"/>
  <c r="AO303" i="6"/>
  <c r="AW303" i="6"/>
  <c r="AN205" i="6"/>
  <c r="AP205" i="6"/>
  <c r="AQ205" i="6"/>
  <c r="AY205" i="6"/>
  <c r="AK205" i="6"/>
  <c r="BA205" i="6"/>
  <c r="AW214" i="6"/>
  <c r="AT211" i="6"/>
  <c r="AR207" i="6"/>
  <c r="AQ207" i="6"/>
  <c r="AT207" i="6"/>
  <c r="AM207" i="6"/>
  <c r="AY207" i="6"/>
  <c r="AO207" i="6"/>
  <c r="BB207" i="6"/>
  <c r="AX205" i="6"/>
  <c r="AY204" i="6"/>
  <c r="AW202" i="6"/>
  <c r="AY201" i="6"/>
  <c r="AP195" i="6"/>
  <c r="BB192" i="6"/>
  <c r="AQ315" i="6"/>
  <c r="AY315" i="6"/>
  <c r="AR315" i="6"/>
  <c r="AZ315" i="6"/>
  <c r="AK315" i="6"/>
  <c r="AS315" i="6"/>
  <c r="BA315" i="6"/>
  <c r="AL315" i="6"/>
  <c r="AT315" i="6"/>
  <c r="BB315" i="6"/>
  <c r="AM315" i="6"/>
  <c r="AU315" i="6"/>
  <c r="BC315" i="6"/>
  <c r="AN315" i="6"/>
  <c r="AV315" i="6"/>
  <c r="AO315" i="6"/>
  <c r="AW315" i="6"/>
  <c r="AK274" i="6"/>
  <c r="AS274" i="6"/>
  <c r="BA274" i="6"/>
  <c r="AQ253" i="6"/>
  <c r="AM253" i="6"/>
  <c r="AO253" i="6"/>
  <c r="AX253" i="6"/>
  <c r="AT253" i="6"/>
  <c r="BC253" i="6"/>
  <c r="AU253" i="6"/>
  <c r="AK253" i="6"/>
  <c r="AV253" i="6"/>
  <c r="AQ241" i="6"/>
  <c r="AY241" i="6"/>
  <c r="AM241" i="6"/>
  <c r="AU241" i="6"/>
  <c r="BC241" i="6"/>
  <c r="AS241" i="6"/>
  <c r="AT241" i="6"/>
  <c r="AW241" i="6"/>
  <c r="AK241" i="6"/>
  <c r="AX241" i="6"/>
  <c r="AL241" i="6"/>
  <c r="AZ241" i="6"/>
  <c r="AN241" i="6"/>
  <c r="BA241" i="6"/>
  <c r="AP241" i="6"/>
  <c r="AV241" i="6"/>
  <c r="AP197" i="6"/>
  <c r="AM283" i="6"/>
  <c r="AU283" i="6"/>
  <c r="BC283" i="6"/>
  <c r="AR262" i="6"/>
  <c r="AZ262" i="6"/>
  <c r="AN262" i="6"/>
  <c r="AW262" i="6"/>
  <c r="AS253" i="6"/>
  <c r="AO244" i="6"/>
  <c r="AW244" i="6"/>
  <c r="AK244" i="6"/>
  <c r="AS244" i="6"/>
  <c r="BA244" i="6"/>
  <c r="AP244" i="6"/>
  <c r="AZ244" i="6"/>
  <c r="AQ244" i="6"/>
  <c r="BB244" i="6"/>
  <c r="AX244" i="6"/>
  <c r="AL244" i="6"/>
  <c r="AY244" i="6"/>
  <c r="AM244" i="6"/>
  <c r="BC244" i="6"/>
  <c r="AN244" i="6"/>
  <c r="AT244" i="6"/>
  <c r="AV244" i="6"/>
  <c r="AU190" i="6"/>
  <c r="AK190" i="6"/>
  <c r="AY274" i="6"/>
  <c r="AP274" i="6"/>
  <c r="AU213" i="6"/>
  <c r="BC212" i="6"/>
  <c r="AU212" i="6"/>
  <c r="AW210" i="6"/>
  <c r="AN210" i="6"/>
  <c r="AV208" i="6"/>
  <c r="AN208" i="6"/>
  <c r="AX206" i="6"/>
  <c r="AO206" i="6"/>
  <c r="BB203" i="6"/>
  <c r="AO203" i="6"/>
  <c r="AX200" i="6"/>
  <c r="AP200" i="6"/>
  <c r="BC199" i="6"/>
  <c r="AP199" i="6"/>
  <c r="AZ198" i="6"/>
  <c r="AQ198" i="6"/>
  <c r="BC197" i="6"/>
  <c r="AM197" i="6"/>
  <c r="AP193" i="6"/>
  <c r="AT191" i="6"/>
  <c r="BC190" i="6"/>
  <c r="AS190" i="6"/>
  <c r="AQ189" i="6"/>
  <c r="BA188" i="6"/>
  <c r="AS188" i="6"/>
  <c r="AK188" i="6"/>
  <c r="BB314" i="6"/>
  <c r="AT314" i="6"/>
  <c r="AZ313" i="6"/>
  <c r="AR313" i="6"/>
  <c r="BB310" i="6"/>
  <c r="AT310" i="6"/>
  <c r="AZ309" i="6"/>
  <c r="AR309" i="6"/>
  <c r="BB306" i="6"/>
  <c r="AT306" i="6"/>
  <c r="AZ305" i="6"/>
  <c r="AR305" i="6"/>
  <c r="BB302" i="6"/>
  <c r="AT302" i="6"/>
  <c r="AZ301" i="6"/>
  <c r="AR301" i="6"/>
  <c r="BB298" i="6"/>
  <c r="AT298" i="6"/>
  <c r="AZ297" i="6"/>
  <c r="AR297" i="6"/>
  <c r="BB294" i="6"/>
  <c r="AT294" i="6"/>
  <c r="AZ293" i="6"/>
  <c r="AR293" i="6"/>
  <c r="BB290" i="6"/>
  <c r="AT290" i="6"/>
  <c r="AZ289" i="6"/>
  <c r="AR289" i="6"/>
  <c r="BA287" i="6"/>
  <c r="AV286" i="6"/>
  <c r="AQ285" i="6"/>
  <c r="AY285" i="6"/>
  <c r="AU284" i="6"/>
  <c r="AY283" i="6"/>
  <c r="AP283" i="6"/>
  <c r="BC282" i="6"/>
  <c r="BB280" i="6"/>
  <c r="AW279" i="6"/>
  <c r="AN279" i="6"/>
  <c r="AK278" i="6"/>
  <c r="AS278" i="6"/>
  <c r="BA278" i="6"/>
  <c r="AU277" i="6"/>
  <c r="AO276" i="6"/>
  <c r="AW276" i="6"/>
  <c r="AT275" i="6"/>
  <c r="AK275" i="6"/>
  <c r="AX274" i="6"/>
  <c r="AO274" i="6"/>
  <c r="BB273" i="6"/>
  <c r="AX272" i="6"/>
  <c r="BC270" i="6"/>
  <c r="BC268" i="6"/>
  <c r="AW266" i="6"/>
  <c r="AW264" i="6"/>
  <c r="AX263" i="6"/>
  <c r="AN263" i="6"/>
  <c r="BA262" i="6"/>
  <c r="AP262" i="6"/>
  <c r="AL259" i="6"/>
  <c r="AT259" i="6"/>
  <c r="BB259" i="6"/>
  <c r="AK259" i="6"/>
  <c r="AU259" i="6"/>
  <c r="AM259" i="6"/>
  <c r="AV259" i="6"/>
  <c r="AQ255" i="6"/>
  <c r="AR253" i="6"/>
  <c r="AM287" i="6"/>
  <c r="AU287" i="6"/>
  <c r="BC287" i="6"/>
  <c r="AX283" i="6"/>
  <c r="AO283" i="6"/>
  <c r="AW274" i="6"/>
  <c r="AN274" i="6"/>
  <c r="AR270" i="6"/>
  <c r="AZ270" i="6"/>
  <c r="AL270" i="6"/>
  <c r="AU270" i="6"/>
  <c r="AN268" i="6"/>
  <c r="AV268" i="6"/>
  <c r="AO268" i="6"/>
  <c r="AX268" i="6"/>
  <c r="AW263" i="6"/>
  <c r="AM263" i="6"/>
  <c r="AY262" i="6"/>
  <c r="AO262" i="6"/>
  <c r="AP253" i="6"/>
  <c r="BB241" i="6"/>
  <c r="AZ190" i="6"/>
  <c r="AQ190" i="6"/>
  <c r="AY287" i="6"/>
  <c r="AP287" i="6"/>
  <c r="AW283" i="6"/>
  <c r="AN283" i="6"/>
  <c r="AK282" i="6"/>
  <c r="AS282" i="6"/>
  <c r="BA282" i="6"/>
  <c r="AO280" i="6"/>
  <c r="AW280" i="6"/>
  <c r="BA275" i="6"/>
  <c r="AV274" i="6"/>
  <c r="AM274" i="6"/>
  <c r="AQ273" i="6"/>
  <c r="AY273" i="6"/>
  <c r="BA270" i="6"/>
  <c r="AP270" i="6"/>
  <c r="BA268" i="6"/>
  <c r="AQ268" i="6"/>
  <c r="AL267" i="6"/>
  <c r="AT267" i="6"/>
  <c r="BB267" i="6"/>
  <c r="AR267" i="6"/>
  <c r="BA267" i="6"/>
  <c r="AX262" i="6"/>
  <c r="AM262" i="6"/>
  <c r="BB253" i="6"/>
  <c r="AN253" i="6"/>
  <c r="AR241" i="6"/>
  <c r="AO232" i="6"/>
  <c r="AW232" i="6"/>
  <c r="AK232" i="6"/>
  <c r="AS232" i="6"/>
  <c r="BA232" i="6"/>
  <c r="AU232" i="6"/>
  <c r="AL232" i="6"/>
  <c r="AV232" i="6"/>
  <c r="AQ232" i="6"/>
  <c r="BB232" i="6"/>
  <c r="AZ232" i="6"/>
  <c r="AM232" i="6"/>
  <c r="BC232" i="6"/>
  <c r="AN232" i="6"/>
  <c r="AP232" i="6"/>
  <c r="AT232" i="6"/>
  <c r="AY232" i="6"/>
  <c r="AY190" i="6"/>
  <c r="AP190" i="6"/>
  <c r="AX287" i="6"/>
  <c r="AO287" i="6"/>
  <c r="AV283" i="6"/>
  <c r="AL283" i="6"/>
  <c r="AM275" i="6"/>
  <c r="AU275" i="6"/>
  <c r="BC275" i="6"/>
  <c r="AU274" i="6"/>
  <c r="AL274" i="6"/>
  <c r="AY270" i="6"/>
  <c r="AO270" i="6"/>
  <c r="AZ268" i="6"/>
  <c r="AP268" i="6"/>
  <c r="AV262" i="6"/>
  <c r="AL262" i="6"/>
  <c r="BA253" i="6"/>
  <c r="AL253" i="6"/>
  <c r="AU244" i="6"/>
  <c r="AO241" i="6"/>
  <c r="BC213" i="6"/>
  <c r="AM213" i="6"/>
  <c r="AZ208" i="6"/>
  <c r="BC206" i="6"/>
  <c r="AS206" i="6"/>
  <c r="BB200" i="6"/>
  <c r="AT200" i="6"/>
  <c r="AL200" i="6"/>
  <c r="AW199" i="6"/>
  <c r="AV198" i="6"/>
  <c r="AM198" i="6"/>
  <c r="AU197" i="6"/>
  <c r="AY191" i="6"/>
  <c r="AM191" i="6"/>
  <c r="AX190" i="6"/>
  <c r="AO190" i="6"/>
  <c r="AY189" i="6"/>
  <c r="AW188" i="6"/>
  <c r="AO188" i="6"/>
  <c r="AV313" i="6"/>
  <c r="AN313" i="6"/>
  <c r="AV309" i="6"/>
  <c r="AN309" i="6"/>
  <c r="AV305" i="6"/>
  <c r="AN305" i="6"/>
  <c r="AV301" i="6"/>
  <c r="AN301" i="6"/>
  <c r="AV297" i="6"/>
  <c r="AN297" i="6"/>
  <c r="AV293" i="6"/>
  <c r="AN293" i="6"/>
  <c r="AV289" i="6"/>
  <c r="AN289" i="6"/>
  <c r="AW287" i="6"/>
  <c r="AN287" i="6"/>
  <c r="AK286" i="6"/>
  <c r="AS286" i="6"/>
  <c r="BA286" i="6"/>
  <c r="AO284" i="6"/>
  <c r="AW284" i="6"/>
  <c r="AT283" i="6"/>
  <c r="AK283" i="6"/>
  <c r="AX282" i="6"/>
  <c r="AO282" i="6"/>
  <c r="AX280" i="6"/>
  <c r="AN280" i="6"/>
  <c r="BA279" i="6"/>
  <c r="AQ277" i="6"/>
  <c r="AY277" i="6"/>
  <c r="AY275" i="6"/>
  <c r="AP275" i="6"/>
  <c r="BC274" i="6"/>
  <c r="AT274" i="6"/>
  <c r="AW273" i="6"/>
  <c r="AN273" i="6"/>
  <c r="AN272" i="6"/>
  <c r="AV272" i="6"/>
  <c r="AM272" i="6"/>
  <c r="AW272" i="6"/>
  <c r="AX270" i="6"/>
  <c r="AN270" i="6"/>
  <c r="AY268" i="6"/>
  <c r="AM268" i="6"/>
  <c r="AY267" i="6"/>
  <c r="AO267" i="6"/>
  <c r="AR266" i="6"/>
  <c r="AZ266" i="6"/>
  <c r="AM266" i="6"/>
  <c r="AV266" i="6"/>
  <c r="AN264" i="6"/>
  <c r="AV264" i="6"/>
  <c r="AP264" i="6"/>
  <c r="AY264" i="6"/>
  <c r="AU262" i="6"/>
  <c r="AK262" i="6"/>
  <c r="AZ253" i="6"/>
  <c r="AR244" i="6"/>
  <c r="BA200" i="6"/>
  <c r="AS200" i="6"/>
  <c r="AU198" i="6"/>
  <c r="AK198" i="6"/>
  <c r="AS197" i="6"/>
  <c r="AX191" i="6"/>
  <c r="AL191" i="6"/>
  <c r="AW190" i="6"/>
  <c r="AN190" i="6"/>
  <c r="AV188" i="6"/>
  <c r="BC313" i="6"/>
  <c r="AU313" i="6"/>
  <c r="BC309" i="6"/>
  <c r="AU309" i="6"/>
  <c r="BC305" i="6"/>
  <c r="AU305" i="6"/>
  <c r="BC301" i="6"/>
  <c r="AU301" i="6"/>
  <c r="BC297" i="6"/>
  <c r="AU297" i="6"/>
  <c r="BC293" i="6"/>
  <c r="AU293" i="6"/>
  <c r="BC289" i="6"/>
  <c r="AU289" i="6"/>
  <c r="AV287" i="6"/>
  <c r="AL287" i="6"/>
  <c r="BB283" i="6"/>
  <c r="AS283" i="6"/>
  <c r="AW282" i="6"/>
  <c r="AN282" i="6"/>
  <c r="AV280" i="6"/>
  <c r="AM280" i="6"/>
  <c r="AM279" i="6"/>
  <c r="AU279" i="6"/>
  <c r="BC279" i="6"/>
  <c r="AX275" i="6"/>
  <c r="AO275" i="6"/>
  <c r="BB274" i="6"/>
  <c r="AR274" i="6"/>
  <c r="AV273" i="6"/>
  <c r="AM273" i="6"/>
  <c r="AW270" i="6"/>
  <c r="AM270" i="6"/>
  <c r="AW268" i="6"/>
  <c r="AL268" i="6"/>
  <c r="AL263" i="6"/>
  <c r="AT263" i="6"/>
  <c r="BB263" i="6"/>
  <c r="AS263" i="6"/>
  <c r="BC263" i="6"/>
  <c r="AT262" i="6"/>
  <c r="AL255" i="6"/>
  <c r="AT255" i="6"/>
  <c r="BB255" i="6"/>
  <c r="AK255" i="6"/>
  <c r="AU255" i="6"/>
  <c r="AM255" i="6"/>
  <c r="AV255" i="6"/>
  <c r="AN255" i="6"/>
  <c r="AW255" i="6"/>
  <c r="AY253" i="6"/>
  <c r="AK238" i="6"/>
  <c r="AS238" i="6"/>
  <c r="BA238" i="6"/>
  <c r="AO238" i="6"/>
  <c r="AW238" i="6"/>
  <c r="AM238" i="6"/>
  <c r="AX238" i="6"/>
  <c r="AN238" i="6"/>
  <c r="AY238" i="6"/>
  <c r="AT238" i="6"/>
  <c r="AM247" i="6"/>
  <c r="AU247" i="6"/>
  <c r="BC247" i="6"/>
  <c r="AQ247" i="6"/>
  <c r="AY247" i="6"/>
  <c r="AK247" i="6"/>
  <c r="AV247" i="6"/>
  <c r="AL247" i="6"/>
  <c r="AW247" i="6"/>
  <c r="AR238" i="6"/>
  <c r="AR228" i="6"/>
  <c r="AO224" i="6"/>
  <c r="AW224" i="6"/>
  <c r="AK224" i="6"/>
  <c r="AS224" i="6"/>
  <c r="BA224" i="6"/>
  <c r="AT224" i="6"/>
  <c r="AU224" i="6"/>
  <c r="AL224" i="6"/>
  <c r="AV224" i="6"/>
  <c r="AN224" i="6"/>
  <c r="AY224" i="6"/>
  <c r="AP224" i="6"/>
  <c r="AZ224" i="6"/>
  <c r="AQ224" i="6"/>
  <c r="BB224" i="6"/>
  <c r="AQ245" i="6"/>
  <c r="AY245" i="6"/>
  <c r="AM245" i="6"/>
  <c r="AU245" i="6"/>
  <c r="BC245" i="6"/>
  <c r="AN245" i="6"/>
  <c r="AX245" i="6"/>
  <c r="AO245" i="6"/>
  <c r="AZ245" i="6"/>
  <c r="AP238" i="6"/>
  <c r="AQ237" i="6"/>
  <c r="AY237" i="6"/>
  <c r="AM237" i="6"/>
  <c r="AU237" i="6"/>
  <c r="BC237" i="6"/>
  <c r="AN237" i="6"/>
  <c r="AX237" i="6"/>
  <c r="AO237" i="6"/>
  <c r="AZ237" i="6"/>
  <c r="AT237" i="6"/>
  <c r="AR258" i="6"/>
  <c r="AZ258" i="6"/>
  <c r="BB256" i="6"/>
  <c r="AS256" i="6"/>
  <c r="AV252" i="6"/>
  <c r="AW249" i="6"/>
  <c r="AO248" i="6"/>
  <c r="AW248" i="6"/>
  <c r="AK248" i="6"/>
  <c r="AS248" i="6"/>
  <c r="BA248" i="6"/>
  <c r="AU248" i="6"/>
  <c r="AL248" i="6"/>
  <c r="AV248" i="6"/>
  <c r="AP247" i="6"/>
  <c r="AZ246" i="6"/>
  <c r="AS245" i="6"/>
  <c r="AY240" i="6"/>
  <c r="BC238" i="6"/>
  <c r="AL238" i="6"/>
  <c r="AS237" i="6"/>
  <c r="BC236" i="6"/>
  <c r="AQ233" i="6"/>
  <c r="AY233" i="6"/>
  <c r="AM233" i="6"/>
  <c r="AU233" i="6"/>
  <c r="BC233" i="6"/>
  <c r="AS233" i="6"/>
  <c r="AT233" i="6"/>
  <c r="AO233" i="6"/>
  <c r="AZ233" i="6"/>
  <c r="AQ229" i="6"/>
  <c r="AY229" i="6"/>
  <c r="AM229" i="6"/>
  <c r="AU229" i="6"/>
  <c r="BC229" i="6"/>
  <c r="AN229" i="6"/>
  <c r="AX229" i="6"/>
  <c r="AO229" i="6"/>
  <c r="AZ229" i="6"/>
  <c r="AS229" i="6"/>
  <c r="AT229" i="6"/>
  <c r="AL271" i="6"/>
  <c r="AT271" i="6"/>
  <c r="BB271" i="6"/>
  <c r="AN260" i="6"/>
  <c r="AV260" i="6"/>
  <c r="AX258" i="6"/>
  <c r="AO258" i="6"/>
  <c r="BA256" i="6"/>
  <c r="AR254" i="6"/>
  <c r="AZ254" i="6"/>
  <c r="AR248" i="6"/>
  <c r="BB247" i="6"/>
  <c r="AO247" i="6"/>
  <c r="AR245" i="6"/>
  <c r="BB238" i="6"/>
  <c r="AR237" i="6"/>
  <c r="AR224" i="6"/>
  <c r="AN256" i="6"/>
  <c r="AV256" i="6"/>
  <c r="AO252" i="6"/>
  <c r="AW252" i="6"/>
  <c r="AK252" i="6"/>
  <c r="AS252" i="6"/>
  <c r="BA252" i="6"/>
  <c r="AQ252" i="6"/>
  <c r="BB252" i="6"/>
  <c r="AQ249" i="6"/>
  <c r="AY249" i="6"/>
  <c r="AM249" i="6"/>
  <c r="AU249" i="6"/>
  <c r="BC249" i="6"/>
  <c r="AS249" i="6"/>
  <c r="AT249" i="6"/>
  <c r="BA247" i="6"/>
  <c r="AN247" i="6"/>
  <c r="AK246" i="6"/>
  <c r="AS246" i="6"/>
  <c r="BA246" i="6"/>
  <c r="AO246" i="6"/>
  <c r="AW246" i="6"/>
  <c r="AM246" i="6"/>
  <c r="AX246" i="6"/>
  <c r="AN246" i="6"/>
  <c r="AY246" i="6"/>
  <c r="AP245" i="6"/>
  <c r="AO240" i="6"/>
  <c r="AW240" i="6"/>
  <c r="AK240" i="6"/>
  <c r="AS240" i="6"/>
  <c r="BA240" i="6"/>
  <c r="AU240" i="6"/>
  <c r="AL240" i="6"/>
  <c r="AV240" i="6"/>
  <c r="AZ238" i="6"/>
  <c r="AP237" i="6"/>
  <c r="AO236" i="6"/>
  <c r="AW236" i="6"/>
  <c r="AK236" i="6"/>
  <c r="AS236" i="6"/>
  <c r="BA236" i="6"/>
  <c r="AP236" i="6"/>
  <c r="AZ236" i="6"/>
  <c r="AQ236" i="6"/>
  <c r="BB236" i="6"/>
  <c r="AL236" i="6"/>
  <c r="AV236" i="6"/>
  <c r="AO228" i="6"/>
  <c r="AW228" i="6"/>
  <c r="AK228" i="6"/>
  <c r="AS228" i="6"/>
  <c r="BA228" i="6"/>
  <c r="AP228" i="6"/>
  <c r="AZ228" i="6"/>
  <c r="AQ228" i="6"/>
  <c r="BB228" i="6"/>
  <c r="AU228" i="6"/>
  <c r="AL228" i="6"/>
  <c r="AV228" i="6"/>
  <c r="AM239" i="6"/>
  <c r="AU239" i="6"/>
  <c r="BC239" i="6"/>
  <c r="AQ239" i="6"/>
  <c r="AY239" i="6"/>
  <c r="AM231" i="6"/>
  <c r="AU231" i="6"/>
  <c r="BC231" i="6"/>
  <c r="AQ231" i="6"/>
  <c r="AY231" i="6"/>
  <c r="AZ225" i="6"/>
  <c r="AO225" i="6"/>
  <c r="AM223" i="6"/>
  <c r="AU223" i="6"/>
  <c r="BC223" i="6"/>
  <c r="AQ223" i="6"/>
  <c r="AY223" i="6"/>
  <c r="AK230" i="6"/>
  <c r="AS230" i="6"/>
  <c r="BA230" i="6"/>
  <c r="AO230" i="6"/>
  <c r="AW230" i="6"/>
  <c r="AX225" i="6"/>
  <c r="AN225" i="6"/>
  <c r="AK222" i="6"/>
  <c r="AS222" i="6"/>
  <c r="BA222" i="6"/>
  <c r="AO222" i="6"/>
  <c r="AW222" i="6"/>
  <c r="AM251" i="6"/>
  <c r="AU251" i="6"/>
  <c r="BC251" i="6"/>
  <c r="AQ251" i="6"/>
  <c r="AY251" i="6"/>
  <c r="AM243" i="6"/>
  <c r="AU243" i="6"/>
  <c r="BC243" i="6"/>
  <c r="AQ243" i="6"/>
  <c r="AY243" i="6"/>
  <c r="AW239" i="6"/>
  <c r="AL239" i="6"/>
  <c r="AM235" i="6"/>
  <c r="AU235" i="6"/>
  <c r="BC235" i="6"/>
  <c r="AQ235" i="6"/>
  <c r="AY235" i="6"/>
  <c r="AW231" i="6"/>
  <c r="AL231" i="6"/>
  <c r="AY230" i="6"/>
  <c r="AN230" i="6"/>
  <c r="AM227" i="6"/>
  <c r="AU227" i="6"/>
  <c r="BC227" i="6"/>
  <c r="AQ227" i="6"/>
  <c r="AY227" i="6"/>
  <c r="AT225" i="6"/>
  <c r="AW223" i="6"/>
  <c r="AL223" i="6"/>
  <c r="AY222" i="6"/>
  <c r="AN222" i="6"/>
  <c r="AO221" i="6"/>
  <c r="AV221" i="6"/>
  <c r="AP221" i="6"/>
  <c r="BC221" i="6"/>
  <c r="AK250" i="6"/>
  <c r="AS250" i="6"/>
  <c r="BA250" i="6"/>
  <c r="AO250" i="6"/>
  <c r="AW250" i="6"/>
  <c r="AK242" i="6"/>
  <c r="AS242" i="6"/>
  <c r="BA242" i="6"/>
  <c r="AO242" i="6"/>
  <c r="AW242" i="6"/>
  <c r="AV239" i="6"/>
  <c r="AK239" i="6"/>
  <c r="AK234" i="6"/>
  <c r="AS234" i="6"/>
  <c r="BA234" i="6"/>
  <c r="AO234" i="6"/>
  <c r="AW234" i="6"/>
  <c r="AV231" i="6"/>
  <c r="AK231" i="6"/>
  <c r="AX230" i="6"/>
  <c r="AM230" i="6"/>
  <c r="AK226" i="6"/>
  <c r="AS226" i="6"/>
  <c r="BA226" i="6"/>
  <c r="AO226" i="6"/>
  <c r="AW226" i="6"/>
  <c r="AV223" i="6"/>
  <c r="AK223" i="6"/>
  <c r="AX222" i="6"/>
  <c r="AM222" i="6"/>
  <c r="AX220" i="6"/>
  <c r="AQ219" i="6"/>
  <c r="AP219" i="6"/>
  <c r="AQ225" i="6"/>
  <c r="AY225" i="6"/>
  <c r="AM225" i="6"/>
  <c r="AU225" i="6"/>
  <c r="BC225" i="6"/>
  <c r="BB218" i="6"/>
  <c r="AL218" i="6"/>
  <c r="AX217" i="6"/>
  <c r="AM217" i="6"/>
  <c r="AX215" i="6"/>
  <c r="AV215" i="6"/>
  <c r="AU217" i="6"/>
  <c r="AP215" i="6"/>
  <c r="AN215" i="6"/>
  <c r="AT218" i="6"/>
  <c r="BB217" i="6"/>
  <c r="AR217" i="6"/>
  <c r="AX216" i="6"/>
  <c r="BB213" i="6"/>
  <c r="AT213" i="6"/>
  <c r="AL213" i="6"/>
  <c r="BB209" i="6"/>
  <c r="AT209" i="6"/>
  <c r="AL209" i="6"/>
  <c r="BB205" i="6"/>
  <c r="AT205" i="6"/>
  <c r="AL205" i="6"/>
  <c r="BB201" i="6"/>
  <c r="AT201" i="6"/>
  <c r="AL201" i="6"/>
  <c r="BB197" i="6"/>
  <c r="AT197" i="6"/>
  <c r="AL197" i="6"/>
  <c r="BB193" i="6"/>
  <c r="AT193" i="6"/>
  <c r="AL193" i="6"/>
  <c r="BB189" i="6"/>
  <c r="AT189" i="6"/>
  <c r="AL189" i="6"/>
  <c r="BA221" i="6"/>
  <c r="AS221" i="6"/>
  <c r="AK221" i="6"/>
  <c r="AY220" i="6"/>
  <c r="AQ220" i="6"/>
  <c r="AW219" i="6"/>
  <c r="AO219" i="6"/>
  <c r="BC218" i="6"/>
  <c r="AU218" i="6"/>
  <c r="AM218" i="6"/>
  <c r="AS217" i="6"/>
  <c r="AK217" i="6"/>
  <c r="AY216" i="6"/>
  <c r="AQ216" i="6"/>
  <c r="AW215" i="6"/>
  <c r="AO215" i="6"/>
  <c r="BB214" i="6"/>
  <c r="AT214" i="6"/>
  <c r="AZ213" i="6"/>
  <c r="AR213" i="6"/>
  <c r="AV211" i="6"/>
  <c r="AN211" i="6"/>
  <c r="BB210" i="6"/>
  <c r="AT210" i="6"/>
  <c r="AZ209" i="6"/>
  <c r="AR209" i="6"/>
  <c r="AV207" i="6"/>
  <c r="AN207" i="6"/>
  <c r="BB206" i="6"/>
  <c r="AT206" i="6"/>
  <c r="AZ205" i="6"/>
  <c r="AR205" i="6"/>
  <c r="AV203" i="6"/>
  <c r="AN203" i="6"/>
  <c r="BB202" i="6"/>
  <c r="AT202" i="6"/>
  <c r="AZ201" i="6"/>
  <c r="AR201" i="6"/>
  <c r="AV199" i="6"/>
  <c r="AN199" i="6"/>
  <c r="BB198" i="6"/>
  <c r="AT198" i="6"/>
  <c r="AZ197" i="6"/>
  <c r="AR197" i="6"/>
  <c r="AV195" i="6"/>
  <c r="AN195" i="6"/>
  <c r="BB194" i="6"/>
  <c r="AT194" i="6"/>
  <c r="AZ193" i="6"/>
  <c r="AR193" i="6"/>
  <c r="AV191" i="6"/>
  <c r="AN191" i="6"/>
  <c r="BB190" i="6"/>
  <c r="AT190" i="6"/>
  <c r="AZ189" i="6"/>
  <c r="AR189" i="6"/>
  <c r="AV187" i="6"/>
  <c r="AN187" i="6"/>
  <c r="AY221" i="6"/>
  <c r="AQ221" i="6"/>
  <c r="AW220" i="6"/>
  <c r="AO220" i="6"/>
  <c r="BC219" i="6"/>
  <c r="AU219" i="6"/>
  <c r="AM219" i="6"/>
  <c r="BA218" i="6"/>
  <c r="AS218" i="6"/>
  <c r="AK218" i="6"/>
  <c r="AW216" i="6"/>
  <c r="AO216" i="6"/>
  <c r="BC215" i="6"/>
  <c r="AU215" i="6"/>
  <c r="AM215" i="6"/>
  <c r="BD248" i="6"/>
  <c r="BE248" i="6" s="1"/>
  <c r="AV220" i="6"/>
  <c r="AN220" i="6"/>
  <c r="BB219" i="6"/>
  <c r="AT219" i="6"/>
  <c r="AL219" i="6"/>
  <c r="AZ218" i="6"/>
  <c r="AR218" i="6"/>
  <c r="BD218" i="6" s="1"/>
  <c r="BE218" i="6" s="1"/>
  <c r="AV216" i="6"/>
  <c r="AN216" i="6"/>
  <c r="BB215" i="6"/>
  <c r="AT215" i="6"/>
  <c r="AL215" i="6"/>
  <c r="BD256" i="6"/>
  <c r="BE256" i="6" s="1"/>
  <c r="AW221" i="6"/>
  <c r="BC220" i="6"/>
  <c r="AU220" i="6"/>
  <c r="AM220" i="6"/>
  <c r="BA219" i="6"/>
  <c r="AS219" i="6"/>
  <c r="AK219" i="6"/>
  <c r="AY218" i="6"/>
  <c r="AW217" i="6"/>
  <c r="BC216" i="6"/>
  <c r="AU216" i="6"/>
  <c r="AM216" i="6"/>
  <c r="BA215" i="6"/>
  <c r="AS215" i="6"/>
  <c r="AK215" i="6"/>
  <c r="AO213" i="6"/>
  <c r="BA211" i="6"/>
  <c r="AS211" i="6"/>
  <c r="AK211" i="6"/>
  <c r="AW209" i="6"/>
  <c r="AO209" i="6"/>
  <c r="BA207" i="6"/>
  <c r="AS207" i="6"/>
  <c r="AK207" i="6"/>
  <c r="BD207" i="6" s="1"/>
  <c r="BE207" i="6" s="1"/>
  <c r="AW205" i="6"/>
  <c r="AO205" i="6"/>
  <c r="BA203" i="6"/>
  <c r="AS203" i="6"/>
  <c r="AK203" i="6"/>
  <c r="AW201" i="6"/>
  <c r="AO201" i="6"/>
  <c r="BA199" i="6"/>
  <c r="AS199" i="6"/>
  <c r="AK199" i="6"/>
  <c r="BD199" i="6" s="1"/>
  <c r="BE199" i="6" s="1"/>
  <c r="AW197" i="6"/>
  <c r="AO197" i="6"/>
  <c r="BA195" i="6"/>
  <c r="AS195" i="6"/>
  <c r="AK195" i="6"/>
  <c r="AW193" i="6"/>
  <c r="AO193" i="6"/>
  <c r="BA191" i="6"/>
  <c r="AS191" i="6"/>
  <c r="AK191" i="6"/>
  <c r="AW189" i="6"/>
  <c r="AO189" i="6"/>
  <c r="BA187" i="6"/>
  <c r="AS187" i="6"/>
  <c r="AK187" i="6"/>
  <c r="BD232" i="6"/>
  <c r="BE232" i="6" s="1"/>
  <c r="BB220" i="6"/>
  <c r="AT220" i="6"/>
  <c r="AL220" i="6"/>
  <c r="AZ219" i="6"/>
  <c r="AR219" i="6"/>
  <c r="BB216" i="6"/>
  <c r="AT216" i="6"/>
  <c r="AL216" i="6"/>
  <c r="AZ215" i="6"/>
  <c r="AR215" i="6"/>
  <c r="AW213" i="6"/>
  <c r="AV213" i="6"/>
  <c r="AZ211" i="6"/>
  <c r="AV209" i="6"/>
  <c r="BD209" i="6" s="1"/>
  <c r="BE209" i="6" s="1"/>
  <c r="AZ207" i="6"/>
  <c r="AV205" i="6"/>
  <c r="AZ203" i="6"/>
  <c r="AV201" i="6"/>
  <c r="AZ199" i="6"/>
  <c r="AV197" i="6"/>
  <c r="AZ195" i="6"/>
  <c r="AV193" i="6"/>
  <c r="BD193" i="6" s="1"/>
  <c r="BE193" i="6" s="1"/>
  <c r="AZ191" i="6"/>
  <c r="AV189" i="6"/>
  <c r="BD189" i="6" s="1"/>
  <c r="BE189" i="6" s="1"/>
  <c r="AZ187" i="6"/>
  <c r="BD224" i="6"/>
  <c r="BE224" i="6" s="1"/>
  <c r="BA220" i="6"/>
  <c r="AS220" i="6"/>
  <c r="AK220" i="6"/>
  <c r="BD220" i="6" s="1"/>
  <c r="BE220" i="6" s="1"/>
  <c r="AY219" i="6"/>
  <c r="BA216" i="6"/>
  <c r="AS216" i="6"/>
  <c r="AK216" i="6"/>
  <c r="AY215" i="6"/>
  <c r="AZ220" i="6"/>
  <c r="AZ216" i="6"/>
  <c r="BD313" i="6"/>
  <c r="BE313" i="6" s="1"/>
  <c r="BD292" i="6"/>
  <c r="BE292" i="6" s="1"/>
  <c r="BD284" i="6"/>
  <c r="BE284" i="6" s="1"/>
  <c r="BD276" i="6"/>
  <c r="BE276" i="6" s="1"/>
  <c r="BD268" i="6"/>
  <c r="BD260" i="6"/>
  <c r="BE260" i="6" s="1"/>
  <c r="BD254" i="6"/>
  <c r="BE254" i="6" s="1"/>
  <c r="BD243" i="6"/>
  <c r="BE243" i="6" s="1"/>
  <c r="BD226" i="6"/>
  <c r="BE226" i="6" s="1"/>
  <c r="BD252" i="6"/>
  <c r="BE252" i="6" s="1"/>
  <c r="BD246" i="6"/>
  <c r="BF246" i="6" s="1"/>
  <c r="BD235" i="6"/>
  <c r="BE235" i="6" s="1"/>
  <c r="BD221" i="6"/>
  <c r="BE221" i="6" s="1"/>
  <c r="BD309" i="6"/>
  <c r="BE309" i="6" s="1"/>
  <c r="BD305" i="6"/>
  <c r="BE305" i="6" s="1"/>
  <c r="BD303" i="6"/>
  <c r="BE303" i="6" s="1"/>
  <c r="BD301" i="6"/>
  <c r="BE301" i="6" s="1"/>
  <c r="BD297" i="6"/>
  <c r="BE297" i="6" s="1"/>
  <c r="BD295" i="6"/>
  <c r="BE295" i="6" s="1"/>
  <c r="BD293" i="6"/>
  <c r="BE293" i="6" s="1"/>
  <c r="BD289" i="6"/>
  <c r="BE289" i="6" s="1"/>
  <c r="BD287" i="6"/>
  <c r="BE287" i="6" s="1"/>
  <c r="BD285" i="6"/>
  <c r="BE285" i="6" s="1"/>
  <c r="BD281" i="6"/>
  <c r="BE281" i="6" s="1"/>
  <c r="BD279" i="6"/>
  <c r="BE279" i="6" s="1"/>
  <c r="BD277" i="6"/>
  <c r="BE277" i="6" s="1"/>
  <c r="BD273" i="6"/>
  <c r="BD271" i="6"/>
  <c r="BE271" i="6" s="1"/>
  <c r="BD269" i="6"/>
  <c r="BE269" i="6" s="1"/>
  <c r="BD265" i="6"/>
  <c r="BE265" i="6" s="1"/>
  <c r="BD263" i="6"/>
  <c r="BE263" i="6" s="1"/>
  <c r="BD261" i="6"/>
  <c r="BE261" i="6" s="1"/>
  <c r="BD257" i="6"/>
  <c r="BE257" i="6" s="1"/>
  <c r="BD253" i="6"/>
  <c r="BE253" i="6" s="1"/>
  <c r="BD244" i="6"/>
  <c r="BD238" i="6"/>
  <c r="BE238" i="6" s="1"/>
  <c r="BD229" i="6"/>
  <c r="BE229" i="6" s="1"/>
  <c r="BD227" i="6"/>
  <c r="BE227" i="6" s="1"/>
  <c r="BD314" i="6"/>
  <c r="BE314" i="6" s="1"/>
  <c r="BD310" i="6"/>
  <c r="BE310" i="6" s="1"/>
  <c r="BD306" i="6"/>
  <c r="BF306" i="6" s="1"/>
  <c r="BD298" i="6"/>
  <c r="BF298" i="6" s="1"/>
  <c r="BD290" i="6"/>
  <c r="BD282" i="6"/>
  <c r="BE282" i="6" s="1"/>
  <c r="BD274" i="6"/>
  <c r="BE274" i="6" s="1"/>
  <c r="BD266" i="6"/>
  <c r="BE266" i="6" s="1"/>
  <c r="BD258" i="6"/>
  <c r="BE258" i="6" s="1"/>
  <c r="BD255" i="6"/>
  <c r="BE255" i="6" s="1"/>
  <c r="BD249" i="6"/>
  <c r="BE249" i="6" s="1"/>
  <c r="BD245" i="6"/>
  <c r="BE245" i="6" s="1"/>
  <c r="BD236" i="6"/>
  <c r="BD230" i="6"/>
  <c r="BE230" i="6" s="1"/>
  <c r="BF248" i="6"/>
  <c r="BD247" i="6"/>
  <c r="BE247" i="6" s="1"/>
  <c r="BD241" i="6"/>
  <c r="BE241" i="6" s="1"/>
  <c r="BD237" i="6"/>
  <c r="BE237" i="6" s="1"/>
  <c r="BD228" i="6"/>
  <c r="BE228" i="6" s="1"/>
  <c r="BD222" i="6"/>
  <c r="BE222" i="6" s="1"/>
  <c r="BD312" i="6"/>
  <c r="BE312" i="6" s="1"/>
  <c r="BD304" i="6"/>
  <c r="BE304" i="6" s="1"/>
  <c r="BD296" i="6"/>
  <c r="BE296" i="6" s="1"/>
  <c r="BD288" i="6"/>
  <c r="BE288" i="6" s="1"/>
  <c r="BD280" i="6"/>
  <c r="BD272" i="6"/>
  <c r="BE272" i="6" s="1"/>
  <c r="BD264" i="6"/>
  <c r="BF264" i="6" s="1"/>
  <c r="BD250" i="6"/>
  <c r="BE250" i="6" s="1"/>
  <c r="BD239" i="6"/>
  <c r="BF239" i="6" s="1"/>
  <c r="BD233" i="6"/>
  <c r="BE233" i="6" s="1"/>
  <c r="BD315" i="6"/>
  <c r="BE315" i="6" s="1"/>
  <c r="BD311" i="6"/>
  <c r="BE311" i="6" s="1"/>
  <c r="BD307" i="6"/>
  <c r="BE307" i="6" s="1"/>
  <c r="BD299" i="6"/>
  <c r="BE299" i="6" s="1"/>
  <c r="BD291" i="6"/>
  <c r="BE291" i="6" s="1"/>
  <c r="BD283" i="6"/>
  <c r="BE283" i="6" s="1"/>
  <c r="BD275" i="6"/>
  <c r="BE275" i="6" s="1"/>
  <c r="BD267" i="6"/>
  <c r="BE267" i="6" s="1"/>
  <c r="BD259" i="6"/>
  <c r="BE259" i="6" s="1"/>
  <c r="BD242" i="6"/>
  <c r="BE242" i="6" s="1"/>
  <c r="BD231" i="6"/>
  <c r="BE231" i="6" s="1"/>
  <c r="BD225" i="6"/>
  <c r="BE225" i="6" s="1"/>
  <c r="BD308" i="6"/>
  <c r="BE308" i="6" s="1"/>
  <c r="BD302" i="6"/>
  <c r="BF302" i="6" s="1"/>
  <c r="BD300" i="6"/>
  <c r="BD294" i="6"/>
  <c r="BF294" i="6" s="1"/>
  <c r="BD286" i="6"/>
  <c r="BE286" i="6" s="1"/>
  <c r="BD278" i="6"/>
  <c r="BE278" i="6" s="1"/>
  <c r="BD270" i="6"/>
  <c r="BF270" i="6" s="1"/>
  <c r="BD262" i="6"/>
  <c r="BE262" i="6" s="1"/>
  <c r="BD251" i="6"/>
  <c r="BE251" i="6" s="1"/>
  <c r="BD234" i="6"/>
  <c r="BE234" i="6" s="1"/>
  <c r="BD223" i="6"/>
  <c r="BE223" i="6" s="1"/>
  <c r="BD217" i="6"/>
  <c r="BE217" i="6" s="1"/>
  <c r="BF295" i="6"/>
  <c r="BF271" i="6"/>
  <c r="BE268" i="6"/>
  <c r="BF268" i="6"/>
  <c r="BE246" i="6"/>
  <c r="BE273" i="6"/>
  <c r="BF273" i="6"/>
  <c r="BE244" i="6"/>
  <c r="BF244" i="6"/>
  <c r="BF238" i="6"/>
  <c r="BE236" i="6"/>
  <c r="BF236" i="6"/>
  <c r="BF235" i="6"/>
  <c r="BE290" i="6"/>
  <c r="BF290" i="6"/>
  <c r="BF247" i="6"/>
  <c r="BF288" i="6"/>
  <c r="BE280" i="6"/>
  <c r="BF280" i="6"/>
  <c r="BE264" i="6"/>
  <c r="BF245" i="6"/>
  <c r="BE300" i="6"/>
  <c r="BF300" i="6"/>
  <c r="BF223" i="6"/>
  <c r="BF256" i="6"/>
  <c r="BF224" i="6"/>
  <c r="BD214" i="6"/>
  <c r="BE214" i="6" s="1"/>
  <c r="BD203" i="6"/>
  <c r="BE203" i="6" s="1"/>
  <c r="BD210" i="6"/>
  <c r="BE210" i="6" s="1"/>
  <c r="BD206" i="6"/>
  <c r="BE206" i="6" s="1"/>
  <c r="BD202" i="6"/>
  <c r="BE202" i="6" s="1"/>
  <c r="BD198" i="6"/>
  <c r="BE198" i="6" s="1"/>
  <c r="BD190" i="6"/>
  <c r="BE190" i="6" s="1"/>
  <c r="BD204" i="6"/>
  <c r="BE204" i="6" s="1"/>
  <c r="BD196" i="6"/>
  <c r="BE196" i="6" s="1"/>
  <c r="BD188" i="6"/>
  <c r="BE188" i="6" s="1"/>
  <c r="BD212" i="6"/>
  <c r="BE212" i="6" s="1"/>
  <c r="BD194" i="6"/>
  <c r="BE194" i="6" s="1"/>
  <c r="BD208" i="6"/>
  <c r="BE208" i="6" s="1"/>
  <c r="BD200" i="6"/>
  <c r="BD197" i="6"/>
  <c r="BE197" i="6" s="1"/>
  <c r="BD192" i="6"/>
  <c r="BE192" i="6" s="1"/>
  <c r="BD205" i="6" l="1"/>
  <c r="BE205" i="6" s="1"/>
  <c r="BD215" i="6"/>
  <c r="BE215" i="6" s="1"/>
  <c r="BD191" i="6"/>
  <c r="BE191" i="6" s="1"/>
  <c r="BF277" i="6"/>
  <c r="BF292" i="6"/>
  <c r="BD213" i="6"/>
  <c r="BE213" i="6" s="1"/>
  <c r="BF222" i="6"/>
  <c r="BF297" i="6"/>
  <c r="BE298" i="6"/>
  <c r="BF241" i="6"/>
  <c r="BF263" i="6"/>
  <c r="BE270" i="6"/>
  <c r="BF261" i="6"/>
  <c r="BE306" i="6"/>
  <c r="BF249" i="6"/>
  <c r="BF311" i="6"/>
  <c r="BD211" i="6"/>
  <c r="BE211" i="6" s="1"/>
  <c r="BD219" i="6"/>
  <c r="BE219" i="6" s="1"/>
  <c r="BD187" i="6"/>
  <c r="BE187" i="6" s="1"/>
  <c r="BD195" i="6"/>
  <c r="BE195" i="6" s="1"/>
  <c r="BD201" i="6"/>
  <c r="BE201" i="6" s="1"/>
  <c r="BF231" i="6"/>
  <c r="BF258" i="6"/>
  <c r="BF314" i="6"/>
  <c r="BF262" i="6"/>
  <c r="BF310" i="6"/>
  <c r="BF278" i="6"/>
  <c r="BF233" i="6"/>
  <c r="BF285" i="6"/>
  <c r="BF305" i="6"/>
  <c r="BF279" i="6"/>
  <c r="BF286" i="6"/>
  <c r="BF228" i="6"/>
  <c r="BF293" i="6"/>
  <c r="BF230" i="6"/>
  <c r="BF284" i="6"/>
  <c r="BF237" i="6"/>
  <c r="BF281" i="6"/>
  <c r="BF232" i="6"/>
  <c r="BE294" i="6"/>
  <c r="BF287" i="6"/>
  <c r="BF275" i="6"/>
  <c r="BD240" i="6"/>
  <c r="BF308" i="6"/>
  <c r="BF266" i="6"/>
  <c r="BF301" i="6"/>
  <c r="BF243" i="6"/>
  <c r="BF254" i="6"/>
  <c r="BF276" i="6"/>
  <c r="BF253" i="6"/>
  <c r="BF229" i="6"/>
  <c r="BF274" i="6"/>
  <c r="BF312" i="6"/>
  <c r="BF313" i="6"/>
  <c r="BF289" i="6"/>
  <c r="BF303" i="6"/>
  <c r="BF225" i="6"/>
  <c r="BF282" i="6"/>
  <c r="BF251" i="6"/>
  <c r="BF260" i="6"/>
  <c r="BF250" i="6"/>
  <c r="BF304" i="6"/>
  <c r="BF272" i="6"/>
  <c r="BF257" i="6"/>
  <c r="BF252" i="6"/>
  <c r="BF269" i="6"/>
  <c r="BD216" i="6"/>
  <c r="BE216" i="6" s="1"/>
  <c r="BE200" i="6"/>
  <c r="BF296" i="6"/>
  <c r="BF226" i="6"/>
  <c r="BF227" i="6"/>
  <c r="BF259" i="6"/>
  <c r="BF291" i="6"/>
  <c r="BF309" i="6"/>
  <c r="BF265" i="6"/>
  <c r="BE302" i="6"/>
  <c r="BF255" i="6"/>
  <c r="BF267" i="6"/>
  <c r="BF299" i="6"/>
  <c r="BF307" i="6"/>
  <c r="BE239" i="6"/>
  <c r="BF242" i="6"/>
  <c r="BF234" i="6"/>
  <c r="BF283" i="6"/>
  <c r="BF315" i="6"/>
  <c r="BE240" i="6" l="1"/>
  <c r="BF240" i="6"/>
  <c r="D214" i="2" l="1"/>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I212" i="6"/>
  <c r="Q212" i="6" s="1"/>
  <c r="J212" i="6"/>
  <c r="K212" i="6"/>
  <c r="I213" i="6"/>
  <c r="Q213" i="6" s="1"/>
  <c r="J213" i="6"/>
  <c r="K213" i="6"/>
  <c r="I214" i="6"/>
  <c r="U214" i="6" s="1"/>
  <c r="J214" i="6"/>
  <c r="K214" i="6"/>
  <c r="I215" i="6"/>
  <c r="L215" i="6" s="1"/>
  <c r="J215" i="6"/>
  <c r="K215" i="6"/>
  <c r="I216" i="6"/>
  <c r="Q216" i="6" s="1"/>
  <c r="J216" i="6"/>
  <c r="K216" i="6"/>
  <c r="I217" i="6"/>
  <c r="Q217" i="6" s="1"/>
  <c r="J217" i="6"/>
  <c r="K217" i="6"/>
  <c r="I218" i="6"/>
  <c r="Q218" i="6" s="1"/>
  <c r="J218" i="6"/>
  <c r="K218" i="6"/>
  <c r="I219" i="6"/>
  <c r="J219" i="6"/>
  <c r="K219" i="6"/>
  <c r="I220" i="6"/>
  <c r="Q220" i="6" s="1"/>
  <c r="J220" i="6"/>
  <c r="K220" i="6"/>
  <c r="I221" i="6"/>
  <c r="Q221" i="6" s="1"/>
  <c r="J221" i="6"/>
  <c r="K221" i="6"/>
  <c r="I222" i="6"/>
  <c r="Q222" i="6" s="1"/>
  <c r="J222" i="6"/>
  <c r="K222" i="6"/>
  <c r="I223" i="6"/>
  <c r="J223" i="6"/>
  <c r="K223" i="6"/>
  <c r="I224" i="6"/>
  <c r="Q224" i="6" s="1"/>
  <c r="J224" i="6"/>
  <c r="K224" i="6"/>
  <c r="I225" i="6"/>
  <c r="Q225" i="6" s="1"/>
  <c r="J225" i="6"/>
  <c r="K225" i="6"/>
  <c r="I226" i="6"/>
  <c r="J226" i="6"/>
  <c r="K226" i="6"/>
  <c r="I227" i="6"/>
  <c r="S227" i="6" s="1"/>
  <c r="J227" i="6"/>
  <c r="K227" i="6"/>
  <c r="I228" i="6"/>
  <c r="Q228" i="6" s="1"/>
  <c r="J228" i="6"/>
  <c r="K228" i="6"/>
  <c r="I229" i="6"/>
  <c r="AA229" i="6" s="1"/>
  <c r="J229" i="6"/>
  <c r="K229" i="6"/>
  <c r="I230" i="6"/>
  <c r="N230" i="6" s="1"/>
  <c r="J230" i="6"/>
  <c r="K230" i="6"/>
  <c r="I231" i="6"/>
  <c r="S231" i="6" s="1"/>
  <c r="J231" i="6"/>
  <c r="K231" i="6"/>
  <c r="AC231" i="6"/>
  <c r="I232" i="6"/>
  <c r="P232" i="6" s="1"/>
  <c r="J232" i="6"/>
  <c r="K232" i="6"/>
  <c r="I233" i="6"/>
  <c r="P233" i="6" s="1"/>
  <c r="J233" i="6"/>
  <c r="K233" i="6"/>
  <c r="I234" i="6"/>
  <c r="AC234" i="6" s="1"/>
  <c r="J234" i="6"/>
  <c r="K234" i="6"/>
  <c r="I235" i="6"/>
  <c r="P235" i="6" s="1"/>
  <c r="J235" i="6"/>
  <c r="K235" i="6"/>
  <c r="I236" i="6"/>
  <c r="R236" i="6" s="1"/>
  <c r="J236" i="6"/>
  <c r="K236" i="6"/>
  <c r="I237" i="6"/>
  <c r="J237" i="6"/>
  <c r="K237" i="6"/>
  <c r="I238" i="6"/>
  <c r="Y238" i="6" s="1"/>
  <c r="J238" i="6"/>
  <c r="K238" i="6"/>
  <c r="I239" i="6"/>
  <c r="O239" i="6" s="1"/>
  <c r="J239" i="6"/>
  <c r="K239" i="6"/>
  <c r="I240" i="6"/>
  <c r="T240" i="6" s="1"/>
  <c r="J240" i="6"/>
  <c r="K240" i="6"/>
  <c r="I241" i="6"/>
  <c r="P241" i="6" s="1"/>
  <c r="J241" i="6"/>
  <c r="K241" i="6"/>
  <c r="I242" i="6"/>
  <c r="N242" i="6" s="1"/>
  <c r="J242" i="6"/>
  <c r="K242" i="6"/>
  <c r="I243" i="6"/>
  <c r="O243" i="6" s="1"/>
  <c r="J243" i="6"/>
  <c r="K243" i="6"/>
  <c r="I244" i="6"/>
  <c r="Y244" i="6" s="1"/>
  <c r="J244" i="6"/>
  <c r="K244" i="6"/>
  <c r="I245" i="6"/>
  <c r="Q245" i="6" s="1"/>
  <c r="J245" i="6"/>
  <c r="K245" i="6"/>
  <c r="I246" i="6"/>
  <c r="T246" i="6" s="1"/>
  <c r="J246" i="6"/>
  <c r="K246" i="6"/>
  <c r="I247" i="6"/>
  <c r="J247" i="6"/>
  <c r="K247" i="6"/>
  <c r="I248" i="6"/>
  <c r="T248" i="6" s="1"/>
  <c r="J248" i="6"/>
  <c r="K248" i="6"/>
  <c r="I249" i="6"/>
  <c r="O249" i="6" s="1"/>
  <c r="J249" i="6"/>
  <c r="K249" i="6"/>
  <c r="I250" i="6"/>
  <c r="Y250" i="6" s="1"/>
  <c r="J250" i="6"/>
  <c r="K250" i="6"/>
  <c r="I251" i="6"/>
  <c r="R251" i="6" s="1"/>
  <c r="J251" i="6"/>
  <c r="K251" i="6"/>
  <c r="I252" i="6"/>
  <c r="Z252" i="6" s="1"/>
  <c r="J252" i="6"/>
  <c r="K252" i="6"/>
  <c r="I253" i="6"/>
  <c r="R253" i="6" s="1"/>
  <c r="J253" i="6"/>
  <c r="K253" i="6"/>
  <c r="I254" i="6"/>
  <c r="O254" i="6" s="1"/>
  <c r="J254" i="6"/>
  <c r="K254" i="6"/>
  <c r="I255" i="6"/>
  <c r="U255" i="6" s="1"/>
  <c r="J255" i="6"/>
  <c r="K255" i="6"/>
  <c r="I256" i="6"/>
  <c r="S256" i="6" s="1"/>
  <c r="J256" i="6"/>
  <c r="K256" i="6"/>
  <c r="I257" i="6"/>
  <c r="R257" i="6" s="1"/>
  <c r="J257" i="6"/>
  <c r="K257" i="6"/>
  <c r="I258" i="6"/>
  <c r="AC258" i="6" s="1"/>
  <c r="J258" i="6"/>
  <c r="K258" i="6"/>
  <c r="I259" i="6"/>
  <c r="R259" i="6" s="1"/>
  <c r="J259" i="6"/>
  <c r="K259" i="6"/>
  <c r="I260" i="6"/>
  <c r="P260" i="6" s="1"/>
  <c r="J260" i="6"/>
  <c r="K260" i="6"/>
  <c r="I261" i="6"/>
  <c r="R261" i="6" s="1"/>
  <c r="J261" i="6"/>
  <c r="K261" i="6"/>
  <c r="I262" i="6"/>
  <c r="AB262" i="6" s="1"/>
  <c r="J262" i="6"/>
  <c r="K262" i="6"/>
  <c r="I263" i="6"/>
  <c r="AD263" i="6" s="1"/>
  <c r="J263" i="6"/>
  <c r="K263" i="6"/>
  <c r="I264" i="6"/>
  <c r="Q264" i="6" s="1"/>
  <c r="J264" i="6"/>
  <c r="K264" i="6"/>
  <c r="I265" i="6"/>
  <c r="N265" i="6" s="1"/>
  <c r="J265" i="6"/>
  <c r="K265" i="6"/>
  <c r="I266" i="6"/>
  <c r="S266" i="6" s="1"/>
  <c r="J266" i="6"/>
  <c r="K266" i="6"/>
  <c r="I267" i="6"/>
  <c r="N267" i="6" s="1"/>
  <c r="J267" i="6"/>
  <c r="K267" i="6"/>
  <c r="I268" i="6"/>
  <c r="L268" i="6" s="1"/>
  <c r="J268" i="6"/>
  <c r="K268" i="6"/>
  <c r="I269" i="6"/>
  <c r="R269" i="6" s="1"/>
  <c r="J269" i="6"/>
  <c r="K269" i="6"/>
  <c r="I270" i="6"/>
  <c r="P270" i="6" s="1"/>
  <c r="J270" i="6"/>
  <c r="K270" i="6"/>
  <c r="I271" i="6"/>
  <c r="M271" i="6" s="1"/>
  <c r="J271" i="6"/>
  <c r="K271" i="6"/>
  <c r="I272" i="6"/>
  <c r="M272" i="6" s="1"/>
  <c r="J272" i="6"/>
  <c r="K272" i="6"/>
  <c r="I273" i="6"/>
  <c r="P273" i="6" s="1"/>
  <c r="J273" i="6"/>
  <c r="K273" i="6"/>
  <c r="I274" i="6"/>
  <c r="L274" i="6" s="1"/>
  <c r="J274" i="6"/>
  <c r="K274" i="6"/>
  <c r="I275" i="6"/>
  <c r="M275" i="6" s="1"/>
  <c r="J275" i="6"/>
  <c r="K275" i="6"/>
  <c r="I276" i="6"/>
  <c r="J276" i="6"/>
  <c r="K276" i="6"/>
  <c r="I277" i="6"/>
  <c r="J277" i="6"/>
  <c r="K277" i="6"/>
  <c r="I278" i="6"/>
  <c r="O278" i="6" s="1"/>
  <c r="J278" i="6"/>
  <c r="K278" i="6"/>
  <c r="I279" i="6"/>
  <c r="N279" i="6" s="1"/>
  <c r="J279" i="6"/>
  <c r="K279" i="6"/>
  <c r="I280" i="6"/>
  <c r="P280" i="6" s="1"/>
  <c r="J280" i="6"/>
  <c r="K280" i="6"/>
  <c r="I281" i="6"/>
  <c r="U281" i="6" s="1"/>
  <c r="J281" i="6"/>
  <c r="K281" i="6"/>
  <c r="I282" i="6"/>
  <c r="S282" i="6" s="1"/>
  <c r="J282" i="6"/>
  <c r="K282" i="6"/>
  <c r="I283" i="6"/>
  <c r="R283" i="6" s="1"/>
  <c r="J283" i="6"/>
  <c r="K283" i="6"/>
  <c r="I284" i="6"/>
  <c r="O284" i="6" s="1"/>
  <c r="J284" i="6"/>
  <c r="K284" i="6"/>
  <c r="I285" i="6"/>
  <c r="N285" i="6" s="1"/>
  <c r="J285" i="6"/>
  <c r="K285" i="6"/>
  <c r="I286" i="6"/>
  <c r="L286" i="6" s="1"/>
  <c r="J286" i="6"/>
  <c r="K286" i="6"/>
  <c r="I287" i="6"/>
  <c r="P287" i="6" s="1"/>
  <c r="J287" i="6"/>
  <c r="K287" i="6"/>
  <c r="I288" i="6"/>
  <c r="Q288" i="6" s="1"/>
  <c r="J288" i="6"/>
  <c r="K288" i="6"/>
  <c r="I289" i="6"/>
  <c r="X289" i="6" s="1"/>
  <c r="J289" i="6"/>
  <c r="K289" i="6"/>
  <c r="I290" i="6"/>
  <c r="M290" i="6" s="1"/>
  <c r="J290" i="6"/>
  <c r="K290" i="6"/>
  <c r="I291" i="6"/>
  <c r="N291" i="6" s="1"/>
  <c r="J291" i="6"/>
  <c r="K291" i="6"/>
  <c r="I292" i="6"/>
  <c r="Q292" i="6" s="1"/>
  <c r="J292" i="6"/>
  <c r="K292" i="6"/>
  <c r="I293" i="6"/>
  <c r="P293" i="6" s="1"/>
  <c r="J293" i="6"/>
  <c r="K293" i="6"/>
  <c r="I294" i="6"/>
  <c r="AC294" i="6" s="1"/>
  <c r="J294" i="6"/>
  <c r="K294" i="6"/>
  <c r="I295" i="6"/>
  <c r="R295" i="6" s="1"/>
  <c r="J295" i="6"/>
  <c r="K295" i="6"/>
  <c r="I296" i="6"/>
  <c r="P296" i="6" s="1"/>
  <c r="J296" i="6"/>
  <c r="K296" i="6"/>
  <c r="I297" i="6"/>
  <c r="W297" i="6" s="1"/>
  <c r="J297" i="6"/>
  <c r="K297" i="6"/>
  <c r="I298" i="6"/>
  <c r="S298" i="6" s="1"/>
  <c r="J298" i="6"/>
  <c r="K298" i="6"/>
  <c r="I299" i="6"/>
  <c r="R299" i="6" s="1"/>
  <c r="J299" i="6"/>
  <c r="K299" i="6"/>
  <c r="I300" i="6"/>
  <c r="O300" i="6" s="1"/>
  <c r="J300" i="6"/>
  <c r="K300" i="6"/>
  <c r="I301" i="6"/>
  <c r="AC301" i="6" s="1"/>
  <c r="J301" i="6"/>
  <c r="K301" i="6"/>
  <c r="I302" i="6"/>
  <c r="J302" i="6"/>
  <c r="K302" i="6"/>
  <c r="I303" i="6"/>
  <c r="W303" i="6" s="1"/>
  <c r="J303" i="6"/>
  <c r="K303" i="6"/>
  <c r="I304" i="6"/>
  <c r="O304" i="6" s="1"/>
  <c r="J304" i="6"/>
  <c r="K304" i="6"/>
  <c r="I305" i="6"/>
  <c r="AC305" i="6" s="1"/>
  <c r="J305" i="6"/>
  <c r="K305" i="6"/>
  <c r="I306" i="6"/>
  <c r="T306" i="6" s="1"/>
  <c r="J306" i="6"/>
  <c r="K306" i="6"/>
  <c r="I307" i="6"/>
  <c r="N307" i="6" s="1"/>
  <c r="J307" i="6"/>
  <c r="K307" i="6"/>
  <c r="I308" i="6"/>
  <c r="O308" i="6" s="1"/>
  <c r="J308" i="6"/>
  <c r="K308" i="6"/>
  <c r="I309" i="6"/>
  <c r="U309" i="6" s="1"/>
  <c r="J309" i="6"/>
  <c r="K309" i="6"/>
  <c r="I310" i="6"/>
  <c r="T310" i="6" s="1"/>
  <c r="J310" i="6"/>
  <c r="K310" i="6"/>
  <c r="I311" i="6"/>
  <c r="N311" i="6" s="1"/>
  <c r="J311" i="6"/>
  <c r="K311" i="6"/>
  <c r="I312" i="6"/>
  <c r="N312" i="6" s="1"/>
  <c r="J312" i="6"/>
  <c r="K312" i="6"/>
  <c r="I313" i="6"/>
  <c r="P313" i="6" s="1"/>
  <c r="J313" i="6"/>
  <c r="K313" i="6"/>
  <c r="I314" i="6"/>
  <c r="M314" i="6" s="1"/>
  <c r="J314" i="6"/>
  <c r="K314" i="6"/>
  <c r="I315" i="6"/>
  <c r="Z315" i="6" s="1"/>
  <c r="J315" i="6"/>
  <c r="K315" i="6"/>
  <c r="I316" i="6"/>
  <c r="Q316" i="6" s="1"/>
  <c r="J316" i="6"/>
  <c r="K316" i="6"/>
  <c r="I317" i="6"/>
  <c r="M317" i="6" s="1"/>
  <c r="J317" i="6"/>
  <c r="K317" i="6"/>
  <c r="I318" i="6"/>
  <c r="U318" i="6" s="1"/>
  <c r="J318" i="6"/>
  <c r="K318" i="6"/>
  <c r="I319" i="6"/>
  <c r="P319" i="6" s="1"/>
  <c r="J319" i="6"/>
  <c r="K319" i="6"/>
  <c r="I320" i="6"/>
  <c r="M320" i="6" s="1"/>
  <c r="J320" i="6"/>
  <c r="K320" i="6"/>
  <c r="I321" i="6"/>
  <c r="M321" i="6" s="1"/>
  <c r="J321" i="6"/>
  <c r="K321" i="6"/>
  <c r="I322" i="6"/>
  <c r="T322" i="6" s="1"/>
  <c r="J322" i="6"/>
  <c r="K322" i="6"/>
  <c r="I323" i="6"/>
  <c r="S323" i="6" s="1"/>
  <c r="J323" i="6"/>
  <c r="K323" i="6"/>
  <c r="I324" i="6"/>
  <c r="U324" i="6" s="1"/>
  <c r="J324" i="6"/>
  <c r="K324" i="6"/>
  <c r="I325" i="6"/>
  <c r="J325" i="6"/>
  <c r="K325" i="6"/>
  <c r="I326" i="6"/>
  <c r="X326" i="6" s="1"/>
  <c r="J326" i="6"/>
  <c r="K326" i="6"/>
  <c r="I327" i="6"/>
  <c r="R327" i="6" s="1"/>
  <c r="J327" i="6"/>
  <c r="K327" i="6"/>
  <c r="I328" i="6"/>
  <c r="U328" i="6" s="1"/>
  <c r="J328" i="6"/>
  <c r="K328" i="6"/>
  <c r="I329" i="6"/>
  <c r="O329" i="6" s="1"/>
  <c r="J329" i="6"/>
  <c r="K329" i="6"/>
  <c r="I330" i="6"/>
  <c r="M330" i="6" s="1"/>
  <c r="J330" i="6"/>
  <c r="K330" i="6"/>
  <c r="I331" i="6"/>
  <c r="M331" i="6" s="1"/>
  <c r="J331" i="6"/>
  <c r="K331" i="6"/>
  <c r="I332" i="6"/>
  <c r="AC332" i="6" s="1"/>
  <c r="J332" i="6"/>
  <c r="K332" i="6"/>
  <c r="I333" i="6"/>
  <c r="M333" i="6" s="1"/>
  <c r="J333" i="6"/>
  <c r="K333" i="6"/>
  <c r="I334" i="6"/>
  <c r="P334" i="6" s="1"/>
  <c r="J334" i="6"/>
  <c r="K334" i="6"/>
  <c r="I335" i="6"/>
  <c r="S335" i="6" s="1"/>
  <c r="J335" i="6"/>
  <c r="K335" i="6"/>
  <c r="I336" i="6"/>
  <c r="M336" i="6" s="1"/>
  <c r="J336" i="6"/>
  <c r="K336" i="6"/>
  <c r="I337" i="6"/>
  <c r="AC337" i="6" s="1"/>
  <c r="J337" i="6"/>
  <c r="K337" i="6"/>
  <c r="I338" i="6"/>
  <c r="P338" i="6" s="1"/>
  <c r="J338" i="6"/>
  <c r="K338" i="6"/>
  <c r="I339" i="6"/>
  <c r="O339" i="6" s="1"/>
  <c r="J339" i="6"/>
  <c r="K339" i="6"/>
  <c r="I340" i="6"/>
  <c r="Q340" i="6" s="1"/>
  <c r="J340" i="6"/>
  <c r="K340" i="6"/>
  <c r="I341" i="6"/>
  <c r="Q341" i="6" s="1"/>
  <c r="J341" i="6"/>
  <c r="K341" i="6"/>
  <c r="I342" i="6"/>
  <c r="L342" i="6" s="1"/>
  <c r="J342" i="6"/>
  <c r="K342" i="6"/>
  <c r="I343" i="6"/>
  <c r="S343" i="6" s="1"/>
  <c r="J343" i="6"/>
  <c r="K343" i="6"/>
  <c r="I344" i="6"/>
  <c r="AC344" i="6" s="1"/>
  <c r="J344" i="6"/>
  <c r="K344" i="6"/>
  <c r="I345" i="6"/>
  <c r="AC345" i="6" s="1"/>
  <c r="J345" i="6"/>
  <c r="K345" i="6"/>
  <c r="I346" i="6"/>
  <c r="M346" i="6" s="1"/>
  <c r="J346" i="6"/>
  <c r="K346" i="6"/>
  <c r="I347" i="6"/>
  <c r="X347" i="6" s="1"/>
  <c r="J347" i="6"/>
  <c r="K347" i="6"/>
  <c r="I348" i="6"/>
  <c r="R348" i="6" s="1"/>
  <c r="J348" i="6"/>
  <c r="K348" i="6"/>
  <c r="I349" i="6"/>
  <c r="AB349" i="6" s="1"/>
  <c r="J349" i="6"/>
  <c r="K349" i="6"/>
  <c r="I350" i="6"/>
  <c r="Y350" i="6" s="1"/>
  <c r="J350" i="6"/>
  <c r="K350" i="6"/>
  <c r="I351" i="6"/>
  <c r="N351" i="6" s="1"/>
  <c r="J351" i="6"/>
  <c r="K351" i="6"/>
  <c r="I352" i="6"/>
  <c r="N352" i="6" s="1"/>
  <c r="J352" i="6"/>
  <c r="K352" i="6"/>
  <c r="I353" i="6"/>
  <c r="AC353" i="6" s="1"/>
  <c r="J353" i="6"/>
  <c r="K353" i="6"/>
  <c r="I354" i="6"/>
  <c r="R354" i="6" s="1"/>
  <c r="J354" i="6"/>
  <c r="K354" i="6"/>
  <c r="I355" i="6"/>
  <c r="X355" i="6" s="1"/>
  <c r="J355" i="6"/>
  <c r="K355" i="6"/>
  <c r="I356" i="6"/>
  <c r="T356" i="6" s="1"/>
  <c r="J356" i="6"/>
  <c r="K356" i="6"/>
  <c r="I357" i="6"/>
  <c r="O357" i="6" s="1"/>
  <c r="J357" i="6"/>
  <c r="K357" i="6"/>
  <c r="I358" i="6"/>
  <c r="T358" i="6" s="1"/>
  <c r="J358" i="6"/>
  <c r="K358" i="6"/>
  <c r="I359" i="6"/>
  <c r="N359" i="6" s="1"/>
  <c r="J359" i="6"/>
  <c r="K359" i="6"/>
  <c r="I360" i="6"/>
  <c r="T360" i="6" s="1"/>
  <c r="J360" i="6"/>
  <c r="K360" i="6"/>
  <c r="I361" i="6"/>
  <c r="L361" i="6" s="1"/>
  <c r="J361" i="6"/>
  <c r="K361" i="6"/>
  <c r="I362" i="6"/>
  <c r="R362" i="6" s="1"/>
  <c r="J362" i="6"/>
  <c r="K362" i="6"/>
  <c r="I363" i="6"/>
  <c r="N363" i="6" s="1"/>
  <c r="J363" i="6"/>
  <c r="K363" i="6"/>
  <c r="I364" i="6"/>
  <c r="R364" i="6" s="1"/>
  <c r="J364" i="6"/>
  <c r="K364" i="6"/>
  <c r="I365" i="6"/>
  <c r="N365" i="6" s="1"/>
  <c r="J365" i="6"/>
  <c r="K365" i="6"/>
  <c r="I366" i="6"/>
  <c r="M366" i="6" s="1"/>
  <c r="J366" i="6"/>
  <c r="K366" i="6"/>
  <c r="I367" i="6"/>
  <c r="O367" i="6" s="1"/>
  <c r="J367" i="6"/>
  <c r="K367" i="6"/>
  <c r="I368" i="6"/>
  <c r="L368" i="6" s="1"/>
  <c r="J368" i="6"/>
  <c r="K368" i="6"/>
  <c r="I369" i="6"/>
  <c r="L369" i="6" s="1"/>
  <c r="J369" i="6"/>
  <c r="K369" i="6"/>
  <c r="I370" i="6"/>
  <c r="R370" i="6" s="1"/>
  <c r="J370" i="6"/>
  <c r="K370" i="6"/>
  <c r="I371" i="6"/>
  <c r="N371" i="6" s="1"/>
  <c r="J371" i="6"/>
  <c r="K371" i="6"/>
  <c r="I372" i="6"/>
  <c r="M372" i="6" s="1"/>
  <c r="J372" i="6"/>
  <c r="K372" i="6"/>
  <c r="I373" i="6"/>
  <c r="N373" i="6" s="1"/>
  <c r="J373" i="6"/>
  <c r="K373" i="6"/>
  <c r="I374" i="6"/>
  <c r="O374" i="6" s="1"/>
  <c r="J374" i="6"/>
  <c r="K374" i="6"/>
  <c r="I375" i="6"/>
  <c r="N375" i="6" s="1"/>
  <c r="J375" i="6"/>
  <c r="K375" i="6"/>
  <c r="X339" i="6" l="1"/>
  <c r="AA216" i="6"/>
  <c r="N295" i="6"/>
  <c r="S216" i="6"/>
  <c r="AC351" i="6"/>
  <c r="Y307" i="6"/>
  <c r="M351" i="6"/>
  <c r="X346" i="6"/>
  <c r="Z299" i="6"/>
  <c r="AA284" i="6"/>
  <c r="U330" i="6"/>
  <c r="U342" i="6"/>
  <c r="X291" i="6"/>
  <c r="Q342" i="6"/>
  <c r="AB373" i="6"/>
  <c r="M339" i="6"/>
  <c r="U290" i="6"/>
  <c r="AD285" i="6"/>
  <c r="N271" i="6"/>
  <c r="AC264" i="6"/>
  <c r="S254" i="6"/>
  <c r="M249" i="6"/>
  <c r="AA218" i="6"/>
  <c r="W339" i="6"/>
  <c r="L339" i="6"/>
  <c r="S241" i="6"/>
  <c r="L319" i="6"/>
  <c r="P285" i="6"/>
  <c r="X342" i="6"/>
  <c r="M334" i="6"/>
  <c r="N299" i="6"/>
  <c r="Y283" i="6"/>
  <c r="N275" i="6"/>
  <c r="M258" i="6"/>
  <c r="N346" i="6"/>
  <c r="R305" i="6"/>
  <c r="AC284" i="6"/>
  <c r="Y267" i="6"/>
  <c r="S359" i="6"/>
  <c r="AA357" i="6"/>
  <c r="V353" i="6"/>
  <c r="AB351" i="6"/>
  <c r="Q343" i="6"/>
  <c r="AC292" i="6"/>
  <c r="AB288" i="6"/>
  <c r="AD287" i="6"/>
  <c r="AB268" i="6"/>
  <c r="X258" i="6"/>
  <c r="X359" i="6"/>
  <c r="AB357" i="6"/>
  <c r="M373" i="6"/>
  <c r="Q371" i="6"/>
  <c r="M342" i="6"/>
  <c r="AA308" i="6"/>
  <c r="L373" i="6"/>
  <c r="U357" i="6"/>
  <c r="Y351" i="6"/>
  <c r="U347" i="6"/>
  <c r="L334" i="6"/>
  <c r="AC319" i="6"/>
  <c r="O310" i="6"/>
  <c r="X308" i="6"/>
  <c r="V292" i="6"/>
  <c r="P291" i="6"/>
  <c r="AD289" i="6"/>
  <c r="Z288" i="6"/>
  <c r="AB285" i="6"/>
  <c r="M284" i="6"/>
  <c r="X268" i="6"/>
  <c r="U265" i="6"/>
  <c r="S258" i="6"/>
  <c r="Y360" i="6"/>
  <c r="S357" i="6"/>
  <c r="U351" i="6"/>
  <c r="W319" i="6"/>
  <c r="L308" i="6"/>
  <c r="O306" i="6"/>
  <c r="S295" i="6"/>
  <c r="AC293" i="6"/>
  <c r="U292" i="6"/>
  <c r="AC289" i="6"/>
  <c r="U288" i="6"/>
  <c r="Y285" i="6"/>
  <c r="W268" i="6"/>
  <c r="Q314" i="6"/>
  <c r="AB293" i="6"/>
  <c r="M292" i="6"/>
  <c r="U289" i="6"/>
  <c r="R288" i="6"/>
  <c r="O268" i="6"/>
  <c r="Q215" i="6"/>
  <c r="N360" i="6"/>
  <c r="L357" i="6"/>
  <c r="L351" i="6"/>
  <c r="Y342" i="6"/>
  <c r="N341" i="6"/>
  <c r="AC335" i="6"/>
  <c r="N301" i="6"/>
  <c r="W299" i="6"/>
  <c r="N293" i="6"/>
  <c r="L292" i="6"/>
  <c r="N289" i="6"/>
  <c r="L288" i="6"/>
  <c r="Q286" i="6"/>
  <c r="U271" i="6"/>
  <c r="N269" i="6"/>
  <c r="M268" i="6"/>
  <c r="X245" i="6"/>
  <c r="AA225" i="6"/>
  <c r="U371" i="6"/>
  <c r="AD369" i="6"/>
  <c r="AD366" i="6"/>
  <c r="AC365" i="6"/>
  <c r="X351" i="6"/>
  <c r="P342" i="6"/>
  <c r="AC317" i="6"/>
  <c r="U308" i="6"/>
  <c r="M288" i="6"/>
  <c r="U285" i="6"/>
  <c r="X284" i="6"/>
  <c r="AC242" i="6"/>
  <c r="Y369" i="6"/>
  <c r="AC366" i="6"/>
  <c r="AB365" i="6"/>
  <c r="AC246" i="6"/>
  <c r="X242" i="6"/>
  <c r="V230" i="6"/>
  <c r="AD361" i="6"/>
  <c r="U317" i="6"/>
  <c r="U315" i="6"/>
  <c r="U375" i="6"/>
  <c r="Y373" i="6"/>
  <c r="Y372" i="6"/>
  <c r="W369" i="6"/>
  <c r="Y366" i="6"/>
  <c r="Q365" i="6"/>
  <c r="Q363" i="6"/>
  <c r="S361" i="6"/>
  <c r="N354" i="6"/>
  <c r="T351" i="6"/>
  <c r="R350" i="6"/>
  <c r="AD348" i="6"/>
  <c r="AC333" i="6"/>
  <c r="P315" i="6"/>
  <c r="AC309" i="6"/>
  <c r="S304" i="6"/>
  <c r="AA300" i="6"/>
  <c r="X282" i="6"/>
  <c r="AC278" i="6"/>
  <c r="AB274" i="6"/>
  <c r="S264" i="6"/>
  <c r="Z248" i="6"/>
  <c r="N246" i="6"/>
  <c r="AD372" i="6"/>
  <c r="AC304" i="6"/>
  <c r="AA282" i="6"/>
  <c r="Q373" i="6"/>
  <c r="T372" i="6"/>
  <c r="N369" i="6"/>
  <c r="AD367" i="6"/>
  <c r="T366" i="6"/>
  <c r="M365" i="6"/>
  <c r="AC359" i="6"/>
  <c r="Q351" i="6"/>
  <c r="N350" i="6"/>
  <c r="N348" i="6"/>
  <c r="AD346" i="6"/>
  <c r="AC342" i="6"/>
  <c r="AC336" i="6"/>
  <c r="X331" i="6"/>
  <c r="AC327" i="6"/>
  <c r="Y313" i="6"/>
  <c r="P304" i="6"/>
  <c r="AD291" i="6"/>
  <c r="L282" i="6"/>
  <c r="U280" i="6"/>
  <c r="U278" i="6"/>
  <c r="S274" i="6"/>
  <c r="T272" i="6"/>
  <c r="R372" i="6"/>
  <c r="M369" i="6"/>
  <c r="Z367" i="6"/>
  <c r="N366" i="6"/>
  <c r="P351" i="6"/>
  <c r="U336" i="6"/>
  <c r="AB334" i="6"/>
  <c r="T331" i="6"/>
  <c r="V329" i="6"/>
  <c r="M327" i="6"/>
  <c r="P322" i="6"/>
  <c r="Y318" i="6"/>
  <c r="Q313" i="6"/>
  <c r="M274" i="6"/>
  <c r="Y270" i="6"/>
  <c r="X261" i="6"/>
  <c r="X257" i="6"/>
  <c r="AC275" i="6"/>
  <c r="V367" i="6"/>
  <c r="AA361" i="6"/>
  <c r="Q361" i="6"/>
  <c r="AC356" i="6"/>
  <c r="T348" i="6"/>
  <c r="AD329" i="6"/>
  <c r="Y319" i="6"/>
  <c r="W313" i="6"/>
  <c r="O313" i="6"/>
  <c r="Y312" i="6"/>
  <c r="M308" i="6"/>
  <c r="U301" i="6"/>
  <c r="U300" i="6"/>
  <c r="AC299" i="6"/>
  <c r="W295" i="6"/>
  <c r="P292" i="6"/>
  <c r="AC288" i="6"/>
  <c r="P288" i="6"/>
  <c r="P284" i="6"/>
  <c r="Z271" i="6"/>
  <c r="AA264" i="6"/>
  <c r="P264" i="6"/>
  <c r="AA263" i="6"/>
  <c r="T261" i="6"/>
  <c r="X370" i="6"/>
  <c r="Y368" i="6"/>
  <c r="O361" i="6"/>
  <c r="AD313" i="6"/>
  <c r="V313" i="6"/>
  <c r="N313" i="6"/>
  <c r="U312" i="6"/>
  <c r="S300" i="6"/>
  <c r="AA296" i="6"/>
  <c r="Y264" i="6"/>
  <c r="O264" i="6"/>
  <c r="V263" i="6"/>
  <c r="P261" i="6"/>
  <c r="AA374" i="6"/>
  <c r="Z374" i="6"/>
  <c r="R367" i="6"/>
  <c r="Y364" i="6"/>
  <c r="Z361" i="6"/>
  <c r="Y365" i="6"/>
  <c r="N364" i="6"/>
  <c r="X362" i="6"/>
  <c r="Y361" i="6"/>
  <c r="N361" i="6"/>
  <c r="R356" i="6"/>
  <c r="T349" i="6"/>
  <c r="AC313" i="6"/>
  <c r="M313" i="6"/>
  <c r="Q312" i="6"/>
  <c r="AC279" i="6"/>
  <c r="N261" i="6"/>
  <c r="AC213" i="6"/>
  <c r="Y356" i="6"/>
  <c r="R374" i="6"/>
  <c r="U373" i="6"/>
  <c r="N370" i="6"/>
  <c r="S369" i="6"/>
  <c r="Q367" i="6"/>
  <c r="Y327" i="6"/>
  <c r="T326" i="6"/>
  <c r="Q324" i="6"/>
  <c r="T319" i="6"/>
  <c r="U313" i="6"/>
  <c r="P300" i="6"/>
  <c r="U296" i="6"/>
  <c r="X264" i="6"/>
  <c r="M264" i="6"/>
  <c r="S263" i="6"/>
  <c r="Y375" i="6"/>
  <c r="N374" i="6"/>
  <c r="T373" i="6"/>
  <c r="AC372" i="6"/>
  <c r="Y371" i="6"/>
  <c r="R369" i="6"/>
  <c r="N367" i="6"/>
  <c r="R366" i="6"/>
  <c r="T365" i="6"/>
  <c r="W361" i="6"/>
  <c r="M361" i="6"/>
  <c r="AD358" i="6"/>
  <c r="M357" i="6"/>
  <c r="N356" i="6"/>
  <c r="AC354" i="6"/>
  <c r="T346" i="6"/>
  <c r="AC330" i="6"/>
  <c r="U327" i="6"/>
  <c r="M326" i="6"/>
  <c r="M324" i="6"/>
  <c r="X322" i="6"/>
  <c r="S319" i="6"/>
  <c r="AB313" i="6"/>
  <c r="T313" i="6"/>
  <c r="L313" i="6"/>
  <c r="M312" i="6"/>
  <c r="X310" i="6"/>
  <c r="AA304" i="6"/>
  <c r="M300" i="6"/>
  <c r="U299" i="6"/>
  <c r="X293" i="6"/>
  <c r="AB292" i="6"/>
  <c r="P289" i="6"/>
  <c r="X288" i="6"/>
  <c r="AB286" i="6"/>
  <c r="U282" i="6"/>
  <c r="T279" i="6"/>
  <c r="Y275" i="6"/>
  <c r="W274" i="6"/>
  <c r="Y269" i="6"/>
  <c r="Q268" i="6"/>
  <c r="W264" i="6"/>
  <c r="L264" i="6"/>
  <c r="Q263" i="6"/>
  <c r="AD261" i="6"/>
  <c r="M261" i="6"/>
  <c r="Y235" i="6"/>
  <c r="W229" i="6"/>
  <c r="V361" i="6"/>
  <c r="AD350" i="6"/>
  <c r="X341" i="6"/>
  <c r="S327" i="6"/>
  <c r="O319" i="6"/>
  <c r="AA313" i="6"/>
  <c r="S313" i="6"/>
  <c r="S299" i="6"/>
  <c r="U293" i="6"/>
  <c r="Z292" i="6"/>
  <c r="V288" i="6"/>
  <c r="X286" i="6"/>
  <c r="Q282" i="6"/>
  <c r="U275" i="6"/>
  <c r="U264" i="6"/>
  <c r="AC261" i="6"/>
  <c r="U361" i="6"/>
  <c r="V341" i="6"/>
  <c r="N327" i="6"/>
  <c r="M319" i="6"/>
  <c r="Z313" i="6"/>
  <c r="R313" i="6"/>
  <c r="AC300" i="6"/>
  <c r="O299" i="6"/>
  <c r="U286" i="6"/>
  <c r="M282" i="6"/>
  <c r="R275" i="6"/>
  <c r="T264" i="6"/>
  <c r="Z261" i="6"/>
  <c r="Y241" i="6"/>
  <c r="Z230" i="6"/>
  <c r="AC373" i="6"/>
  <c r="N372" i="6"/>
  <c r="AC369" i="6"/>
  <c r="Y367" i="6"/>
  <c r="AC361" i="6"/>
  <c r="R361" i="6"/>
  <c r="M359" i="6"/>
  <c r="R355" i="6"/>
  <c r="X348" i="6"/>
  <c r="AD323" i="6"/>
  <c r="AB319" i="6"/>
  <c r="X313" i="6"/>
  <c r="AC312" i="6"/>
  <c r="V311" i="6"/>
  <c r="Q308" i="6"/>
  <c r="X300" i="6"/>
  <c r="AD299" i="6"/>
  <c r="M299" i="6"/>
  <c r="AC295" i="6"/>
  <c r="R292" i="6"/>
  <c r="M286" i="6"/>
  <c r="S284" i="6"/>
  <c r="S270" i="6"/>
  <c r="AB264" i="6"/>
  <c r="T262" i="6"/>
  <c r="U261" i="6"/>
  <c r="AA260" i="6"/>
  <c r="O241" i="6"/>
  <c r="U234" i="6"/>
  <c r="S230" i="6"/>
  <c r="S218" i="6"/>
  <c r="X243" i="6"/>
  <c r="S229" i="6"/>
  <c r="AA228" i="6"/>
  <c r="AA227" i="6"/>
  <c r="S225" i="6"/>
  <c r="AA224" i="6"/>
  <c r="Y215" i="6"/>
  <c r="O215" i="6"/>
  <c r="Y214" i="6"/>
  <c r="X338" i="6"/>
  <c r="AC338" i="6"/>
  <c r="N333" i="6"/>
  <c r="Q333" i="6"/>
  <c r="AB333" i="6"/>
  <c r="R277" i="6"/>
  <c r="N277" i="6"/>
  <c r="T276" i="6"/>
  <c r="Y276" i="6"/>
  <c r="M276" i="6"/>
  <c r="AC276" i="6"/>
  <c r="AA369" i="6"/>
  <c r="Q369" i="6"/>
  <c r="X364" i="6"/>
  <c r="AC363" i="6"/>
  <c r="AB359" i="6"/>
  <c r="W359" i="6"/>
  <c r="Q359" i="6"/>
  <c r="L359" i="6"/>
  <c r="X357" i="6"/>
  <c r="Q357" i="6"/>
  <c r="Y354" i="6"/>
  <c r="M354" i="6"/>
  <c r="AA351" i="6"/>
  <c r="W351" i="6"/>
  <c r="S351" i="6"/>
  <c r="O351" i="6"/>
  <c r="AC350" i="6"/>
  <c r="M349" i="6"/>
  <c r="P347" i="6"/>
  <c r="Z343" i="6"/>
  <c r="O343" i="6"/>
  <c r="AC339" i="6"/>
  <c r="S339" i="6"/>
  <c r="M338" i="6"/>
  <c r="W337" i="6"/>
  <c r="P337" i="6"/>
  <c r="X334" i="6"/>
  <c r="X333" i="6"/>
  <c r="L333" i="6"/>
  <c r="U332" i="6"/>
  <c r="M332" i="6"/>
  <c r="Q331" i="6"/>
  <c r="R331" i="6"/>
  <c r="AD331" i="6"/>
  <c r="AC326" i="6"/>
  <c r="AC302" i="6"/>
  <c r="S302" i="6"/>
  <c r="AC298" i="6"/>
  <c r="O296" i="6"/>
  <c r="M296" i="6"/>
  <c r="X296" i="6"/>
  <c r="S296" i="6"/>
  <c r="AC296" i="6"/>
  <c r="Z277" i="6"/>
  <c r="O276" i="6"/>
  <c r="N323" i="6"/>
  <c r="Y323" i="6"/>
  <c r="T311" i="6"/>
  <c r="M311" i="6"/>
  <c r="AB311" i="6"/>
  <c r="P290" i="6"/>
  <c r="V290" i="6"/>
  <c r="AC290" i="6"/>
  <c r="Q290" i="6"/>
  <c r="X290" i="6"/>
  <c r="L290" i="6"/>
  <c r="R290" i="6"/>
  <c r="Z290" i="6"/>
  <c r="O272" i="6"/>
  <c r="W272" i="6"/>
  <c r="AC272" i="6"/>
  <c r="Q272" i="6"/>
  <c r="X272" i="6"/>
  <c r="L272" i="6"/>
  <c r="S272" i="6"/>
  <c r="Y272" i="6"/>
  <c r="W374" i="6"/>
  <c r="V369" i="6"/>
  <c r="N368" i="6"/>
  <c r="M364" i="6"/>
  <c r="M363" i="6"/>
  <c r="S374" i="6"/>
  <c r="X372" i="6"/>
  <c r="AC371" i="6"/>
  <c r="M371" i="6"/>
  <c r="Z369" i="6"/>
  <c r="U369" i="6"/>
  <c r="O369" i="6"/>
  <c r="AC367" i="6"/>
  <c r="U367" i="6"/>
  <c r="M367" i="6"/>
  <c r="U365" i="6"/>
  <c r="L365" i="6"/>
  <c r="AD364" i="6"/>
  <c r="T364" i="6"/>
  <c r="Y363" i="6"/>
  <c r="N362" i="6"/>
  <c r="AA359" i="6"/>
  <c r="U359" i="6"/>
  <c r="P359" i="6"/>
  <c r="R358" i="6"/>
  <c r="AC357" i="6"/>
  <c r="W357" i="6"/>
  <c r="P357" i="6"/>
  <c r="X354" i="6"/>
  <c r="N353" i="6"/>
  <c r="AD351" i="6"/>
  <c r="Z351" i="6"/>
  <c r="V351" i="6"/>
  <c r="R351" i="6"/>
  <c r="Y348" i="6"/>
  <c r="M348" i="6"/>
  <c r="AD347" i="6"/>
  <c r="Y346" i="6"/>
  <c r="V345" i="6"/>
  <c r="Y343" i="6"/>
  <c r="AB342" i="6"/>
  <c r="T342" i="6"/>
  <c r="AD341" i="6"/>
  <c r="M341" i="6"/>
  <c r="AB339" i="6"/>
  <c r="Q339" i="6"/>
  <c r="U337" i="6"/>
  <c r="V333" i="6"/>
  <c r="Q332" i="6"/>
  <c r="AB331" i="6"/>
  <c r="L331" i="6"/>
  <c r="X325" i="6"/>
  <c r="R325" i="6"/>
  <c r="X321" i="6"/>
  <c r="P317" i="6"/>
  <c r="L317" i="6"/>
  <c r="AB317" i="6"/>
  <c r="T317" i="6"/>
  <c r="O303" i="6"/>
  <c r="N303" i="6"/>
  <c r="R281" i="6"/>
  <c r="Y281" i="6"/>
  <c r="AD281" i="6"/>
  <c r="P281" i="6"/>
  <c r="P267" i="6"/>
  <c r="R267" i="6"/>
  <c r="Z267" i="6"/>
  <c r="T267" i="6"/>
  <c r="AC267" i="6"/>
  <c r="M267" i="6"/>
  <c r="U267" i="6"/>
  <c r="M266" i="6"/>
  <c r="U266" i="6"/>
  <c r="AA266" i="6"/>
  <c r="P266" i="6"/>
  <c r="AC266" i="6"/>
  <c r="P247" i="6"/>
  <c r="U247" i="6"/>
  <c r="P237" i="6"/>
  <c r="U237" i="6"/>
  <c r="Q226" i="6"/>
  <c r="S226" i="6"/>
  <c r="AC364" i="6"/>
  <c r="U363" i="6"/>
  <c r="Y359" i="6"/>
  <c r="T359" i="6"/>
  <c r="O359" i="6"/>
  <c r="AD354" i="6"/>
  <c r="T354" i="6"/>
  <c r="V343" i="6"/>
  <c r="T334" i="6"/>
  <c r="U334" i="6"/>
  <c r="R333" i="6"/>
  <c r="L326" i="6"/>
  <c r="U326" i="6"/>
  <c r="P326" i="6"/>
  <c r="AB326" i="6"/>
  <c r="N315" i="6"/>
  <c r="R315" i="6"/>
  <c r="AC315" i="6"/>
  <c r="M315" i="6"/>
  <c r="X315" i="6"/>
  <c r="AC311" i="6"/>
  <c r="O305" i="6"/>
  <c r="Y305" i="6"/>
  <c r="N305" i="6"/>
  <c r="AB290" i="6"/>
  <c r="U287" i="6"/>
  <c r="X287" i="6"/>
  <c r="N287" i="6"/>
  <c r="AC287" i="6"/>
  <c r="AB272" i="6"/>
  <c r="AC247" i="6"/>
  <c r="P238" i="6"/>
  <c r="N238" i="6"/>
  <c r="AA226" i="6"/>
  <c r="Z295" i="6"/>
  <c r="O295" i="6"/>
  <c r="U291" i="6"/>
  <c r="AC286" i="6"/>
  <c r="V286" i="6"/>
  <c r="P286" i="6"/>
  <c r="AB280" i="6"/>
  <c r="U279" i="6"/>
  <c r="AD275" i="6"/>
  <c r="X275" i="6"/>
  <c r="P275" i="6"/>
  <c r="AA274" i="6"/>
  <c r="P274" i="6"/>
  <c r="AD271" i="6"/>
  <c r="P271" i="6"/>
  <c r="U270" i="6"/>
  <c r="U269" i="6"/>
  <c r="Y265" i="6"/>
  <c r="X319" i="6"/>
  <c r="Q319" i="6"/>
  <c r="AB308" i="6"/>
  <c r="S308" i="6"/>
  <c r="AD295" i="6"/>
  <c r="U295" i="6"/>
  <c r="M295" i="6"/>
  <c r="X292" i="6"/>
  <c r="AC291" i="6"/>
  <c r="Z286" i="6"/>
  <c r="R286" i="6"/>
  <c r="U284" i="6"/>
  <c r="P283" i="6"/>
  <c r="AB282" i="6"/>
  <c r="M280" i="6"/>
  <c r="AD279" i="6"/>
  <c r="Z275" i="6"/>
  <c r="T275" i="6"/>
  <c r="AC274" i="6"/>
  <c r="U274" i="6"/>
  <c r="Y273" i="6"/>
  <c r="X271" i="6"/>
  <c r="AC270" i="6"/>
  <c r="O270" i="6"/>
  <c r="Z269" i="6"/>
  <c r="M269" i="6"/>
  <c r="AC268" i="6"/>
  <c r="T268" i="6"/>
  <c r="R265" i="6"/>
  <c r="Y261" i="6"/>
  <c r="P245" i="6"/>
  <c r="S243" i="6"/>
  <c r="X231" i="6"/>
  <c r="AD230" i="6"/>
  <c r="O230" i="6"/>
  <c r="O216" i="6"/>
  <c r="AC215" i="6"/>
  <c r="L323" i="6"/>
  <c r="P323" i="6"/>
  <c r="T323" i="6"/>
  <c r="X323" i="6"/>
  <c r="AB323" i="6"/>
  <c r="O321" i="6"/>
  <c r="T321" i="6"/>
  <c r="Y321" i="6"/>
  <c r="P321" i="6"/>
  <c r="U321" i="6"/>
  <c r="AA321" i="6"/>
  <c r="Q297" i="6"/>
  <c r="R297" i="6"/>
  <c r="O297" i="6"/>
  <c r="Y297" i="6"/>
  <c r="S297" i="6"/>
  <c r="Z297" i="6"/>
  <c r="M297" i="6"/>
  <c r="U297" i="6"/>
  <c r="AC297" i="6"/>
  <c r="AC358" i="6"/>
  <c r="M355" i="6"/>
  <c r="P335" i="6"/>
  <c r="M335" i="6"/>
  <c r="U335" i="6"/>
  <c r="M329" i="6"/>
  <c r="R329" i="6"/>
  <c r="W329" i="6"/>
  <c r="AC329" i="6"/>
  <c r="Q375" i="6"/>
  <c r="X373" i="6"/>
  <c r="P373" i="6"/>
  <c r="M370" i="6"/>
  <c r="AB367" i="6"/>
  <c r="X367" i="6"/>
  <c r="T367" i="6"/>
  <c r="P367" i="6"/>
  <c r="L367" i="6"/>
  <c r="X365" i="6"/>
  <c r="P365" i="6"/>
  <c r="M362" i="6"/>
  <c r="M360" i="6"/>
  <c r="AD359" i="6"/>
  <c r="Z359" i="6"/>
  <c r="V359" i="6"/>
  <c r="R359" i="6"/>
  <c r="Y358" i="6"/>
  <c r="X356" i="6"/>
  <c r="M356" i="6"/>
  <c r="AC355" i="6"/>
  <c r="AC348" i="6"/>
  <c r="N347" i="6"/>
  <c r="AC347" i="6"/>
  <c r="N345" i="6"/>
  <c r="U344" i="6"/>
  <c r="AD343" i="6"/>
  <c r="AC341" i="6"/>
  <c r="T341" i="6"/>
  <c r="AA339" i="6"/>
  <c r="U339" i="6"/>
  <c r="P339" i="6"/>
  <c r="AB338" i="6"/>
  <c r="AA335" i="6"/>
  <c r="O335" i="6"/>
  <c r="Z333" i="6"/>
  <c r="U333" i="6"/>
  <c r="P333" i="6"/>
  <c r="Y331" i="6"/>
  <c r="AA329" i="6"/>
  <c r="U329" i="6"/>
  <c r="N329" i="6"/>
  <c r="Z327" i="6"/>
  <c r="Q326" i="6"/>
  <c r="Y326" i="6"/>
  <c r="AC323" i="6"/>
  <c r="W323" i="6"/>
  <c r="R323" i="6"/>
  <c r="M323" i="6"/>
  <c r="W321" i="6"/>
  <c r="L321" i="6"/>
  <c r="AC320" i="6"/>
  <c r="Y317" i="6"/>
  <c r="Q317" i="6"/>
  <c r="P311" i="6"/>
  <c r="Q311" i="6"/>
  <c r="X311" i="6"/>
  <c r="AD311" i="6"/>
  <c r="L311" i="6"/>
  <c r="R311" i="6"/>
  <c r="Y311" i="6"/>
  <c r="N297" i="6"/>
  <c r="N358" i="6"/>
  <c r="Y370" i="6"/>
  <c r="AA367" i="6"/>
  <c r="W367" i="6"/>
  <c r="S367" i="6"/>
  <c r="Y362" i="6"/>
  <c r="AC360" i="6"/>
  <c r="AD356" i="6"/>
  <c r="N343" i="6"/>
  <c r="U343" i="6"/>
  <c r="AA343" i="6"/>
  <c r="AB341" i="6"/>
  <c r="Y339" i="6"/>
  <c r="T339" i="6"/>
  <c r="T338" i="6"/>
  <c r="M337" i="6"/>
  <c r="AB337" i="6"/>
  <c r="Y335" i="6"/>
  <c r="AD333" i="6"/>
  <c r="Y333" i="6"/>
  <c r="T333" i="6"/>
  <c r="P332" i="6"/>
  <c r="Y332" i="6"/>
  <c r="P331" i="6"/>
  <c r="N331" i="6"/>
  <c r="V331" i="6"/>
  <c r="AC331" i="6"/>
  <c r="Z329" i="6"/>
  <c r="S329" i="6"/>
  <c r="Q327" i="6"/>
  <c r="O327" i="6"/>
  <c r="W327" i="6"/>
  <c r="AD327" i="6"/>
  <c r="AC324" i="6"/>
  <c r="AA323" i="6"/>
  <c r="V323" i="6"/>
  <c r="Q323" i="6"/>
  <c r="AC321" i="6"/>
  <c r="S321" i="6"/>
  <c r="X317" i="6"/>
  <c r="AC314" i="6"/>
  <c r="U314" i="6"/>
  <c r="L341" i="6"/>
  <c r="R341" i="6"/>
  <c r="Y341" i="6"/>
  <c r="N339" i="6"/>
  <c r="R339" i="6"/>
  <c r="V339" i="6"/>
  <c r="Z339" i="6"/>
  <c r="AD339" i="6"/>
  <c r="T335" i="6"/>
  <c r="O333" i="6"/>
  <c r="S333" i="6"/>
  <c r="W333" i="6"/>
  <c r="AA333" i="6"/>
  <c r="Y329" i="6"/>
  <c r="Q329" i="6"/>
  <c r="Z323" i="6"/>
  <c r="U323" i="6"/>
  <c r="O323" i="6"/>
  <c r="AB321" i="6"/>
  <c r="Q321" i="6"/>
  <c r="N317" i="6"/>
  <c r="R317" i="6"/>
  <c r="V317" i="6"/>
  <c r="Z317" i="6"/>
  <c r="AD317" i="6"/>
  <c r="O317" i="6"/>
  <c r="S317" i="6"/>
  <c r="W317" i="6"/>
  <c r="AA317" i="6"/>
  <c r="O309" i="6"/>
  <c r="N309" i="6"/>
  <c r="Q301" i="6"/>
  <c r="O301" i="6"/>
  <c r="W301" i="6"/>
  <c r="AD301" i="6"/>
  <c r="R301" i="6"/>
  <c r="Y301" i="6"/>
  <c r="M301" i="6"/>
  <c r="S301" i="6"/>
  <c r="Z301" i="6"/>
  <c r="AD297" i="6"/>
  <c r="L293" i="6"/>
  <c r="Q293" i="6"/>
  <c r="V293" i="6"/>
  <c r="AA293" i="6"/>
  <c r="L291" i="6"/>
  <c r="Q291" i="6"/>
  <c r="V291" i="6"/>
  <c r="AB291" i="6"/>
  <c r="L289" i="6"/>
  <c r="Q289" i="6"/>
  <c r="V289" i="6"/>
  <c r="AB289" i="6"/>
  <c r="L287" i="6"/>
  <c r="Q287" i="6"/>
  <c r="V287" i="6"/>
  <c r="AB287" i="6"/>
  <c r="AD283" i="6"/>
  <c r="X283" i="6"/>
  <c r="N283" i="6"/>
  <c r="AA280" i="6"/>
  <c r="S280" i="6"/>
  <c r="L280" i="6"/>
  <c r="Y277" i="6"/>
  <c r="M277" i="6"/>
  <c r="M262" i="6"/>
  <c r="AC322" i="6"/>
  <c r="AC310" i="6"/>
  <c r="AC308" i="6"/>
  <c r="W308" i="6"/>
  <c r="P308" i="6"/>
  <c r="U305" i="6"/>
  <c r="X304" i="6"/>
  <c r="M304" i="6"/>
  <c r="Z293" i="6"/>
  <c r="T293" i="6"/>
  <c r="M293" i="6"/>
  <c r="Z291" i="6"/>
  <c r="T291" i="6"/>
  <c r="M291" i="6"/>
  <c r="Z289" i="6"/>
  <c r="T289" i="6"/>
  <c r="M289" i="6"/>
  <c r="Z287" i="6"/>
  <c r="T287" i="6"/>
  <c r="M287" i="6"/>
  <c r="T285" i="6"/>
  <c r="Z285" i="6"/>
  <c r="AC283" i="6"/>
  <c r="U283" i="6"/>
  <c r="X280" i="6"/>
  <c r="Q280" i="6"/>
  <c r="P279" i="6"/>
  <c r="Z279" i="6"/>
  <c r="U277" i="6"/>
  <c r="S276" i="6"/>
  <c r="AB276" i="6"/>
  <c r="O258" i="6"/>
  <c r="T258" i="6"/>
  <c r="Y258" i="6"/>
  <c r="P258" i="6"/>
  <c r="U258" i="6"/>
  <c r="AA258" i="6"/>
  <c r="L258" i="6"/>
  <c r="Q258" i="6"/>
  <c r="W258" i="6"/>
  <c r="AB258" i="6"/>
  <c r="U304" i="6"/>
  <c r="AD293" i="6"/>
  <c r="Y293" i="6"/>
  <c r="R293" i="6"/>
  <c r="O292" i="6"/>
  <c r="N292" i="6"/>
  <c r="T292" i="6"/>
  <c r="Y292" i="6"/>
  <c r="AD292" i="6"/>
  <c r="Y291" i="6"/>
  <c r="R291" i="6"/>
  <c r="O290" i="6"/>
  <c r="N290" i="6"/>
  <c r="T290" i="6"/>
  <c r="Y290" i="6"/>
  <c r="AD290" i="6"/>
  <c r="Y289" i="6"/>
  <c r="R289" i="6"/>
  <c r="O288" i="6"/>
  <c r="N288" i="6"/>
  <c r="T288" i="6"/>
  <c r="Y288" i="6"/>
  <c r="AD288" i="6"/>
  <c r="Y287" i="6"/>
  <c r="R287" i="6"/>
  <c r="O286" i="6"/>
  <c r="N286" i="6"/>
  <c r="T286" i="6"/>
  <c r="Y286" i="6"/>
  <c r="AD286" i="6"/>
  <c r="V285" i="6"/>
  <c r="M285" i="6"/>
  <c r="AB283" i="6"/>
  <c r="P282" i="6"/>
  <c r="W282" i="6"/>
  <c r="AC282" i="6"/>
  <c r="AC280" i="6"/>
  <c r="W280" i="6"/>
  <c r="X279" i="6"/>
  <c r="M279" i="6"/>
  <c r="W276" i="6"/>
  <c r="L276" i="6"/>
  <c r="P272" i="6"/>
  <c r="U272" i="6"/>
  <c r="AA272" i="6"/>
  <c r="M283" i="6"/>
  <c r="T283" i="6"/>
  <c r="Z283" i="6"/>
  <c r="O280" i="6"/>
  <c r="T280" i="6"/>
  <c r="Y280" i="6"/>
  <c r="T277" i="6"/>
  <c r="AC277" i="6"/>
  <c r="P262" i="6"/>
  <c r="O262" i="6"/>
  <c r="W262" i="6"/>
  <c r="AC262" i="6"/>
  <c r="Q262" i="6"/>
  <c r="X262" i="6"/>
  <c r="L262" i="6"/>
  <c r="S262" i="6"/>
  <c r="Y262" i="6"/>
  <c r="M237" i="6"/>
  <c r="O235" i="6"/>
  <c r="S228" i="6"/>
  <c r="S224" i="6"/>
  <c r="Y268" i="6"/>
  <c r="S268" i="6"/>
  <c r="AD267" i="6"/>
  <c r="X267" i="6"/>
  <c r="X266" i="6"/>
  <c r="AC265" i="6"/>
  <c r="N257" i="6"/>
  <c r="AA256" i="6"/>
  <c r="N254" i="6"/>
  <c r="P253" i="6"/>
  <c r="V252" i="6"/>
  <c r="O247" i="6"/>
  <c r="P242" i="6"/>
  <c r="P234" i="6"/>
  <c r="Y233" i="6"/>
  <c r="N232" i="6"/>
  <c r="O218" i="6"/>
  <c r="AA217" i="6"/>
  <c r="W215" i="6"/>
  <c r="M215" i="6"/>
  <c r="AB237" i="6"/>
  <c r="U215" i="6"/>
  <c r="AD257" i="6"/>
  <c r="U257" i="6"/>
  <c r="M257" i="6"/>
  <c r="AC257" i="6"/>
  <c r="T257" i="6"/>
  <c r="U256" i="6"/>
  <c r="Z257" i="6"/>
  <c r="P257" i="6"/>
  <c r="AD254" i="6"/>
  <c r="S252" i="6"/>
  <c r="U251" i="6"/>
  <c r="P248" i="6"/>
  <c r="P256" i="6"/>
  <c r="Y254" i="6"/>
  <c r="X249" i="6"/>
  <c r="AC253" i="6"/>
  <c r="X256" i="6"/>
  <c r="M256" i="6"/>
  <c r="AC255" i="6"/>
  <c r="Z253" i="6"/>
  <c r="M251" i="6"/>
  <c r="W249" i="6"/>
  <c r="AA247" i="6"/>
  <c r="M247" i="6"/>
  <c r="M245" i="6"/>
  <c r="R244" i="6"/>
  <c r="T242" i="6"/>
  <c r="AB239" i="6"/>
  <c r="S237" i="6"/>
  <c r="X235" i="6"/>
  <c r="M235" i="6"/>
  <c r="M232" i="6"/>
  <c r="Y230" i="6"/>
  <c r="Q230" i="6"/>
  <c r="W228" i="6"/>
  <c r="W226" i="6"/>
  <c r="W224" i="6"/>
  <c r="T235" i="6"/>
  <c r="AC256" i="6"/>
  <c r="M253" i="6"/>
  <c r="L249" i="6"/>
  <c r="T247" i="6"/>
  <c r="W245" i="6"/>
  <c r="Z242" i="6"/>
  <c r="AA241" i="6"/>
  <c r="X237" i="6"/>
  <c r="L237" i="6"/>
  <c r="Y236" i="6"/>
  <c r="AC235" i="6"/>
  <c r="S235" i="6"/>
  <c r="O233" i="6"/>
  <c r="AC232" i="6"/>
  <c r="AA230" i="6"/>
  <c r="U230" i="6"/>
  <c r="O228" i="6"/>
  <c r="O226" i="6"/>
  <c r="O224" i="6"/>
  <c r="AA215" i="6"/>
  <c r="S215" i="6"/>
  <c r="R240" i="6"/>
  <c r="V253" i="6"/>
  <c r="L253" i="6"/>
  <c r="AD252" i="6"/>
  <c r="O252" i="6"/>
  <c r="Z251" i="6"/>
  <c r="L251" i="6"/>
  <c r="AC249" i="6"/>
  <c r="S249" i="6"/>
  <c r="U233" i="6"/>
  <c r="M233" i="6"/>
  <c r="S217" i="6"/>
  <c r="Q214" i="6"/>
  <c r="N240" i="6"/>
  <c r="U238" i="6"/>
  <c r="M238" i="6"/>
  <c r="P236" i="6"/>
  <c r="U253" i="6"/>
  <c r="X251" i="6"/>
  <c r="AB249" i="6"/>
  <c r="Q249" i="6"/>
  <c r="N248" i="6"/>
  <c r="M243" i="6"/>
  <c r="U241" i="6"/>
  <c r="M241" i="6"/>
  <c r="AC240" i="6"/>
  <c r="M239" i="6"/>
  <c r="AC238" i="6"/>
  <c r="T238" i="6"/>
  <c r="AA237" i="6"/>
  <c r="Q237" i="6"/>
  <c r="AB235" i="6"/>
  <c r="W235" i="6"/>
  <c r="Q235" i="6"/>
  <c r="L235" i="6"/>
  <c r="AD234" i="6"/>
  <c r="N234" i="6"/>
  <c r="AC233" i="6"/>
  <c r="T233" i="6"/>
  <c r="Z232" i="6"/>
  <c r="S222" i="6"/>
  <c r="AA221" i="6"/>
  <c r="S220" i="6"/>
  <c r="W218" i="6"/>
  <c r="W216" i="6"/>
  <c r="U213" i="6"/>
  <c r="AC243" i="6"/>
  <c r="AC241" i="6"/>
  <c r="T241" i="6"/>
  <c r="Z240" i="6"/>
  <c r="Z238" i="6"/>
  <c r="R238" i="6"/>
  <c r="AA235" i="6"/>
  <c r="U235" i="6"/>
  <c r="AA233" i="6"/>
  <c r="S233" i="6"/>
  <c r="AC254" i="6"/>
  <c r="W254" i="6"/>
  <c r="R254" i="6"/>
  <c r="M254" i="6"/>
  <c r="AA254" i="6"/>
  <c r="V254" i="6"/>
  <c r="Q254" i="6"/>
  <c r="Q251" i="6"/>
  <c r="AA249" i="6"/>
  <c r="U249" i="6"/>
  <c r="P249" i="6"/>
  <c r="X248" i="6"/>
  <c r="Y247" i="6"/>
  <c r="S247" i="6"/>
  <c r="Z246" i="6"/>
  <c r="M246" i="6"/>
  <c r="AC245" i="6"/>
  <c r="U245" i="6"/>
  <c r="AB243" i="6"/>
  <c r="W243" i="6"/>
  <c r="Q243" i="6"/>
  <c r="L243" i="6"/>
  <c r="X241" i="6"/>
  <c r="Y240" i="6"/>
  <c r="Y239" i="6"/>
  <c r="L239" i="6"/>
  <c r="AD238" i="6"/>
  <c r="X238" i="6"/>
  <c r="X236" i="6"/>
  <c r="N236" i="6"/>
  <c r="X233" i="6"/>
  <c r="U232" i="6"/>
  <c r="O222" i="6"/>
  <c r="O220" i="6"/>
  <c r="Z254" i="6"/>
  <c r="U254" i="6"/>
  <c r="Y249" i="6"/>
  <c r="T249" i="6"/>
  <c r="X247" i="6"/>
  <c r="U246" i="6"/>
  <c r="AB245" i="6"/>
  <c r="AA243" i="6"/>
  <c r="U243" i="6"/>
  <c r="P243" i="6"/>
  <c r="T239" i="6"/>
  <c r="AD236" i="6"/>
  <c r="U236" i="6"/>
  <c r="T232" i="6"/>
  <c r="AA222" i="6"/>
  <c r="S221" i="6"/>
  <c r="AA220" i="6"/>
  <c r="Y243" i="6"/>
  <c r="T243" i="6"/>
  <c r="S239" i="6"/>
  <c r="AC236" i="6"/>
  <c r="W222" i="6"/>
  <c r="W220" i="6"/>
  <c r="O355" i="6"/>
  <c r="S355" i="6"/>
  <c r="W355" i="6"/>
  <c r="AA355" i="6"/>
  <c r="L353" i="6"/>
  <c r="P353" i="6"/>
  <c r="T353" i="6"/>
  <c r="X353" i="6"/>
  <c r="AB353" i="6"/>
  <c r="O353" i="6"/>
  <c r="U353" i="6"/>
  <c r="Z353" i="6"/>
  <c r="N349" i="6"/>
  <c r="R349" i="6"/>
  <c r="V349" i="6"/>
  <c r="Z349" i="6"/>
  <c r="AD349" i="6"/>
  <c r="P349" i="6"/>
  <c r="U349" i="6"/>
  <c r="AA349" i="6"/>
  <c r="L345" i="6"/>
  <c r="P345" i="6"/>
  <c r="T345" i="6"/>
  <c r="X345" i="6"/>
  <c r="AB345" i="6"/>
  <c r="O345" i="6"/>
  <c r="U345" i="6"/>
  <c r="Z345" i="6"/>
  <c r="P340" i="6"/>
  <c r="Y340" i="6"/>
  <c r="U340" i="6"/>
  <c r="AC328" i="6"/>
  <c r="M328" i="6"/>
  <c r="AC325" i="6"/>
  <c r="T352" i="6"/>
  <c r="AD352" i="6"/>
  <c r="X352" i="6"/>
  <c r="X368" i="6"/>
  <c r="M368" i="6"/>
  <c r="X360" i="6"/>
  <c r="AB355" i="6"/>
  <c r="V355" i="6"/>
  <c r="Q355" i="6"/>
  <c r="L355" i="6"/>
  <c r="AA353" i="6"/>
  <c r="S353" i="6"/>
  <c r="M353" i="6"/>
  <c r="AC352" i="6"/>
  <c r="M352" i="6"/>
  <c r="Y349" i="6"/>
  <c r="S349" i="6"/>
  <c r="L349" i="6"/>
  <c r="AA345" i="6"/>
  <c r="S345" i="6"/>
  <c r="M345" i="6"/>
  <c r="M340" i="6"/>
  <c r="N337" i="6"/>
  <c r="R337" i="6"/>
  <c r="V337" i="6"/>
  <c r="Z337" i="6"/>
  <c r="AD337" i="6"/>
  <c r="O337" i="6"/>
  <c r="T337" i="6"/>
  <c r="Y337" i="6"/>
  <c r="AA373" i="6"/>
  <c r="W373" i="6"/>
  <c r="S373" i="6"/>
  <c r="O373" i="6"/>
  <c r="AB371" i="6"/>
  <c r="X371" i="6"/>
  <c r="T371" i="6"/>
  <c r="P371" i="6"/>
  <c r="L371" i="6"/>
  <c r="AD370" i="6"/>
  <c r="T370" i="6"/>
  <c r="AA365" i="6"/>
  <c r="W365" i="6"/>
  <c r="S365" i="6"/>
  <c r="O365" i="6"/>
  <c r="AB363" i="6"/>
  <c r="X363" i="6"/>
  <c r="T363" i="6"/>
  <c r="P363" i="6"/>
  <c r="L363" i="6"/>
  <c r="AD362" i="6"/>
  <c r="T362" i="6"/>
  <c r="O347" i="6"/>
  <c r="S347" i="6"/>
  <c r="W347" i="6"/>
  <c r="AA347" i="6"/>
  <c r="L347" i="6"/>
  <c r="Q347" i="6"/>
  <c r="V347" i="6"/>
  <c r="AB347" i="6"/>
  <c r="AC375" i="6"/>
  <c r="M375" i="6"/>
  <c r="AD374" i="6"/>
  <c r="V374" i="6"/>
  <c r="M374" i="6"/>
  <c r="AD373" i="6"/>
  <c r="Z373" i="6"/>
  <c r="V373" i="6"/>
  <c r="R373" i="6"/>
  <c r="AA371" i="6"/>
  <c r="W371" i="6"/>
  <c r="S371" i="6"/>
  <c r="O371" i="6"/>
  <c r="AC370" i="6"/>
  <c r="AB369" i="6"/>
  <c r="X369" i="6"/>
  <c r="T369" i="6"/>
  <c r="P369" i="6"/>
  <c r="AD368" i="6"/>
  <c r="T368" i="6"/>
  <c r="X366" i="6"/>
  <c r="AD365" i="6"/>
  <c r="Z365" i="6"/>
  <c r="V365" i="6"/>
  <c r="R365" i="6"/>
  <c r="AA363" i="6"/>
  <c r="W363" i="6"/>
  <c r="S363" i="6"/>
  <c r="O363" i="6"/>
  <c r="AC362" i="6"/>
  <c r="AB361" i="6"/>
  <c r="X361" i="6"/>
  <c r="T361" i="6"/>
  <c r="P361" i="6"/>
  <c r="AD360" i="6"/>
  <c r="R360" i="6"/>
  <c r="M358" i="6"/>
  <c r="X358" i="6"/>
  <c r="Y357" i="6"/>
  <c r="T357" i="6"/>
  <c r="Z355" i="6"/>
  <c r="U355" i="6"/>
  <c r="P355" i="6"/>
  <c r="Y353" i="6"/>
  <c r="R353" i="6"/>
  <c r="Y352" i="6"/>
  <c r="M350" i="6"/>
  <c r="X350" i="6"/>
  <c r="T350" i="6"/>
  <c r="X349" i="6"/>
  <c r="Q349" i="6"/>
  <c r="Z347" i="6"/>
  <c r="T347" i="6"/>
  <c r="M347" i="6"/>
  <c r="Y345" i="6"/>
  <c r="R345" i="6"/>
  <c r="M344" i="6"/>
  <c r="L343" i="6"/>
  <c r="P343" i="6"/>
  <c r="T343" i="6"/>
  <c r="X343" i="6"/>
  <c r="AB343" i="6"/>
  <c r="M343" i="6"/>
  <c r="R343" i="6"/>
  <c r="W343" i="6"/>
  <c r="AC343" i="6"/>
  <c r="O341" i="6"/>
  <c r="S341" i="6"/>
  <c r="W341" i="6"/>
  <c r="AA341" i="6"/>
  <c r="P341" i="6"/>
  <c r="U341" i="6"/>
  <c r="Z341" i="6"/>
  <c r="AA337" i="6"/>
  <c r="S337" i="6"/>
  <c r="L337" i="6"/>
  <c r="X335" i="6"/>
  <c r="O325" i="6"/>
  <c r="S325" i="6"/>
  <c r="W325" i="6"/>
  <c r="AA325" i="6"/>
  <c r="P325" i="6"/>
  <c r="U325" i="6"/>
  <c r="Z325" i="6"/>
  <c r="L325" i="6"/>
  <c r="Q325" i="6"/>
  <c r="V325" i="6"/>
  <c r="AB325" i="6"/>
  <c r="N325" i="6"/>
  <c r="T325" i="6"/>
  <c r="Y325" i="6"/>
  <c r="AD325" i="6"/>
  <c r="AD371" i="6"/>
  <c r="Z371" i="6"/>
  <c r="V371" i="6"/>
  <c r="R371" i="6"/>
  <c r="AC368" i="6"/>
  <c r="R368" i="6"/>
  <c r="AD363" i="6"/>
  <c r="Z363" i="6"/>
  <c r="V363" i="6"/>
  <c r="R363" i="6"/>
  <c r="N357" i="6"/>
  <c r="R357" i="6"/>
  <c r="V357" i="6"/>
  <c r="Z357" i="6"/>
  <c r="AD357" i="6"/>
  <c r="AD355" i="6"/>
  <c r="Y355" i="6"/>
  <c r="T355" i="6"/>
  <c r="N355" i="6"/>
  <c r="AD353" i="6"/>
  <c r="W353" i="6"/>
  <c r="Q353" i="6"/>
  <c r="R352" i="6"/>
  <c r="AC349" i="6"/>
  <c r="W349" i="6"/>
  <c r="O349" i="6"/>
  <c r="Y347" i="6"/>
  <c r="R347" i="6"/>
  <c r="AD345" i="6"/>
  <c r="W345" i="6"/>
  <c r="Q345" i="6"/>
  <c r="AC340" i="6"/>
  <c r="X337" i="6"/>
  <c r="Q337" i="6"/>
  <c r="N335" i="6"/>
  <c r="R335" i="6"/>
  <c r="V335" i="6"/>
  <c r="Z335" i="6"/>
  <c r="AD335" i="6"/>
  <c r="L335" i="6"/>
  <c r="Q335" i="6"/>
  <c r="W335" i="6"/>
  <c r="AB335" i="6"/>
  <c r="P330" i="6"/>
  <c r="AB330" i="6"/>
  <c r="T330" i="6"/>
  <c r="L330" i="6"/>
  <c r="X330" i="6"/>
  <c r="M325" i="6"/>
  <c r="R346" i="6"/>
  <c r="AC346" i="6"/>
  <c r="L338" i="6"/>
  <c r="U338" i="6"/>
  <c r="AC334" i="6"/>
  <c r="Z331" i="6"/>
  <c r="U331" i="6"/>
  <c r="L329" i="6"/>
  <c r="P329" i="6"/>
  <c r="T329" i="6"/>
  <c r="X329" i="6"/>
  <c r="AB329" i="6"/>
  <c r="AA327" i="6"/>
  <c r="V327" i="6"/>
  <c r="P324" i="6"/>
  <c r="Y324" i="6"/>
  <c r="AB322" i="6"/>
  <c r="M322" i="6"/>
  <c r="N321" i="6"/>
  <c r="R321" i="6"/>
  <c r="V321" i="6"/>
  <c r="Z321" i="6"/>
  <c r="AD321" i="6"/>
  <c r="AA319" i="6"/>
  <c r="U319" i="6"/>
  <c r="Q318" i="6"/>
  <c r="AB315" i="6"/>
  <c r="V315" i="6"/>
  <c r="Q315" i="6"/>
  <c r="L315" i="6"/>
  <c r="Z311" i="6"/>
  <c r="U311" i="6"/>
  <c r="Y310" i="6"/>
  <c r="M310" i="6"/>
  <c r="AD309" i="6"/>
  <c r="W309" i="6"/>
  <c r="AD307" i="6"/>
  <c r="Z305" i="6"/>
  <c r="S305" i="6"/>
  <c r="M305" i="6"/>
  <c r="Z303" i="6"/>
  <c r="M302" i="6"/>
  <c r="O298" i="6"/>
  <c r="X298" i="6"/>
  <c r="M298" i="6"/>
  <c r="Q309" i="6"/>
  <c r="V309" i="6"/>
  <c r="AA309" i="6"/>
  <c r="S306" i="6"/>
  <c r="AC306" i="6"/>
  <c r="R303" i="6"/>
  <c r="Y303" i="6"/>
  <c r="O294" i="6"/>
  <c r="X294" i="6"/>
  <c r="M294" i="6"/>
  <c r="Q334" i="6"/>
  <c r="Y334" i="6"/>
  <c r="O331" i="6"/>
  <c r="S331" i="6"/>
  <c r="W331" i="6"/>
  <c r="AA331" i="6"/>
  <c r="L327" i="6"/>
  <c r="P327" i="6"/>
  <c r="T327" i="6"/>
  <c r="X327" i="6"/>
  <c r="AB327" i="6"/>
  <c r="U320" i="6"/>
  <c r="N319" i="6"/>
  <c r="R319" i="6"/>
  <c r="V319" i="6"/>
  <c r="Z319" i="6"/>
  <c r="AD319" i="6"/>
  <c r="AD315" i="6"/>
  <c r="Y315" i="6"/>
  <c r="T315" i="6"/>
  <c r="N314" i="6"/>
  <c r="Y314" i="6"/>
  <c r="O311" i="6"/>
  <c r="S311" i="6"/>
  <c r="W311" i="6"/>
  <c r="AA311" i="6"/>
  <c r="Z309" i="6"/>
  <c r="S309" i="6"/>
  <c r="M309" i="6"/>
  <c r="S307" i="6"/>
  <c r="Y306" i="6"/>
  <c r="M306" i="6"/>
  <c r="AD305" i="6"/>
  <c r="W305" i="6"/>
  <c r="AD303" i="6"/>
  <c r="U303" i="6"/>
  <c r="M303" i="6"/>
  <c r="S294" i="6"/>
  <c r="L322" i="6"/>
  <c r="U322" i="6"/>
  <c r="O315" i="6"/>
  <c r="S315" i="6"/>
  <c r="W315" i="6"/>
  <c r="AA315" i="6"/>
  <c r="S310" i="6"/>
  <c r="AB310" i="6"/>
  <c r="Y309" i="6"/>
  <c r="R309" i="6"/>
  <c r="X306" i="6"/>
  <c r="Q305" i="6"/>
  <c r="V305" i="6"/>
  <c r="AA305" i="6"/>
  <c r="AC303" i="6"/>
  <c r="S303" i="6"/>
  <c r="O302" i="6"/>
  <c r="X302" i="6"/>
  <c r="N278" i="6"/>
  <c r="R278" i="6"/>
  <c r="V278" i="6"/>
  <c r="Z278" i="6"/>
  <c r="AD278" i="6"/>
  <c r="L278" i="6"/>
  <c r="Q278" i="6"/>
  <c r="W278" i="6"/>
  <c r="AB278" i="6"/>
  <c r="O273" i="6"/>
  <c r="L273" i="6"/>
  <c r="Q273" i="6"/>
  <c r="V273" i="6"/>
  <c r="AB273" i="6"/>
  <c r="M273" i="6"/>
  <c r="T273" i="6"/>
  <c r="Z273" i="6"/>
  <c r="N260" i="6"/>
  <c r="R260" i="6"/>
  <c r="V260" i="6"/>
  <c r="Z260" i="6"/>
  <c r="AD260" i="6"/>
  <c r="L260" i="6"/>
  <c r="Q260" i="6"/>
  <c r="W260" i="6"/>
  <c r="AB260" i="6"/>
  <c r="O260" i="6"/>
  <c r="T260" i="6"/>
  <c r="Y260" i="6"/>
  <c r="O259" i="6"/>
  <c r="L259" i="6"/>
  <c r="Q259" i="6"/>
  <c r="V259" i="6"/>
  <c r="AB259" i="6"/>
  <c r="P259" i="6"/>
  <c r="X259" i="6"/>
  <c r="AD259" i="6"/>
  <c r="M259" i="6"/>
  <c r="T259" i="6"/>
  <c r="Z259" i="6"/>
  <c r="L285" i="6"/>
  <c r="Q285" i="6"/>
  <c r="Y284" i="6"/>
  <c r="T284" i="6"/>
  <c r="AC281" i="6"/>
  <c r="AA278" i="6"/>
  <c r="T278" i="6"/>
  <c r="M278" i="6"/>
  <c r="N276" i="6"/>
  <c r="R276" i="6"/>
  <c r="V276" i="6"/>
  <c r="Z276" i="6"/>
  <c r="AD276" i="6"/>
  <c r="P276" i="6"/>
  <c r="U276" i="6"/>
  <c r="AA276" i="6"/>
  <c r="N274" i="6"/>
  <c r="R274" i="6"/>
  <c r="V274" i="6"/>
  <c r="Z274" i="6"/>
  <c r="AD274" i="6"/>
  <c r="O274" i="6"/>
  <c r="T274" i="6"/>
  <c r="Y274" i="6"/>
  <c r="X273" i="6"/>
  <c r="N273" i="6"/>
  <c r="O271" i="6"/>
  <c r="L271" i="6"/>
  <c r="Q271" i="6"/>
  <c r="V271" i="6"/>
  <c r="AB271" i="6"/>
  <c r="R271" i="6"/>
  <c r="Y271" i="6"/>
  <c r="X270" i="6"/>
  <c r="O269" i="6"/>
  <c r="L269" i="6"/>
  <c r="Q269" i="6"/>
  <c r="V269" i="6"/>
  <c r="AB269" i="6"/>
  <c r="P269" i="6"/>
  <c r="X269" i="6"/>
  <c r="AD269" i="6"/>
  <c r="X260" i="6"/>
  <c r="M260" i="6"/>
  <c r="AC259" i="6"/>
  <c r="N259" i="6"/>
  <c r="O255" i="6"/>
  <c r="L255" i="6"/>
  <c r="Q255" i="6"/>
  <c r="V255" i="6"/>
  <c r="AB255" i="6"/>
  <c r="M255" i="6"/>
  <c r="T255" i="6"/>
  <c r="Z255" i="6"/>
  <c r="P255" i="6"/>
  <c r="X255" i="6"/>
  <c r="AD255" i="6"/>
  <c r="R255" i="6"/>
  <c r="Y255" i="6"/>
  <c r="N284" i="6"/>
  <c r="R284" i="6"/>
  <c r="V284" i="6"/>
  <c r="Z284" i="6"/>
  <c r="AD284" i="6"/>
  <c r="L281" i="6"/>
  <c r="Q281" i="6"/>
  <c r="V281" i="6"/>
  <c r="AB281" i="6"/>
  <c r="M281" i="6"/>
  <c r="T281" i="6"/>
  <c r="Z281" i="6"/>
  <c r="Y278" i="6"/>
  <c r="S278" i="6"/>
  <c r="AD273" i="6"/>
  <c r="U273" i="6"/>
  <c r="N270" i="6"/>
  <c r="R270" i="6"/>
  <c r="V270" i="6"/>
  <c r="Z270" i="6"/>
  <c r="AD270" i="6"/>
  <c r="L270" i="6"/>
  <c r="Q270" i="6"/>
  <c r="W270" i="6"/>
  <c r="AB270" i="6"/>
  <c r="L263" i="6"/>
  <c r="P263" i="6"/>
  <c r="T263" i="6"/>
  <c r="X263" i="6"/>
  <c r="AB263" i="6"/>
  <c r="M263" i="6"/>
  <c r="R263" i="6"/>
  <c r="W263" i="6"/>
  <c r="AC263" i="6"/>
  <c r="O263" i="6"/>
  <c r="U263" i="6"/>
  <c r="Z263" i="6"/>
  <c r="U260" i="6"/>
  <c r="Y259" i="6"/>
  <c r="N255" i="6"/>
  <c r="L250" i="6"/>
  <c r="Q250" i="6"/>
  <c r="V250" i="6"/>
  <c r="AB250" i="6"/>
  <c r="M250" i="6"/>
  <c r="T250" i="6"/>
  <c r="Z250" i="6"/>
  <c r="N250" i="6"/>
  <c r="X250" i="6"/>
  <c r="R250" i="6"/>
  <c r="AC250" i="6"/>
  <c r="U250" i="6"/>
  <c r="AD250" i="6"/>
  <c r="AA301" i="6"/>
  <c r="V301" i="6"/>
  <c r="Y299" i="6"/>
  <c r="AA297" i="6"/>
  <c r="V297" i="6"/>
  <c r="Y295" i="6"/>
  <c r="AA292" i="6"/>
  <c r="W292" i="6"/>
  <c r="S292" i="6"/>
  <c r="AA290" i="6"/>
  <c r="W290" i="6"/>
  <c r="S290" i="6"/>
  <c r="AA288" i="6"/>
  <c r="W288" i="6"/>
  <c r="S288" i="6"/>
  <c r="AA286" i="6"/>
  <c r="W286" i="6"/>
  <c r="S286" i="6"/>
  <c r="AC285" i="6"/>
  <c r="X285" i="6"/>
  <c r="R285" i="6"/>
  <c r="AB284" i="6"/>
  <c r="W284" i="6"/>
  <c r="Q284" i="6"/>
  <c r="L284" i="6"/>
  <c r="N282" i="6"/>
  <c r="R282" i="6"/>
  <c r="V282" i="6"/>
  <c r="Z282" i="6"/>
  <c r="AD282" i="6"/>
  <c r="O282" i="6"/>
  <c r="T282" i="6"/>
  <c r="Y282" i="6"/>
  <c r="X281" i="6"/>
  <c r="N281" i="6"/>
  <c r="O279" i="6"/>
  <c r="L279" i="6"/>
  <c r="Q279" i="6"/>
  <c r="V279" i="6"/>
  <c r="AB279" i="6"/>
  <c r="R279" i="6"/>
  <c r="Y279" i="6"/>
  <c r="X278" i="6"/>
  <c r="P278" i="6"/>
  <c r="O277" i="6"/>
  <c r="L277" i="6"/>
  <c r="Q277" i="6"/>
  <c r="V277" i="6"/>
  <c r="AB277" i="6"/>
  <c r="P277" i="6"/>
  <c r="X277" i="6"/>
  <c r="AD277" i="6"/>
  <c r="X276" i="6"/>
  <c r="Q276" i="6"/>
  <c r="X274" i="6"/>
  <c r="Q274" i="6"/>
  <c r="AC273" i="6"/>
  <c r="R273" i="6"/>
  <c r="AC271" i="6"/>
  <c r="T271" i="6"/>
  <c r="AA270" i="6"/>
  <c r="T270" i="6"/>
  <c r="M270" i="6"/>
  <c r="AC269" i="6"/>
  <c r="T269" i="6"/>
  <c r="N268" i="6"/>
  <c r="R268" i="6"/>
  <c r="V268" i="6"/>
  <c r="Z268" i="6"/>
  <c r="AD268" i="6"/>
  <c r="P268" i="6"/>
  <c r="U268" i="6"/>
  <c r="AA268" i="6"/>
  <c r="N266" i="6"/>
  <c r="R266" i="6"/>
  <c r="V266" i="6"/>
  <c r="Z266" i="6"/>
  <c r="AD266" i="6"/>
  <c r="L266" i="6"/>
  <c r="Q266" i="6"/>
  <c r="W266" i="6"/>
  <c r="AB266" i="6"/>
  <c r="O266" i="6"/>
  <c r="T266" i="6"/>
  <c r="Y266" i="6"/>
  <c r="O265" i="6"/>
  <c r="L265" i="6"/>
  <c r="Q265" i="6"/>
  <c r="V265" i="6"/>
  <c r="AB265" i="6"/>
  <c r="P265" i="6"/>
  <c r="X265" i="6"/>
  <c r="AD265" i="6"/>
  <c r="M265" i="6"/>
  <c r="T265" i="6"/>
  <c r="Z265" i="6"/>
  <c r="Y263" i="6"/>
  <c r="N263" i="6"/>
  <c r="AC260" i="6"/>
  <c r="S260" i="6"/>
  <c r="U259" i="6"/>
  <c r="P250" i="6"/>
  <c r="N256" i="6"/>
  <c r="R256" i="6"/>
  <c r="V256" i="6"/>
  <c r="Z256" i="6"/>
  <c r="AD256" i="6"/>
  <c r="L252" i="6"/>
  <c r="P252" i="6"/>
  <c r="T252" i="6"/>
  <c r="X252" i="6"/>
  <c r="AB252" i="6"/>
  <c r="M252" i="6"/>
  <c r="R252" i="6"/>
  <c r="W252" i="6"/>
  <c r="AC252" i="6"/>
  <c r="AD248" i="6"/>
  <c r="U248" i="6"/>
  <c r="M248" i="6"/>
  <c r="P244" i="6"/>
  <c r="L283" i="6"/>
  <c r="Q283" i="6"/>
  <c r="V283" i="6"/>
  <c r="N280" i="6"/>
  <c r="R280" i="6"/>
  <c r="V280" i="6"/>
  <c r="Z280" i="6"/>
  <c r="AD280" i="6"/>
  <c r="O275" i="6"/>
  <c r="L275" i="6"/>
  <c r="Q275" i="6"/>
  <c r="V275" i="6"/>
  <c r="AB275" i="6"/>
  <c r="N272" i="6"/>
  <c r="R272" i="6"/>
  <c r="V272" i="6"/>
  <c r="Z272" i="6"/>
  <c r="AD272" i="6"/>
  <c r="O267" i="6"/>
  <c r="L267" i="6"/>
  <c r="Q267" i="6"/>
  <c r="V267" i="6"/>
  <c r="AB267" i="6"/>
  <c r="N264" i="6"/>
  <c r="R264" i="6"/>
  <c r="V264" i="6"/>
  <c r="Z264" i="6"/>
  <c r="AD264" i="6"/>
  <c r="AA262" i="6"/>
  <c r="U262" i="6"/>
  <c r="O261" i="6"/>
  <c r="L261" i="6"/>
  <c r="Q261" i="6"/>
  <c r="V261" i="6"/>
  <c r="AB261" i="6"/>
  <c r="N258" i="6"/>
  <c r="R258" i="6"/>
  <c r="V258" i="6"/>
  <c r="Z258" i="6"/>
  <c r="AD258" i="6"/>
  <c r="Y257" i="6"/>
  <c r="AB256" i="6"/>
  <c r="W256" i="6"/>
  <c r="Q256" i="6"/>
  <c r="L256" i="6"/>
  <c r="AB253" i="6"/>
  <c r="AA252" i="6"/>
  <c r="U252" i="6"/>
  <c r="N252" i="6"/>
  <c r="AB251" i="6"/>
  <c r="AC248" i="6"/>
  <c r="L246" i="6"/>
  <c r="Q246" i="6"/>
  <c r="V246" i="6"/>
  <c r="AB246" i="6"/>
  <c r="P246" i="6"/>
  <c r="X246" i="6"/>
  <c r="AD246" i="6"/>
  <c r="R246" i="6"/>
  <c r="Y246" i="6"/>
  <c r="AC244" i="6"/>
  <c r="N262" i="6"/>
  <c r="R262" i="6"/>
  <c r="V262" i="6"/>
  <c r="Z262" i="6"/>
  <c r="AD262" i="6"/>
  <c r="O257" i="6"/>
  <c r="L257" i="6"/>
  <c r="Q257" i="6"/>
  <c r="V257" i="6"/>
  <c r="AB257" i="6"/>
  <c r="Y256" i="6"/>
  <c r="T256" i="6"/>
  <c r="O256" i="6"/>
  <c r="O253" i="6"/>
  <c r="N253" i="6"/>
  <c r="T253" i="6"/>
  <c r="Y253" i="6"/>
  <c r="AD253" i="6"/>
  <c r="Q253" i="6"/>
  <c r="X253" i="6"/>
  <c r="Y252" i="6"/>
  <c r="Q252" i="6"/>
  <c r="O251" i="6"/>
  <c r="N251" i="6"/>
  <c r="T251" i="6"/>
  <c r="Y251" i="6"/>
  <c r="AD251" i="6"/>
  <c r="P251" i="6"/>
  <c r="V251" i="6"/>
  <c r="AC251" i="6"/>
  <c r="L248" i="6"/>
  <c r="Q248" i="6"/>
  <c r="V248" i="6"/>
  <c r="AB248" i="6"/>
  <c r="R248" i="6"/>
  <c r="Y248" i="6"/>
  <c r="L244" i="6"/>
  <c r="Q244" i="6"/>
  <c r="V244" i="6"/>
  <c r="AB244" i="6"/>
  <c r="M244" i="6"/>
  <c r="T244" i="6"/>
  <c r="Z244" i="6"/>
  <c r="U244" i="6"/>
  <c r="AD244" i="6"/>
  <c r="N244" i="6"/>
  <c r="X244" i="6"/>
  <c r="O234" i="6"/>
  <c r="L234" i="6"/>
  <c r="Q234" i="6"/>
  <c r="V234" i="6"/>
  <c r="AB234" i="6"/>
  <c r="R234" i="6"/>
  <c r="Y234" i="6"/>
  <c r="M234" i="6"/>
  <c r="T234" i="6"/>
  <c r="Z234" i="6"/>
  <c r="N247" i="6"/>
  <c r="R247" i="6"/>
  <c r="V247" i="6"/>
  <c r="Z247" i="6"/>
  <c r="AD247" i="6"/>
  <c r="N245" i="6"/>
  <c r="R245" i="6"/>
  <c r="V245" i="6"/>
  <c r="Z245" i="6"/>
  <c r="O245" i="6"/>
  <c r="T245" i="6"/>
  <c r="Y245" i="6"/>
  <c r="AD245" i="6"/>
  <c r="L242" i="6"/>
  <c r="Q242" i="6"/>
  <c r="V242" i="6"/>
  <c r="AB242" i="6"/>
  <c r="R242" i="6"/>
  <c r="Y242" i="6"/>
  <c r="O240" i="6"/>
  <c r="L240" i="6"/>
  <c r="Q240" i="6"/>
  <c r="V240" i="6"/>
  <c r="AB240" i="6"/>
  <c r="P240" i="6"/>
  <c r="X240" i="6"/>
  <c r="AD240" i="6"/>
  <c r="X239" i="6"/>
  <c r="Q239" i="6"/>
  <c r="N231" i="6"/>
  <c r="R231" i="6"/>
  <c r="V231" i="6"/>
  <c r="Z231" i="6"/>
  <c r="AD231" i="6"/>
  <c r="O231" i="6"/>
  <c r="T231" i="6"/>
  <c r="Y231" i="6"/>
  <c r="P231" i="6"/>
  <c r="U231" i="6"/>
  <c r="AA231" i="6"/>
  <c r="L231" i="6"/>
  <c r="Q231" i="6"/>
  <c r="W231" i="6"/>
  <c r="AB231" i="6"/>
  <c r="L254" i="6"/>
  <c r="P254" i="6"/>
  <c r="T254" i="6"/>
  <c r="X254" i="6"/>
  <c r="AB254" i="6"/>
  <c r="N249" i="6"/>
  <c r="R249" i="6"/>
  <c r="V249" i="6"/>
  <c r="Z249" i="6"/>
  <c r="AD249" i="6"/>
  <c r="AB247" i="6"/>
  <c r="W247" i="6"/>
  <c r="Q247" i="6"/>
  <c r="L247" i="6"/>
  <c r="AA245" i="6"/>
  <c r="S245" i="6"/>
  <c r="L245" i="6"/>
  <c r="AD242" i="6"/>
  <c r="U242" i="6"/>
  <c r="M242" i="6"/>
  <c r="N241" i="6"/>
  <c r="R241" i="6"/>
  <c r="V241" i="6"/>
  <c r="Z241" i="6"/>
  <c r="AD241" i="6"/>
  <c r="L241" i="6"/>
  <c r="Q241" i="6"/>
  <c r="W241" i="6"/>
  <c r="AB241" i="6"/>
  <c r="U240" i="6"/>
  <c r="M240" i="6"/>
  <c r="AC239" i="6"/>
  <c r="W239" i="6"/>
  <c r="AC237" i="6"/>
  <c r="W237" i="6"/>
  <c r="O236" i="6"/>
  <c r="L236" i="6"/>
  <c r="Q236" i="6"/>
  <c r="V236" i="6"/>
  <c r="AB236" i="6"/>
  <c r="M236" i="6"/>
  <c r="T236" i="6"/>
  <c r="Z236" i="6"/>
  <c r="X234" i="6"/>
  <c r="M231" i="6"/>
  <c r="N239" i="6"/>
  <c r="R239" i="6"/>
  <c r="V239" i="6"/>
  <c r="Z239" i="6"/>
  <c r="AD239" i="6"/>
  <c r="P239" i="6"/>
  <c r="U239" i="6"/>
  <c r="AA239" i="6"/>
  <c r="N237" i="6"/>
  <c r="R237" i="6"/>
  <c r="V237" i="6"/>
  <c r="Z237" i="6"/>
  <c r="AD237" i="6"/>
  <c r="O237" i="6"/>
  <c r="T237" i="6"/>
  <c r="Y237" i="6"/>
  <c r="N233" i="6"/>
  <c r="R233" i="6"/>
  <c r="V233" i="6"/>
  <c r="Z233" i="6"/>
  <c r="AD233" i="6"/>
  <c r="Y232" i="6"/>
  <c r="R232" i="6"/>
  <c r="L230" i="6"/>
  <c r="P230" i="6"/>
  <c r="T230" i="6"/>
  <c r="X230" i="6"/>
  <c r="AB230" i="6"/>
  <c r="Q219" i="6"/>
  <c r="W219" i="6"/>
  <c r="AA219" i="6"/>
  <c r="O219" i="6"/>
  <c r="N213" i="6"/>
  <c r="R213" i="6"/>
  <c r="V213" i="6"/>
  <c r="Z213" i="6"/>
  <c r="AD213" i="6"/>
  <c r="O213" i="6"/>
  <c r="S213" i="6"/>
  <c r="W213" i="6"/>
  <c r="AA213" i="6"/>
  <c r="L213" i="6"/>
  <c r="P213" i="6"/>
  <c r="T213" i="6"/>
  <c r="X213" i="6"/>
  <c r="AB213" i="6"/>
  <c r="N243" i="6"/>
  <c r="R243" i="6"/>
  <c r="V243" i="6"/>
  <c r="Z243" i="6"/>
  <c r="AD243" i="6"/>
  <c r="O238" i="6"/>
  <c r="L238" i="6"/>
  <c r="Q238" i="6"/>
  <c r="V238" i="6"/>
  <c r="AB238" i="6"/>
  <c r="N235" i="6"/>
  <c r="R235" i="6"/>
  <c r="V235" i="6"/>
  <c r="Z235" i="6"/>
  <c r="AD235" i="6"/>
  <c r="AB233" i="6"/>
  <c r="W233" i="6"/>
  <c r="Q233" i="6"/>
  <c r="L233" i="6"/>
  <c r="AD232" i="6"/>
  <c r="X232" i="6"/>
  <c r="AC230" i="6"/>
  <c r="W230" i="6"/>
  <c r="R230" i="6"/>
  <c r="M230" i="6"/>
  <c r="Q223" i="6"/>
  <c r="W223" i="6"/>
  <c r="AA223" i="6"/>
  <c r="O223" i="6"/>
  <c r="S219" i="6"/>
  <c r="M213" i="6"/>
  <c r="O232" i="6"/>
  <c r="L232" i="6"/>
  <c r="Q232" i="6"/>
  <c r="V232" i="6"/>
  <c r="AB232" i="6"/>
  <c r="Q229" i="6"/>
  <c r="O229" i="6"/>
  <c r="AC229" i="6"/>
  <c r="Q227" i="6"/>
  <c r="W227" i="6"/>
  <c r="O227" i="6"/>
  <c r="S223" i="6"/>
  <c r="Y213" i="6"/>
  <c r="W225" i="6"/>
  <c r="W221" i="6"/>
  <c r="W217" i="6"/>
  <c r="O225" i="6"/>
  <c r="O221" i="6"/>
  <c r="O217" i="6"/>
  <c r="N344" i="6"/>
  <c r="R344" i="6"/>
  <c r="V344" i="6"/>
  <c r="Z344" i="6"/>
  <c r="AD344" i="6"/>
  <c r="O344" i="6"/>
  <c r="S344" i="6"/>
  <c r="W344" i="6"/>
  <c r="AA344" i="6"/>
  <c r="N336" i="6"/>
  <c r="R336" i="6"/>
  <c r="V336" i="6"/>
  <c r="Z336" i="6"/>
  <c r="AD336" i="6"/>
  <c r="O336" i="6"/>
  <c r="S336" i="6"/>
  <c r="W336" i="6"/>
  <c r="AA336" i="6"/>
  <c r="N328" i="6"/>
  <c r="R328" i="6"/>
  <c r="V328" i="6"/>
  <c r="Z328" i="6"/>
  <c r="AD328" i="6"/>
  <c r="O328" i="6"/>
  <c r="S328" i="6"/>
  <c r="W328" i="6"/>
  <c r="AA328" i="6"/>
  <c r="N320" i="6"/>
  <c r="R320" i="6"/>
  <c r="V320" i="6"/>
  <c r="Z320" i="6"/>
  <c r="AD320" i="6"/>
  <c r="O320" i="6"/>
  <c r="S320" i="6"/>
  <c r="W320" i="6"/>
  <c r="AA320" i="6"/>
  <c r="N316" i="6"/>
  <c r="R316" i="6"/>
  <c r="V316" i="6"/>
  <c r="Z316" i="6"/>
  <c r="AD316" i="6"/>
  <c r="O316" i="6"/>
  <c r="S316" i="6"/>
  <c r="W316" i="6"/>
  <c r="AA316" i="6"/>
  <c r="L316" i="6"/>
  <c r="P316" i="6"/>
  <c r="T316" i="6"/>
  <c r="X316" i="6"/>
  <c r="AB316" i="6"/>
  <c r="X375" i="6"/>
  <c r="P375" i="6"/>
  <c r="O370" i="6"/>
  <c r="S370" i="6"/>
  <c r="W370" i="6"/>
  <c r="AA370" i="6"/>
  <c r="O364" i="6"/>
  <c r="S364" i="6"/>
  <c r="W364" i="6"/>
  <c r="AA364" i="6"/>
  <c r="O358" i="6"/>
  <c r="S358" i="6"/>
  <c r="W358" i="6"/>
  <c r="AA358" i="6"/>
  <c r="O354" i="6"/>
  <c r="S354" i="6"/>
  <c r="W354" i="6"/>
  <c r="AA354" i="6"/>
  <c r="O352" i="6"/>
  <c r="S352" i="6"/>
  <c r="W352" i="6"/>
  <c r="AA352" i="6"/>
  <c r="O350" i="6"/>
  <c r="S350" i="6"/>
  <c r="W350" i="6"/>
  <c r="AA350" i="6"/>
  <c r="O348" i="6"/>
  <c r="S348" i="6"/>
  <c r="W348" i="6"/>
  <c r="AA348" i="6"/>
  <c r="O346" i="6"/>
  <c r="S346" i="6"/>
  <c r="W346" i="6"/>
  <c r="AA346" i="6"/>
  <c r="AB344" i="6"/>
  <c r="T344" i="6"/>
  <c r="L344" i="6"/>
  <c r="X340" i="6"/>
  <c r="N338" i="6"/>
  <c r="R338" i="6"/>
  <c r="V338" i="6"/>
  <c r="Z338" i="6"/>
  <c r="AD338" i="6"/>
  <c r="O338" i="6"/>
  <c r="S338" i="6"/>
  <c r="W338" i="6"/>
  <c r="AA338" i="6"/>
  <c r="AB336" i="6"/>
  <c r="T336" i="6"/>
  <c r="L336" i="6"/>
  <c r="X332" i="6"/>
  <c r="N330" i="6"/>
  <c r="R330" i="6"/>
  <c r="V330" i="6"/>
  <c r="Z330" i="6"/>
  <c r="AD330" i="6"/>
  <c r="O330" i="6"/>
  <c r="S330" i="6"/>
  <c r="W330" i="6"/>
  <c r="AA330" i="6"/>
  <c r="AB328" i="6"/>
  <c r="T328" i="6"/>
  <c r="L328" i="6"/>
  <c r="X324" i="6"/>
  <c r="N322" i="6"/>
  <c r="R322" i="6"/>
  <c r="V322" i="6"/>
  <c r="Z322" i="6"/>
  <c r="AD322" i="6"/>
  <c r="O322" i="6"/>
  <c r="S322" i="6"/>
  <c r="W322" i="6"/>
  <c r="AA322" i="6"/>
  <c r="AB320" i="6"/>
  <c r="T320" i="6"/>
  <c r="L320" i="6"/>
  <c r="AC316" i="6"/>
  <c r="M316" i="6"/>
  <c r="AB375" i="6"/>
  <c r="T375" i="6"/>
  <c r="L375" i="6"/>
  <c r="O372" i="6"/>
  <c r="S372" i="6"/>
  <c r="W372" i="6"/>
  <c r="AA372" i="6"/>
  <c r="O366" i="6"/>
  <c r="S366" i="6"/>
  <c r="W366" i="6"/>
  <c r="AA366" i="6"/>
  <c r="O360" i="6"/>
  <c r="S360" i="6"/>
  <c r="W360" i="6"/>
  <c r="AA360" i="6"/>
  <c r="AB372" i="6"/>
  <c r="V372" i="6"/>
  <c r="Q372" i="6"/>
  <c r="L372" i="6"/>
  <c r="AB368" i="6"/>
  <c r="V368" i="6"/>
  <c r="Q368" i="6"/>
  <c r="AB364" i="6"/>
  <c r="V364" i="6"/>
  <c r="Q364" i="6"/>
  <c r="L364" i="6"/>
  <c r="AB360" i="6"/>
  <c r="V360" i="6"/>
  <c r="Q360" i="6"/>
  <c r="L360" i="6"/>
  <c r="AB358" i="6"/>
  <c r="AB354" i="6"/>
  <c r="V354" i="6"/>
  <c r="Q354" i="6"/>
  <c r="L354" i="6"/>
  <c r="AB350" i="6"/>
  <c r="V350" i="6"/>
  <c r="Q350" i="6"/>
  <c r="L350" i="6"/>
  <c r="AB346" i="6"/>
  <c r="V346" i="6"/>
  <c r="Q346" i="6"/>
  <c r="L346" i="6"/>
  <c r="N340" i="6"/>
  <c r="R340" i="6"/>
  <c r="V340" i="6"/>
  <c r="Z340" i="6"/>
  <c r="AD340" i="6"/>
  <c r="O340" i="6"/>
  <c r="S340" i="6"/>
  <c r="W340" i="6"/>
  <c r="AA340" i="6"/>
  <c r="Y336" i="6"/>
  <c r="Q336" i="6"/>
  <c r="N332" i="6"/>
  <c r="R332" i="6"/>
  <c r="V332" i="6"/>
  <c r="Z332" i="6"/>
  <c r="AD332" i="6"/>
  <c r="O332" i="6"/>
  <c r="S332" i="6"/>
  <c r="W332" i="6"/>
  <c r="AA332" i="6"/>
  <c r="Y328" i="6"/>
  <c r="Q328" i="6"/>
  <c r="N324" i="6"/>
  <c r="R324" i="6"/>
  <c r="V324" i="6"/>
  <c r="Z324" i="6"/>
  <c r="AD324" i="6"/>
  <c r="O324" i="6"/>
  <c r="S324" i="6"/>
  <c r="W324" i="6"/>
  <c r="AA324" i="6"/>
  <c r="Y320" i="6"/>
  <c r="Q320" i="6"/>
  <c r="N318" i="6"/>
  <c r="R318" i="6"/>
  <c r="V318" i="6"/>
  <c r="Z318" i="6"/>
  <c r="AD318" i="6"/>
  <c r="O318" i="6"/>
  <c r="S318" i="6"/>
  <c r="W318" i="6"/>
  <c r="AA318" i="6"/>
  <c r="L318" i="6"/>
  <c r="P318" i="6"/>
  <c r="T318" i="6"/>
  <c r="X318" i="6"/>
  <c r="AB318" i="6"/>
  <c r="Y316" i="6"/>
  <c r="O368" i="6"/>
  <c r="S368" i="6"/>
  <c r="W368" i="6"/>
  <c r="AA368" i="6"/>
  <c r="O362" i="6"/>
  <c r="S362" i="6"/>
  <c r="W362" i="6"/>
  <c r="AA362" i="6"/>
  <c r="O356" i="6"/>
  <c r="S356" i="6"/>
  <c r="W356" i="6"/>
  <c r="AA356" i="6"/>
  <c r="AA375" i="6"/>
  <c r="W375" i="6"/>
  <c r="S375" i="6"/>
  <c r="O375" i="6"/>
  <c r="AC374" i="6"/>
  <c r="Y374" i="6"/>
  <c r="U374" i="6"/>
  <c r="Q374" i="6"/>
  <c r="L374" i="6"/>
  <c r="AB370" i="6"/>
  <c r="V370" i="6"/>
  <c r="Q370" i="6"/>
  <c r="L370" i="6"/>
  <c r="AB366" i="6"/>
  <c r="V366" i="6"/>
  <c r="Q366" i="6"/>
  <c r="L366" i="6"/>
  <c r="AB362" i="6"/>
  <c r="V362" i="6"/>
  <c r="Q362" i="6"/>
  <c r="L362" i="6"/>
  <c r="V358" i="6"/>
  <c r="Q358" i="6"/>
  <c r="L358" i="6"/>
  <c r="AB356" i="6"/>
  <c r="V356" i="6"/>
  <c r="Q356" i="6"/>
  <c r="L356" i="6"/>
  <c r="AB352" i="6"/>
  <c r="V352" i="6"/>
  <c r="Q352" i="6"/>
  <c r="L352" i="6"/>
  <c r="AB348" i="6"/>
  <c r="V348" i="6"/>
  <c r="Q348" i="6"/>
  <c r="L348" i="6"/>
  <c r="Y344" i="6"/>
  <c r="Q344" i="6"/>
  <c r="AD375" i="6"/>
  <c r="Z375" i="6"/>
  <c r="V375" i="6"/>
  <c r="R375" i="6"/>
  <c r="AB374" i="6"/>
  <c r="X374" i="6"/>
  <c r="T374" i="6"/>
  <c r="P374" i="6"/>
  <c r="Z372" i="6"/>
  <c r="U372" i="6"/>
  <c r="P372" i="6"/>
  <c r="Z370" i="6"/>
  <c r="U370" i="6"/>
  <c r="P370" i="6"/>
  <c r="Z368" i="6"/>
  <c r="U368" i="6"/>
  <c r="P368" i="6"/>
  <c r="Z366" i="6"/>
  <c r="U366" i="6"/>
  <c r="P366" i="6"/>
  <c r="Z364" i="6"/>
  <c r="U364" i="6"/>
  <c r="P364" i="6"/>
  <c r="Z362" i="6"/>
  <c r="U362" i="6"/>
  <c r="P362" i="6"/>
  <c r="Z360" i="6"/>
  <c r="U360" i="6"/>
  <c r="P360" i="6"/>
  <c r="Z358" i="6"/>
  <c r="U358" i="6"/>
  <c r="P358" i="6"/>
  <c r="Z356" i="6"/>
  <c r="U356" i="6"/>
  <c r="P356" i="6"/>
  <c r="Z354" i="6"/>
  <c r="U354" i="6"/>
  <c r="P354" i="6"/>
  <c r="Z352" i="6"/>
  <c r="U352" i="6"/>
  <c r="P352" i="6"/>
  <c r="Z350" i="6"/>
  <c r="U350" i="6"/>
  <c r="P350" i="6"/>
  <c r="Z348" i="6"/>
  <c r="U348" i="6"/>
  <c r="P348" i="6"/>
  <c r="Z346" i="6"/>
  <c r="U346" i="6"/>
  <c r="P346" i="6"/>
  <c r="X344" i="6"/>
  <c r="P344" i="6"/>
  <c r="N342" i="6"/>
  <c r="R342" i="6"/>
  <c r="V342" i="6"/>
  <c r="Z342" i="6"/>
  <c r="AD342" i="6"/>
  <c r="O342" i="6"/>
  <c r="S342" i="6"/>
  <c r="W342" i="6"/>
  <c r="AA342" i="6"/>
  <c r="AB340" i="6"/>
  <c r="T340" i="6"/>
  <c r="L340" i="6"/>
  <c r="Y338" i="6"/>
  <c r="Q338" i="6"/>
  <c r="X336" i="6"/>
  <c r="P336" i="6"/>
  <c r="N334" i="6"/>
  <c r="R334" i="6"/>
  <c r="V334" i="6"/>
  <c r="Z334" i="6"/>
  <c r="AD334" i="6"/>
  <c r="O334" i="6"/>
  <c r="S334" i="6"/>
  <c r="W334" i="6"/>
  <c r="AA334" i="6"/>
  <c r="AB332" i="6"/>
  <c r="T332" i="6"/>
  <c r="L332" i="6"/>
  <c r="Y330" i="6"/>
  <c r="Q330" i="6"/>
  <c r="X328" i="6"/>
  <c r="P328" i="6"/>
  <c r="N326" i="6"/>
  <c r="R326" i="6"/>
  <c r="V326" i="6"/>
  <c r="Z326" i="6"/>
  <c r="AD326" i="6"/>
  <c r="O326" i="6"/>
  <c r="S326" i="6"/>
  <c r="W326" i="6"/>
  <c r="AA326" i="6"/>
  <c r="AB324" i="6"/>
  <c r="T324" i="6"/>
  <c r="L324" i="6"/>
  <c r="Y322" i="6"/>
  <c r="Q322" i="6"/>
  <c r="X320" i="6"/>
  <c r="P320" i="6"/>
  <c r="AC318" i="6"/>
  <c r="M318" i="6"/>
  <c r="U316" i="6"/>
  <c r="L307" i="6"/>
  <c r="P307" i="6"/>
  <c r="T307" i="6"/>
  <c r="X307" i="6"/>
  <c r="AB307" i="6"/>
  <c r="AB304" i="6"/>
  <c r="W304" i="6"/>
  <c r="Q304" i="6"/>
  <c r="L304" i="6"/>
  <c r="L303" i="6"/>
  <c r="P303" i="6"/>
  <c r="T303" i="6"/>
  <c r="X303" i="6"/>
  <c r="AB303" i="6"/>
  <c r="Y302" i="6"/>
  <c r="T302" i="6"/>
  <c r="AB300" i="6"/>
  <c r="W300" i="6"/>
  <c r="Q300" i="6"/>
  <c r="L300" i="6"/>
  <c r="L299" i="6"/>
  <c r="P299" i="6"/>
  <c r="T299" i="6"/>
  <c r="X299" i="6"/>
  <c r="AB299" i="6"/>
  <c r="Y298" i="6"/>
  <c r="T298" i="6"/>
  <c r="AB296" i="6"/>
  <c r="W296" i="6"/>
  <c r="Q296" i="6"/>
  <c r="L296" i="6"/>
  <c r="L295" i="6"/>
  <c r="P295" i="6"/>
  <c r="T295" i="6"/>
  <c r="X295" i="6"/>
  <c r="AB295" i="6"/>
  <c r="Y294" i="6"/>
  <c r="T294" i="6"/>
  <c r="AB314" i="6"/>
  <c r="X314" i="6"/>
  <c r="T314" i="6"/>
  <c r="P314" i="6"/>
  <c r="L314" i="6"/>
  <c r="AB312" i="6"/>
  <c r="X312" i="6"/>
  <c r="T312" i="6"/>
  <c r="P312" i="6"/>
  <c r="L312" i="6"/>
  <c r="N310" i="6"/>
  <c r="R310" i="6"/>
  <c r="V310" i="6"/>
  <c r="AC307" i="6"/>
  <c r="W307" i="6"/>
  <c r="R307" i="6"/>
  <c r="M307" i="6"/>
  <c r="N306" i="6"/>
  <c r="R306" i="6"/>
  <c r="V306" i="6"/>
  <c r="Z306" i="6"/>
  <c r="AD306" i="6"/>
  <c r="N302" i="6"/>
  <c r="R302" i="6"/>
  <c r="V302" i="6"/>
  <c r="Z302" i="6"/>
  <c r="AD302" i="6"/>
  <c r="N298" i="6"/>
  <c r="R298" i="6"/>
  <c r="V298" i="6"/>
  <c r="Z298" i="6"/>
  <c r="AD298" i="6"/>
  <c r="N294" i="6"/>
  <c r="R294" i="6"/>
  <c r="V294" i="6"/>
  <c r="Z294" i="6"/>
  <c r="AD294" i="6"/>
  <c r="AA314" i="6"/>
  <c r="W314" i="6"/>
  <c r="S314" i="6"/>
  <c r="O314" i="6"/>
  <c r="AA312" i="6"/>
  <c r="W312" i="6"/>
  <c r="S312" i="6"/>
  <c r="O312" i="6"/>
  <c r="AA310" i="6"/>
  <c r="W310" i="6"/>
  <c r="Q310" i="6"/>
  <c r="L310" i="6"/>
  <c r="L309" i="6"/>
  <c r="P309" i="6"/>
  <c r="T309" i="6"/>
  <c r="X309" i="6"/>
  <c r="AB309" i="6"/>
  <c r="Y308" i="6"/>
  <c r="T308" i="6"/>
  <c r="AA307" i="6"/>
  <c r="V307" i="6"/>
  <c r="Q307" i="6"/>
  <c r="AB306" i="6"/>
  <c r="W306" i="6"/>
  <c r="Q306" i="6"/>
  <c r="L306" i="6"/>
  <c r="L305" i="6"/>
  <c r="P305" i="6"/>
  <c r="T305" i="6"/>
  <c r="X305" i="6"/>
  <c r="AB305" i="6"/>
  <c r="Y304" i="6"/>
  <c r="T304" i="6"/>
  <c r="AA303" i="6"/>
  <c r="V303" i="6"/>
  <c r="Q303" i="6"/>
  <c r="AB302" i="6"/>
  <c r="W302" i="6"/>
  <c r="Q302" i="6"/>
  <c r="L302" i="6"/>
  <c r="L301" i="6"/>
  <c r="P301" i="6"/>
  <c r="T301" i="6"/>
  <c r="X301" i="6"/>
  <c r="AB301" i="6"/>
  <c r="Y300" i="6"/>
  <c r="T300" i="6"/>
  <c r="AA299" i="6"/>
  <c r="V299" i="6"/>
  <c r="Q299" i="6"/>
  <c r="AB298" i="6"/>
  <c r="W298" i="6"/>
  <c r="Q298" i="6"/>
  <c r="L298" i="6"/>
  <c r="L297" i="6"/>
  <c r="P297" i="6"/>
  <c r="T297" i="6"/>
  <c r="X297" i="6"/>
  <c r="AB297" i="6"/>
  <c r="Y296" i="6"/>
  <c r="T296" i="6"/>
  <c r="AA295" i="6"/>
  <c r="V295" i="6"/>
  <c r="Q295" i="6"/>
  <c r="AB294" i="6"/>
  <c r="W294" i="6"/>
  <c r="Q294" i="6"/>
  <c r="L294" i="6"/>
  <c r="AD314" i="6"/>
  <c r="Z314" i="6"/>
  <c r="V314" i="6"/>
  <c r="R314" i="6"/>
  <c r="AD312" i="6"/>
  <c r="Z312" i="6"/>
  <c r="V312" i="6"/>
  <c r="R312" i="6"/>
  <c r="AD310" i="6"/>
  <c r="Z310" i="6"/>
  <c r="U310" i="6"/>
  <c r="P310" i="6"/>
  <c r="N308" i="6"/>
  <c r="R308" i="6"/>
  <c r="V308" i="6"/>
  <c r="Z308" i="6"/>
  <c r="AD308" i="6"/>
  <c r="Z307" i="6"/>
  <c r="U307" i="6"/>
  <c r="O307" i="6"/>
  <c r="AA306" i="6"/>
  <c r="U306" i="6"/>
  <c r="P306" i="6"/>
  <c r="N304" i="6"/>
  <c r="R304" i="6"/>
  <c r="V304" i="6"/>
  <c r="Z304" i="6"/>
  <c r="AD304" i="6"/>
  <c r="AA302" i="6"/>
  <c r="U302" i="6"/>
  <c r="P302" i="6"/>
  <c r="N300" i="6"/>
  <c r="R300" i="6"/>
  <c r="V300" i="6"/>
  <c r="Z300" i="6"/>
  <c r="AD300" i="6"/>
  <c r="AA298" i="6"/>
  <c r="U298" i="6"/>
  <c r="P298" i="6"/>
  <c r="N296" i="6"/>
  <c r="R296" i="6"/>
  <c r="V296" i="6"/>
  <c r="Z296" i="6"/>
  <c r="AD296" i="6"/>
  <c r="AA294" i="6"/>
  <c r="U294" i="6"/>
  <c r="P294" i="6"/>
  <c r="O293" i="6"/>
  <c r="S293" i="6"/>
  <c r="W293" i="6"/>
  <c r="O291" i="6"/>
  <c r="S291" i="6"/>
  <c r="W291" i="6"/>
  <c r="AA291" i="6"/>
  <c r="O289" i="6"/>
  <c r="S289" i="6"/>
  <c r="W289" i="6"/>
  <c r="AA289" i="6"/>
  <c r="O287" i="6"/>
  <c r="S287" i="6"/>
  <c r="W287" i="6"/>
  <c r="AA287" i="6"/>
  <c r="O285" i="6"/>
  <c r="S285" i="6"/>
  <c r="W285" i="6"/>
  <c r="AA285" i="6"/>
  <c r="O283" i="6"/>
  <c r="S283" i="6"/>
  <c r="W283" i="6"/>
  <c r="AA283" i="6"/>
  <c r="O281" i="6"/>
  <c r="S281" i="6"/>
  <c r="W281" i="6"/>
  <c r="AA281" i="6"/>
  <c r="AA279" i="6"/>
  <c r="W279" i="6"/>
  <c r="S279" i="6"/>
  <c r="AA277" i="6"/>
  <c r="W277" i="6"/>
  <c r="S277" i="6"/>
  <c r="AA275" i="6"/>
  <c r="W275" i="6"/>
  <c r="S275" i="6"/>
  <c r="AA273" i="6"/>
  <c r="W273" i="6"/>
  <c r="S273" i="6"/>
  <c r="AA271" i="6"/>
  <c r="W271" i="6"/>
  <c r="S271" i="6"/>
  <c r="AA269" i="6"/>
  <c r="W269" i="6"/>
  <c r="S269" i="6"/>
  <c r="AA267" i="6"/>
  <c r="W267" i="6"/>
  <c r="S267" i="6"/>
  <c r="AA265" i="6"/>
  <c r="W265" i="6"/>
  <c r="S265" i="6"/>
  <c r="AA261" i="6"/>
  <c r="W261" i="6"/>
  <c r="S261" i="6"/>
  <c r="AA259" i="6"/>
  <c r="W259" i="6"/>
  <c r="S259" i="6"/>
  <c r="AA257" i="6"/>
  <c r="W257" i="6"/>
  <c r="S257" i="6"/>
  <c r="AA255" i="6"/>
  <c r="W255" i="6"/>
  <c r="S255" i="6"/>
  <c r="AA253" i="6"/>
  <c r="W253" i="6"/>
  <c r="S253" i="6"/>
  <c r="AA251" i="6"/>
  <c r="W251" i="6"/>
  <c r="S251" i="6"/>
  <c r="O250" i="6"/>
  <c r="S250" i="6"/>
  <c r="W250" i="6"/>
  <c r="AA250" i="6"/>
  <c r="O248" i="6"/>
  <c r="S248" i="6"/>
  <c r="W248" i="6"/>
  <c r="AA248" i="6"/>
  <c r="O246" i="6"/>
  <c r="S246" i="6"/>
  <c r="W246" i="6"/>
  <c r="AA246" i="6"/>
  <c r="O244" i="6"/>
  <c r="S244" i="6"/>
  <c r="W244" i="6"/>
  <c r="AA244" i="6"/>
  <c r="O242" i="6"/>
  <c r="S242" i="6"/>
  <c r="W242" i="6"/>
  <c r="AA242" i="6"/>
  <c r="N212" i="6"/>
  <c r="R212" i="6"/>
  <c r="V212" i="6"/>
  <c r="Z212" i="6"/>
  <c r="AD212" i="6"/>
  <c r="O212" i="6"/>
  <c r="S212" i="6"/>
  <c r="W212" i="6"/>
  <c r="AA212" i="6"/>
  <c r="L212" i="6"/>
  <c r="P212" i="6"/>
  <c r="T212" i="6"/>
  <c r="X212" i="6"/>
  <c r="AB212" i="6"/>
  <c r="Y229" i="6"/>
  <c r="Y228" i="6"/>
  <c r="Y227" i="6"/>
  <c r="Y226" i="6"/>
  <c r="Y225" i="6"/>
  <c r="Y224" i="6"/>
  <c r="Y223" i="6"/>
  <c r="Y222" i="6"/>
  <c r="Y221" i="6"/>
  <c r="Y220" i="6"/>
  <c r="Y219" i="6"/>
  <c r="Y218" i="6"/>
  <c r="Y217" i="6"/>
  <c r="Y216" i="6"/>
  <c r="AC212" i="6"/>
  <c r="M212" i="6"/>
  <c r="L229" i="6"/>
  <c r="P229" i="6"/>
  <c r="T229" i="6"/>
  <c r="X229" i="6"/>
  <c r="N229" i="6"/>
  <c r="R229" i="6"/>
  <c r="V229" i="6"/>
  <c r="Z229" i="6"/>
  <c r="AD229" i="6"/>
  <c r="N228" i="6"/>
  <c r="R228" i="6"/>
  <c r="V228" i="6"/>
  <c r="Z228" i="6"/>
  <c r="AD228" i="6"/>
  <c r="L228" i="6"/>
  <c r="P228" i="6"/>
  <c r="T228" i="6"/>
  <c r="X228" i="6"/>
  <c r="AB228" i="6"/>
  <c r="L227" i="6"/>
  <c r="P227" i="6"/>
  <c r="T227" i="6"/>
  <c r="X227" i="6"/>
  <c r="AB227" i="6"/>
  <c r="N227" i="6"/>
  <c r="R227" i="6"/>
  <c r="V227" i="6"/>
  <c r="Z227" i="6"/>
  <c r="AD227" i="6"/>
  <c r="N226" i="6"/>
  <c r="R226" i="6"/>
  <c r="V226" i="6"/>
  <c r="Z226" i="6"/>
  <c r="AD226" i="6"/>
  <c r="L226" i="6"/>
  <c r="P226" i="6"/>
  <c r="T226" i="6"/>
  <c r="X226" i="6"/>
  <c r="AB226" i="6"/>
  <c r="L225" i="6"/>
  <c r="P225" i="6"/>
  <c r="T225" i="6"/>
  <c r="X225" i="6"/>
  <c r="AB225" i="6"/>
  <c r="N225" i="6"/>
  <c r="R225" i="6"/>
  <c r="V225" i="6"/>
  <c r="Z225" i="6"/>
  <c r="AD225" i="6"/>
  <c r="N224" i="6"/>
  <c r="R224" i="6"/>
  <c r="V224" i="6"/>
  <c r="Z224" i="6"/>
  <c r="AD224" i="6"/>
  <c r="L224" i="6"/>
  <c r="P224" i="6"/>
  <c r="T224" i="6"/>
  <c r="X224" i="6"/>
  <c r="AB224" i="6"/>
  <c r="L223" i="6"/>
  <c r="P223" i="6"/>
  <c r="T223" i="6"/>
  <c r="X223" i="6"/>
  <c r="AB223" i="6"/>
  <c r="N223" i="6"/>
  <c r="R223" i="6"/>
  <c r="V223" i="6"/>
  <c r="Z223" i="6"/>
  <c r="AD223" i="6"/>
  <c r="N222" i="6"/>
  <c r="R222" i="6"/>
  <c r="V222" i="6"/>
  <c r="Z222" i="6"/>
  <c r="AD222" i="6"/>
  <c r="L222" i="6"/>
  <c r="P222" i="6"/>
  <c r="T222" i="6"/>
  <c r="X222" i="6"/>
  <c r="AB222" i="6"/>
  <c r="L221" i="6"/>
  <c r="P221" i="6"/>
  <c r="T221" i="6"/>
  <c r="X221" i="6"/>
  <c r="AB221" i="6"/>
  <c r="N221" i="6"/>
  <c r="R221" i="6"/>
  <c r="V221" i="6"/>
  <c r="Z221" i="6"/>
  <c r="AD221" i="6"/>
  <c r="N220" i="6"/>
  <c r="R220" i="6"/>
  <c r="V220" i="6"/>
  <c r="Z220" i="6"/>
  <c r="AD220" i="6"/>
  <c r="L220" i="6"/>
  <c r="P220" i="6"/>
  <c r="T220" i="6"/>
  <c r="X220" i="6"/>
  <c r="AB220" i="6"/>
  <c r="L219" i="6"/>
  <c r="P219" i="6"/>
  <c r="T219" i="6"/>
  <c r="X219" i="6"/>
  <c r="AB219" i="6"/>
  <c r="N219" i="6"/>
  <c r="R219" i="6"/>
  <c r="V219" i="6"/>
  <c r="Z219" i="6"/>
  <c r="AD219" i="6"/>
  <c r="N218" i="6"/>
  <c r="R218" i="6"/>
  <c r="V218" i="6"/>
  <c r="Z218" i="6"/>
  <c r="AD218" i="6"/>
  <c r="L218" i="6"/>
  <c r="P218" i="6"/>
  <c r="T218" i="6"/>
  <c r="X218" i="6"/>
  <c r="AB218" i="6"/>
  <c r="L217" i="6"/>
  <c r="P217" i="6"/>
  <c r="T217" i="6"/>
  <c r="X217" i="6"/>
  <c r="AB217" i="6"/>
  <c r="N217" i="6"/>
  <c r="R217" i="6"/>
  <c r="V217" i="6"/>
  <c r="Z217" i="6"/>
  <c r="AD217" i="6"/>
  <c r="N216" i="6"/>
  <c r="R216" i="6"/>
  <c r="V216" i="6"/>
  <c r="Z216" i="6"/>
  <c r="AD216" i="6"/>
  <c r="L216" i="6"/>
  <c r="P216" i="6"/>
  <c r="T216" i="6"/>
  <c r="X216" i="6"/>
  <c r="AB216" i="6"/>
  <c r="N214" i="6"/>
  <c r="R214" i="6"/>
  <c r="V214" i="6"/>
  <c r="Z214" i="6"/>
  <c r="AD214" i="6"/>
  <c r="O214" i="6"/>
  <c r="S214" i="6"/>
  <c r="W214" i="6"/>
  <c r="AA214" i="6"/>
  <c r="L214" i="6"/>
  <c r="P214" i="6"/>
  <c r="T214" i="6"/>
  <c r="X214" i="6"/>
  <c r="AB214" i="6"/>
  <c r="Y212" i="6"/>
  <c r="AA240" i="6"/>
  <c r="W240" i="6"/>
  <c r="S240" i="6"/>
  <c r="AA238" i="6"/>
  <c r="W238" i="6"/>
  <c r="S238" i="6"/>
  <c r="AA236" i="6"/>
  <c r="W236" i="6"/>
  <c r="S236" i="6"/>
  <c r="AA234" i="6"/>
  <c r="W234" i="6"/>
  <c r="S234" i="6"/>
  <c r="AA232" i="6"/>
  <c r="W232" i="6"/>
  <c r="S232" i="6"/>
  <c r="AB229" i="6"/>
  <c r="U229" i="6"/>
  <c r="M229" i="6"/>
  <c r="AC228" i="6"/>
  <c r="U228" i="6"/>
  <c r="M228" i="6"/>
  <c r="AC227" i="6"/>
  <c r="U227" i="6"/>
  <c r="M227" i="6"/>
  <c r="AC226" i="6"/>
  <c r="U226" i="6"/>
  <c r="M226" i="6"/>
  <c r="AC225" i="6"/>
  <c r="U225" i="6"/>
  <c r="M225" i="6"/>
  <c r="AC224" i="6"/>
  <c r="U224" i="6"/>
  <c r="M224" i="6"/>
  <c r="AC223" i="6"/>
  <c r="U223" i="6"/>
  <c r="M223" i="6"/>
  <c r="AC222" i="6"/>
  <c r="U222" i="6"/>
  <c r="M222" i="6"/>
  <c r="AC221" i="6"/>
  <c r="U221" i="6"/>
  <c r="M221" i="6"/>
  <c r="AC220" i="6"/>
  <c r="U220" i="6"/>
  <c r="M220" i="6"/>
  <c r="AC219" i="6"/>
  <c r="U219" i="6"/>
  <c r="M219" i="6"/>
  <c r="AC218" i="6"/>
  <c r="U218" i="6"/>
  <c r="M218" i="6"/>
  <c r="AC217" i="6"/>
  <c r="U217" i="6"/>
  <c r="M217" i="6"/>
  <c r="AC216" i="6"/>
  <c r="U216" i="6"/>
  <c r="M216" i="6"/>
  <c r="AC214" i="6"/>
  <c r="M214" i="6"/>
  <c r="U212" i="6"/>
  <c r="AD215" i="6"/>
  <c r="Z215" i="6"/>
  <c r="V215" i="6"/>
  <c r="R215" i="6"/>
  <c r="N215" i="6"/>
  <c r="AB215" i="6"/>
  <c r="X215" i="6"/>
  <c r="T215" i="6"/>
  <c r="P215" i="6"/>
  <c r="D196" i="2"/>
  <c r="D197" i="2"/>
  <c r="D198" i="2"/>
  <c r="D199" i="2"/>
  <c r="D200" i="2"/>
  <c r="D201" i="2"/>
  <c r="D202" i="2"/>
  <c r="D203" i="2"/>
  <c r="D204" i="2"/>
  <c r="D205" i="2"/>
  <c r="D206" i="2"/>
  <c r="D207" i="2"/>
  <c r="D208" i="2"/>
  <c r="D209" i="2"/>
  <c r="D210" i="2"/>
  <c r="D211" i="2"/>
  <c r="D212" i="2"/>
  <c r="D213" i="2"/>
  <c r="AE313" i="6" l="1"/>
  <c r="AF313" i="6" s="1"/>
  <c r="AE361" i="6"/>
  <c r="AF361" i="6" s="1"/>
  <c r="AE367" i="6"/>
  <c r="AF367" i="6" s="1"/>
  <c r="AE317" i="6"/>
  <c r="AF317" i="6" s="1"/>
  <c r="AE268" i="6"/>
  <c r="AG268" i="6" s="1"/>
  <c r="AE329" i="6"/>
  <c r="AF329" i="6" s="1"/>
  <c r="AE333" i="6"/>
  <c r="AF333" i="6" s="1"/>
  <c r="AE349" i="6"/>
  <c r="AF349" i="6" s="1"/>
  <c r="AE233" i="6"/>
  <c r="AF233" i="6" s="1"/>
  <c r="AE284" i="6"/>
  <c r="AF284" i="6" s="1"/>
  <c r="AE324" i="6"/>
  <c r="AF324" i="6" s="1"/>
  <c r="AE269" i="6"/>
  <c r="AG269" i="6" s="1"/>
  <c r="AE273" i="6"/>
  <c r="AF273" i="6" s="1"/>
  <c r="AE297" i="6"/>
  <c r="AF297" i="6" s="1"/>
  <c r="AE309" i="6"/>
  <c r="AF309" i="6" s="1"/>
  <c r="AE342" i="6"/>
  <c r="AG342" i="6" s="1"/>
  <c r="AE362" i="6"/>
  <c r="AF362" i="6" s="1"/>
  <c r="AE262" i="6"/>
  <c r="AF262" i="6" s="1"/>
  <c r="AE272" i="6"/>
  <c r="AG272" i="6" s="1"/>
  <c r="AE345" i="6"/>
  <c r="AF345" i="6" s="1"/>
  <c r="AE237" i="6"/>
  <c r="AF237" i="6" s="1"/>
  <c r="AE258" i="6"/>
  <c r="AF258" i="6" s="1"/>
  <c r="AE319" i="6"/>
  <c r="AF319" i="6" s="1"/>
  <c r="AE331" i="6"/>
  <c r="AF331" i="6" s="1"/>
  <c r="AE369" i="6"/>
  <c r="AF369" i="6" s="1"/>
  <c r="AE359" i="6"/>
  <c r="AF359" i="6" s="1"/>
  <c r="AE236" i="6"/>
  <c r="AG236" i="6" s="1"/>
  <c r="AE277" i="6"/>
  <c r="AF277" i="6" s="1"/>
  <c r="AE308" i="6"/>
  <c r="AF308" i="6" s="1"/>
  <c r="AE294" i="6"/>
  <c r="AF294" i="6" s="1"/>
  <c r="AE301" i="6"/>
  <c r="AF301" i="6" s="1"/>
  <c r="AE318" i="6"/>
  <c r="AF318" i="6" s="1"/>
  <c r="AE370" i="6"/>
  <c r="AF370" i="6" s="1"/>
  <c r="AE264" i="6"/>
  <c r="AF264" i="6" s="1"/>
  <c r="AE286" i="6"/>
  <c r="AF286" i="6" s="1"/>
  <c r="AE326" i="6"/>
  <c r="AF326" i="6" s="1"/>
  <c r="AE344" i="6"/>
  <c r="AG344" i="6" s="1"/>
  <c r="AE267" i="6"/>
  <c r="AF267" i="6" s="1"/>
  <c r="AE274" i="6"/>
  <c r="AF274" i="6" s="1"/>
  <c r="AE298" i="6"/>
  <c r="AF298" i="6" s="1"/>
  <c r="AE343" i="6"/>
  <c r="AF343" i="6" s="1"/>
  <c r="AE371" i="6"/>
  <c r="AF371" i="6" s="1"/>
  <c r="AE340" i="6"/>
  <c r="AF340" i="6" s="1"/>
  <c r="AE339" i="6"/>
  <c r="AF339" i="6" s="1"/>
  <c r="AE291" i="6"/>
  <c r="AF291" i="6" s="1"/>
  <c r="AE265" i="6"/>
  <c r="AG265" i="6" s="1"/>
  <c r="AE289" i="6"/>
  <c r="AF289" i="6" s="1"/>
  <c r="AE293" i="6"/>
  <c r="AF293" i="6" s="1"/>
  <c r="AE300" i="6"/>
  <c r="AG300" i="6" s="1"/>
  <c r="AE305" i="6"/>
  <c r="AF305" i="6" s="1"/>
  <c r="AE364" i="6"/>
  <c r="AG364" i="6" s="1"/>
  <c r="AE374" i="6"/>
  <c r="AF374" i="6" s="1"/>
  <c r="AE316" i="6"/>
  <c r="AG316" i="6" s="1"/>
  <c r="AE320" i="6"/>
  <c r="AG320" i="6" s="1"/>
  <c r="AE354" i="6"/>
  <c r="AF354" i="6" s="1"/>
  <c r="AE322" i="6"/>
  <c r="AF322" i="6" s="1"/>
  <c r="AE256" i="6"/>
  <c r="AF256" i="6" s="1"/>
  <c r="AE275" i="6"/>
  <c r="AF275" i="6" s="1"/>
  <c r="AE266" i="6"/>
  <c r="AF266" i="6" s="1"/>
  <c r="AE282" i="6"/>
  <c r="AF282" i="6" s="1"/>
  <c r="AE290" i="6"/>
  <c r="AF290" i="6" s="1"/>
  <c r="AE260" i="6"/>
  <c r="AG260" i="6" s="1"/>
  <c r="AE327" i="6"/>
  <c r="AF327" i="6" s="1"/>
  <c r="AE337" i="6"/>
  <c r="AG337" i="6" s="1"/>
  <c r="AE347" i="6"/>
  <c r="AF347" i="6" s="1"/>
  <c r="AE365" i="6"/>
  <c r="AF365" i="6" s="1"/>
  <c r="AE373" i="6"/>
  <c r="AF373" i="6" s="1"/>
  <c r="AE292" i="6"/>
  <c r="AG292" i="6" s="1"/>
  <c r="AE323" i="6"/>
  <c r="AF323" i="6" s="1"/>
  <c r="AE357" i="6"/>
  <c r="AF357" i="6" s="1"/>
  <c r="AE368" i="6"/>
  <c r="AG368" i="6" s="1"/>
  <c r="AE351" i="6"/>
  <c r="AF351" i="6" s="1"/>
  <c r="AE241" i="6"/>
  <c r="AG241" i="6" s="1"/>
  <c r="AE303" i="6"/>
  <c r="AF303" i="6" s="1"/>
  <c r="AE346" i="6"/>
  <c r="AF346" i="6" s="1"/>
  <c r="AE372" i="6"/>
  <c r="AF372" i="6" s="1"/>
  <c r="AE336" i="6"/>
  <c r="AF336" i="6" s="1"/>
  <c r="AE263" i="6"/>
  <c r="AF263" i="6" s="1"/>
  <c r="AE278" i="6"/>
  <c r="AF278" i="6" s="1"/>
  <c r="AE306" i="6"/>
  <c r="AF306" i="6" s="1"/>
  <c r="AE315" i="6"/>
  <c r="AF315" i="6" s="1"/>
  <c r="AE363" i="6"/>
  <c r="AF363" i="6" s="1"/>
  <c r="AE252" i="6"/>
  <c r="AF252" i="6" s="1"/>
  <c r="AE288" i="6"/>
  <c r="AF288" i="6" s="1"/>
  <c r="AE311" i="6"/>
  <c r="AF311" i="6" s="1"/>
  <c r="AE276" i="6"/>
  <c r="AG276" i="6" s="1"/>
  <c r="AE355" i="6"/>
  <c r="AF355" i="6" s="1"/>
  <c r="AE285" i="6"/>
  <c r="AF285" i="6" s="1"/>
  <c r="AE307" i="6"/>
  <c r="AF307" i="6" s="1"/>
  <c r="AE299" i="6"/>
  <c r="AF299" i="6" s="1"/>
  <c r="AE348" i="6"/>
  <c r="AF348" i="6" s="1"/>
  <c r="AE332" i="6"/>
  <c r="AG332" i="6" s="1"/>
  <c r="AE350" i="6"/>
  <c r="AF350" i="6" s="1"/>
  <c r="AE231" i="6"/>
  <c r="AG231" i="6" s="1"/>
  <c r="AE341" i="6"/>
  <c r="AF341" i="6" s="1"/>
  <c r="AE335" i="6"/>
  <c r="AF335" i="6" s="1"/>
  <c r="AE366" i="6"/>
  <c r="AG366" i="6" s="1"/>
  <c r="AE360" i="6"/>
  <c r="AG360" i="6" s="1"/>
  <c r="AE261" i="6"/>
  <c r="AF261" i="6" s="1"/>
  <c r="AE325" i="6"/>
  <c r="AF325" i="6" s="1"/>
  <c r="AE271" i="6"/>
  <c r="AF271" i="6" s="1"/>
  <c r="AE304" i="6"/>
  <c r="AG304" i="6" s="1"/>
  <c r="AE279" i="6"/>
  <c r="AF279" i="6" s="1"/>
  <c r="AE358" i="6"/>
  <c r="AF358" i="6" s="1"/>
  <c r="AE353" i="6"/>
  <c r="AG353" i="6" s="1"/>
  <c r="AE334" i="6"/>
  <c r="AF334" i="6" s="1"/>
  <c r="AE310" i="6"/>
  <c r="AF310" i="6" s="1"/>
  <c r="AE239" i="6"/>
  <c r="AF239" i="6" s="1"/>
  <c r="AE287" i="6"/>
  <c r="AF287" i="6" s="1"/>
  <c r="AE280" i="6"/>
  <c r="AF280" i="6" s="1"/>
  <c r="AE283" i="6"/>
  <c r="AF283" i="6" s="1"/>
  <c r="AE356" i="6"/>
  <c r="AF356" i="6" s="1"/>
  <c r="AE321" i="6"/>
  <c r="AF321" i="6" s="1"/>
  <c r="AE330" i="6"/>
  <c r="AF330" i="6" s="1"/>
  <c r="AE338" i="6"/>
  <c r="AF338" i="6" s="1"/>
  <c r="AE296" i="6"/>
  <c r="AF296" i="6" s="1"/>
  <c r="AE295" i="6"/>
  <c r="AF295" i="6" s="1"/>
  <c r="AE375" i="6"/>
  <c r="AF375" i="6" s="1"/>
  <c r="AE281" i="6"/>
  <c r="AG281" i="6" s="1"/>
  <c r="AE259" i="6"/>
  <c r="AF259" i="6" s="1"/>
  <c r="AE270" i="6"/>
  <c r="AF270" i="6" s="1"/>
  <c r="AE314" i="6"/>
  <c r="AF314" i="6" s="1"/>
  <c r="AE352" i="6"/>
  <c r="AF352" i="6" s="1"/>
  <c r="AE312" i="6"/>
  <c r="AG312" i="6" s="1"/>
  <c r="AE302" i="6"/>
  <c r="AF302" i="6" s="1"/>
  <c r="AE328" i="6"/>
  <c r="AF328" i="6" s="1"/>
  <c r="AE213" i="6"/>
  <c r="AF213" i="6" s="1"/>
  <c r="AE234" i="6"/>
  <c r="AF234" i="6" s="1"/>
  <c r="AE217" i="6"/>
  <c r="AF217" i="6" s="1"/>
  <c r="AE257" i="6"/>
  <c r="AG257" i="6" s="1"/>
  <c r="AE245" i="6"/>
  <c r="AF245" i="6" s="1"/>
  <c r="AE247" i="6"/>
  <c r="AF247" i="6" s="1"/>
  <c r="AE253" i="6"/>
  <c r="AG253" i="6" s="1"/>
  <c r="AE249" i="6"/>
  <c r="AG249" i="6" s="1"/>
  <c r="AE229" i="6"/>
  <c r="AF229" i="6" s="1"/>
  <c r="AE240" i="6"/>
  <c r="AF240" i="6" s="1"/>
  <c r="AE219" i="6"/>
  <c r="AF219" i="6" s="1"/>
  <c r="AE224" i="6"/>
  <c r="AF224" i="6" s="1"/>
  <c r="AE228" i="6"/>
  <c r="AF228" i="6" s="1"/>
  <c r="AE242" i="6"/>
  <c r="AF242" i="6" s="1"/>
  <c r="AE235" i="6"/>
  <c r="AF235" i="6" s="1"/>
  <c r="AE254" i="6"/>
  <c r="AF254" i="6" s="1"/>
  <c r="AE244" i="6"/>
  <c r="AF244" i="6" s="1"/>
  <c r="AE246" i="6"/>
  <c r="AF246" i="6" s="1"/>
  <c r="AE248" i="6"/>
  <c r="AF248" i="6" s="1"/>
  <c r="AE250" i="6"/>
  <c r="AF250" i="6" s="1"/>
  <c r="AE251" i="6"/>
  <c r="AF251" i="6" s="1"/>
  <c r="AE255" i="6"/>
  <c r="AF255" i="6" s="1"/>
  <c r="AE243" i="6"/>
  <c r="AF243" i="6" s="1"/>
  <c r="AE223" i="6"/>
  <c r="AF223" i="6" s="1"/>
  <c r="AE232" i="6"/>
  <c r="AF232" i="6" s="1"/>
  <c r="AE238" i="6"/>
  <c r="AF238" i="6" s="1"/>
  <c r="AE230" i="6"/>
  <c r="AF230" i="6" s="1"/>
  <c r="AE227" i="6"/>
  <c r="AF227" i="6" s="1"/>
  <c r="AE225" i="6"/>
  <c r="AF225" i="6" s="1"/>
  <c r="AE214" i="6"/>
  <c r="AF214" i="6" s="1"/>
  <c r="AE216" i="6"/>
  <c r="AF216" i="6" s="1"/>
  <c r="AE218" i="6"/>
  <c r="AF218" i="6" s="1"/>
  <c r="AE220" i="6"/>
  <c r="AG220" i="6" s="1"/>
  <c r="AE212" i="6"/>
  <c r="AG212" i="6" s="1"/>
  <c r="AE222" i="6"/>
  <c r="AF222" i="6" s="1"/>
  <c r="AE226" i="6"/>
  <c r="AG226" i="6" s="1"/>
  <c r="AE221" i="6"/>
  <c r="AG221" i="6" s="1"/>
  <c r="AE215" i="6"/>
  <c r="AG215" i="6" s="1"/>
  <c r="F152" i="2"/>
  <c r="F153" i="2"/>
  <c r="F154" i="2"/>
  <c r="F155" i="2"/>
  <c r="F156" i="2"/>
  <c r="F157" i="2"/>
  <c r="F158" i="2"/>
  <c r="F159" i="2"/>
  <c r="F160" i="2"/>
  <c r="F161" i="2"/>
  <c r="F162" i="2"/>
  <c r="F163" i="2"/>
  <c r="F164" i="2"/>
  <c r="F165" i="2"/>
  <c r="F166" i="2"/>
  <c r="F167" i="2"/>
  <c r="F168" i="2"/>
  <c r="F169" i="2"/>
  <c r="F170" i="2"/>
  <c r="F171" i="2"/>
  <c r="F172" i="2"/>
  <c r="D194" i="2"/>
  <c r="D195" i="2"/>
  <c r="D180" i="2"/>
  <c r="D181" i="2"/>
  <c r="D182" i="2"/>
  <c r="D183" i="2"/>
  <c r="D184" i="2"/>
  <c r="D185" i="2"/>
  <c r="D186" i="2"/>
  <c r="D187" i="2"/>
  <c r="D188" i="2"/>
  <c r="D189" i="2"/>
  <c r="D190" i="2"/>
  <c r="D191" i="2"/>
  <c r="D192" i="2"/>
  <c r="D193"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A27" i="6"/>
  <c r="AG313" i="6" l="1"/>
  <c r="AG361" i="6"/>
  <c r="AG367" i="6"/>
  <c r="AG317" i="6"/>
  <c r="AF268" i="6"/>
  <c r="AG329" i="6"/>
  <c r="AG333" i="6"/>
  <c r="AG349" i="6"/>
  <c r="AG309" i="6"/>
  <c r="AF342" i="6"/>
  <c r="AG262" i="6"/>
  <c r="AG284" i="6"/>
  <c r="AG273" i="6"/>
  <c r="AG297" i="6"/>
  <c r="AG237" i="6"/>
  <c r="AF269" i="6"/>
  <c r="AG324" i="6"/>
  <c r="AG362" i="6"/>
  <c r="AG233" i="6"/>
  <c r="AG345" i="6"/>
  <c r="AF272" i="6"/>
  <c r="AG348" i="6"/>
  <c r="AG228" i="6"/>
  <c r="AG346" i="6"/>
  <c r="AG251" i="6"/>
  <c r="AG275" i="6"/>
  <c r="AF260" i="6"/>
  <c r="AF360" i="6"/>
  <c r="AG336" i="6"/>
  <c r="AG307" i="6"/>
  <c r="AF316" i="6"/>
  <c r="AG248" i="6"/>
  <c r="AG323" i="6"/>
  <c r="AG318" i="6"/>
  <c r="AG319" i="6"/>
  <c r="AG263" i="6"/>
  <c r="AF265" i="6"/>
  <c r="AG225" i="6"/>
  <c r="AF276" i="6"/>
  <c r="AG373" i="6"/>
  <c r="AG338" i="6"/>
  <c r="AG340" i="6"/>
  <c r="AG266" i="6"/>
  <c r="AG267" i="6"/>
  <c r="AG294" i="6"/>
  <c r="AF281" i="6"/>
  <c r="AF304" i="6"/>
  <c r="AG301" i="6"/>
  <c r="AG289" i="6"/>
  <c r="AG258" i="6"/>
  <c r="AF368" i="6"/>
  <c r="AG354" i="6"/>
  <c r="AG341" i="6"/>
  <c r="AG261" i="6"/>
  <c r="AG357" i="6"/>
  <c r="AG305" i="6"/>
  <c r="AG295" i="6"/>
  <c r="AG271" i="6"/>
  <c r="AG283" i="6"/>
  <c r="AG247" i="6"/>
  <c r="AG243" i="6"/>
  <c r="AG291" i="6"/>
  <c r="AG311" i="6"/>
  <c r="AG302" i="6"/>
  <c r="AG350" i="6"/>
  <c r="AF337" i="6"/>
  <c r="AG290" i="6"/>
  <c r="AG308" i="6"/>
  <c r="AF344" i="6"/>
  <c r="AG277" i="6"/>
  <c r="AG232" i="6"/>
  <c r="AG315" i="6"/>
  <c r="AG298" i="6"/>
  <c r="AG359" i="6"/>
  <c r="AG334" i="6"/>
  <c r="AG370" i="6"/>
  <c r="AG365" i="6"/>
  <c r="AG293" i="6"/>
  <c r="AF366" i="6"/>
  <c r="AG314" i="6"/>
  <c r="AF353" i="6"/>
  <c r="AG326" i="6"/>
  <c r="AF241" i="6"/>
  <c r="AG240" i="6"/>
  <c r="AG296" i="6"/>
  <c r="AG363" i="6"/>
  <c r="AG222" i="6"/>
  <c r="AG352" i="6"/>
  <c r="AG252" i="6"/>
  <c r="AG343" i="6"/>
  <c r="AG331" i="6"/>
  <c r="AF300" i="6"/>
  <c r="AF364" i="6"/>
  <c r="AG374" i="6"/>
  <c r="AG371" i="6"/>
  <c r="AG244" i="6"/>
  <c r="AG347" i="6"/>
  <c r="AG351" i="6"/>
  <c r="AG230" i="6"/>
  <c r="AG330" i="6"/>
  <c r="AG299" i="6"/>
  <c r="AF236" i="6"/>
  <c r="AG322" i="6"/>
  <c r="AG286" i="6"/>
  <c r="AF292" i="6"/>
  <c r="AG303" i="6"/>
  <c r="AG256" i="6"/>
  <c r="AG264" i="6"/>
  <c r="AG274" i="6"/>
  <c r="AG239" i="6"/>
  <c r="AG369" i="6"/>
  <c r="AG282" i="6"/>
  <c r="AG339" i="6"/>
  <c r="AG327" i="6"/>
  <c r="AG229" i="6"/>
  <c r="AG310" i="6"/>
  <c r="AG328" i="6"/>
  <c r="AG321" i="6"/>
  <c r="AG279" i="6"/>
  <c r="AF231" i="6"/>
  <c r="AG355" i="6"/>
  <c r="AG280" i="6"/>
  <c r="AG287" i="6"/>
  <c r="AG216" i="6"/>
  <c r="AF320" i="6"/>
  <c r="AG278" i="6"/>
  <c r="AF220" i="6"/>
  <c r="AG375" i="6"/>
  <c r="AG270" i="6"/>
  <c r="AG213" i="6"/>
  <c r="AG285" i="6"/>
  <c r="AG234" i="6"/>
  <c r="AG372" i="6"/>
  <c r="AF312" i="6"/>
  <c r="AG325" i="6"/>
  <c r="AG250" i="6"/>
  <c r="AG223" i="6"/>
  <c r="AG306" i="6"/>
  <c r="AG218" i="6"/>
  <c r="AF332" i="6"/>
  <c r="AG288" i="6"/>
  <c r="AG259" i="6"/>
  <c r="AG335" i="6"/>
  <c r="AG358" i="6"/>
  <c r="AG356" i="6"/>
  <c r="AF226" i="6"/>
  <c r="AG242" i="6"/>
  <c r="AG227" i="6"/>
  <c r="AG217" i="6"/>
  <c r="AF212" i="6"/>
  <c r="AF253" i="6"/>
  <c r="AG235" i="6"/>
  <c r="AG219" i="6"/>
  <c r="AF221" i="6"/>
  <c r="AF257" i="6"/>
  <c r="AG255" i="6"/>
  <c r="AG246" i="6"/>
  <c r="AG214" i="6"/>
  <c r="AG238" i="6"/>
  <c r="AF249" i="6"/>
  <c r="AG245" i="6"/>
  <c r="AG224" i="6"/>
  <c r="AG254" i="6"/>
  <c r="AF215" i="6"/>
  <c r="AH139" i="6"/>
  <c r="BC139" i="6" s="1"/>
  <c r="AH140" i="6"/>
  <c r="BC140" i="6" s="1"/>
  <c r="AH141" i="6"/>
  <c r="BC141" i="6" s="1"/>
  <c r="AH142" i="6"/>
  <c r="BC142" i="6" s="1"/>
  <c r="AH143" i="6"/>
  <c r="BC143" i="6" s="1"/>
  <c r="AH144" i="6"/>
  <c r="BC144" i="6" s="1"/>
  <c r="AH145" i="6"/>
  <c r="BC145" i="6" s="1"/>
  <c r="AH146" i="6"/>
  <c r="BC146" i="6" s="1"/>
  <c r="AH147" i="6"/>
  <c r="BC147" i="6" s="1"/>
  <c r="AH148" i="6"/>
  <c r="BC148" i="6" s="1"/>
  <c r="AH149" i="6"/>
  <c r="BC149" i="6" s="1"/>
  <c r="AH150" i="6"/>
  <c r="BC150" i="6" s="1"/>
  <c r="AH151" i="6"/>
  <c r="BC151" i="6" s="1"/>
  <c r="AH152" i="6"/>
  <c r="BC152" i="6" s="1"/>
  <c r="AH153" i="6"/>
  <c r="BC153" i="6" s="1"/>
  <c r="AH154" i="6"/>
  <c r="BC154" i="6" s="1"/>
  <c r="AJ139" i="6"/>
  <c r="AJ140" i="6"/>
  <c r="AJ141" i="6"/>
  <c r="AJ142" i="6"/>
  <c r="AJ143" i="6"/>
  <c r="AJ144" i="6"/>
  <c r="AJ145" i="6"/>
  <c r="AJ146" i="6"/>
  <c r="AJ147" i="6"/>
  <c r="AJ148" i="6"/>
  <c r="AJ149" i="6"/>
  <c r="AJ150" i="6"/>
  <c r="AJ151" i="6"/>
  <c r="AJ152" i="6"/>
  <c r="AJ153" i="6"/>
  <c r="AJ154" i="6"/>
  <c r="AM140" i="6"/>
  <c r="AO140" i="6"/>
  <c r="AR140" i="6"/>
  <c r="AS140" i="6"/>
  <c r="AT140" i="6"/>
  <c r="AU140" i="6"/>
  <c r="AU141" i="6"/>
  <c r="AU145" i="6"/>
  <c r="AV140" i="6"/>
  <c r="AV145" i="6"/>
  <c r="AW140" i="6"/>
  <c r="AW145" i="6"/>
  <c r="AX140" i="6"/>
  <c r="AX145" i="6"/>
  <c r="AY140" i="6"/>
  <c r="AY153" i="6"/>
  <c r="AZ140" i="6"/>
  <c r="AZ145" i="6"/>
  <c r="AZ148" i="6"/>
  <c r="AH155" i="6"/>
  <c r="BC155" i="6" s="1"/>
  <c r="AH156" i="6"/>
  <c r="BC156" i="6" s="1"/>
  <c r="AH157" i="6"/>
  <c r="BC157" i="6" s="1"/>
  <c r="AH158" i="6"/>
  <c r="BC158" i="6" s="1"/>
  <c r="AH159" i="6"/>
  <c r="BC159" i="6" s="1"/>
  <c r="AH160" i="6"/>
  <c r="BC160" i="6" s="1"/>
  <c r="AH161" i="6"/>
  <c r="BC161" i="6" s="1"/>
  <c r="AH162" i="6"/>
  <c r="BC162" i="6" s="1"/>
  <c r="AH163" i="6"/>
  <c r="BC163" i="6" s="1"/>
  <c r="AH164" i="6"/>
  <c r="BC164" i="6" s="1"/>
  <c r="AH165" i="6"/>
  <c r="BC165" i="6" s="1"/>
  <c r="AH166" i="6"/>
  <c r="BC166" i="6" s="1"/>
  <c r="AH167" i="6"/>
  <c r="BC167" i="6" s="1"/>
  <c r="AH168" i="6"/>
  <c r="BC168" i="6" s="1"/>
  <c r="AH169" i="6"/>
  <c r="BC169" i="6" s="1"/>
  <c r="AH170" i="6"/>
  <c r="BC170" i="6" s="1"/>
  <c r="AJ155" i="6"/>
  <c r="AJ156" i="6"/>
  <c r="AJ157" i="6"/>
  <c r="AJ158" i="6"/>
  <c r="AJ159" i="6"/>
  <c r="AJ160" i="6"/>
  <c r="AJ161" i="6"/>
  <c r="AJ162" i="6"/>
  <c r="AJ163" i="6"/>
  <c r="AJ164" i="6"/>
  <c r="AJ165" i="6"/>
  <c r="AJ166" i="6"/>
  <c r="AJ167" i="6"/>
  <c r="AJ168" i="6"/>
  <c r="AJ169" i="6"/>
  <c r="AJ170" i="6"/>
  <c r="AH171" i="6"/>
  <c r="BC171" i="6" s="1"/>
  <c r="AH172" i="6"/>
  <c r="BC172" i="6" s="1"/>
  <c r="AH173" i="6"/>
  <c r="BC173" i="6" s="1"/>
  <c r="AH174" i="6"/>
  <c r="BC174" i="6" s="1"/>
  <c r="AH175" i="6"/>
  <c r="BC175" i="6" s="1"/>
  <c r="AH176" i="6"/>
  <c r="BC176" i="6" s="1"/>
  <c r="AH177" i="6"/>
  <c r="AN177" i="6" s="1"/>
  <c r="AH178" i="6"/>
  <c r="BC178" i="6" s="1"/>
  <c r="AJ171" i="6"/>
  <c r="AJ172" i="6"/>
  <c r="AJ173" i="6"/>
  <c r="AJ174" i="6"/>
  <c r="AJ175" i="6"/>
  <c r="AJ176" i="6"/>
  <c r="AJ177" i="6"/>
  <c r="AJ178" i="6"/>
  <c r="AH179" i="6"/>
  <c r="BC179" i="6" s="1"/>
  <c r="AH180" i="6"/>
  <c r="BC180" i="6" s="1"/>
  <c r="AH181" i="6"/>
  <c r="BC181" i="6" s="1"/>
  <c r="AH182" i="6"/>
  <c r="BC182" i="6" s="1"/>
  <c r="AJ179" i="6"/>
  <c r="AJ180" i="6"/>
  <c r="AJ181" i="6"/>
  <c r="AJ182" i="6"/>
  <c r="AK179"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O157" i="6"/>
  <c r="O158" i="6"/>
  <c r="O159" i="6"/>
  <c r="O160" i="6"/>
  <c r="O161" i="6"/>
  <c r="O162" i="6"/>
  <c r="O163" i="6"/>
  <c r="O164" i="6"/>
  <c r="O165" i="6"/>
  <c r="O166" i="6"/>
  <c r="O167" i="6"/>
  <c r="O168" i="6"/>
  <c r="O169" i="6"/>
  <c r="O170" i="6"/>
  <c r="O171" i="6"/>
  <c r="O172" i="6"/>
  <c r="O173" i="6"/>
  <c r="O174" i="6"/>
  <c r="O175" i="6"/>
  <c r="O176" i="6"/>
  <c r="O177" i="6"/>
  <c r="O178" i="6"/>
  <c r="O179" i="6"/>
  <c r="O180" i="6"/>
  <c r="O181" i="6"/>
  <c r="O182" i="6"/>
  <c r="O183" i="6"/>
  <c r="O184" i="6"/>
  <c r="O185" i="6"/>
  <c r="O186" i="6"/>
  <c r="O187" i="6"/>
  <c r="O188" i="6"/>
  <c r="O189" i="6"/>
  <c r="O190" i="6"/>
  <c r="O191" i="6"/>
  <c r="O192" i="6"/>
  <c r="O193" i="6"/>
  <c r="O194" i="6"/>
  <c r="O195" i="6"/>
  <c r="O196" i="6"/>
  <c r="O197" i="6"/>
  <c r="O198" i="6"/>
  <c r="O199" i="6"/>
  <c r="O200" i="6"/>
  <c r="O201" i="6"/>
  <c r="O202" i="6"/>
  <c r="O203" i="6"/>
  <c r="O204" i="6"/>
  <c r="P157" i="6"/>
  <c r="P158" i="6"/>
  <c r="P159" i="6"/>
  <c r="P160" i="6"/>
  <c r="P161" i="6"/>
  <c r="P162" i="6"/>
  <c r="P163" i="6"/>
  <c r="P164" i="6"/>
  <c r="P165" i="6"/>
  <c r="P166" i="6"/>
  <c r="P167" i="6"/>
  <c r="P168" i="6"/>
  <c r="P169" i="6"/>
  <c r="P170" i="6"/>
  <c r="P171" i="6"/>
  <c r="P172" i="6"/>
  <c r="P173" i="6"/>
  <c r="P174" i="6"/>
  <c r="P175" i="6"/>
  <c r="P176" i="6"/>
  <c r="P177" i="6"/>
  <c r="P178" i="6"/>
  <c r="P179" i="6"/>
  <c r="P180" i="6"/>
  <c r="P181" i="6"/>
  <c r="P182" i="6"/>
  <c r="P183" i="6"/>
  <c r="P184" i="6"/>
  <c r="P185" i="6"/>
  <c r="P186" i="6"/>
  <c r="P187" i="6"/>
  <c r="P188" i="6"/>
  <c r="P189" i="6"/>
  <c r="P190" i="6"/>
  <c r="P191" i="6"/>
  <c r="P192" i="6"/>
  <c r="P193" i="6"/>
  <c r="P194" i="6"/>
  <c r="P195" i="6"/>
  <c r="P196" i="6"/>
  <c r="P197" i="6"/>
  <c r="P198" i="6"/>
  <c r="P199" i="6"/>
  <c r="P200" i="6"/>
  <c r="P201" i="6"/>
  <c r="P202" i="6"/>
  <c r="P203" i="6"/>
  <c r="P204" i="6"/>
  <c r="Q157" i="6"/>
  <c r="Q158" i="6"/>
  <c r="Q159" i="6"/>
  <c r="Q160" i="6"/>
  <c r="Q161" i="6"/>
  <c r="Q162" i="6"/>
  <c r="Q163" i="6"/>
  <c r="Q164" i="6"/>
  <c r="Q165" i="6"/>
  <c r="Q166" i="6"/>
  <c r="Q167" i="6"/>
  <c r="Q168" i="6"/>
  <c r="Q169" i="6"/>
  <c r="Q170" i="6"/>
  <c r="Q171" i="6"/>
  <c r="Q172" i="6"/>
  <c r="Q173" i="6"/>
  <c r="Q174" i="6"/>
  <c r="Q175" i="6"/>
  <c r="Q176" i="6"/>
  <c r="Q177" i="6"/>
  <c r="Q178" i="6"/>
  <c r="Q179" i="6"/>
  <c r="Q180" i="6"/>
  <c r="Q181" i="6"/>
  <c r="Q182" i="6"/>
  <c r="Q183" i="6"/>
  <c r="Q184" i="6"/>
  <c r="Q185" i="6"/>
  <c r="Q186" i="6"/>
  <c r="Q187" i="6"/>
  <c r="Q188" i="6"/>
  <c r="Q189" i="6"/>
  <c r="Q190" i="6"/>
  <c r="Q191" i="6"/>
  <c r="Q192" i="6"/>
  <c r="Q193" i="6"/>
  <c r="Q194" i="6"/>
  <c r="Q195" i="6"/>
  <c r="Q196" i="6"/>
  <c r="Q197" i="6"/>
  <c r="Q198" i="6"/>
  <c r="Q199" i="6"/>
  <c r="Q200" i="6"/>
  <c r="Q201" i="6"/>
  <c r="Q202" i="6"/>
  <c r="Q203" i="6"/>
  <c r="Q204" i="6"/>
  <c r="R157" i="6"/>
  <c r="R158" i="6"/>
  <c r="R159" i="6"/>
  <c r="R160" i="6"/>
  <c r="R161" i="6"/>
  <c r="R162" i="6"/>
  <c r="R163" i="6"/>
  <c r="R164" i="6"/>
  <c r="R165" i="6"/>
  <c r="R166" i="6"/>
  <c r="R167" i="6"/>
  <c r="R168" i="6"/>
  <c r="R169" i="6"/>
  <c r="R170" i="6"/>
  <c r="R171" i="6"/>
  <c r="R172" i="6"/>
  <c r="R173" i="6"/>
  <c r="R174" i="6"/>
  <c r="R175" i="6"/>
  <c r="R176" i="6"/>
  <c r="R177" i="6"/>
  <c r="R178" i="6"/>
  <c r="R179" i="6"/>
  <c r="R180" i="6"/>
  <c r="R181" i="6"/>
  <c r="R182" i="6"/>
  <c r="R183" i="6"/>
  <c r="R184" i="6"/>
  <c r="R185" i="6"/>
  <c r="R186" i="6"/>
  <c r="R187" i="6"/>
  <c r="R188" i="6"/>
  <c r="R189" i="6"/>
  <c r="R190" i="6"/>
  <c r="R191" i="6"/>
  <c r="R192" i="6"/>
  <c r="R193" i="6"/>
  <c r="R194" i="6"/>
  <c r="R195" i="6"/>
  <c r="R196" i="6"/>
  <c r="R197" i="6"/>
  <c r="R198" i="6"/>
  <c r="R199" i="6"/>
  <c r="R200" i="6"/>
  <c r="R201" i="6"/>
  <c r="R202" i="6"/>
  <c r="R203" i="6"/>
  <c r="R204" i="6"/>
  <c r="S157" i="6"/>
  <c r="S158" i="6"/>
  <c r="S159" i="6"/>
  <c r="S160" i="6"/>
  <c r="S161" i="6"/>
  <c r="S162" i="6"/>
  <c r="S163" i="6"/>
  <c r="S164" i="6"/>
  <c r="S165" i="6"/>
  <c r="S166" i="6"/>
  <c r="S167" i="6"/>
  <c r="S168" i="6"/>
  <c r="S169" i="6"/>
  <c r="S170" i="6"/>
  <c r="S171" i="6"/>
  <c r="S172" i="6"/>
  <c r="S173" i="6"/>
  <c r="S174" i="6"/>
  <c r="S175" i="6"/>
  <c r="S176" i="6"/>
  <c r="S177" i="6"/>
  <c r="S178" i="6"/>
  <c r="S179" i="6"/>
  <c r="S180" i="6"/>
  <c r="S181" i="6"/>
  <c r="S182" i="6"/>
  <c r="S183" i="6"/>
  <c r="S184" i="6"/>
  <c r="S185" i="6"/>
  <c r="S186" i="6"/>
  <c r="S187" i="6"/>
  <c r="S188" i="6"/>
  <c r="S189" i="6"/>
  <c r="S190" i="6"/>
  <c r="S191" i="6"/>
  <c r="S192" i="6"/>
  <c r="S193" i="6"/>
  <c r="S194" i="6"/>
  <c r="S195" i="6"/>
  <c r="S196" i="6"/>
  <c r="S197" i="6"/>
  <c r="S198" i="6"/>
  <c r="S199" i="6"/>
  <c r="S200" i="6"/>
  <c r="S201" i="6"/>
  <c r="S202" i="6"/>
  <c r="S203" i="6"/>
  <c r="S204" i="6"/>
  <c r="T157" i="6"/>
  <c r="T158" i="6"/>
  <c r="T159" i="6"/>
  <c r="T160" i="6"/>
  <c r="T161" i="6"/>
  <c r="T162" i="6"/>
  <c r="T163" i="6"/>
  <c r="T164" i="6"/>
  <c r="T165" i="6"/>
  <c r="T166" i="6"/>
  <c r="T167" i="6"/>
  <c r="T168" i="6"/>
  <c r="T169" i="6"/>
  <c r="T170" i="6"/>
  <c r="T171" i="6"/>
  <c r="T172" i="6"/>
  <c r="T173" i="6"/>
  <c r="T174" i="6"/>
  <c r="T175" i="6"/>
  <c r="T176" i="6"/>
  <c r="T177" i="6"/>
  <c r="T178" i="6"/>
  <c r="T179" i="6"/>
  <c r="T180" i="6"/>
  <c r="T181" i="6"/>
  <c r="T182" i="6"/>
  <c r="T183" i="6"/>
  <c r="T184" i="6"/>
  <c r="T185" i="6"/>
  <c r="T186" i="6"/>
  <c r="T187" i="6"/>
  <c r="T188" i="6"/>
  <c r="T189" i="6"/>
  <c r="T190" i="6"/>
  <c r="T191" i="6"/>
  <c r="T192" i="6"/>
  <c r="T193" i="6"/>
  <c r="T194" i="6"/>
  <c r="T195" i="6"/>
  <c r="T196" i="6"/>
  <c r="T197" i="6"/>
  <c r="T198" i="6"/>
  <c r="T199" i="6"/>
  <c r="T200" i="6"/>
  <c r="T201" i="6"/>
  <c r="T202" i="6"/>
  <c r="T203" i="6"/>
  <c r="T204" i="6"/>
  <c r="U157" i="6"/>
  <c r="U158" i="6"/>
  <c r="U159" i="6"/>
  <c r="U160" i="6"/>
  <c r="U161" i="6"/>
  <c r="U162" i="6"/>
  <c r="U163" i="6"/>
  <c r="U164" i="6"/>
  <c r="U165" i="6"/>
  <c r="U166" i="6"/>
  <c r="U167" i="6"/>
  <c r="U168" i="6"/>
  <c r="U169" i="6"/>
  <c r="U170" i="6"/>
  <c r="U171" i="6"/>
  <c r="U172" i="6"/>
  <c r="U173" i="6"/>
  <c r="U174" i="6"/>
  <c r="U175" i="6"/>
  <c r="U176" i="6"/>
  <c r="U177" i="6"/>
  <c r="U178" i="6"/>
  <c r="U179" i="6"/>
  <c r="U180" i="6"/>
  <c r="U181" i="6"/>
  <c r="U182" i="6"/>
  <c r="U183" i="6"/>
  <c r="U184" i="6"/>
  <c r="U185" i="6"/>
  <c r="U186" i="6"/>
  <c r="U187" i="6"/>
  <c r="U188" i="6"/>
  <c r="U189" i="6"/>
  <c r="U190" i="6"/>
  <c r="U191" i="6"/>
  <c r="U192" i="6"/>
  <c r="U193" i="6"/>
  <c r="U194" i="6"/>
  <c r="U195" i="6"/>
  <c r="U196" i="6"/>
  <c r="U197" i="6"/>
  <c r="U198" i="6"/>
  <c r="U199" i="6"/>
  <c r="U200" i="6"/>
  <c r="U201" i="6"/>
  <c r="U202" i="6"/>
  <c r="U203" i="6"/>
  <c r="U204" i="6"/>
  <c r="V157" i="6"/>
  <c r="V158" i="6"/>
  <c r="V159" i="6"/>
  <c r="V160" i="6"/>
  <c r="V161" i="6"/>
  <c r="V162" i="6"/>
  <c r="V163" i="6"/>
  <c r="V164" i="6"/>
  <c r="V165" i="6"/>
  <c r="V166" i="6"/>
  <c r="V167" i="6"/>
  <c r="V168" i="6"/>
  <c r="V169" i="6"/>
  <c r="V170" i="6"/>
  <c r="V171" i="6"/>
  <c r="V172" i="6"/>
  <c r="V173" i="6"/>
  <c r="V174" i="6"/>
  <c r="V175" i="6"/>
  <c r="V176" i="6"/>
  <c r="V177" i="6"/>
  <c r="V178" i="6"/>
  <c r="V179" i="6"/>
  <c r="V180" i="6"/>
  <c r="V181" i="6"/>
  <c r="V182" i="6"/>
  <c r="V183" i="6"/>
  <c r="V184" i="6"/>
  <c r="V185" i="6"/>
  <c r="V186" i="6"/>
  <c r="V187" i="6"/>
  <c r="V188" i="6"/>
  <c r="V189" i="6"/>
  <c r="V190" i="6"/>
  <c r="V191" i="6"/>
  <c r="V192" i="6"/>
  <c r="V193" i="6"/>
  <c r="V194" i="6"/>
  <c r="V195" i="6"/>
  <c r="V196" i="6"/>
  <c r="V197" i="6"/>
  <c r="V198" i="6"/>
  <c r="V199" i="6"/>
  <c r="V200" i="6"/>
  <c r="V201" i="6"/>
  <c r="V202" i="6"/>
  <c r="V203" i="6"/>
  <c r="V204" i="6"/>
  <c r="W157" i="6"/>
  <c r="W158" i="6"/>
  <c r="W159" i="6"/>
  <c r="W160" i="6"/>
  <c r="W161" i="6"/>
  <c r="W162" i="6"/>
  <c r="W163" i="6"/>
  <c r="W164" i="6"/>
  <c r="W165" i="6"/>
  <c r="W166" i="6"/>
  <c r="W167" i="6"/>
  <c r="W168" i="6"/>
  <c r="W169" i="6"/>
  <c r="W170" i="6"/>
  <c r="W171" i="6"/>
  <c r="W172" i="6"/>
  <c r="W173" i="6"/>
  <c r="W174" i="6"/>
  <c r="W175" i="6"/>
  <c r="W176" i="6"/>
  <c r="W177" i="6"/>
  <c r="W178" i="6"/>
  <c r="W179" i="6"/>
  <c r="W180" i="6"/>
  <c r="W181" i="6"/>
  <c r="W182" i="6"/>
  <c r="W183" i="6"/>
  <c r="W184" i="6"/>
  <c r="W185" i="6"/>
  <c r="W186" i="6"/>
  <c r="W187" i="6"/>
  <c r="W188" i="6"/>
  <c r="W189" i="6"/>
  <c r="W190" i="6"/>
  <c r="W191" i="6"/>
  <c r="W192" i="6"/>
  <c r="W193" i="6"/>
  <c r="W194" i="6"/>
  <c r="W195" i="6"/>
  <c r="W196" i="6"/>
  <c r="W197" i="6"/>
  <c r="W198" i="6"/>
  <c r="W199" i="6"/>
  <c r="W200" i="6"/>
  <c r="W201" i="6"/>
  <c r="W202" i="6"/>
  <c r="W203" i="6"/>
  <c r="W204" i="6"/>
  <c r="X157" i="6"/>
  <c r="X158" i="6"/>
  <c r="X159" i="6"/>
  <c r="X160" i="6"/>
  <c r="X161" i="6"/>
  <c r="X162" i="6"/>
  <c r="X163" i="6"/>
  <c r="X164" i="6"/>
  <c r="X165" i="6"/>
  <c r="X166" i="6"/>
  <c r="X167" i="6"/>
  <c r="X168" i="6"/>
  <c r="X169" i="6"/>
  <c r="X170" i="6"/>
  <c r="X171" i="6"/>
  <c r="X172" i="6"/>
  <c r="X173" i="6"/>
  <c r="X174" i="6"/>
  <c r="X175" i="6"/>
  <c r="X176" i="6"/>
  <c r="X177" i="6"/>
  <c r="X178" i="6"/>
  <c r="X179" i="6"/>
  <c r="X180" i="6"/>
  <c r="X181" i="6"/>
  <c r="X182" i="6"/>
  <c r="X183" i="6"/>
  <c r="X184" i="6"/>
  <c r="X185" i="6"/>
  <c r="X186" i="6"/>
  <c r="X187" i="6"/>
  <c r="X188" i="6"/>
  <c r="X189" i="6"/>
  <c r="X190" i="6"/>
  <c r="X191" i="6"/>
  <c r="X192" i="6"/>
  <c r="X193" i="6"/>
  <c r="X194" i="6"/>
  <c r="X195" i="6"/>
  <c r="X196" i="6"/>
  <c r="X197" i="6"/>
  <c r="X198" i="6"/>
  <c r="X199" i="6"/>
  <c r="X200" i="6"/>
  <c r="X201" i="6"/>
  <c r="X202" i="6"/>
  <c r="X203" i="6"/>
  <c r="X204" i="6"/>
  <c r="Y157" i="6"/>
  <c r="Y158" i="6"/>
  <c r="Y159" i="6"/>
  <c r="Y160" i="6"/>
  <c r="Y161" i="6"/>
  <c r="Y162" i="6"/>
  <c r="Y163" i="6"/>
  <c r="Y164" i="6"/>
  <c r="Y165" i="6"/>
  <c r="Y166" i="6"/>
  <c r="Y167" i="6"/>
  <c r="Y168" i="6"/>
  <c r="Y169" i="6"/>
  <c r="Y170" i="6"/>
  <c r="Y171" i="6"/>
  <c r="Y172" i="6"/>
  <c r="Y173" i="6"/>
  <c r="Y174" i="6"/>
  <c r="Y175" i="6"/>
  <c r="Y176" i="6"/>
  <c r="Y177" i="6"/>
  <c r="Y178" i="6"/>
  <c r="Y179" i="6"/>
  <c r="Y180" i="6"/>
  <c r="Y181" i="6"/>
  <c r="Y182" i="6"/>
  <c r="Y183" i="6"/>
  <c r="Y184" i="6"/>
  <c r="Y185" i="6"/>
  <c r="Y186" i="6"/>
  <c r="Y187" i="6"/>
  <c r="Y188" i="6"/>
  <c r="Y189" i="6"/>
  <c r="Y190" i="6"/>
  <c r="Y191" i="6"/>
  <c r="Y192" i="6"/>
  <c r="Y193" i="6"/>
  <c r="Y194" i="6"/>
  <c r="Y195" i="6"/>
  <c r="Y196" i="6"/>
  <c r="Y197" i="6"/>
  <c r="Y198" i="6"/>
  <c r="Y199" i="6"/>
  <c r="Y200" i="6"/>
  <c r="Y201" i="6"/>
  <c r="Y202" i="6"/>
  <c r="Y203" i="6"/>
  <c r="Y204" i="6"/>
  <c r="Z157" i="6"/>
  <c r="Z158" i="6"/>
  <c r="Z159" i="6"/>
  <c r="Z160" i="6"/>
  <c r="Z161" i="6"/>
  <c r="Z162" i="6"/>
  <c r="Z163" i="6"/>
  <c r="Z164" i="6"/>
  <c r="Z165" i="6"/>
  <c r="Z166" i="6"/>
  <c r="Z167" i="6"/>
  <c r="Z168" i="6"/>
  <c r="Z169" i="6"/>
  <c r="Z170" i="6"/>
  <c r="Z171" i="6"/>
  <c r="Z172" i="6"/>
  <c r="Z173" i="6"/>
  <c r="Z174" i="6"/>
  <c r="Z175" i="6"/>
  <c r="Z176" i="6"/>
  <c r="Z177" i="6"/>
  <c r="Z178" i="6"/>
  <c r="Z179" i="6"/>
  <c r="Z180" i="6"/>
  <c r="Z181" i="6"/>
  <c r="Z182" i="6"/>
  <c r="Z183" i="6"/>
  <c r="Z184" i="6"/>
  <c r="Z185" i="6"/>
  <c r="Z186" i="6"/>
  <c r="Z187" i="6"/>
  <c r="Z188" i="6"/>
  <c r="Z189" i="6"/>
  <c r="Z190" i="6"/>
  <c r="Z191" i="6"/>
  <c r="Z192" i="6"/>
  <c r="Z193" i="6"/>
  <c r="Z194" i="6"/>
  <c r="Z195" i="6"/>
  <c r="Z196" i="6"/>
  <c r="Z197" i="6"/>
  <c r="Z198" i="6"/>
  <c r="Z199" i="6"/>
  <c r="Z200" i="6"/>
  <c r="Z201" i="6"/>
  <c r="Z202" i="6"/>
  <c r="Z203" i="6"/>
  <c r="Z204" i="6"/>
  <c r="AA157" i="6"/>
  <c r="AA158" i="6"/>
  <c r="AA159" i="6"/>
  <c r="AA160" i="6"/>
  <c r="AA161" i="6"/>
  <c r="AA162" i="6"/>
  <c r="AA163" i="6"/>
  <c r="AA164" i="6"/>
  <c r="AA165" i="6"/>
  <c r="AA166" i="6"/>
  <c r="AA167" i="6"/>
  <c r="AA168" i="6"/>
  <c r="AA169" i="6"/>
  <c r="AA170" i="6"/>
  <c r="AA171" i="6"/>
  <c r="AA172" i="6"/>
  <c r="AA173" i="6"/>
  <c r="AA174" i="6"/>
  <c r="AA175" i="6"/>
  <c r="AA176" i="6"/>
  <c r="AA177" i="6"/>
  <c r="AA178" i="6"/>
  <c r="AA179" i="6"/>
  <c r="AA180" i="6"/>
  <c r="AA181" i="6"/>
  <c r="AA182" i="6"/>
  <c r="AA183" i="6"/>
  <c r="AA184" i="6"/>
  <c r="AA185" i="6"/>
  <c r="AA186" i="6"/>
  <c r="AA187" i="6"/>
  <c r="AA188" i="6"/>
  <c r="AA189" i="6"/>
  <c r="AA190" i="6"/>
  <c r="AA191" i="6"/>
  <c r="AA192" i="6"/>
  <c r="AA193" i="6"/>
  <c r="AA194" i="6"/>
  <c r="AA195" i="6"/>
  <c r="AA196" i="6"/>
  <c r="AA197" i="6"/>
  <c r="AA198" i="6"/>
  <c r="AA199" i="6"/>
  <c r="AA200" i="6"/>
  <c r="AA201" i="6"/>
  <c r="AA202" i="6"/>
  <c r="AA203" i="6"/>
  <c r="AA204" i="6"/>
  <c r="I205" i="6"/>
  <c r="W205" i="6" s="1"/>
  <c r="I206" i="6"/>
  <c r="M206" i="6" s="1"/>
  <c r="I207" i="6"/>
  <c r="I208" i="6"/>
  <c r="I209" i="6"/>
  <c r="I210" i="6"/>
  <c r="I211" i="6"/>
  <c r="J205" i="6"/>
  <c r="J206" i="6"/>
  <c r="J207" i="6"/>
  <c r="J208" i="6"/>
  <c r="J209" i="6"/>
  <c r="J210" i="6"/>
  <c r="J211" i="6"/>
  <c r="K205" i="6"/>
  <c r="K206" i="6"/>
  <c r="K207" i="6"/>
  <c r="K208" i="6"/>
  <c r="K209" i="6"/>
  <c r="K210" i="6"/>
  <c r="K211" i="6"/>
  <c r="AZ149" i="6" l="1"/>
  <c r="AO141" i="6"/>
  <c r="AW149" i="6"/>
  <c r="AL141" i="6"/>
  <c r="AS141" i="6"/>
  <c r="AY149" i="6"/>
  <c r="AY141" i="6"/>
  <c r="AV141" i="6"/>
  <c r="AQ141" i="6"/>
  <c r="AK173" i="6"/>
  <c r="AP141" i="6"/>
  <c r="AN141" i="6"/>
  <c r="AK145" i="6"/>
  <c r="AZ153" i="6"/>
  <c r="AZ141" i="6"/>
  <c r="AY145" i="6"/>
  <c r="AX141" i="6"/>
  <c r="AW141" i="6"/>
  <c r="AT141" i="6"/>
  <c r="AR141" i="6"/>
  <c r="AO145" i="6"/>
  <c r="AM141" i="6"/>
  <c r="AK141" i="6"/>
  <c r="AP144" i="6"/>
  <c r="AS144" i="6"/>
  <c r="AK181" i="6"/>
  <c r="AV144" i="6"/>
  <c r="AQ144" i="6"/>
  <c r="AK180" i="6"/>
  <c r="AY144" i="6"/>
  <c r="AW144" i="6"/>
  <c r="AU144" i="6"/>
  <c r="AZ144" i="6"/>
  <c r="AR144" i="6"/>
  <c r="AX144" i="6"/>
  <c r="AT144" i="6"/>
  <c r="AS148" i="6"/>
  <c r="AY148" i="6"/>
  <c r="AV148" i="6"/>
  <c r="AT148" i="6"/>
  <c r="AW148" i="6"/>
  <c r="AX148" i="6"/>
  <c r="AU148" i="6"/>
  <c r="AQ148" i="6"/>
  <c r="AV153" i="6"/>
  <c r="AX153" i="6"/>
  <c r="AS153" i="6"/>
  <c r="AW153" i="6"/>
  <c r="AP153" i="6"/>
  <c r="AV149" i="6"/>
  <c r="AX149" i="6"/>
  <c r="AQ149" i="6"/>
  <c r="AU153" i="6"/>
  <c r="AT152" i="6"/>
  <c r="AZ152" i="6"/>
  <c r="AY152" i="6"/>
  <c r="AX152" i="6"/>
  <c r="AW152" i="6"/>
  <c r="AV152" i="6"/>
  <c r="AU152" i="6"/>
  <c r="AS152" i="6"/>
  <c r="AR152" i="6"/>
  <c r="AQ152" i="6"/>
  <c r="AR148" i="6"/>
  <c r="AY164" i="6"/>
  <c r="AV160" i="6"/>
  <c r="AP152" i="6"/>
  <c r="AS160" i="6"/>
  <c r="AU149" i="6"/>
  <c r="AX168" i="6"/>
  <c r="AP168" i="6"/>
  <c r="AT149" i="6"/>
  <c r="AT168" i="6"/>
  <c r="AR153" i="6"/>
  <c r="AN149" i="6"/>
  <c r="AK153" i="6"/>
  <c r="AT153" i="6"/>
  <c r="AR149" i="6"/>
  <c r="AO153" i="6"/>
  <c r="AM153" i="6"/>
  <c r="AL153" i="6"/>
  <c r="AZ164" i="6"/>
  <c r="AU160" i="6"/>
  <c r="AN168" i="6"/>
  <c r="AS149" i="6"/>
  <c r="AQ153" i="6"/>
  <c r="AP149" i="6"/>
  <c r="AO149" i="6"/>
  <c r="AN153" i="6"/>
  <c r="AM149" i="6"/>
  <c r="AP145" i="6"/>
  <c r="AT145" i="6"/>
  <c r="AS145" i="6"/>
  <c r="AR145" i="6"/>
  <c r="AQ145" i="6"/>
  <c r="AN145" i="6"/>
  <c r="AM145" i="6"/>
  <c r="AL145" i="6"/>
  <c r="AL149" i="6"/>
  <c r="AK149" i="6"/>
  <c r="AW161" i="6"/>
  <c r="AT169" i="6"/>
  <c r="AN169" i="6"/>
  <c r="AO148" i="6"/>
  <c r="AL152" i="6"/>
  <c r="AU161" i="6"/>
  <c r="AP148" i="6"/>
  <c r="AN148" i="6"/>
  <c r="AM152" i="6"/>
  <c r="AK148" i="6"/>
  <c r="AZ160" i="6"/>
  <c r="AY161" i="6"/>
  <c r="AX160" i="6"/>
  <c r="AW160" i="6"/>
  <c r="AV156" i="6"/>
  <c r="AU157" i="6"/>
  <c r="AT165" i="6"/>
  <c r="AR168" i="6"/>
  <c r="AP160" i="6"/>
  <c r="AN156" i="6"/>
  <c r="AQ140" i="6"/>
  <c r="AP140" i="6"/>
  <c r="AZ156" i="6"/>
  <c r="AY160" i="6"/>
  <c r="AX156" i="6"/>
  <c r="AW156" i="6"/>
  <c r="AU164" i="6"/>
  <c r="AU156" i="6"/>
  <c r="AT164" i="6"/>
  <c r="AR160" i="6"/>
  <c r="AO156" i="6"/>
  <c r="AM169" i="6"/>
  <c r="AO144" i="6"/>
  <c r="AN140" i="6"/>
  <c r="AZ168" i="6"/>
  <c r="AY168" i="6"/>
  <c r="AY156" i="6"/>
  <c r="AW168" i="6"/>
  <c r="AV164" i="6"/>
  <c r="AT156" i="6"/>
  <c r="AQ164" i="6"/>
  <c r="AM156" i="6"/>
  <c r="AT160" i="6"/>
  <c r="AS156" i="6"/>
  <c r="AR156" i="6"/>
  <c r="AP164" i="6"/>
  <c r="AX164" i="6"/>
  <c r="AW164" i="6"/>
  <c r="AV168" i="6"/>
  <c r="AU168" i="6"/>
  <c r="AS168" i="6"/>
  <c r="AR164" i="6"/>
  <c r="AQ160" i="6"/>
  <c r="AO164" i="6"/>
  <c r="AN160" i="6"/>
  <c r="AL156" i="6"/>
  <c r="AM144" i="6"/>
  <c r="AY171" i="6"/>
  <c r="AX161" i="6"/>
  <c r="AO169" i="6"/>
  <c r="AZ161" i="6"/>
  <c r="AV161" i="6"/>
  <c r="AS165" i="6"/>
  <c r="AR165" i="6"/>
  <c r="AQ165" i="6"/>
  <c r="AA205" i="6"/>
  <c r="AO168" i="6"/>
  <c r="AL164" i="6"/>
  <c r="AM181" i="6"/>
  <c r="AZ177" i="6"/>
  <c r="AS164" i="6"/>
  <c r="AQ168" i="6"/>
  <c r="AQ156" i="6"/>
  <c r="AP156" i="6"/>
  <c r="AO160" i="6"/>
  <c r="AN164" i="6"/>
  <c r="AM164" i="6"/>
  <c r="AK168" i="6"/>
  <c r="AX173" i="6"/>
  <c r="AV177" i="6"/>
  <c r="AY177" i="6"/>
  <c r="AS173" i="6"/>
  <c r="AT166" i="6"/>
  <c r="AK164" i="6"/>
  <c r="AO152" i="6"/>
  <c r="AN152" i="6"/>
  <c r="AP173" i="6"/>
  <c r="AT170" i="6"/>
  <c r="AM148" i="6"/>
  <c r="AL148" i="6"/>
  <c r="AK152" i="6"/>
  <c r="AU158" i="6"/>
  <c r="AZ175" i="6"/>
  <c r="AX175" i="6"/>
  <c r="AT173" i="6"/>
  <c r="AN163" i="6"/>
  <c r="AW147" i="6"/>
  <c r="AM177" i="6"/>
  <c r="BC177" i="6"/>
  <c r="AS147" i="6"/>
  <c r="AY175" i="6"/>
  <c r="AW173" i="6"/>
  <c r="AQ177" i="6"/>
  <c r="AQ159" i="6"/>
  <c r="AO147" i="6"/>
  <c r="R206" i="6"/>
  <c r="AD206" i="6"/>
  <c r="AC206" i="6"/>
  <c r="AB206" i="6"/>
  <c r="AD202" i="6"/>
  <c r="AC202" i="6"/>
  <c r="AB202" i="6"/>
  <c r="AD190" i="6"/>
  <c r="AC190" i="6"/>
  <c r="AB190" i="6"/>
  <c r="AD182" i="6"/>
  <c r="AC182" i="6"/>
  <c r="AB182" i="6"/>
  <c r="AD178" i="6"/>
  <c r="AC178" i="6"/>
  <c r="AB178" i="6"/>
  <c r="N174" i="6"/>
  <c r="AD174" i="6"/>
  <c r="AC174" i="6"/>
  <c r="AB174" i="6"/>
  <c r="AD170" i="6"/>
  <c r="AC170" i="6"/>
  <c r="AB170" i="6"/>
  <c r="AD166" i="6"/>
  <c r="AC166" i="6"/>
  <c r="AB166" i="6"/>
  <c r="AD158" i="6"/>
  <c r="AC158" i="6"/>
  <c r="AB158" i="6"/>
  <c r="AK167" i="6"/>
  <c r="BB167" i="6"/>
  <c r="BA167" i="6"/>
  <c r="AK163" i="6"/>
  <c r="BB163" i="6"/>
  <c r="BA163" i="6"/>
  <c r="AL159" i="6"/>
  <c r="BA159" i="6"/>
  <c r="BB159" i="6"/>
  <c r="AL155" i="6"/>
  <c r="BA155" i="6"/>
  <c r="BB155" i="6"/>
  <c r="AK151" i="6"/>
  <c r="BA151" i="6"/>
  <c r="BB151" i="6"/>
  <c r="BA147" i="6"/>
  <c r="BB147" i="6"/>
  <c r="AK143" i="6"/>
  <c r="BA143" i="6"/>
  <c r="BB143" i="6"/>
  <c r="AK139" i="6"/>
  <c r="BA139" i="6"/>
  <c r="BB139" i="6"/>
  <c r="AC209" i="6"/>
  <c r="AB209" i="6"/>
  <c r="AD209" i="6"/>
  <c r="P205" i="6"/>
  <c r="AC205" i="6"/>
  <c r="AD205" i="6"/>
  <c r="AB205" i="6"/>
  <c r="N201" i="6"/>
  <c r="AC201" i="6"/>
  <c r="AD201" i="6"/>
  <c r="AB201" i="6"/>
  <c r="N197" i="6"/>
  <c r="AD197" i="6"/>
  <c r="AC197" i="6"/>
  <c r="AB197" i="6"/>
  <c r="N193" i="6"/>
  <c r="AC193" i="6"/>
  <c r="AB193" i="6"/>
  <c r="AD193" i="6"/>
  <c r="N189" i="6"/>
  <c r="AC189" i="6"/>
  <c r="AD189" i="6"/>
  <c r="AB189" i="6"/>
  <c r="N185" i="6"/>
  <c r="AC185" i="6"/>
  <c r="AD185" i="6"/>
  <c r="AB185" i="6"/>
  <c r="N181" i="6"/>
  <c r="AD181" i="6"/>
  <c r="AC181" i="6"/>
  <c r="AB181" i="6"/>
  <c r="N177" i="6"/>
  <c r="AC177" i="6"/>
  <c r="AB177" i="6"/>
  <c r="AD177" i="6"/>
  <c r="N173" i="6"/>
  <c r="AC173" i="6"/>
  <c r="AD173" i="6"/>
  <c r="AB173" i="6"/>
  <c r="N169" i="6"/>
  <c r="AC169" i="6"/>
  <c r="AD169" i="6"/>
  <c r="AB169" i="6"/>
  <c r="N165" i="6"/>
  <c r="AD165" i="6"/>
  <c r="AC165" i="6"/>
  <c r="AB165" i="6"/>
  <c r="N161" i="6"/>
  <c r="AC161" i="6"/>
  <c r="AD161" i="6"/>
  <c r="AB161" i="6"/>
  <c r="N157" i="6"/>
  <c r="AC157" i="6"/>
  <c r="AD157" i="6"/>
  <c r="AB157" i="6"/>
  <c r="AL181" i="6"/>
  <c r="BB181" i="6"/>
  <c r="BA181" i="6"/>
  <c r="AK175" i="6"/>
  <c r="BB175" i="6"/>
  <c r="BA175" i="6"/>
  <c r="AK171" i="6"/>
  <c r="BB171" i="6"/>
  <c r="BA171" i="6"/>
  <c r="AW167" i="6"/>
  <c r="AP170" i="6"/>
  <c r="BB170" i="6"/>
  <c r="BA170" i="6"/>
  <c r="AP166" i="6"/>
  <c r="BB166" i="6"/>
  <c r="BA166" i="6"/>
  <c r="BB162" i="6"/>
  <c r="BA162" i="6"/>
  <c r="AQ158" i="6"/>
  <c r="BB158" i="6"/>
  <c r="BA158" i="6"/>
  <c r="AZ147" i="6"/>
  <c r="AV147" i="6"/>
  <c r="AR147" i="6"/>
  <c r="AN147" i="6"/>
  <c r="AM147" i="6"/>
  <c r="BB154" i="6"/>
  <c r="BA154" i="6"/>
  <c r="BB150" i="6"/>
  <c r="BA150" i="6"/>
  <c r="BB146" i="6"/>
  <c r="BA146" i="6"/>
  <c r="BB142" i="6"/>
  <c r="BA142" i="6"/>
  <c r="AD198" i="6"/>
  <c r="AC198" i="6"/>
  <c r="AB198" i="6"/>
  <c r="BB182" i="6"/>
  <c r="BA182" i="6"/>
  <c r="T208" i="6"/>
  <c r="AD208" i="6"/>
  <c r="AB208" i="6"/>
  <c r="AC208" i="6"/>
  <c r="AD204" i="6"/>
  <c r="AB204" i="6"/>
  <c r="AC204" i="6"/>
  <c r="AD200" i="6"/>
  <c r="AC200" i="6"/>
  <c r="AB200" i="6"/>
  <c r="AD196" i="6"/>
  <c r="AC196" i="6"/>
  <c r="AB196" i="6"/>
  <c r="AD192" i="6"/>
  <c r="AC192" i="6"/>
  <c r="AB192" i="6"/>
  <c r="AD188" i="6"/>
  <c r="AC188" i="6"/>
  <c r="AB188" i="6"/>
  <c r="AD184" i="6"/>
  <c r="AB184" i="6"/>
  <c r="AC184" i="6"/>
  <c r="AD180" i="6"/>
  <c r="AC180" i="6"/>
  <c r="AB180" i="6"/>
  <c r="AD176" i="6"/>
  <c r="AC176" i="6"/>
  <c r="AB176" i="6"/>
  <c r="AD172" i="6"/>
  <c r="AC172" i="6"/>
  <c r="AB172" i="6"/>
  <c r="AD168" i="6"/>
  <c r="AB168" i="6"/>
  <c r="AC168" i="6"/>
  <c r="AD164" i="6"/>
  <c r="AC164" i="6"/>
  <c r="AB164" i="6"/>
  <c r="AD160" i="6"/>
  <c r="AC160" i="6"/>
  <c r="AB160" i="6"/>
  <c r="AW181" i="6"/>
  <c r="AM180" i="6"/>
  <c r="BA180" i="6"/>
  <c r="BB180" i="6"/>
  <c r="BB178" i="6"/>
  <c r="BA178" i="6"/>
  <c r="BB174" i="6"/>
  <c r="BA174" i="6"/>
  <c r="AY163" i="6"/>
  <c r="AX159" i="6"/>
  <c r="AU163" i="6"/>
  <c r="AS155" i="6"/>
  <c r="AP159" i="6"/>
  <c r="AP169" i="6"/>
  <c r="BB169" i="6"/>
  <c r="BA169" i="6"/>
  <c r="AK165" i="6"/>
  <c r="BB165" i="6"/>
  <c r="BA165" i="6"/>
  <c r="AQ161" i="6"/>
  <c r="BB161" i="6"/>
  <c r="BA161" i="6"/>
  <c r="AK157" i="6"/>
  <c r="BB157" i="6"/>
  <c r="BA157" i="6"/>
  <c r="AY147" i="6"/>
  <c r="AU147" i="6"/>
  <c r="AQ147" i="6"/>
  <c r="AL147" i="6"/>
  <c r="BB153" i="6"/>
  <c r="BA153" i="6"/>
  <c r="BB149" i="6"/>
  <c r="BA149" i="6"/>
  <c r="BB145" i="6"/>
  <c r="BA145" i="6"/>
  <c r="BB141" i="6"/>
  <c r="BA141" i="6"/>
  <c r="L210" i="6"/>
  <c r="AD210" i="6"/>
  <c r="AC210" i="6"/>
  <c r="AB210" i="6"/>
  <c r="AD194" i="6"/>
  <c r="AC194" i="6"/>
  <c r="AB194" i="6"/>
  <c r="AD186" i="6"/>
  <c r="AC186" i="6"/>
  <c r="AB186" i="6"/>
  <c r="AD162" i="6"/>
  <c r="AC162" i="6"/>
  <c r="AB162" i="6"/>
  <c r="AX176" i="6"/>
  <c r="BA176" i="6"/>
  <c r="BB176" i="6"/>
  <c r="AK172" i="6"/>
  <c r="BA172" i="6"/>
  <c r="BB172" i="6"/>
  <c r="T205" i="6"/>
  <c r="P211" i="6"/>
  <c r="AD211" i="6"/>
  <c r="AC211" i="6"/>
  <c r="AB211" i="6"/>
  <c r="L207" i="6"/>
  <c r="AD207" i="6"/>
  <c r="AC207" i="6"/>
  <c r="AB207" i="6"/>
  <c r="N203" i="6"/>
  <c r="AD203" i="6"/>
  <c r="AC203" i="6"/>
  <c r="AB203" i="6"/>
  <c r="N199" i="6"/>
  <c r="AD199" i="6"/>
  <c r="AC199" i="6"/>
  <c r="AB199" i="6"/>
  <c r="N195" i="6"/>
  <c r="AD195" i="6"/>
  <c r="AC195" i="6"/>
  <c r="AB195" i="6"/>
  <c r="N191" i="6"/>
  <c r="AD191" i="6"/>
  <c r="AC191" i="6"/>
  <c r="AB191" i="6"/>
  <c r="N187" i="6"/>
  <c r="AD187" i="6"/>
  <c r="AC187" i="6"/>
  <c r="AB187" i="6"/>
  <c r="N183" i="6"/>
  <c r="AD183" i="6"/>
  <c r="AC183" i="6"/>
  <c r="AB183" i="6"/>
  <c r="N179" i="6"/>
  <c r="AD179" i="6"/>
  <c r="AC179" i="6"/>
  <c r="AB179" i="6"/>
  <c r="N175" i="6"/>
  <c r="AD175" i="6"/>
  <c r="AC175" i="6"/>
  <c r="AB175" i="6"/>
  <c r="N171" i="6"/>
  <c r="AD171" i="6"/>
  <c r="AC171" i="6"/>
  <c r="AB171" i="6"/>
  <c r="N167" i="6"/>
  <c r="AD167" i="6"/>
  <c r="AC167" i="6"/>
  <c r="AB167" i="6"/>
  <c r="N163" i="6"/>
  <c r="AD163" i="6"/>
  <c r="AC163" i="6"/>
  <c r="AB163" i="6"/>
  <c r="N159" i="6"/>
  <c r="AD159" i="6"/>
  <c r="AC159" i="6"/>
  <c r="AB159" i="6"/>
  <c r="AV181" i="6"/>
  <c r="AN179" i="6"/>
  <c r="BB179" i="6"/>
  <c r="BA179" i="6"/>
  <c r="BB177" i="6"/>
  <c r="BA177" i="6"/>
  <c r="BB173" i="6"/>
  <c r="BA173" i="6"/>
  <c r="AZ155" i="6"/>
  <c r="AV155" i="6"/>
  <c r="AS163" i="6"/>
  <c r="AP167" i="6"/>
  <c r="AN155" i="6"/>
  <c r="AL168" i="6"/>
  <c r="BB168" i="6"/>
  <c r="BA168" i="6"/>
  <c r="BA164" i="6"/>
  <c r="BB164" i="6"/>
  <c r="AK160" i="6"/>
  <c r="BA160" i="6"/>
  <c r="BB160" i="6"/>
  <c r="AK156" i="6"/>
  <c r="BB156" i="6"/>
  <c r="BA156" i="6"/>
  <c r="AX147" i="6"/>
  <c r="AT147" i="6"/>
  <c r="AP147" i="6"/>
  <c r="BB152" i="6"/>
  <c r="BA152" i="6"/>
  <c r="BB148" i="6"/>
  <c r="BA148" i="6"/>
  <c r="AN144" i="6"/>
  <c r="BA144" i="6"/>
  <c r="BB144" i="6"/>
  <c r="AK140" i="6"/>
  <c r="BB140" i="6"/>
  <c r="BA140" i="6"/>
  <c r="AL144" i="6"/>
  <c r="AK144" i="6"/>
  <c r="AL140" i="6"/>
  <c r="AP180" i="6"/>
  <c r="AK147" i="6"/>
  <c r="AQ176" i="6"/>
  <c r="V206" i="6"/>
  <c r="AM176" i="6"/>
  <c r="AZ167" i="6"/>
  <c r="AY155" i="6"/>
  <c r="AX163" i="6"/>
  <c r="AW159" i="6"/>
  <c r="AV167" i="6"/>
  <c r="AT159" i="6"/>
  <c r="AS167" i="6"/>
  <c r="AR163" i="6"/>
  <c r="AR155" i="6"/>
  <c r="AO167" i="6"/>
  <c r="AO159" i="6"/>
  <c r="AM163" i="6"/>
  <c r="AM155" i="6"/>
  <c r="AL163" i="6"/>
  <c r="AZ151" i="6"/>
  <c r="AY151" i="6"/>
  <c r="AX151" i="6"/>
  <c r="AW151" i="6"/>
  <c r="AV151" i="6"/>
  <c r="AU151" i="6"/>
  <c r="AT151" i="6"/>
  <c r="AS151" i="6"/>
  <c r="AR151" i="6"/>
  <c r="AQ151" i="6"/>
  <c r="AP151" i="6"/>
  <c r="AO151" i="6"/>
  <c r="AN151" i="6"/>
  <c r="AM151" i="6"/>
  <c r="AL151" i="6"/>
  <c r="AR181" i="6"/>
  <c r="AY176" i="6"/>
  <c r="AU177" i="6"/>
  <c r="AR177" i="6"/>
  <c r="AO173" i="6"/>
  <c r="AL173" i="6"/>
  <c r="AZ159" i="6"/>
  <c r="AY167" i="6"/>
  <c r="AX155" i="6"/>
  <c r="AW163" i="6"/>
  <c r="AV159" i="6"/>
  <c r="AU167" i="6"/>
  <c r="AS159" i="6"/>
  <c r="AR167" i="6"/>
  <c r="AQ163" i="6"/>
  <c r="AQ155" i="6"/>
  <c r="AP163" i="6"/>
  <c r="AP155" i="6"/>
  <c r="AN167" i="6"/>
  <c r="AN159" i="6"/>
  <c r="AM168" i="6"/>
  <c r="AM160" i="6"/>
  <c r="AL160" i="6"/>
  <c r="AZ139" i="6"/>
  <c r="AY139" i="6"/>
  <c r="AX139" i="6"/>
  <c r="AW139" i="6"/>
  <c r="AV139" i="6"/>
  <c r="AU139" i="6"/>
  <c r="AT139" i="6"/>
  <c r="AS139" i="6"/>
  <c r="AR139" i="6"/>
  <c r="AQ139" i="6"/>
  <c r="AP139" i="6"/>
  <c r="AO139" i="6"/>
  <c r="AN139" i="6"/>
  <c r="AM139" i="6"/>
  <c r="AL139" i="6"/>
  <c r="Y205" i="6"/>
  <c r="R208" i="6"/>
  <c r="AY181" i="6"/>
  <c r="AX172" i="6"/>
  <c r="AU176" i="6"/>
  <c r="AZ163" i="6"/>
  <c r="AY159" i="6"/>
  <c r="AX167" i="6"/>
  <c r="AW155" i="6"/>
  <c r="AV163" i="6"/>
  <c r="AU159" i="6"/>
  <c r="AU155" i="6"/>
  <c r="AT167" i="6"/>
  <c r="AT163" i="6"/>
  <c r="AT155" i="6"/>
  <c r="AR159" i="6"/>
  <c r="AQ167" i="6"/>
  <c r="AO163" i="6"/>
  <c r="AO155" i="6"/>
  <c r="AM167" i="6"/>
  <c r="AM159" i="6"/>
  <c r="AL167" i="6"/>
  <c r="AZ143" i="6"/>
  <c r="AY143" i="6"/>
  <c r="AX143" i="6"/>
  <c r="AW143" i="6"/>
  <c r="AV143" i="6"/>
  <c r="AU143" i="6"/>
  <c r="AT143" i="6"/>
  <c r="AS143" i="6"/>
  <c r="AR143" i="6"/>
  <c r="AQ143" i="6"/>
  <c r="AP143" i="6"/>
  <c r="AO143" i="6"/>
  <c r="AN143" i="6"/>
  <c r="AM143" i="6"/>
  <c r="AL143" i="6"/>
  <c r="Y211" i="6"/>
  <c r="AV180" i="6"/>
  <c r="AZ173" i="6"/>
  <c r="AX177" i="6"/>
  <c r="AW177" i="6"/>
  <c r="AV176" i="6"/>
  <c r="AU173" i="6"/>
  <c r="AS177" i="6"/>
  <c r="AR176" i="6"/>
  <c r="AQ173" i="6"/>
  <c r="AO177" i="6"/>
  <c r="AN176" i="6"/>
  <c r="AM173" i="6"/>
  <c r="AK177" i="6"/>
  <c r="AZ165" i="6"/>
  <c r="AY165" i="6"/>
  <c r="AX165" i="6"/>
  <c r="AW165" i="6"/>
  <c r="AV165" i="6"/>
  <c r="AU165" i="6"/>
  <c r="AS169" i="6"/>
  <c r="AR169" i="6"/>
  <c r="AQ169" i="6"/>
  <c r="AP157" i="6"/>
  <c r="AO157" i="6"/>
  <c r="AN157" i="6"/>
  <c r="AM158" i="6"/>
  <c r="AL170" i="6"/>
  <c r="AL166" i="6"/>
  <c r="AL161" i="6"/>
  <c r="AK169" i="6"/>
  <c r="AK161" i="6"/>
  <c r="AZ172" i="6"/>
  <c r="AY173" i="6"/>
  <c r="AW176" i="6"/>
  <c r="AV173" i="6"/>
  <c r="AT177" i="6"/>
  <c r="AS176" i="6"/>
  <c r="AR173" i="6"/>
  <c r="AP177" i="6"/>
  <c r="AO176" i="6"/>
  <c r="AN173" i="6"/>
  <c r="AL177" i="6"/>
  <c r="AK176" i="6"/>
  <c r="AZ169" i="6"/>
  <c r="AY169" i="6"/>
  <c r="AX169" i="6"/>
  <c r="AW169" i="6"/>
  <c r="AV169" i="6"/>
  <c r="AU169" i="6"/>
  <c r="AT157" i="6"/>
  <c r="AS157" i="6"/>
  <c r="AR157" i="6"/>
  <c r="AP161" i="6"/>
  <c r="AO161" i="6"/>
  <c r="AN161" i="6"/>
  <c r="AM161" i="6"/>
  <c r="AM157" i="6"/>
  <c r="AL169" i="6"/>
  <c r="AL165" i="6"/>
  <c r="AY172" i="6"/>
  <c r="AT176" i="6"/>
  <c r="AP176" i="6"/>
  <c r="AL176" i="6"/>
  <c r="AZ157" i="6"/>
  <c r="AY157" i="6"/>
  <c r="AX157" i="6"/>
  <c r="AW157" i="6"/>
  <c r="AV157" i="6"/>
  <c r="AT161" i="6"/>
  <c r="AS161" i="6"/>
  <c r="AR161" i="6"/>
  <c r="AQ157" i="6"/>
  <c r="AP165" i="6"/>
  <c r="AO165" i="6"/>
  <c r="AN165" i="6"/>
  <c r="AM165" i="6"/>
  <c r="AL157" i="6"/>
  <c r="L206" i="6"/>
  <c r="N206" i="6"/>
  <c r="Z210" i="6"/>
  <c r="R210" i="6"/>
  <c r="Z206" i="6"/>
  <c r="V210" i="6"/>
  <c r="AZ154" i="6"/>
  <c r="AZ150" i="6"/>
  <c r="AZ146" i="6"/>
  <c r="AZ142" i="6"/>
  <c r="AY154" i="6"/>
  <c r="AY150" i="6"/>
  <c r="AY146" i="6"/>
  <c r="AY142" i="6"/>
  <c r="AX154" i="6"/>
  <c r="AX150" i="6"/>
  <c r="AX146" i="6"/>
  <c r="AX142" i="6"/>
  <c r="AW154" i="6"/>
  <c r="AW150" i="6"/>
  <c r="AW146" i="6"/>
  <c r="AW142" i="6"/>
  <c r="AV154" i="6"/>
  <c r="AV150" i="6"/>
  <c r="AV146" i="6"/>
  <c r="AV142" i="6"/>
  <c r="AU154" i="6"/>
  <c r="AU150" i="6"/>
  <c r="AU146" i="6"/>
  <c r="AU142" i="6"/>
  <c r="AT154" i="6"/>
  <c r="AT150" i="6"/>
  <c r="AT146" i="6"/>
  <c r="AT142" i="6"/>
  <c r="AS154" i="6"/>
  <c r="AS150" i="6"/>
  <c r="AS146" i="6"/>
  <c r="AS142" i="6"/>
  <c r="AR154" i="6"/>
  <c r="AR150" i="6"/>
  <c r="AR146" i="6"/>
  <c r="AR142" i="6"/>
  <c r="AQ154" i="6"/>
  <c r="AQ150" i="6"/>
  <c r="AQ146" i="6"/>
  <c r="AQ142" i="6"/>
  <c r="AP154" i="6"/>
  <c r="AP150" i="6"/>
  <c r="AP146" i="6"/>
  <c r="AP142" i="6"/>
  <c r="AO154" i="6"/>
  <c r="AO150" i="6"/>
  <c r="AO146" i="6"/>
  <c r="AO142" i="6"/>
  <c r="AN154" i="6"/>
  <c r="AN150" i="6"/>
  <c r="AN146" i="6"/>
  <c r="AN142" i="6"/>
  <c r="AM154" i="6"/>
  <c r="AM150" i="6"/>
  <c r="AM146" i="6"/>
  <c r="AM142" i="6"/>
  <c r="AL154" i="6"/>
  <c r="AL150" i="6"/>
  <c r="AL146" i="6"/>
  <c r="AL142" i="6"/>
  <c r="AK154" i="6"/>
  <c r="AK150" i="6"/>
  <c r="AK146" i="6"/>
  <c r="AK142" i="6"/>
  <c r="AK170" i="6"/>
  <c r="AO170" i="6"/>
  <c r="AS170" i="6"/>
  <c r="AN170" i="6"/>
  <c r="AR170" i="6"/>
  <c r="AM170" i="6"/>
  <c r="AQ170" i="6"/>
  <c r="AU170" i="6"/>
  <c r="AV170" i="6"/>
  <c r="AW170" i="6"/>
  <c r="AX170" i="6"/>
  <c r="AY170" i="6"/>
  <c r="AZ170" i="6"/>
  <c r="AK166" i="6"/>
  <c r="AO166" i="6"/>
  <c r="AS166" i="6"/>
  <c r="AN166" i="6"/>
  <c r="AR166" i="6"/>
  <c r="AM166" i="6"/>
  <c r="AQ166" i="6"/>
  <c r="AU166" i="6"/>
  <c r="AV166" i="6"/>
  <c r="AW166" i="6"/>
  <c r="AX166" i="6"/>
  <c r="AY166" i="6"/>
  <c r="AZ166" i="6"/>
  <c r="AV162" i="6"/>
  <c r="AW162" i="6"/>
  <c r="AX162" i="6"/>
  <c r="AY162" i="6"/>
  <c r="AZ162" i="6"/>
  <c r="AL158" i="6"/>
  <c r="AP158" i="6"/>
  <c r="AT158" i="6"/>
  <c r="AK158" i="6"/>
  <c r="AO158" i="6"/>
  <c r="AS158" i="6"/>
  <c r="AN158" i="6"/>
  <c r="AR158" i="6"/>
  <c r="AV158" i="6"/>
  <c r="AW158" i="6"/>
  <c r="AX158" i="6"/>
  <c r="AY158" i="6"/>
  <c r="AZ158" i="6"/>
  <c r="N182" i="6"/>
  <c r="N158" i="6"/>
  <c r="AX179" i="6"/>
  <c r="AT179" i="6"/>
  <c r="AP179" i="6"/>
  <c r="AZ176" i="6"/>
  <c r="AZ171" i="6"/>
  <c r="AX171" i="6"/>
  <c r="AW172" i="6"/>
  <c r="AV172" i="6"/>
  <c r="AU172" i="6"/>
  <c r="AT172" i="6"/>
  <c r="AS172" i="6"/>
  <c r="AR172" i="6"/>
  <c r="AQ172" i="6"/>
  <c r="AP172" i="6"/>
  <c r="AO172" i="6"/>
  <c r="AN172" i="6"/>
  <c r="AM172" i="6"/>
  <c r="AL172" i="6"/>
  <c r="AK159" i="6"/>
  <c r="AK155" i="6"/>
  <c r="AS179" i="6"/>
  <c r="AO179" i="6"/>
  <c r="AO180" i="6"/>
  <c r="AQ180" i="6"/>
  <c r="AT180" i="6"/>
  <c r="AZ180" i="6"/>
  <c r="AN180" i="6"/>
  <c r="AS180" i="6"/>
  <c r="AU180" i="6"/>
  <c r="AX180" i="6"/>
  <c r="AL180" i="6"/>
  <c r="AR180" i="6"/>
  <c r="AW180" i="6"/>
  <c r="AY180" i="6"/>
  <c r="Z209" i="6"/>
  <c r="S209" i="6"/>
  <c r="X209" i="6"/>
  <c r="S205" i="6"/>
  <c r="P208" i="6"/>
  <c r="X208" i="6"/>
  <c r="M208" i="6"/>
  <c r="V208" i="6"/>
  <c r="AK178" i="6"/>
  <c r="AL178" i="6"/>
  <c r="AM178" i="6"/>
  <c r="AN178" i="6"/>
  <c r="AO178" i="6"/>
  <c r="AP178" i="6"/>
  <c r="AQ178" i="6"/>
  <c r="AR178" i="6"/>
  <c r="AS178" i="6"/>
  <c r="AT178" i="6"/>
  <c r="AU178" i="6"/>
  <c r="AV178" i="6"/>
  <c r="AW178" i="6"/>
  <c r="AX178" i="6"/>
  <c r="AY178" i="6"/>
  <c r="AZ178" i="6"/>
  <c r="AK174" i="6"/>
  <c r="AL174" i="6"/>
  <c r="AM174" i="6"/>
  <c r="AN174" i="6"/>
  <c r="AO174" i="6"/>
  <c r="AP174" i="6"/>
  <c r="AQ174" i="6"/>
  <c r="AR174" i="6"/>
  <c r="AS174" i="6"/>
  <c r="AT174" i="6"/>
  <c r="AU174" i="6"/>
  <c r="AV174" i="6"/>
  <c r="AW174" i="6"/>
  <c r="AX174" i="6"/>
  <c r="AY174" i="6"/>
  <c r="AZ174" i="6"/>
  <c r="AU162" i="6"/>
  <c r="AT162" i="6"/>
  <c r="AS162" i="6"/>
  <c r="AR162" i="6"/>
  <c r="AQ162" i="6"/>
  <c r="AP162" i="6"/>
  <c r="AO162" i="6"/>
  <c r="AN162" i="6"/>
  <c r="AM162" i="6"/>
  <c r="AL162" i="6"/>
  <c r="AK162" i="6"/>
  <c r="O205" i="6"/>
  <c r="AU181" i="6"/>
  <c r="AS181" i="6"/>
  <c r="AN181" i="6"/>
  <c r="AW175" i="6"/>
  <c r="AW171" i="6"/>
  <c r="AV175" i="6"/>
  <c r="AV171" i="6"/>
  <c r="AU175" i="6"/>
  <c r="AU171" i="6"/>
  <c r="AT175" i="6"/>
  <c r="AT171" i="6"/>
  <c r="AS175" i="6"/>
  <c r="AS171" i="6"/>
  <c r="AR175" i="6"/>
  <c r="AR171" i="6"/>
  <c r="AQ175" i="6"/>
  <c r="AQ171" i="6"/>
  <c r="AP175" i="6"/>
  <c r="AP171" i="6"/>
  <c r="AO175" i="6"/>
  <c r="AO171" i="6"/>
  <c r="AN175" i="6"/>
  <c r="AN171" i="6"/>
  <c r="AM175" i="6"/>
  <c r="AM171" i="6"/>
  <c r="AL175" i="6"/>
  <c r="AL171" i="6"/>
  <c r="AZ181" i="6"/>
  <c r="AW179" i="6"/>
  <c r="AQ181" i="6"/>
  <c r="AO181" i="6"/>
  <c r="AL179" i="6"/>
  <c r="AA211" i="6"/>
  <c r="N190" i="6"/>
  <c r="AY179" i="6"/>
  <c r="AU179" i="6"/>
  <c r="AQ179" i="6"/>
  <c r="AM179" i="6"/>
  <c r="Y208" i="6"/>
  <c r="W208" i="6"/>
  <c r="L211" i="6"/>
  <c r="AA208" i="6"/>
  <c r="Z208" i="6"/>
  <c r="U211" i="6"/>
  <c r="M210" i="6"/>
  <c r="AZ179" i="6"/>
  <c r="AX181" i="6"/>
  <c r="AV179" i="6"/>
  <c r="AT181" i="6"/>
  <c r="AR179" i="6"/>
  <c r="AP181" i="6"/>
  <c r="N210" i="6"/>
  <c r="N202" i="6"/>
  <c r="N186" i="6"/>
  <c r="N170" i="6"/>
  <c r="N211" i="6"/>
  <c r="X211" i="6"/>
  <c r="Z211" i="6"/>
  <c r="M211" i="6"/>
  <c r="O211" i="6"/>
  <c r="R211" i="6"/>
  <c r="S211" i="6"/>
  <c r="V211" i="6"/>
  <c r="N207" i="6"/>
  <c r="O207" i="6"/>
  <c r="P207" i="6"/>
  <c r="S207" i="6"/>
  <c r="T207" i="6"/>
  <c r="W207" i="6"/>
  <c r="Z207" i="6"/>
  <c r="M207" i="6"/>
  <c r="R207" i="6"/>
  <c r="V207" i="6"/>
  <c r="Y207" i="6"/>
  <c r="X207" i="6"/>
  <c r="U207" i="6"/>
  <c r="AA207" i="6"/>
  <c r="W211" i="6"/>
  <c r="T211" i="6"/>
  <c r="Q211" i="6"/>
  <c r="M209" i="6"/>
  <c r="R209" i="6"/>
  <c r="V209" i="6"/>
  <c r="Y209" i="6"/>
  <c r="AA209" i="6"/>
  <c r="N209" i="6"/>
  <c r="L209" i="6"/>
  <c r="P209" i="6"/>
  <c r="Q209" i="6"/>
  <c r="T209" i="6"/>
  <c r="U209" i="6"/>
  <c r="W209" i="6"/>
  <c r="L205" i="6"/>
  <c r="M205" i="6"/>
  <c r="Q205" i="6"/>
  <c r="R205" i="6"/>
  <c r="U205" i="6"/>
  <c r="V205" i="6"/>
  <c r="X205" i="6"/>
  <c r="N205" i="6"/>
  <c r="Z205" i="6"/>
  <c r="N198" i="6"/>
  <c r="N166" i="6"/>
  <c r="Q207" i="6"/>
  <c r="O209" i="6"/>
  <c r="N194" i="6"/>
  <c r="N178" i="6"/>
  <c r="N162" i="6"/>
  <c r="AZ182" i="6"/>
  <c r="AY182" i="6"/>
  <c r="AX182" i="6"/>
  <c r="AW182" i="6"/>
  <c r="AV182" i="6"/>
  <c r="AU182" i="6"/>
  <c r="AT182" i="6"/>
  <c r="AS182" i="6"/>
  <c r="AR182" i="6"/>
  <c r="AQ182" i="6"/>
  <c r="AP182" i="6"/>
  <c r="AO182" i="6"/>
  <c r="AN182" i="6"/>
  <c r="AM182" i="6"/>
  <c r="AL182" i="6"/>
  <c r="AK182" i="6"/>
  <c r="N208" i="6"/>
  <c r="N204" i="6"/>
  <c r="N200" i="6"/>
  <c r="N196" i="6"/>
  <c r="N192" i="6"/>
  <c r="N188" i="6"/>
  <c r="N184" i="6"/>
  <c r="N180" i="6"/>
  <c r="N176" i="6"/>
  <c r="N172" i="6"/>
  <c r="N168" i="6"/>
  <c r="N164" i="6"/>
  <c r="N160" i="6"/>
  <c r="AA210" i="6"/>
  <c r="AA206" i="6"/>
  <c r="W210" i="6"/>
  <c r="W206" i="6"/>
  <c r="U208" i="6"/>
  <c r="S210" i="6"/>
  <c r="S206" i="6"/>
  <c r="Q208" i="6"/>
  <c r="O210" i="6"/>
  <c r="O206" i="6"/>
  <c r="L208" i="6"/>
  <c r="T210" i="6"/>
  <c r="T206" i="6"/>
  <c r="P210" i="6"/>
  <c r="P206" i="6"/>
  <c r="X210" i="6"/>
  <c r="X206" i="6"/>
  <c r="Y210" i="6"/>
  <c r="Y206" i="6"/>
  <c r="U210" i="6"/>
  <c r="U206" i="6"/>
  <c r="S208" i="6"/>
  <c r="Q210" i="6"/>
  <c r="Q206" i="6"/>
  <c r="O208" i="6"/>
  <c r="A26" i="6"/>
  <c r="A9" i="6"/>
  <c r="A10" i="6"/>
  <c r="A11" i="6"/>
  <c r="A12" i="6"/>
  <c r="A13" i="6"/>
  <c r="A14" i="6"/>
  <c r="A15" i="6"/>
  <c r="A16" i="6"/>
  <c r="A17" i="6"/>
  <c r="A18" i="6"/>
  <c r="A19" i="6"/>
  <c r="A20" i="6"/>
  <c r="A21" i="6"/>
  <c r="A22" i="6"/>
  <c r="A23" i="6"/>
  <c r="A24" i="6"/>
  <c r="A25" i="6"/>
  <c r="AE168" i="6" l="1"/>
  <c r="AF168" i="6" s="1"/>
  <c r="BD149" i="6"/>
  <c r="AE163" i="6"/>
  <c r="AF163" i="6" s="1"/>
  <c r="BD153" i="6"/>
  <c r="BD164" i="6"/>
  <c r="BE164" i="6" s="1"/>
  <c r="AE166" i="6"/>
  <c r="AG166" i="6" s="1"/>
  <c r="AE185" i="6"/>
  <c r="AE189" i="6"/>
  <c r="AF189" i="6" s="1"/>
  <c r="AE197" i="6"/>
  <c r="AF197" i="6" s="1"/>
  <c r="BD148" i="6"/>
  <c r="BE148" i="6" s="1"/>
  <c r="BD144" i="6"/>
  <c r="BE144" i="6" s="1"/>
  <c r="BD152" i="6"/>
  <c r="BE152" i="6" s="1"/>
  <c r="BD156" i="6"/>
  <c r="BE156" i="6" s="1"/>
  <c r="BD141" i="6"/>
  <c r="BE141" i="6" s="1"/>
  <c r="BD168" i="6"/>
  <c r="BE168" i="6" s="1"/>
  <c r="BD160" i="6"/>
  <c r="BE160" i="6" s="1"/>
  <c r="BD151" i="6"/>
  <c r="BD140" i="6"/>
  <c r="BE140" i="6" s="1"/>
  <c r="BD155" i="6"/>
  <c r="BE155" i="6" s="1"/>
  <c r="AE183" i="6"/>
  <c r="AF183" i="6" s="1"/>
  <c r="AE187" i="6"/>
  <c r="AG187" i="6" s="1"/>
  <c r="AE195" i="6"/>
  <c r="AG195" i="6" s="1"/>
  <c r="BD145" i="6"/>
  <c r="BE145" i="6" s="1"/>
  <c r="AE184" i="6"/>
  <c r="AF184" i="6" s="1"/>
  <c r="AE200" i="6"/>
  <c r="AF200" i="6" s="1"/>
  <c r="AE198" i="6"/>
  <c r="AF198" i="6" s="1"/>
  <c r="BD147" i="6"/>
  <c r="AE157" i="6"/>
  <c r="AG157" i="6" s="1"/>
  <c r="AE161" i="6"/>
  <c r="AF161" i="6" s="1"/>
  <c r="AE169" i="6"/>
  <c r="AF169" i="6" s="1"/>
  <c r="AE173" i="6"/>
  <c r="AF173" i="6" s="1"/>
  <c r="AE177" i="6"/>
  <c r="AF177" i="6" s="1"/>
  <c r="AE181" i="6"/>
  <c r="AG181" i="6" s="1"/>
  <c r="AE193" i="6"/>
  <c r="AF193" i="6" s="1"/>
  <c r="AE201" i="6"/>
  <c r="AG201" i="6" s="1"/>
  <c r="AE158" i="6"/>
  <c r="AF158" i="6" s="1"/>
  <c r="AE174" i="6"/>
  <c r="AF174" i="6" s="1"/>
  <c r="AE182" i="6"/>
  <c r="AF182" i="6" s="1"/>
  <c r="BD139" i="6"/>
  <c r="BE139" i="6" s="1"/>
  <c r="BD154" i="6"/>
  <c r="BE154" i="6" s="1"/>
  <c r="BD157" i="6"/>
  <c r="BE157" i="6" s="1"/>
  <c r="BD176" i="6"/>
  <c r="BE176" i="6" s="1"/>
  <c r="BD172" i="6"/>
  <c r="BE172" i="6" s="1"/>
  <c r="BD143" i="6"/>
  <c r="BE143" i="6" s="1"/>
  <c r="BD159" i="6"/>
  <c r="BE159" i="6" s="1"/>
  <c r="AE165" i="6"/>
  <c r="AF165" i="6" s="1"/>
  <c r="BD163" i="6"/>
  <c r="BD167" i="6"/>
  <c r="BD173" i="6"/>
  <c r="BE173" i="6" s="1"/>
  <c r="BD171" i="6"/>
  <c r="BE171" i="6" s="1"/>
  <c r="BD142" i="6"/>
  <c r="BE142" i="6" s="1"/>
  <c r="AE171" i="6"/>
  <c r="AF171" i="6" s="1"/>
  <c r="BD165" i="6"/>
  <c r="BE165" i="6" s="1"/>
  <c r="BD169" i="6"/>
  <c r="BE169" i="6" s="1"/>
  <c r="BD161" i="6"/>
  <c r="BE161" i="6" s="1"/>
  <c r="AE175" i="6"/>
  <c r="AF175" i="6" s="1"/>
  <c r="BD170" i="6"/>
  <c r="AE178" i="6"/>
  <c r="AG178" i="6" s="1"/>
  <c r="AE179" i="6"/>
  <c r="AF179" i="6" s="1"/>
  <c r="AE199" i="6"/>
  <c r="AF199" i="6" s="1"/>
  <c r="AE190" i="6"/>
  <c r="AG190" i="6" s="1"/>
  <c r="AE170" i="6"/>
  <c r="AF170" i="6" s="1"/>
  <c r="BD177" i="6"/>
  <c r="AE167" i="6"/>
  <c r="AF167" i="6" s="1"/>
  <c r="BD179" i="6"/>
  <c r="BE179" i="6" s="1"/>
  <c r="BD178" i="6"/>
  <c r="BE178" i="6" s="1"/>
  <c r="AE192" i="6"/>
  <c r="AG192" i="6" s="1"/>
  <c r="BD158" i="6"/>
  <c r="BE158" i="6" s="1"/>
  <c r="BD175" i="6"/>
  <c r="BE175" i="6" s="1"/>
  <c r="BD180" i="6"/>
  <c r="BE180" i="6" s="1"/>
  <c r="BD146" i="6"/>
  <c r="AE162" i="6"/>
  <c r="AG162" i="6" s="1"/>
  <c r="BD166" i="6"/>
  <c r="BE166" i="6" s="1"/>
  <c r="BD150" i="6"/>
  <c r="AE204" i="6"/>
  <c r="AF204" i="6" s="1"/>
  <c r="AE194" i="6"/>
  <c r="AF194" i="6" s="1"/>
  <c r="AE159" i="6"/>
  <c r="AG159" i="6" s="1"/>
  <c r="BD162" i="6"/>
  <c r="AE172" i="6"/>
  <c r="AF172" i="6" s="1"/>
  <c r="AE188" i="6"/>
  <c r="AF188" i="6" s="1"/>
  <c r="BD181" i="6"/>
  <c r="BE181" i="6" s="1"/>
  <c r="BD174" i="6"/>
  <c r="BE174" i="6" s="1"/>
  <c r="AE164" i="6"/>
  <c r="AG164" i="6" s="1"/>
  <c r="AE203" i="6"/>
  <c r="AE180" i="6"/>
  <c r="AF180" i="6" s="1"/>
  <c r="AE196" i="6"/>
  <c r="AF196" i="6" s="1"/>
  <c r="BD182" i="6"/>
  <c r="BE182" i="6" s="1"/>
  <c r="AE209" i="6"/>
  <c r="AG209" i="6" s="1"/>
  <c r="AE205" i="6"/>
  <c r="AF205" i="6" s="1"/>
  <c r="AE211" i="6"/>
  <c r="AF211" i="6" s="1"/>
  <c r="AE186" i="6"/>
  <c r="AG186" i="6" s="1"/>
  <c r="AE202" i="6"/>
  <c r="AF202" i="6" s="1"/>
  <c r="AE191" i="6"/>
  <c r="AE176" i="6"/>
  <c r="AF176" i="6" s="1"/>
  <c r="AE206" i="6"/>
  <c r="AF206" i="6" s="1"/>
  <c r="AE160" i="6"/>
  <c r="AF160" i="6" s="1"/>
  <c r="AE210" i="6"/>
  <c r="AG210" i="6" s="1"/>
  <c r="AE207" i="6"/>
  <c r="AF207" i="6" s="1"/>
  <c r="AE208" i="6"/>
  <c r="AF208" i="6" s="1"/>
  <c r="E1" i="12"/>
  <c r="AF185" i="6" l="1"/>
  <c r="AG185" i="6"/>
  <c r="BE153" i="6"/>
  <c r="AG158" i="6"/>
  <c r="AG189" i="6"/>
  <c r="AG183" i="6"/>
  <c r="AG168" i="6"/>
  <c r="AF166" i="6"/>
  <c r="AG177" i="6"/>
  <c r="AF195" i="6"/>
  <c r="AG163" i="6"/>
  <c r="BE149" i="6"/>
  <c r="AG184" i="6"/>
  <c r="AF157" i="6"/>
  <c r="AG200" i="6"/>
  <c r="AG197" i="6"/>
  <c r="AF186" i="6"/>
  <c r="AF190" i="6"/>
  <c r="AG196" i="6"/>
  <c r="AG179" i="6"/>
  <c r="AG198" i="6"/>
  <c r="AG174" i="6"/>
  <c r="AG182" i="6"/>
  <c r="AF187" i="6"/>
  <c r="BE163" i="6"/>
  <c r="AG170" i="6"/>
  <c r="AF178" i="6"/>
  <c r="AG193" i="6"/>
  <c r="AG167" i="6"/>
  <c r="AG169" i="6"/>
  <c r="BE151" i="6"/>
  <c r="BE167" i="6"/>
  <c r="AF192" i="6"/>
  <c r="AF181" i="6"/>
  <c r="AG176" i="6"/>
  <c r="AG171" i="6"/>
  <c r="AG204" i="6"/>
  <c r="AG199" i="6"/>
  <c r="AG165" i="6"/>
  <c r="AG161" i="6"/>
  <c r="AG173" i="6"/>
  <c r="BE147" i="6"/>
  <c r="AF201" i="6"/>
  <c r="BE177" i="6"/>
  <c r="BE170" i="6"/>
  <c r="AG205" i="6"/>
  <c r="AG175" i="6"/>
  <c r="AF159" i="6"/>
  <c r="AG172" i="6"/>
  <c r="AG207" i="6"/>
  <c r="AF164" i="6"/>
  <c r="AG194" i="6"/>
  <c r="AF162" i="6"/>
  <c r="BE150" i="6"/>
  <c r="BE146" i="6"/>
  <c r="AF210" i="6"/>
  <c r="BE162" i="6"/>
  <c r="AG211" i="6"/>
  <c r="AG188" i="6"/>
  <c r="AG160" i="6"/>
  <c r="AG202" i="6"/>
  <c r="AF209" i="6"/>
  <c r="AG203" i="6"/>
  <c r="AF203" i="6"/>
  <c r="AG206" i="6"/>
  <c r="AG180" i="6"/>
  <c r="AG208" i="6"/>
  <c r="AF191" i="6"/>
  <c r="AG191" i="6"/>
  <c r="I148" i="6"/>
  <c r="J148" i="6"/>
  <c r="K148" i="6"/>
  <c r="I149" i="6"/>
  <c r="J149" i="6"/>
  <c r="K149" i="6"/>
  <c r="I150" i="6"/>
  <c r="J150" i="6"/>
  <c r="K150" i="6"/>
  <c r="I146" i="6"/>
  <c r="J146" i="6"/>
  <c r="K146" i="6"/>
  <c r="I147" i="6"/>
  <c r="J147" i="6"/>
  <c r="K147" i="6"/>
  <c r="I151" i="6"/>
  <c r="J151" i="6"/>
  <c r="K151" i="6"/>
  <c r="I145" i="6"/>
  <c r="J145" i="6"/>
  <c r="K145" i="6"/>
  <c r="I152" i="6"/>
  <c r="J152" i="6"/>
  <c r="K152" i="6"/>
  <c r="I144" i="6"/>
  <c r="J144" i="6"/>
  <c r="K144" i="6"/>
  <c r="I153" i="6"/>
  <c r="J153" i="6"/>
  <c r="K153" i="6"/>
  <c r="I143" i="6"/>
  <c r="J143" i="6"/>
  <c r="K143" i="6"/>
  <c r="I154" i="6"/>
  <c r="J154" i="6"/>
  <c r="K154" i="6"/>
  <c r="I142" i="6"/>
  <c r="J142" i="6"/>
  <c r="K142" i="6"/>
  <c r="I155" i="6"/>
  <c r="J155" i="6"/>
  <c r="K155" i="6"/>
  <c r="I156" i="6"/>
  <c r="J156" i="6"/>
  <c r="K156" i="6"/>
  <c r="I141" i="6"/>
  <c r="J141" i="6"/>
  <c r="K141" i="6"/>
  <c r="N141" i="6" l="1"/>
  <c r="AC141" i="6"/>
  <c r="AD141" i="6"/>
  <c r="AB141" i="6"/>
  <c r="N146" i="6"/>
  <c r="AD146" i="6"/>
  <c r="AC146" i="6"/>
  <c r="AB146" i="6"/>
  <c r="N142" i="6"/>
  <c r="AD142" i="6"/>
  <c r="AC142" i="6"/>
  <c r="AB142" i="6"/>
  <c r="N144" i="6"/>
  <c r="AD144" i="6"/>
  <c r="AC144" i="6"/>
  <c r="AB144" i="6"/>
  <c r="N147" i="6"/>
  <c r="AD147" i="6"/>
  <c r="AC147" i="6"/>
  <c r="AB147" i="6"/>
  <c r="N148" i="6"/>
  <c r="AD148" i="6"/>
  <c r="AC148" i="6"/>
  <c r="AB148" i="6"/>
  <c r="N154" i="6"/>
  <c r="AD154" i="6"/>
  <c r="AC154" i="6"/>
  <c r="AB154" i="6"/>
  <c r="N155" i="6"/>
  <c r="AD155" i="6"/>
  <c r="AC155" i="6"/>
  <c r="AB155" i="6"/>
  <c r="N153" i="6"/>
  <c r="AC153" i="6"/>
  <c r="AD153" i="6"/>
  <c r="AB153" i="6"/>
  <c r="N151" i="6"/>
  <c r="AD151" i="6"/>
  <c r="AC151" i="6"/>
  <c r="AB151" i="6"/>
  <c r="N149" i="6"/>
  <c r="AD149" i="6"/>
  <c r="AC149" i="6"/>
  <c r="AB149" i="6"/>
  <c r="N152" i="6"/>
  <c r="AD152" i="6"/>
  <c r="AC152" i="6"/>
  <c r="AB152" i="6"/>
  <c r="N156" i="6"/>
  <c r="AD156" i="6"/>
  <c r="AB156" i="6"/>
  <c r="AC156" i="6"/>
  <c r="N143" i="6"/>
  <c r="AD143" i="6"/>
  <c r="AC143" i="6"/>
  <c r="AB143" i="6"/>
  <c r="N145" i="6"/>
  <c r="AC145" i="6"/>
  <c r="AB145" i="6"/>
  <c r="AD145" i="6"/>
  <c r="N150" i="6"/>
  <c r="AD150" i="6"/>
  <c r="AC150" i="6"/>
  <c r="AB150" i="6"/>
  <c r="AA154" i="6"/>
  <c r="AA146" i="6"/>
  <c r="AA144" i="6"/>
  <c r="AA148" i="6"/>
  <c r="AA155" i="6"/>
  <c r="AA151" i="6"/>
  <c r="AA145" i="6"/>
  <c r="AA143" i="6"/>
  <c r="AA141" i="6"/>
  <c r="AA152" i="6"/>
  <c r="AA142" i="6"/>
  <c r="AA147" i="6"/>
  <c r="AA150" i="6"/>
  <c r="AA153" i="6"/>
  <c r="AA149" i="6"/>
  <c r="AA156" i="6"/>
  <c r="Y141" i="6"/>
  <c r="Z141" i="6"/>
  <c r="W141" i="6"/>
  <c r="X141" i="6"/>
  <c r="U141" i="6"/>
  <c r="T141" i="6"/>
  <c r="V141" i="6"/>
  <c r="S141" i="6"/>
  <c r="P141" i="6"/>
  <c r="R141" i="6"/>
  <c r="O141" i="6"/>
  <c r="Q141" i="6"/>
  <c r="M141" i="6"/>
  <c r="L141" i="6"/>
  <c r="Z156" i="6"/>
  <c r="Y156" i="6"/>
  <c r="W156" i="6"/>
  <c r="X156" i="6"/>
  <c r="V156" i="6"/>
  <c r="U156" i="6"/>
  <c r="T156" i="6"/>
  <c r="P156" i="6"/>
  <c r="S156" i="6"/>
  <c r="R156" i="6"/>
  <c r="O156" i="6"/>
  <c r="Q156" i="6"/>
  <c r="M156" i="6"/>
  <c r="L156" i="6"/>
  <c r="Z155" i="6"/>
  <c r="Y155" i="6"/>
  <c r="V155" i="6"/>
  <c r="X155" i="6"/>
  <c r="W155" i="6"/>
  <c r="T155" i="6"/>
  <c r="U155" i="6"/>
  <c r="S155" i="6"/>
  <c r="R155" i="6"/>
  <c r="Q155" i="6"/>
  <c r="P155" i="6"/>
  <c r="O155" i="6"/>
  <c r="L155" i="6"/>
  <c r="M155" i="6"/>
  <c r="Y142" i="6"/>
  <c r="Z142" i="6"/>
  <c r="X142" i="6"/>
  <c r="W142" i="6"/>
  <c r="V142" i="6"/>
  <c r="S142" i="6"/>
  <c r="U142" i="6"/>
  <c r="T142" i="6"/>
  <c r="Q142" i="6"/>
  <c r="P142" i="6"/>
  <c r="R142" i="6"/>
  <c r="O142" i="6"/>
  <c r="M142" i="6"/>
  <c r="L142" i="6"/>
  <c r="Y154" i="6"/>
  <c r="Z154" i="6"/>
  <c r="X154" i="6"/>
  <c r="W154" i="6"/>
  <c r="S154" i="6"/>
  <c r="U154" i="6"/>
  <c r="V154" i="6"/>
  <c r="Q154" i="6"/>
  <c r="T154" i="6"/>
  <c r="P154" i="6"/>
  <c r="R154" i="6"/>
  <c r="O154" i="6"/>
  <c r="M154" i="6"/>
  <c r="L154" i="6"/>
  <c r="Z143" i="6"/>
  <c r="Y143" i="6"/>
  <c r="V143" i="6"/>
  <c r="X143" i="6"/>
  <c r="W143" i="6"/>
  <c r="T143" i="6"/>
  <c r="U143" i="6"/>
  <c r="R143" i="6"/>
  <c r="S143" i="6"/>
  <c r="Q143" i="6"/>
  <c r="P143" i="6"/>
  <c r="O143" i="6"/>
  <c r="L143" i="6"/>
  <c r="M143" i="6"/>
  <c r="Z153" i="6"/>
  <c r="W153" i="6"/>
  <c r="Y153" i="6"/>
  <c r="X153" i="6"/>
  <c r="U153" i="6"/>
  <c r="V153" i="6"/>
  <c r="T153" i="6"/>
  <c r="P153" i="6"/>
  <c r="R153" i="6"/>
  <c r="O153" i="6"/>
  <c r="S153" i="6"/>
  <c r="Q153" i="6"/>
  <c r="M153" i="6"/>
  <c r="L153" i="6"/>
  <c r="Z144" i="6"/>
  <c r="W144" i="6"/>
  <c r="Y144" i="6"/>
  <c r="X144" i="6"/>
  <c r="U144" i="6"/>
  <c r="V144" i="6"/>
  <c r="T144" i="6"/>
  <c r="P144" i="6"/>
  <c r="R144" i="6"/>
  <c r="O144" i="6"/>
  <c r="S144" i="6"/>
  <c r="Q144" i="6"/>
  <c r="M144" i="6"/>
  <c r="L144" i="6"/>
  <c r="Z152" i="6"/>
  <c r="Y152" i="6"/>
  <c r="V152" i="6"/>
  <c r="X152" i="6"/>
  <c r="W152" i="6"/>
  <c r="T152" i="6"/>
  <c r="U152" i="6"/>
  <c r="R152" i="6"/>
  <c r="S152" i="6"/>
  <c r="Q152" i="6"/>
  <c r="P152" i="6"/>
  <c r="O152" i="6"/>
  <c r="L152" i="6"/>
  <c r="M152" i="6"/>
  <c r="Y145" i="6"/>
  <c r="Z145" i="6"/>
  <c r="X145" i="6"/>
  <c r="W145" i="6"/>
  <c r="S145" i="6"/>
  <c r="U145" i="6"/>
  <c r="V145" i="6"/>
  <c r="T145" i="6"/>
  <c r="Q145" i="6"/>
  <c r="P145" i="6"/>
  <c r="R145" i="6"/>
  <c r="O145" i="6"/>
  <c r="M145" i="6"/>
  <c r="L145" i="6"/>
  <c r="Y151" i="6"/>
  <c r="Z151" i="6"/>
  <c r="X151" i="6"/>
  <c r="W151" i="6"/>
  <c r="V151" i="6"/>
  <c r="S151" i="6"/>
  <c r="U151" i="6"/>
  <c r="T151" i="6"/>
  <c r="Q151" i="6"/>
  <c r="P151" i="6"/>
  <c r="R151" i="6"/>
  <c r="O151" i="6"/>
  <c r="M151" i="6"/>
  <c r="L151" i="6"/>
  <c r="Z147" i="6"/>
  <c r="Y147" i="6"/>
  <c r="W147" i="6"/>
  <c r="X147" i="6"/>
  <c r="V147" i="6"/>
  <c r="U147" i="6"/>
  <c r="T147" i="6"/>
  <c r="P147" i="6"/>
  <c r="S147" i="6"/>
  <c r="R147" i="6"/>
  <c r="O147" i="6"/>
  <c r="Q147" i="6"/>
  <c r="M147" i="6"/>
  <c r="L147" i="6"/>
  <c r="Y150" i="6"/>
  <c r="Z150" i="6"/>
  <c r="W150" i="6"/>
  <c r="X150" i="6"/>
  <c r="U150" i="6"/>
  <c r="T150" i="6"/>
  <c r="V150" i="6"/>
  <c r="S150" i="6"/>
  <c r="P150" i="6"/>
  <c r="R150" i="6"/>
  <c r="O150" i="6"/>
  <c r="Q150" i="6"/>
  <c r="M150" i="6"/>
  <c r="L150" i="6"/>
  <c r="Z149" i="6"/>
  <c r="Y149" i="6"/>
  <c r="V149" i="6"/>
  <c r="X149" i="6"/>
  <c r="W149" i="6"/>
  <c r="T149" i="6"/>
  <c r="U149" i="6"/>
  <c r="R149" i="6"/>
  <c r="Q149" i="6"/>
  <c r="S149" i="6"/>
  <c r="P149" i="6"/>
  <c r="O149" i="6"/>
  <c r="L149" i="6"/>
  <c r="M149" i="6"/>
  <c r="Y148" i="6"/>
  <c r="Z148" i="6"/>
  <c r="X148" i="6"/>
  <c r="W148" i="6"/>
  <c r="S148" i="6"/>
  <c r="V148" i="6"/>
  <c r="U148" i="6"/>
  <c r="T148" i="6"/>
  <c r="Q148" i="6"/>
  <c r="P148" i="6"/>
  <c r="R148" i="6"/>
  <c r="O148" i="6"/>
  <c r="L148" i="6"/>
  <c r="M148" i="6"/>
  <c r="Z146" i="6"/>
  <c r="Y146" i="6"/>
  <c r="V146" i="6"/>
  <c r="X146" i="6"/>
  <c r="W146" i="6"/>
  <c r="T146" i="6"/>
  <c r="U146" i="6"/>
  <c r="S146" i="6"/>
  <c r="R146" i="6"/>
  <c r="Q146" i="6"/>
  <c r="P146" i="6"/>
  <c r="O146" i="6"/>
  <c r="L146" i="6"/>
  <c r="M146" i="6"/>
  <c r="BI152" i="6"/>
  <c r="BJ152" i="6" s="1"/>
  <c r="BK152" i="6" s="1"/>
  <c r="BI149" i="6"/>
  <c r="BJ149" i="6" s="1"/>
  <c r="BK149" i="6" s="1"/>
  <c r="BI146" i="6"/>
  <c r="BJ146" i="6" s="1"/>
  <c r="BK146" i="6" s="1"/>
  <c r="BI155" i="6"/>
  <c r="BJ155" i="6" s="1"/>
  <c r="BK155" i="6" s="1"/>
  <c r="BI143" i="6"/>
  <c r="BJ143" i="6" s="1"/>
  <c r="BK143" i="6" s="1"/>
  <c r="BI154" i="6"/>
  <c r="BJ154" i="6" s="1"/>
  <c r="BK154" i="6" s="1"/>
  <c r="BI151" i="6"/>
  <c r="BJ151" i="6" s="1"/>
  <c r="BK151" i="6" s="1"/>
  <c r="BI148" i="6"/>
  <c r="BJ148" i="6" s="1"/>
  <c r="BK148" i="6" s="1"/>
  <c r="BI145" i="6"/>
  <c r="BJ145" i="6" s="1"/>
  <c r="BK145" i="6" s="1"/>
  <c r="BI156" i="6"/>
  <c r="BJ156" i="6" s="1"/>
  <c r="BK156" i="6" s="1"/>
  <c r="BI153" i="6"/>
  <c r="BJ153" i="6" s="1"/>
  <c r="BK153" i="6" s="1"/>
  <c r="BI150" i="6"/>
  <c r="BJ150" i="6" s="1"/>
  <c r="BK150" i="6" s="1"/>
  <c r="BI147" i="6"/>
  <c r="BJ147" i="6" s="1"/>
  <c r="BK147" i="6" s="1"/>
  <c r="BI144" i="6"/>
  <c r="BJ144" i="6" s="1"/>
  <c r="BK144" i="6" s="1"/>
  <c r="AE148" i="6" l="1"/>
  <c r="AG148" i="6" s="1"/>
  <c r="BL148" i="6" s="1"/>
  <c r="AE150" i="6"/>
  <c r="AG150" i="6" s="1"/>
  <c r="BL150" i="6" s="1"/>
  <c r="AE147" i="6"/>
  <c r="AF147" i="6" s="1"/>
  <c r="AE149" i="6"/>
  <c r="AG149" i="6" s="1"/>
  <c r="BL149" i="6" s="1"/>
  <c r="AE146" i="6"/>
  <c r="AG146" i="6" s="1"/>
  <c r="BL146" i="6" s="1"/>
  <c r="AE151" i="6"/>
  <c r="AG151" i="6" s="1"/>
  <c r="BL151" i="6" s="1"/>
  <c r="AE152" i="6"/>
  <c r="AF152" i="6" s="1"/>
  <c r="AE145" i="6"/>
  <c r="AG145" i="6" s="1"/>
  <c r="BL145" i="6" s="1"/>
  <c r="AE144" i="6"/>
  <c r="AF144" i="6" s="1"/>
  <c r="AE153" i="6"/>
  <c r="AF153" i="6" s="1"/>
  <c r="AE143" i="6"/>
  <c r="AG143" i="6" s="1"/>
  <c r="BL143" i="6" s="1"/>
  <c r="AE154" i="6"/>
  <c r="AG154" i="6" s="1"/>
  <c r="BL154" i="6" s="1"/>
  <c r="AE142" i="6"/>
  <c r="AG142" i="6" s="1"/>
  <c r="AE155" i="6"/>
  <c r="AF155" i="6" s="1"/>
  <c r="AE156" i="6"/>
  <c r="AF156" i="6" s="1"/>
  <c r="AE141" i="6"/>
  <c r="AG141" i="6" s="1"/>
  <c r="AF151" i="6" l="1"/>
  <c r="AF149" i="6"/>
  <c r="AG152" i="6"/>
  <c r="BL152" i="6" s="1"/>
  <c r="AF146" i="6"/>
  <c r="AF148" i="6"/>
  <c r="AF150" i="6"/>
  <c r="AF145" i="6"/>
  <c r="AG147" i="6"/>
  <c r="BL147" i="6" s="1"/>
  <c r="AG153" i="6"/>
  <c r="BL153" i="6" s="1"/>
  <c r="AG144" i="6"/>
  <c r="BL144" i="6" s="1"/>
  <c r="AF143" i="6"/>
  <c r="AF142" i="6"/>
  <c r="AF154" i="6"/>
  <c r="AF141" i="6"/>
  <c r="AG155" i="6"/>
  <c r="BL155" i="6" s="1"/>
  <c r="AG156" i="6"/>
  <c r="BL156" i="6" s="1"/>
  <c r="F6" i="2" l="1"/>
  <c r="BS6" i="6" l="1"/>
  <c r="BS7" i="6"/>
  <c r="BS8" i="6"/>
  <c r="BS9" i="6"/>
  <c r="BS10" i="6"/>
  <c r="BS11" i="6"/>
  <c r="BS12" i="6"/>
  <c r="BS13" i="6"/>
  <c r="BS14" i="6"/>
  <c r="BS15" i="6"/>
  <c r="BS16" i="6"/>
  <c r="BS17" i="6"/>
  <c r="BS18" i="6"/>
  <c r="BS19" i="6"/>
  <c r="BS20" i="6"/>
  <c r="BS21" i="6"/>
  <c r="BS22" i="6"/>
  <c r="BS23" i="6"/>
  <c r="BS24" i="6"/>
  <c r="BS25" i="6"/>
  <c r="BS26" i="6"/>
  <c r="BS27" i="6"/>
  <c r="BS28" i="6"/>
  <c r="BS29" i="6"/>
  <c r="BS30" i="6"/>
  <c r="BS31" i="6"/>
  <c r="BS32" i="6"/>
  <c r="BS33" i="6"/>
  <c r="BS34" i="6"/>
  <c r="BS35" i="6"/>
  <c r="BS36" i="6"/>
  <c r="BS37" i="6"/>
  <c r="BS38" i="6"/>
  <c r="BS39" i="6"/>
  <c r="BS40" i="6"/>
  <c r="BS41" i="6"/>
  <c r="BS42" i="6"/>
  <c r="BS43" i="6"/>
  <c r="BS44" i="6"/>
  <c r="BS45" i="6"/>
  <c r="BS46" i="6"/>
  <c r="BS47" i="6"/>
  <c r="BS48" i="6"/>
  <c r="BS49" i="6"/>
  <c r="BS50" i="6"/>
  <c r="BS51" i="6"/>
  <c r="BS52" i="6"/>
  <c r="BS53" i="6"/>
  <c r="BS54" i="6"/>
  <c r="BS55" i="6"/>
  <c r="BS56" i="6"/>
  <c r="BS57" i="6"/>
  <c r="BS58" i="6"/>
  <c r="BS59" i="6"/>
  <c r="BS60" i="6"/>
  <c r="BS61" i="6"/>
  <c r="BS62" i="6"/>
  <c r="BS63" i="6"/>
  <c r="BS64" i="6"/>
  <c r="BS65" i="6"/>
  <c r="BS66" i="6"/>
  <c r="BS67" i="6"/>
  <c r="BS68" i="6"/>
  <c r="BS69" i="6"/>
  <c r="BS70" i="6"/>
  <c r="BS71" i="6"/>
  <c r="BS72" i="6"/>
  <c r="BS73" i="6"/>
  <c r="BS74" i="6"/>
  <c r="BS75" i="6"/>
  <c r="BS76" i="6"/>
  <c r="BS77" i="6"/>
  <c r="BS78" i="6"/>
  <c r="BS79" i="6"/>
  <c r="BS80" i="6"/>
  <c r="BS81" i="6"/>
  <c r="BS82" i="6"/>
  <c r="BS83" i="6"/>
  <c r="BS84" i="6"/>
  <c r="BS85" i="6"/>
  <c r="BS86" i="6"/>
  <c r="BS87" i="6"/>
  <c r="BS88" i="6"/>
  <c r="BS89" i="6"/>
  <c r="BS90" i="6"/>
  <c r="BS91" i="6"/>
  <c r="BS92" i="6"/>
  <c r="BS93" i="6"/>
  <c r="BS94" i="6"/>
  <c r="BS95" i="6"/>
  <c r="BS96" i="6"/>
  <c r="BS97" i="6"/>
  <c r="BS98" i="6"/>
  <c r="BS99" i="6"/>
  <c r="BS100" i="6"/>
  <c r="BS101" i="6"/>
  <c r="BS102" i="6"/>
  <c r="BS103" i="6"/>
  <c r="BS104" i="6"/>
  <c r="BS105" i="6"/>
  <c r="BS106" i="6"/>
  <c r="BS107" i="6"/>
  <c r="BS108" i="6"/>
  <c r="BS109" i="6"/>
  <c r="BS110" i="6"/>
  <c r="BS111" i="6"/>
  <c r="BS112" i="6"/>
  <c r="BS113" i="6"/>
  <c r="BS114" i="6"/>
  <c r="BS115" i="6"/>
  <c r="BS116" i="6"/>
  <c r="BS117" i="6"/>
  <c r="BS118" i="6"/>
  <c r="BS119" i="6"/>
  <c r="BS120" i="6"/>
  <c r="BS121" i="6"/>
  <c r="BS122" i="6"/>
  <c r="BS123" i="6"/>
  <c r="BS124" i="6"/>
  <c r="BS125" i="6"/>
  <c r="BS126" i="6"/>
  <c r="BS127" i="6"/>
  <c r="BS128" i="6"/>
  <c r="BS129" i="6"/>
  <c r="BS130" i="6"/>
  <c r="BS131" i="6"/>
  <c r="BS132" i="6"/>
  <c r="BS133" i="6"/>
  <c r="BS134" i="6"/>
  <c r="BS135" i="6"/>
  <c r="BS136" i="6"/>
  <c r="BS137" i="6"/>
  <c r="BS138" i="6"/>
  <c r="BS139" i="6"/>
  <c r="BS140" i="6"/>
  <c r="BS141" i="6"/>
  <c r="BS142" i="6"/>
  <c r="BS5" i="6"/>
  <c r="AH137" i="6" l="1"/>
  <c r="BC137" i="6" s="1"/>
  <c r="AJ137" i="6"/>
  <c r="AH136" i="6"/>
  <c r="BC136" i="6" s="1"/>
  <c r="AJ136" i="6"/>
  <c r="AH183" i="6"/>
  <c r="BC183" i="6" s="1"/>
  <c r="AJ183" i="6"/>
  <c r="I138" i="6"/>
  <c r="J138" i="6"/>
  <c r="K138" i="6"/>
  <c r="I136" i="6"/>
  <c r="J136" i="6"/>
  <c r="K136" i="6"/>
  <c r="I137" i="6"/>
  <c r="J137" i="6"/>
  <c r="K137" i="6"/>
  <c r="AH135" i="6"/>
  <c r="BC135" i="6" s="1"/>
  <c r="AJ135" i="6"/>
  <c r="AH138" i="6"/>
  <c r="BC138" i="6" s="1"/>
  <c r="AJ138" i="6"/>
  <c r="AH134" i="6"/>
  <c r="BC134" i="6" s="1"/>
  <c r="AJ134" i="6"/>
  <c r="I139" i="6"/>
  <c r="J139" i="6"/>
  <c r="K139" i="6"/>
  <c r="I140" i="6"/>
  <c r="J140" i="6"/>
  <c r="K140" i="6"/>
  <c r="I135" i="6"/>
  <c r="J135" i="6"/>
  <c r="K135" i="6"/>
  <c r="BA135" i="6" l="1"/>
  <c r="BB135" i="6"/>
  <c r="N138" i="6"/>
  <c r="AD138" i="6"/>
  <c r="AC138" i="6"/>
  <c r="AB138" i="6"/>
  <c r="BA136" i="6"/>
  <c r="BB136" i="6"/>
  <c r="N139" i="6"/>
  <c r="AD139" i="6"/>
  <c r="AC139" i="6"/>
  <c r="AB139" i="6"/>
  <c r="BB138" i="6"/>
  <c r="BA138" i="6"/>
  <c r="N136" i="6"/>
  <c r="AD136" i="6"/>
  <c r="AB136" i="6"/>
  <c r="AC136" i="6"/>
  <c r="N135" i="6"/>
  <c r="AD135" i="6"/>
  <c r="AC135" i="6"/>
  <c r="AB135" i="6"/>
  <c r="BB134" i="6"/>
  <c r="BA134" i="6"/>
  <c r="N140" i="6"/>
  <c r="AD140" i="6"/>
  <c r="AB140" i="6"/>
  <c r="AC140" i="6"/>
  <c r="N137" i="6"/>
  <c r="AC137" i="6"/>
  <c r="AD137" i="6"/>
  <c r="AB137" i="6"/>
  <c r="BB183" i="6"/>
  <c r="BA183" i="6"/>
  <c r="BB137" i="6"/>
  <c r="BA137" i="6"/>
  <c r="AZ135" i="6"/>
  <c r="AZ183" i="6"/>
  <c r="AZ134" i="6"/>
  <c r="AZ136" i="6"/>
  <c r="AZ138" i="6"/>
  <c r="AZ137" i="6"/>
  <c r="AA138" i="6"/>
  <c r="AA139" i="6"/>
  <c r="AA140" i="6"/>
  <c r="AA137" i="6"/>
  <c r="AA135" i="6"/>
  <c r="AA136" i="6"/>
  <c r="AY134" i="6"/>
  <c r="AX134" i="6"/>
  <c r="AW134" i="6"/>
  <c r="AV134" i="6"/>
  <c r="AU134" i="6"/>
  <c r="AT134" i="6"/>
  <c r="AS134" i="6"/>
  <c r="AR134" i="6"/>
  <c r="AQ134" i="6"/>
  <c r="AP134" i="6"/>
  <c r="AO134" i="6"/>
  <c r="AN134" i="6"/>
  <c r="AM134" i="6"/>
  <c r="AK134" i="6"/>
  <c r="AL134" i="6"/>
  <c r="AY183" i="6"/>
  <c r="AX183" i="6"/>
  <c r="AW183" i="6"/>
  <c r="AV183" i="6"/>
  <c r="AU183" i="6"/>
  <c r="AS183" i="6"/>
  <c r="AR183" i="6"/>
  <c r="AQ183" i="6"/>
  <c r="AP183" i="6"/>
  <c r="AO183" i="6"/>
  <c r="AT183" i="6"/>
  <c r="AN183" i="6"/>
  <c r="AM183" i="6"/>
  <c r="AK183" i="6"/>
  <c r="AL183" i="6"/>
  <c r="X135" i="6"/>
  <c r="Z135" i="6"/>
  <c r="Y135" i="6"/>
  <c r="W135" i="6"/>
  <c r="U135" i="6"/>
  <c r="V135" i="6"/>
  <c r="T135" i="6"/>
  <c r="P135" i="6"/>
  <c r="R135" i="6"/>
  <c r="O135" i="6"/>
  <c r="S135" i="6"/>
  <c r="Q135" i="6"/>
  <c r="M135" i="6"/>
  <c r="L135" i="6"/>
  <c r="Z140" i="6"/>
  <c r="V140" i="6"/>
  <c r="Y140" i="6"/>
  <c r="X140" i="6"/>
  <c r="W140" i="6"/>
  <c r="T140" i="6"/>
  <c r="U140" i="6"/>
  <c r="R140" i="6"/>
  <c r="Q140" i="6"/>
  <c r="S140" i="6"/>
  <c r="P140" i="6"/>
  <c r="O140" i="6"/>
  <c r="L140" i="6"/>
  <c r="M140" i="6"/>
  <c r="Y139" i="6"/>
  <c r="Z139" i="6"/>
  <c r="X139" i="6"/>
  <c r="W139" i="6"/>
  <c r="S139" i="6"/>
  <c r="V139" i="6"/>
  <c r="U139" i="6"/>
  <c r="T139" i="6"/>
  <c r="Q139" i="6"/>
  <c r="P139" i="6"/>
  <c r="R139" i="6"/>
  <c r="O139" i="6"/>
  <c r="L139" i="6"/>
  <c r="M139" i="6"/>
  <c r="AY135" i="6"/>
  <c r="AX135" i="6"/>
  <c r="AW135" i="6"/>
  <c r="AV135" i="6"/>
  <c r="AU135" i="6"/>
  <c r="AT135" i="6"/>
  <c r="AS135" i="6"/>
  <c r="AR135" i="6"/>
  <c r="AQ135" i="6"/>
  <c r="AP135" i="6"/>
  <c r="AN135" i="6"/>
  <c r="AM135" i="6"/>
  <c r="AK135" i="6"/>
  <c r="AL135" i="6"/>
  <c r="AO135" i="6"/>
  <c r="Z137" i="6"/>
  <c r="Y137" i="6"/>
  <c r="V137" i="6"/>
  <c r="X137" i="6"/>
  <c r="W137" i="6"/>
  <c r="T137" i="6"/>
  <c r="U137" i="6"/>
  <c r="S137" i="6"/>
  <c r="R137" i="6"/>
  <c r="Q137" i="6"/>
  <c r="P137" i="6"/>
  <c r="O137" i="6"/>
  <c r="L137" i="6"/>
  <c r="M137" i="6"/>
  <c r="Y136" i="6"/>
  <c r="Z136" i="6"/>
  <c r="X136" i="6"/>
  <c r="W136" i="6"/>
  <c r="S136" i="6"/>
  <c r="U136" i="6"/>
  <c r="V136" i="6"/>
  <c r="T136" i="6"/>
  <c r="Q136" i="6"/>
  <c r="P136" i="6"/>
  <c r="R136" i="6"/>
  <c r="O136" i="6"/>
  <c r="M136" i="6"/>
  <c r="L136" i="6"/>
  <c r="Z138" i="6"/>
  <c r="Y138" i="6"/>
  <c r="W138" i="6"/>
  <c r="X138" i="6"/>
  <c r="V138" i="6"/>
  <c r="U138" i="6"/>
  <c r="T138" i="6"/>
  <c r="P138" i="6"/>
  <c r="S138" i="6"/>
  <c r="R138" i="6"/>
  <c r="O138" i="6"/>
  <c r="Q138" i="6"/>
  <c r="M138" i="6"/>
  <c r="L138" i="6"/>
  <c r="AY137" i="6"/>
  <c r="AX137" i="6"/>
  <c r="AW137" i="6"/>
  <c r="AT137" i="6"/>
  <c r="AV137" i="6"/>
  <c r="AS137" i="6"/>
  <c r="AR137" i="6"/>
  <c r="AQ137" i="6"/>
  <c r="AP137" i="6"/>
  <c r="AO137" i="6"/>
  <c r="AN137" i="6"/>
  <c r="AU137" i="6"/>
  <c r="AM137" i="6"/>
  <c r="AK137" i="6"/>
  <c r="AL137" i="6"/>
  <c r="AY138" i="6"/>
  <c r="AX138" i="6"/>
  <c r="AW138" i="6"/>
  <c r="AV138" i="6"/>
  <c r="AU138" i="6"/>
  <c r="AT138" i="6"/>
  <c r="AS138" i="6"/>
  <c r="AR138" i="6"/>
  <c r="AQ138" i="6"/>
  <c r="AP138" i="6"/>
  <c r="AO138" i="6"/>
  <c r="AM138" i="6"/>
  <c r="AK138" i="6"/>
  <c r="AL138" i="6"/>
  <c r="AN138" i="6"/>
  <c r="AY136" i="6"/>
  <c r="AX136" i="6"/>
  <c r="AW136" i="6"/>
  <c r="AV136" i="6"/>
  <c r="AU136" i="6"/>
  <c r="AS136" i="6"/>
  <c r="AR136" i="6"/>
  <c r="AQ136" i="6"/>
  <c r="AP136" i="6"/>
  <c r="AO136" i="6"/>
  <c r="AT136" i="6"/>
  <c r="AN136" i="6"/>
  <c r="AM136" i="6"/>
  <c r="AK136" i="6"/>
  <c r="AL136" i="6"/>
  <c r="BP135" i="6"/>
  <c r="BQ135" i="6" s="1"/>
  <c r="BR135" i="6" s="1"/>
  <c r="BP137" i="6"/>
  <c r="BQ137" i="6" s="1"/>
  <c r="BR137" i="6" s="1"/>
  <c r="BP134" i="6"/>
  <c r="BQ134" i="6" s="1"/>
  <c r="BR134" i="6" s="1"/>
  <c r="BP138" i="6"/>
  <c r="BQ138" i="6" s="1"/>
  <c r="BR138" i="6" s="1"/>
  <c r="BP139" i="6"/>
  <c r="BQ139" i="6" s="1"/>
  <c r="BR139" i="6" s="1"/>
  <c r="BP136" i="6"/>
  <c r="BQ136" i="6" s="1"/>
  <c r="BR136" i="6" s="1"/>
  <c r="BI140" i="6"/>
  <c r="BJ140" i="6" s="1"/>
  <c r="BK140" i="6" s="1"/>
  <c r="BI137" i="6"/>
  <c r="BJ137" i="6" s="1"/>
  <c r="BK137" i="6" s="1"/>
  <c r="BI139" i="6"/>
  <c r="BJ139" i="6" s="1"/>
  <c r="BK139" i="6" s="1"/>
  <c r="BI138" i="6"/>
  <c r="BJ138" i="6" s="1"/>
  <c r="BK138" i="6" s="1"/>
  <c r="Q208" i="1"/>
  <c r="Q207" i="1"/>
  <c r="Q4" i="1"/>
  <c r="Q5" i="1"/>
  <c r="BD137" i="6" l="1"/>
  <c r="BE137" i="6" s="1"/>
  <c r="AE138" i="6"/>
  <c r="AF138" i="6" s="1"/>
  <c r="AE136" i="6"/>
  <c r="AG136" i="6" s="1"/>
  <c r="AE137" i="6"/>
  <c r="AG137" i="6" s="1"/>
  <c r="BD136" i="6"/>
  <c r="BD183" i="6"/>
  <c r="BD135" i="6"/>
  <c r="BD138" i="6"/>
  <c r="BD134" i="6"/>
  <c r="AE140" i="6"/>
  <c r="AF140" i="6" s="1"/>
  <c r="AE139" i="6"/>
  <c r="AG139" i="6" s="1"/>
  <c r="AE135" i="6"/>
  <c r="AG135" i="6" s="1"/>
  <c r="AJ5" i="6"/>
  <c r="AJ6" i="6"/>
  <c r="AJ7" i="6"/>
  <c r="AJ8" i="6"/>
  <c r="AJ9" i="6"/>
  <c r="AJ10" i="6"/>
  <c r="AJ11" i="6"/>
  <c r="AJ12" i="6"/>
  <c r="AJ13" i="6"/>
  <c r="AJ14" i="6"/>
  <c r="AJ15" i="6"/>
  <c r="AJ16" i="6"/>
  <c r="AJ17" i="6"/>
  <c r="AJ18" i="6"/>
  <c r="AJ19" i="6"/>
  <c r="AJ20" i="6"/>
  <c r="AJ21" i="6"/>
  <c r="AJ22" i="6"/>
  <c r="AJ23" i="6"/>
  <c r="AJ24" i="6"/>
  <c r="AJ25" i="6"/>
  <c r="AJ26" i="6"/>
  <c r="AJ27" i="6"/>
  <c r="AJ28" i="6"/>
  <c r="AJ29" i="6"/>
  <c r="AJ30" i="6"/>
  <c r="AJ31" i="6"/>
  <c r="AJ32" i="6"/>
  <c r="AJ33" i="6"/>
  <c r="AJ34" i="6"/>
  <c r="AJ35" i="6"/>
  <c r="AJ36" i="6"/>
  <c r="AJ37" i="6"/>
  <c r="AJ38" i="6"/>
  <c r="AJ39" i="6"/>
  <c r="AJ40" i="6"/>
  <c r="AJ41" i="6"/>
  <c r="AJ42" i="6"/>
  <c r="AJ43" i="6"/>
  <c r="AJ44" i="6"/>
  <c r="AJ45" i="6"/>
  <c r="AJ46" i="6"/>
  <c r="AJ47" i="6"/>
  <c r="AJ48" i="6"/>
  <c r="AJ49" i="6"/>
  <c r="AJ50" i="6"/>
  <c r="AJ51" i="6"/>
  <c r="AJ52" i="6"/>
  <c r="AJ53" i="6"/>
  <c r="AJ54" i="6"/>
  <c r="AJ55" i="6"/>
  <c r="AJ56" i="6"/>
  <c r="AJ57" i="6"/>
  <c r="AJ58" i="6"/>
  <c r="AJ59" i="6"/>
  <c r="AJ60" i="6"/>
  <c r="AJ61" i="6"/>
  <c r="AJ62" i="6"/>
  <c r="AJ63" i="6"/>
  <c r="AJ64" i="6"/>
  <c r="AJ65" i="6"/>
  <c r="AJ66" i="6"/>
  <c r="AJ67" i="6"/>
  <c r="AJ68" i="6"/>
  <c r="AJ69" i="6"/>
  <c r="AJ70" i="6"/>
  <c r="AJ71" i="6"/>
  <c r="AJ72" i="6"/>
  <c r="AJ73" i="6"/>
  <c r="AJ74" i="6"/>
  <c r="AJ75" i="6"/>
  <c r="AJ76" i="6"/>
  <c r="AJ77" i="6"/>
  <c r="AJ78" i="6"/>
  <c r="AJ79" i="6"/>
  <c r="AJ80" i="6"/>
  <c r="AJ81" i="6"/>
  <c r="AJ82" i="6"/>
  <c r="AJ83" i="6"/>
  <c r="AJ84" i="6"/>
  <c r="AJ85" i="6"/>
  <c r="AJ86" i="6"/>
  <c r="AJ87" i="6"/>
  <c r="AJ88" i="6"/>
  <c r="AJ89" i="6"/>
  <c r="AJ90" i="6"/>
  <c r="AJ91" i="6"/>
  <c r="AJ92" i="6"/>
  <c r="AJ93" i="6"/>
  <c r="AJ94" i="6"/>
  <c r="AJ95" i="6"/>
  <c r="AJ96" i="6"/>
  <c r="AJ97" i="6"/>
  <c r="AJ98" i="6"/>
  <c r="AJ99" i="6"/>
  <c r="AJ100" i="6"/>
  <c r="AJ101" i="6"/>
  <c r="AJ102" i="6"/>
  <c r="AJ103" i="6"/>
  <c r="AJ104" i="6"/>
  <c r="AJ105" i="6"/>
  <c r="AJ106" i="6"/>
  <c r="AJ107" i="6"/>
  <c r="AJ108" i="6"/>
  <c r="AJ109" i="6"/>
  <c r="AJ110" i="6"/>
  <c r="AJ111" i="6"/>
  <c r="AJ112" i="6"/>
  <c r="AJ113" i="6"/>
  <c r="AJ114" i="6"/>
  <c r="AJ115" i="6"/>
  <c r="AJ116" i="6"/>
  <c r="AJ117" i="6"/>
  <c r="AJ118" i="6"/>
  <c r="AJ119" i="6"/>
  <c r="AJ120" i="6"/>
  <c r="AJ121" i="6"/>
  <c r="AJ122" i="6"/>
  <c r="AJ123" i="6"/>
  <c r="AJ124" i="6"/>
  <c r="AJ125" i="6"/>
  <c r="AJ126" i="6"/>
  <c r="AJ127" i="6"/>
  <c r="AJ128" i="6"/>
  <c r="AJ129" i="6"/>
  <c r="AJ130" i="6"/>
  <c r="AJ131" i="6"/>
  <c r="AJ132" i="6"/>
  <c r="AJ133" i="6"/>
  <c r="AJ184" i="6"/>
  <c r="AJ185" i="6"/>
  <c r="AJ186"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BT138" i="6" l="1"/>
  <c r="BU138" i="6" s="1"/>
  <c r="BE183" i="6"/>
  <c r="BT139" i="6"/>
  <c r="BU139" i="6" s="1"/>
  <c r="BT135" i="6"/>
  <c r="BU135" i="6" s="1"/>
  <c r="BT136" i="6"/>
  <c r="BU136" i="6" s="1"/>
  <c r="BE134" i="6"/>
  <c r="BT134" i="6"/>
  <c r="BU134" i="6" s="1"/>
  <c r="BT137" i="6"/>
  <c r="BU137" i="6" s="1"/>
  <c r="AF137" i="6"/>
  <c r="BL139" i="6"/>
  <c r="BL137" i="6"/>
  <c r="AG138" i="6"/>
  <c r="AF136" i="6"/>
  <c r="BE135" i="6"/>
  <c r="BE136" i="6"/>
  <c r="BE138" i="6"/>
  <c r="AF139" i="6"/>
  <c r="AG140" i="6"/>
  <c r="AF135" i="6"/>
  <c r="I132" i="6"/>
  <c r="J132" i="6"/>
  <c r="AH132" i="6"/>
  <c r="BC132" i="6" s="1"/>
  <c r="I133" i="6"/>
  <c r="J133" i="6"/>
  <c r="AH133" i="6"/>
  <c r="BC133" i="6" s="1"/>
  <c r="I134" i="6"/>
  <c r="J134" i="6"/>
  <c r="AH184" i="6"/>
  <c r="BC184" i="6" s="1"/>
  <c r="AH185" i="6"/>
  <c r="BC185" i="6" s="1"/>
  <c r="AH186" i="6"/>
  <c r="BC186" i="6" s="1"/>
  <c r="N132" i="6" l="1"/>
  <c r="AD132" i="6"/>
  <c r="AC132" i="6"/>
  <c r="AB132" i="6"/>
  <c r="N133" i="6"/>
  <c r="AD133" i="6"/>
  <c r="AC133" i="6"/>
  <c r="AB133" i="6"/>
  <c r="BB186" i="6"/>
  <c r="BA186" i="6"/>
  <c r="BA132" i="6"/>
  <c r="BB132" i="6"/>
  <c r="BB184" i="6"/>
  <c r="BA184" i="6"/>
  <c r="N134" i="6"/>
  <c r="AD134" i="6"/>
  <c r="AC134" i="6"/>
  <c r="AB134" i="6"/>
  <c r="BB185" i="6"/>
  <c r="BA185" i="6"/>
  <c r="BB133" i="6"/>
  <c r="BA133" i="6"/>
  <c r="AZ132" i="6"/>
  <c r="AZ133" i="6"/>
  <c r="AZ185" i="6"/>
  <c r="AZ184" i="6"/>
  <c r="AZ186" i="6"/>
  <c r="AA133" i="6"/>
  <c r="AA134" i="6"/>
  <c r="AA132" i="6"/>
  <c r="Z134" i="6"/>
  <c r="Y134" i="6"/>
  <c r="V134" i="6"/>
  <c r="X134" i="6"/>
  <c r="W134" i="6"/>
  <c r="T134" i="6"/>
  <c r="U134" i="6"/>
  <c r="R134" i="6"/>
  <c r="S134" i="6"/>
  <c r="Q134" i="6"/>
  <c r="P134" i="6"/>
  <c r="O134" i="6"/>
  <c r="L134" i="6"/>
  <c r="M134" i="6"/>
  <c r="Y133" i="6"/>
  <c r="Z133" i="6"/>
  <c r="X133" i="6"/>
  <c r="W133" i="6"/>
  <c r="V133" i="6"/>
  <c r="S133" i="6"/>
  <c r="U133" i="6"/>
  <c r="T133" i="6"/>
  <c r="Q133" i="6"/>
  <c r="P133" i="6"/>
  <c r="R133" i="6"/>
  <c r="O133" i="6"/>
  <c r="L133" i="6"/>
  <c r="M133" i="6"/>
  <c r="X132" i="6"/>
  <c r="Y132" i="6"/>
  <c r="Z132" i="6"/>
  <c r="W132" i="6"/>
  <c r="U132" i="6"/>
  <c r="T132" i="6"/>
  <c r="V132" i="6"/>
  <c r="S132" i="6"/>
  <c r="P132" i="6"/>
  <c r="R132" i="6"/>
  <c r="O132" i="6"/>
  <c r="Q132" i="6"/>
  <c r="M132" i="6"/>
  <c r="L132" i="6"/>
  <c r="AY186" i="6"/>
  <c r="AX186" i="6"/>
  <c r="AW186" i="6"/>
  <c r="AV186" i="6"/>
  <c r="AU186" i="6"/>
  <c r="AT186" i="6"/>
  <c r="AS186" i="6"/>
  <c r="AR186" i="6"/>
  <c r="AQ186" i="6"/>
  <c r="AP186" i="6"/>
  <c r="AO186" i="6"/>
  <c r="AM186" i="6"/>
  <c r="AK186" i="6"/>
  <c r="AL186" i="6"/>
  <c r="AN186" i="6"/>
  <c r="AY185" i="6"/>
  <c r="AX185" i="6"/>
  <c r="AW185" i="6"/>
  <c r="AV185" i="6"/>
  <c r="AU185" i="6"/>
  <c r="AT185" i="6"/>
  <c r="AS185" i="6"/>
  <c r="AR185" i="6"/>
  <c r="AQ185" i="6"/>
  <c r="AP185" i="6"/>
  <c r="AM185" i="6"/>
  <c r="AK185" i="6"/>
  <c r="AL185" i="6"/>
  <c r="AO185" i="6"/>
  <c r="AN185" i="6"/>
  <c r="AY184" i="6"/>
  <c r="AX184" i="6"/>
  <c r="AW184" i="6"/>
  <c r="AU184" i="6"/>
  <c r="AS184" i="6"/>
  <c r="AR184" i="6"/>
  <c r="AQ184" i="6"/>
  <c r="AP184" i="6"/>
  <c r="AO184" i="6"/>
  <c r="AN184" i="6"/>
  <c r="AV184" i="6"/>
  <c r="AT184" i="6"/>
  <c r="AM184" i="6"/>
  <c r="AK184" i="6"/>
  <c r="AL184" i="6"/>
  <c r="AY133" i="6"/>
  <c r="AX133" i="6"/>
  <c r="AW133" i="6"/>
  <c r="AV133" i="6"/>
  <c r="AU133" i="6"/>
  <c r="AT133" i="6"/>
  <c r="AS133" i="6"/>
  <c r="AR133" i="6"/>
  <c r="AQ133" i="6"/>
  <c r="AP133" i="6"/>
  <c r="AO133" i="6"/>
  <c r="AM133" i="6"/>
  <c r="AK133" i="6"/>
  <c r="AL133" i="6"/>
  <c r="AN133" i="6"/>
  <c r="AY132" i="6"/>
  <c r="AX132" i="6"/>
  <c r="AW132" i="6"/>
  <c r="AV132" i="6"/>
  <c r="AU132" i="6"/>
  <c r="AT132" i="6"/>
  <c r="AS132" i="6"/>
  <c r="AR132" i="6"/>
  <c r="AQ132" i="6"/>
  <c r="AP132" i="6"/>
  <c r="AM132" i="6"/>
  <c r="AK132" i="6"/>
  <c r="AL132" i="6"/>
  <c r="AO132" i="6"/>
  <c r="AN132" i="6"/>
  <c r="BI132" i="6"/>
  <c r="BJ132" i="6" s="1"/>
  <c r="BK132" i="6" s="1"/>
  <c r="BI141" i="6"/>
  <c r="BJ141" i="6" s="1"/>
  <c r="BK141" i="6" s="1"/>
  <c r="BI157" i="6"/>
  <c r="BJ157" i="6" s="1"/>
  <c r="BK157" i="6" s="1"/>
  <c r="BI142" i="6"/>
  <c r="BJ142" i="6" s="1"/>
  <c r="BK142" i="6" s="1"/>
  <c r="BI158" i="6"/>
  <c r="BJ158" i="6" s="1"/>
  <c r="BK158" i="6" s="1"/>
  <c r="BP142" i="6"/>
  <c r="BQ142" i="6" s="1"/>
  <c r="BR142" i="6" s="1"/>
  <c r="BP141" i="6"/>
  <c r="BQ141" i="6" s="1"/>
  <c r="BR141" i="6" s="1"/>
  <c r="BP140" i="6"/>
  <c r="BQ140" i="6" s="1"/>
  <c r="BR140" i="6" s="1"/>
  <c r="BP133" i="6"/>
  <c r="BQ133" i="6" s="1"/>
  <c r="BR133" i="6" s="1"/>
  <c r="BP132" i="6"/>
  <c r="BQ132" i="6" s="1"/>
  <c r="BR132" i="6" s="1"/>
  <c r="BL138" i="6"/>
  <c r="BL140" i="6"/>
  <c r="BI136" i="6"/>
  <c r="BJ136" i="6" s="1"/>
  <c r="BK136" i="6" s="1"/>
  <c r="BI135" i="6"/>
  <c r="BJ135" i="6" s="1"/>
  <c r="BK135" i="6" s="1"/>
  <c r="BI134" i="6"/>
  <c r="BJ134" i="6" s="1"/>
  <c r="BK134" i="6" s="1"/>
  <c r="BI133" i="6"/>
  <c r="BJ133" i="6" s="1"/>
  <c r="BK133" i="6" s="1"/>
  <c r="AE134" i="6" l="1"/>
  <c r="AG134" i="6" s="1"/>
  <c r="BD132" i="6"/>
  <c r="BD133" i="6"/>
  <c r="BD185" i="6"/>
  <c r="BT141" i="6" s="1"/>
  <c r="BU141" i="6" s="1"/>
  <c r="BD184" i="6"/>
  <c r="AE132" i="6"/>
  <c r="AG132" i="6" s="1"/>
  <c r="BD186" i="6"/>
  <c r="AE133" i="6"/>
  <c r="AG133" i="6" s="1"/>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5" i="6"/>
  <c r="BT142" i="6" l="1"/>
  <c r="BU142" i="6" s="1"/>
  <c r="BE184" i="6"/>
  <c r="BT140" i="6"/>
  <c r="BU140" i="6" s="1"/>
  <c r="BT132" i="6"/>
  <c r="BU132" i="6" s="1"/>
  <c r="BT133" i="6"/>
  <c r="BU133" i="6" s="1"/>
  <c r="BL133" i="6"/>
  <c r="BL132" i="6"/>
  <c r="BL134" i="6"/>
  <c r="BE132" i="6"/>
  <c r="AF134" i="6"/>
  <c r="BE133" i="6"/>
  <c r="BE186" i="6"/>
  <c r="AF132" i="6"/>
  <c r="BE185" i="6"/>
  <c r="BL158" i="6"/>
  <c r="AF133" i="6"/>
  <c r="BL157" i="6"/>
  <c r="AH92" i="6"/>
  <c r="BC92" i="6" s="1"/>
  <c r="AH93" i="6"/>
  <c r="BC93" i="6" s="1"/>
  <c r="AH94" i="6"/>
  <c r="BC94" i="6" s="1"/>
  <c r="AH95" i="6"/>
  <c r="BC95" i="6" s="1"/>
  <c r="AH96" i="6"/>
  <c r="BC96" i="6" s="1"/>
  <c r="AH97" i="6"/>
  <c r="BC97" i="6" s="1"/>
  <c r="AH98" i="6"/>
  <c r="BC98" i="6" s="1"/>
  <c r="AH99" i="6"/>
  <c r="BC99" i="6" s="1"/>
  <c r="AH100" i="6"/>
  <c r="BC100" i="6" s="1"/>
  <c r="AH101" i="6"/>
  <c r="BC101" i="6" s="1"/>
  <c r="AH102" i="6"/>
  <c r="BC102" i="6" s="1"/>
  <c r="AH103" i="6"/>
  <c r="BC103" i="6" s="1"/>
  <c r="AH104" i="6"/>
  <c r="BC104" i="6" s="1"/>
  <c r="AH105" i="6"/>
  <c r="BC105" i="6" s="1"/>
  <c r="AH106" i="6"/>
  <c r="BC106" i="6" s="1"/>
  <c r="AH107" i="6"/>
  <c r="BC107" i="6" s="1"/>
  <c r="AH108" i="6"/>
  <c r="BC108" i="6" s="1"/>
  <c r="AH109" i="6"/>
  <c r="BC109" i="6" s="1"/>
  <c r="AH110" i="6"/>
  <c r="BC110" i="6" s="1"/>
  <c r="AH111" i="6"/>
  <c r="BC111" i="6" s="1"/>
  <c r="AH112" i="6"/>
  <c r="BC112" i="6" s="1"/>
  <c r="AH113" i="6"/>
  <c r="BC113" i="6" s="1"/>
  <c r="AH114" i="6"/>
  <c r="BC114" i="6" s="1"/>
  <c r="AH115" i="6"/>
  <c r="BC115" i="6" s="1"/>
  <c r="AH116" i="6"/>
  <c r="BC116" i="6" s="1"/>
  <c r="AH117" i="6"/>
  <c r="BC117" i="6" s="1"/>
  <c r="AH118" i="6"/>
  <c r="BC118" i="6" s="1"/>
  <c r="AH119" i="6"/>
  <c r="BC119" i="6" s="1"/>
  <c r="AH120" i="6"/>
  <c r="BC120" i="6" s="1"/>
  <c r="AH121" i="6"/>
  <c r="BC121" i="6" s="1"/>
  <c r="AH122" i="6"/>
  <c r="BC122" i="6" s="1"/>
  <c r="AH123" i="6"/>
  <c r="BC123" i="6" s="1"/>
  <c r="AH124" i="6"/>
  <c r="BC124" i="6" s="1"/>
  <c r="AH125" i="6"/>
  <c r="BC125" i="6" s="1"/>
  <c r="AH126" i="6"/>
  <c r="BC126" i="6" s="1"/>
  <c r="AH127" i="6"/>
  <c r="BC127" i="6" s="1"/>
  <c r="AH128" i="6"/>
  <c r="BC128" i="6" s="1"/>
  <c r="AH129" i="6"/>
  <c r="BC129" i="6" s="1"/>
  <c r="AH130" i="6"/>
  <c r="BC130" i="6" s="1"/>
  <c r="AH131" i="6"/>
  <c r="BC131" i="6" s="1"/>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N130" i="6" l="1"/>
  <c r="AD130" i="6"/>
  <c r="AC130" i="6"/>
  <c r="AB130" i="6"/>
  <c r="N122" i="6"/>
  <c r="AD122" i="6"/>
  <c r="AC122" i="6"/>
  <c r="AB122" i="6"/>
  <c r="N110" i="6"/>
  <c r="AD110" i="6"/>
  <c r="AC110" i="6"/>
  <c r="AB110" i="6"/>
  <c r="N98" i="6"/>
  <c r="AD98" i="6"/>
  <c r="AC98" i="6"/>
  <c r="AB98" i="6"/>
  <c r="BB122" i="6"/>
  <c r="BA122" i="6"/>
  <c r="BB106" i="6"/>
  <c r="BA106" i="6"/>
  <c r="BB98" i="6"/>
  <c r="BA98" i="6"/>
  <c r="N129" i="6"/>
  <c r="AC129" i="6"/>
  <c r="AB129" i="6"/>
  <c r="AD129" i="6"/>
  <c r="N125" i="6"/>
  <c r="AC125" i="6"/>
  <c r="AD125" i="6"/>
  <c r="AB125" i="6"/>
  <c r="N121" i="6"/>
  <c r="AC121" i="6"/>
  <c r="AD121" i="6"/>
  <c r="AB121" i="6"/>
  <c r="N117" i="6"/>
  <c r="AD117" i="6"/>
  <c r="AC117" i="6"/>
  <c r="AB117" i="6"/>
  <c r="N113" i="6"/>
  <c r="AC113" i="6"/>
  <c r="AB113" i="6"/>
  <c r="AD113" i="6"/>
  <c r="N109" i="6"/>
  <c r="AC109" i="6"/>
  <c r="AD109" i="6"/>
  <c r="AB109" i="6"/>
  <c r="N105" i="6"/>
  <c r="AC105" i="6"/>
  <c r="AD105" i="6"/>
  <c r="AB105" i="6"/>
  <c r="N101" i="6"/>
  <c r="AD101" i="6"/>
  <c r="AC101" i="6"/>
  <c r="AB101" i="6"/>
  <c r="N97" i="6"/>
  <c r="AC97" i="6"/>
  <c r="AD97" i="6"/>
  <c r="AB97" i="6"/>
  <c r="N93" i="6"/>
  <c r="AC93" i="6"/>
  <c r="AD93" i="6"/>
  <c r="AB93" i="6"/>
  <c r="BB129" i="6"/>
  <c r="BA129" i="6"/>
  <c r="BB125" i="6"/>
  <c r="BA125" i="6"/>
  <c r="BB121" i="6"/>
  <c r="BA121" i="6"/>
  <c r="BB117" i="6"/>
  <c r="BA117" i="6"/>
  <c r="BB113" i="6"/>
  <c r="BA113" i="6"/>
  <c r="BB109" i="6"/>
  <c r="BA109" i="6"/>
  <c r="BB105" i="6"/>
  <c r="BA105" i="6"/>
  <c r="BB101" i="6"/>
  <c r="BA101" i="6"/>
  <c r="BB97" i="6"/>
  <c r="BA97" i="6"/>
  <c r="BB93" i="6"/>
  <c r="BA93" i="6"/>
  <c r="N118" i="6"/>
  <c r="AD118" i="6"/>
  <c r="AC118" i="6"/>
  <c r="AB118" i="6"/>
  <c r="N106" i="6"/>
  <c r="AD106" i="6"/>
  <c r="AC106" i="6"/>
  <c r="AB106" i="6"/>
  <c r="N94" i="6"/>
  <c r="AD94" i="6"/>
  <c r="AC94" i="6"/>
  <c r="AB94" i="6"/>
  <c r="BB126" i="6"/>
  <c r="BA126" i="6"/>
  <c r="BB114" i="6"/>
  <c r="BA114" i="6"/>
  <c r="BB102" i="6"/>
  <c r="BA102" i="6"/>
  <c r="N128" i="6"/>
  <c r="AD128" i="6"/>
  <c r="AC128" i="6"/>
  <c r="AB128" i="6"/>
  <c r="N124" i="6"/>
  <c r="AD124" i="6"/>
  <c r="AB124" i="6"/>
  <c r="AC124" i="6"/>
  <c r="N120" i="6"/>
  <c r="AD120" i="6"/>
  <c r="AC120" i="6"/>
  <c r="AB120" i="6"/>
  <c r="N116" i="6"/>
  <c r="AD116" i="6"/>
  <c r="AC116" i="6"/>
  <c r="AB116" i="6"/>
  <c r="N112" i="6"/>
  <c r="AD112" i="6"/>
  <c r="AB112" i="6"/>
  <c r="AC112" i="6"/>
  <c r="N108" i="6"/>
  <c r="AD108" i="6"/>
  <c r="AC108" i="6"/>
  <c r="AB108" i="6"/>
  <c r="N104" i="6"/>
  <c r="AD104" i="6"/>
  <c r="AB104" i="6"/>
  <c r="AC104" i="6"/>
  <c r="N100" i="6"/>
  <c r="AD100" i="6"/>
  <c r="AC100" i="6"/>
  <c r="AB100" i="6"/>
  <c r="N96" i="6"/>
  <c r="AD96" i="6"/>
  <c r="AC96" i="6"/>
  <c r="AB96" i="6"/>
  <c r="N92" i="6"/>
  <c r="AD92" i="6"/>
  <c r="AB92" i="6"/>
  <c r="AC92" i="6"/>
  <c r="BA128" i="6"/>
  <c r="BB128" i="6"/>
  <c r="BA124" i="6"/>
  <c r="BB124" i="6"/>
  <c r="BA120" i="6"/>
  <c r="BB120" i="6"/>
  <c r="BA116" i="6"/>
  <c r="BB116" i="6"/>
  <c r="BA112" i="6"/>
  <c r="BB112" i="6"/>
  <c r="BA108" i="6"/>
  <c r="BB108" i="6"/>
  <c r="BA104" i="6"/>
  <c r="BB104" i="6"/>
  <c r="BA100" i="6"/>
  <c r="BB100" i="6"/>
  <c r="BA96" i="6"/>
  <c r="BB96" i="6"/>
  <c r="BA92" i="6"/>
  <c r="BB92" i="6"/>
  <c r="N126" i="6"/>
  <c r="AD126" i="6"/>
  <c r="AC126" i="6"/>
  <c r="AB126" i="6"/>
  <c r="N114" i="6"/>
  <c r="AD114" i="6"/>
  <c r="AC114" i="6"/>
  <c r="AB114" i="6"/>
  <c r="N102" i="6"/>
  <c r="AD102" i="6"/>
  <c r="AC102" i="6"/>
  <c r="AB102" i="6"/>
  <c r="BB130" i="6"/>
  <c r="BA130" i="6"/>
  <c r="BB118" i="6"/>
  <c r="BA118" i="6"/>
  <c r="BB110" i="6"/>
  <c r="BA110" i="6"/>
  <c r="BB94" i="6"/>
  <c r="BA94" i="6"/>
  <c r="N131" i="6"/>
  <c r="AD131" i="6"/>
  <c r="AC131" i="6"/>
  <c r="AB131" i="6"/>
  <c r="N127" i="6"/>
  <c r="AD127" i="6"/>
  <c r="AC127" i="6"/>
  <c r="AB127" i="6"/>
  <c r="N123" i="6"/>
  <c r="AD123" i="6"/>
  <c r="AC123" i="6"/>
  <c r="AB123" i="6"/>
  <c r="N119" i="6"/>
  <c r="AD119" i="6"/>
  <c r="AC119" i="6"/>
  <c r="AB119" i="6"/>
  <c r="N115" i="6"/>
  <c r="AD115" i="6"/>
  <c r="AC115" i="6"/>
  <c r="AB115" i="6"/>
  <c r="N111" i="6"/>
  <c r="AD111" i="6"/>
  <c r="AC111" i="6"/>
  <c r="AB111" i="6"/>
  <c r="N107" i="6"/>
  <c r="AD107" i="6"/>
  <c r="AC107" i="6"/>
  <c r="AB107" i="6"/>
  <c r="N103" i="6"/>
  <c r="AD103" i="6"/>
  <c r="AC103" i="6"/>
  <c r="AB103" i="6"/>
  <c r="N99" i="6"/>
  <c r="AD99" i="6"/>
  <c r="AC99" i="6"/>
  <c r="AB99" i="6"/>
  <c r="N95" i="6"/>
  <c r="AD95" i="6"/>
  <c r="AC95" i="6"/>
  <c r="AB95" i="6"/>
  <c r="BA131" i="6"/>
  <c r="BB131" i="6"/>
  <c r="BA127" i="6"/>
  <c r="BB127" i="6"/>
  <c r="BA123" i="6"/>
  <c r="BB123" i="6"/>
  <c r="BA119" i="6"/>
  <c r="BB119" i="6"/>
  <c r="BA115" i="6"/>
  <c r="BB115" i="6"/>
  <c r="BA111" i="6"/>
  <c r="BB111" i="6"/>
  <c r="BA107" i="6"/>
  <c r="BB107" i="6"/>
  <c r="BA103" i="6"/>
  <c r="BB103" i="6"/>
  <c r="BA99" i="6"/>
  <c r="BB99" i="6"/>
  <c r="BA95" i="6"/>
  <c r="BB95" i="6"/>
  <c r="AZ129" i="6"/>
  <c r="AZ130" i="6"/>
  <c r="AZ122" i="6"/>
  <c r="AZ114" i="6"/>
  <c r="AZ106" i="6"/>
  <c r="AZ98" i="6"/>
  <c r="AZ113" i="6"/>
  <c r="AZ128" i="6"/>
  <c r="AZ120" i="6"/>
  <c r="AZ112" i="6"/>
  <c r="AZ104" i="6"/>
  <c r="AZ96" i="6"/>
  <c r="AZ121" i="6"/>
  <c r="AZ127" i="6"/>
  <c r="AZ119" i="6"/>
  <c r="AZ111" i="6"/>
  <c r="AZ103" i="6"/>
  <c r="AZ95" i="6"/>
  <c r="AZ110" i="6"/>
  <c r="AZ102" i="6"/>
  <c r="AZ94" i="6"/>
  <c r="AZ125" i="6"/>
  <c r="AZ109" i="6"/>
  <c r="AZ101" i="6"/>
  <c r="AZ93" i="6"/>
  <c r="AZ97" i="6"/>
  <c r="AZ126" i="6"/>
  <c r="AZ117" i="6"/>
  <c r="AZ124" i="6"/>
  <c r="AZ116" i="6"/>
  <c r="AZ108" i="6"/>
  <c r="AZ100" i="6"/>
  <c r="AZ92" i="6"/>
  <c r="AZ105" i="6"/>
  <c r="AZ118" i="6"/>
  <c r="AZ131" i="6"/>
  <c r="AZ123" i="6"/>
  <c r="AZ115" i="6"/>
  <c r="AZ107" i="6"/>
  <c r="AZ99" i="6"/>
  <c r="AA124" i="6"/>
  <c r="AA122" i="6"/>
  <c r="AA106" i="6"/>
  <c r="AA129" i="6"/>
  <c r="AA121" i="6"/>
  <c r="AA113" i="6"/>
  <c r="AA105" i="6"/>
  <c r="AA97" i="6"/>
  <c r="AA130" i="6"/>
  <c r="AA114" i="6"/>
  <c r="AA98" i="6"/>
  <c r="AA128" i="6"/>
  <c r="AA112" i="6"/>
  <c r="AA96" i="6"/>
  <c r="AA127" i="6"/>
  <c r="AA119" i="6"/>
  <c r="AA111" i="6"/>
  <c r="AA103" i="6"/>
  <c r="AA95" i="6"/>
  <c r="AA120" i="6"/>
  <c r="AA104" i="6"/>
  <c r="AA118" i="6"/>
  <c r="AA94" i="6"/>
  <c r="AA126" i="6"/>
  <c r="AA110" i="6"/>
  <c r="AA102" i="6"/>
  <c r="AA125" i="6"/>
  <c r="AA117" i="6"/>
  <c r="AA109" i="6"/>
  <c r="AA101" i="6"/>
  <c r="AA93" i="6"/>
  <c r="AA116" i="6"/>
  <c r="AA108" i="6"/>
  <c r="AA100" i="6"/>
  <c r="AA92" i="6"/>
  <c r="AA131" i="6"/>
  <c r="AA123" i="6"/>
  <c r="AA115" i="6"/>
  <c r="AA107" i="6"/>
  <c r="AA99" i="6"/>
  <c r="Z128" i="6"/>
  <c r="Y128" i="6"/>
  <c r="V128" i="6"/>
  <c r="X128" i="6"/>
  <c r="W128" i="6"/>
  <c r="T128" i="6"/>
  <c r="U128" i="6"/>
  <c r="S128" i="6"/>
  <c r="R128" i="6"/>
  <c r="Q128" i="6"/>
  <c r="P128" i="6"/>
  <c r="O128" i="6"/>
  <c r="L128" i="6"/>
  <c r="M128" i="6"/>
  <c r="Z122" i="6"/>
  <c r="Y122" i="6"/>
  <c r="X122" i="6"/>
  <c r="V122" i="6"/>
  <c r="W122" i="6"/>
  <c r="T122" i="6"/>
  <c r="S122" i="6"/>
  <c r="U122" i="6"/>
  <c r="R122" i="6"/>
  <c r="Q122" i="6"/>
  <c r="P122" i="6"/>
  <c r="O122" i="6"/>
  <c r="L122" i="6"/>
  <c r="M122" i="6"/>
  <c r="Z116" i="6"/>
  <c r="Y116" i="6"/>
  <c r="V116" i="6"/>
  <c r="X116" i="6"/>
  <c r="W116" i="6"/>
  <c r="T116" i="6"/>
  <c r="S116" i="6"/>
  <c r="U116" i="6"/>
  <c r="R116" i="6"/>
  <c r="Q116" i="6"/>
  <c r="P116" i="6"/>
  <c r="O116" i="6"/>
  <c r="L116" i="6"/>
  <c r="M116" i="6"/>
  <c r="Z110" i="6"/>
  <c r="Y110" i="6"/>
  <c r="V110" i="6"/>
  <c r="X110" i="6"/>
  <c r="W110" i="6"/>
  <c r="T110" i="6"/>
  <c r="S110" i="6"/>
  <c r="U110" i="6"/>
  <c r="R110" i="6"/>
  <c r="Q110" i="6"/>
  <c r="P110" i="6"/>
  <c r="O110" i="6"/>
  <c r="L110" i="6"/>
  <c r="M110" i="6"/>
  <c r="Z104" i="6"/>
  <c r="X104" i="6"/>
  <c r="V104" i="6"/>
  <c r="Y104" i="6"/>
  <c r="W104" i="6"/>
  <c r="T104" i="6"/>
  <c r="S104" i="6"/>
  <c r="U104" i="6"/>
  <c r="R104" i="6"/>
  <c r="Q104" i="6"/>
  <c r="P104" i="6"/>
  <c r="O104" i="6"/>
  <c r="L104" i="6"/>
  <c r="M104" i="6"/>
  <c r="Z98" i="6"/>
  <c r="Y98" i="6"/>
  <c r="V98" i="6"/>
  <c r="X98" i="6"/>
  <c r="W98" i="6"/>
  <c r="T98" i="6"/>
  <c r="S98" i="6"/>
  <c r="U98" i="6"/>
  <c r="R98" i="6"/>
  <c r="Q98" i="6"/>
  <c r="P98" i="6"/>
  <c r="O98" i="6"/>
  <c r="L98" i="6"/>
  <c r="M98" i="6"/>
  <c r="AY129" i="6"/>
  <c r="AX129" i="6"/>
  <c r="AW129" i="6"/>
  <c r="AV129" i="6"/>
  <c r="AU129" i="6"/>
  <c r="AT129" i="6"/>
  <c r="AS129" i="6"/>
  <c r="AR129" i="6"/>
  <c r="AQ129" i="6"/>
  <c r="AP129" i="6"/>
  <c r="AO129" i="6"/>
  <c r="AM129" i="6"/>
  <c r="AK129" i="6"/>
  <c r="AL129" i="6"/>
  <c r="AN129" i="6"/>
  <c r="AY126" i="6"/>
  <c r="AX126" i="6"/>
  <c r="AW126" i="6"/>
  <c r="AV126" i="6"/>
  <c r="AU126" i="6"/>
  <c r="AT126" i="6"/>
  <c r="AS126" i="6"/>
  <c r="AR126" i="6"/>
  <c r="AQ126" i="6"/>
  <c r="AP126" i="6"/>
  <c r="AN126" i="6"/>
  <c r="AM126" i="6"/>
  <c r="AK126" i="6"/>
  <c r="AL126" i="6"/>
  <c r="AO126" i="6"/>
  <c r="AY120" i="6"/>
  <c r="AX120" i="6"/>
  <c r="AW120" i="6"/>
  <c r="AV120" i="6"/>
  <c r="AU120" i="6"/>
  <c r="AT120" i="6"/>
  <c r="AS120" i="6"/>
  <c r="AR120" i="6"/>
  <c r="AQ120" i="6"/>
  <c r="AP120" i="6"/>
  <c r="AO120" i="6"/>
  <c r="AM120" i="6"/>
  <c r="AK120" i="6"/>
  <c r="AL120" i="6"/>
  <c r="AN120" i="6"/>
  <c r="AY114" i="6"/>
  <c r="AX114" i="6"/>
  <c r="AW114" i="6"/>
  <c r="AV114" i="6"/>
  <c r="AU114" i="6"/>
  <c r="AT114" i="6"/>
  <c r="AS114" i="6"/>
  <c r="AR114" i="6"/>
  <c r="AQ114" i="6"/>
  <c r="AP114" i="6"/>
  <c r="AM114" i="6"/>
  <c r="AK114" i="6"/>
  <c r="AL114" i="6"/>
  <c r="AO114" i="6"/>
  <c r="AN114" i="6"/>
  <c r="AY108" i="6"/>
  <c r="AX108" i="6"/>
  <c r="AW108" i="6"/>
  <c r="AV108" i="6"/>
  <c r="AU108" i="6"/>
  <c r="AT108" i="6"/>
  <c r="AS108" i="6"/>
  <c r="AR108" i="6"/>
  <c r="AQ108" i="6"/>
  <c r="AP108" i="6"/>
  <c r="AN108" i="6"/>
  <c r="AM108" i="6"/>
  <c r="AK108" i="6"/>
  <c r="AL108" i="6"/>
  <c r="AO108" i="6"/>
  <c r="AY102" i="6"/>
  <c r="AX102" i="6"/>
  <c r="AW102" i="6"/>
  <c r="AV102" i="6"/>
  <c r="AU102" i="6"/>
  <c r="AT102" i="6"/>
  <c r="AS102" i="6"/>
  <c r="AR102" i="6"/>
  <c r="AQ102" i="6"/>
  <c r="AP102" i="6"/>
  <c r="AO102" i="6"/>
  <c r="AM102" i="6"/>
  <c r="AK102" i="6"/>
  <c r="AL102" i="6"/>
  <c r="AN102" i="6"/>
  <c r="AY96" i="6"/>
  <c r="AX96" i="6"/>
  <c r="AW96" i="6"/>
  <c r="AV96" i="6"/>
  <c r="AU96" i="6"/>
  <c r="AT96" i="6"/>
  <c r="AS96" i="6"/>
  <c r="AR96" i="6"/>
  <c r="AQ96" i="6"/>
  <c r="AP96" i="6"/>
  <c r="AM96" i="6"/>
  <c r="AK96" i="6"/>
  <c r="AL96" i="6"/>
  <c r="AO96" i="6"/>
  <c r="AN96" i="6"/>
  <c r="Y127" i="6"/>
  <c r="Z127" i="6"/>
  <c r="X127" i="6"/>
  <c r="W127" i="6"/>
  <c r="S127" i="6"/>
  <c r="U127" i="6"/>
  <c r="V127" i="6"/>
  <c r="T127" i="6"/>
  <c r="Q127" i="6"/>
  <c r="P127" i="6"/>
  <c r="R127" i="6"/>
  <c r="O127" i="6"/>
  <c r="M127" i="6"/>
  <c r="L127" i="6"/>
  <c r="Y121" i="6"/>
  <c r="Z121" i="6"/>
  <c r="W121" i="6"/>
  <c r="X121" i="6"/>
  <c r="S121" i="6"/>
  <c r="V121" i="6"/>
  <c r="U121" i="6"/>
  <c r="T121" i="6"/>
  <c r="Q121" i="6"/>
  <c r="P121" i="6"/>
  <c r="R121" i="6"/>
  <c r="O121" i="6"/>
  <c r="M121" i="6"/>
  <c r="L121" i="6"/>
  <c r="Y115" i="6"/>
  <c r="Z115" i="6"/>
  <c r="X115" i="6"/>
  <c r="W115" i="6"/>
  <c r="V115" i="6"/>
  <c r="S115" i="6"/>
  <c r="U115" i="6"/>
  <c r="T115" i="6"/>
  <c r="Q115" i="6"/>
  <c r="P115" i="6"/>
  <c r="R115" i="6"/>
  <c r="O115" i="6"/>
  <c r="M115" i="6"/>
  <c r="L115" i="6"/>
  <c r="X129" i="6"/>
  <c r="Z129" i="6"/>
  <c r="Y129" i="6"/>
  <c r="W129" i="6"/>
  <c r="V129" i="6"/>
  <c r="U129" i="6"/>
  <c r="T129" i="6"/>
  <c r="P129" i="6"/>
  <c r="S129" i="6"/>
  <c r="R129" i="6"/>
  <c r="O129" i="6"/>
  <c r="Q129" i="6"/>
  <c r="M129" i="6"/>
  <c r="L129" i="6"/>
  <c r="X126" i="6"/>
  <c r="Z126" i="6"/>
  <c r="W126" i="6"/>
  <c r="Y126" i="6"/>
  <c r="U126" i="6"/>
  <c r="V126" i="6"/>
  <c r="T126" i="6"/>
  <c r="P126" i="6"/>
  <c r="R126" i="6"/>
  <c r="O126" i="6"/>
  <c r="S126" i="6"/>
  <c r="Q126" i="6"/>
  <c r="M126" i="6"/>
  <c r="L126" i="6"/>
  <c r="X123" i="6"/>
  <c r="Y123" i="6"/>
  <c r="Z123" i="6"/>
  <c r="W123" i="6"/>
  <c r="U123" i="6"/>
  <c r="T123" i="6"/>
  <c r="V123" i="6"/>
  <c r="S123" i="6"/>
  <c r="P123" i="6"/>
  <c r="R123" i="6"/>
  <c r="O123" i="6"/>
  <c r="Q123" i="6"/>
  <c r="M123" i="6"/>
  <c r="L123" i="6"/>
  <c r="X120" i="6"/>
  <c r="Z120" i="6"/>
  <c r="Y120" i="6"/>
  <c r="W120" i="6"/>
  <c r="V120" i="6"/>
  <c r="U120" i="6"/>
  <c r="T120" i="6"/>
  <c r="P120" i="6"/>
  <c r="R120" i="6"/>
  <c r="O120" i="6"/>
  <c r="S120" i="6"/>
  <c r="Q120" i="6"/>
  <c r="M120" i="6"/>
  <c r="L120" i="6"/>
  <c r="X117" i="6"/>
  <c r="Z117" i="6"/>
  <c r="W117" i="6"/>
  <c r="Y117" i="6"/>
  <c r="U117" i="6"/>
  <c r="V117" i="6"/>
  <c r="T117" i="6"/>
  <c r="P117" i="6"/>
  <c r="S117" i="6"/>
  <c r="R117" i="6"/>
  <c r="O117" i="6"/>
  <c r="Q117" i="6"/>
  <c r="M117" i="6"/>
  <c r="L117" i="6"/>
  <c r="X114" i="6"/>
  <c r="Y114" i="6"/>
  <c r="Z114" i="6"/>
  <c r="W114" i="6"/>
  <c r="U114" i="6"/>
  <c r="T114" i="6"/>
  <c r="V114" i="6"/>
  <c r="S114" i="6"/>
  <c r="P114" i="6"/>
  <c r="R114" i="6"/>
  <c r="O114" i="6"/>
  <c r="Q114" i="6"/>
  <c r="M114" i="6"/>
  <c r="L114" i="6"/>
  <c r="X111" i="6"/>
  <c r="Z111" i="6"/>
  <c r="Y111" i="6"/>
  <c r="W111" i="6"/>
  <c r="V111" i="6"/>
  <c r="U111" i="6"/>
  <c r="T111" i="6"/>
  <c r="P111" i="6"/>
  <c r="R111" i="6"/>
  <c r="O111" i="6"/>
  <c r="S111" i="6"/>
  <c r="Q111" i="6"/>
  <c r="M111" i="6"/>
  <c r="L111" i="6"/>
  <c r="X108" i="6"/>
  <c r="Z108" i="6"/>
  <c r="Y108" i="6"/>
  <c r="W108" i="6"/>
  <c r="U108" i="6"/>
  <c r="V108" i="6"/>
  <c r="T108" i="6"/>
  <c r="P108" i="6"/>
  <c r="S108" i="6"/>
  <c r="R108" i="6"/>
  <c r="O108" i="6"/>
  <c r="Q108" i="6"/>
  <c r="M108" i="6"/>
  <c r="L108" i="6"/>
  <c r="X105" i="6"/>
  <c r="Y105" i="6"/>
  <c r="Z105" i="6"/>
  <c r="W105" i="6"/>
  <c r="U105" i="6"/>
  <c r="T105" i="6"/>
  <c r="V105" i="6"/>
  <c r="S105" i="6"/>
  <c r="P105" i="6"/>
  <c r="R105" i="6"/>
  <c r="O105" i="6"/>
  <c r="Q105" i="6"/>
  <c r="M105" i="6"/>
  <c r="L105" i="6"/>
  <c r="X102" i="6"/>
  <c r="Z102" i="6"/>
  <c r="Y102" i="6"/>
  <c r="W102" i="6"/>
  <c r="V102" i="6"/>
  <c r="U102" i="6"/>
  <c r="T102" i="6"/>
  <c r="P102" i="6"/>
  <c r="R102" i="6"/>
  <c r="O102" i="6"/>
  <c r="S102" i="6"/>
  <c r="Q102" i="6"/>
  <c r="M102" i="6"/>
  <c r="L102" i="6"/>
  <c r="Z99" i="6"/>
  <c r="X99" i="6"/>
  <c r="W99" i="6"/>
  <c r="Y99" i="6"/>
  <c r="U99" i="6"/>
  <c r="V99" i="6"/>
  <c r="T99" i="6"/>
  <c r="P99" i="6"/>
  <c r="S99" i="6"/>
  <c r="R99" i="6"/>
  <c r="O99" i="6"/>
  <c r="Q99" i="6"/>
  <c r="M99" i="6"/>
  <c r="L99" i="6"/>
  <c r="X96" i="6"/>
  <c r="Y96" i="6"/>
  <c r="Z96" i="6"/>
  <c r="W96" i="6"/>
  <c r="U96" i="6"/>
  <c r="T96" i="6"/>
  <c r="V96" i="6"/>
  <c r="S96" i="6"/>
  <c r="P96" i="6"/>
  <c r="R96" i="6"/>
  <c r="O96" i="6"/>
  <c r="Q96" i="6"/>
  <c r="M96" i="6"/>
  <c r="L96" i="6"/>
  <c r="X93" i="6"/>
  <c r="Z93" i="6"/>
  <c r="Y93" i="6"/>
  <c r="W93" i="6"/>
  <c r="V93" i="6"/>
  <c r="U93" i="6"/>
  <c r="R93" i="6"/>
  <c r="T93" i="6"/>
  <c r="P93" i="6"/>
  <c r="O93" i="6"/>
  <c r="S93" i="6"/>
  <c r="Q93" i="6"/>
  <c r="M93" i="6"/>
  <c r="L93" i="6"/>
  <c r="AY130" i="6"/>
  <c r="AX130" i="6"/>
  <c r="AW130" i="6"/>
  <c r="AV130" i="6"/>
  <c r="AU130" i="6"/>
  <c r="AS130" i="6"/>
  <c r="AR130" i="6"/>
  <c r="AQ130" i="6"/>
  <c r="AP130" i="6"/>
  <c r="AO130" i="6"/>
  <c r="AT130" i="6"/>
  <c r="AN130" i="6"/>
  <c r="AM130" i="6"/>
  <c r="AK130" i="6"/>
  <c r="AL130" i="6"/>
  <c r="AY127" i="6"/>
  <c r="AX127" i="6"/>
  <c r="AW127" i="6"/>
  <c r="AV127" i="6"/>
  <c r="AU127" i="6"/>
  <c r="AS127" i="6"/>
  <c r="AR127" i="6"/>
  <c r="AQ127" i="6"/>
  <c r="AP127" i="6"/>
  <c r="AO127" i="6"/>
  <c r="AT127" i="6"/>
  <c r="AN127" i="6"/>
  <c r="AM127" i="6"/>
  <c r="AK127" i="6"/>
  <c r="AL127" i="6"/>
  <c r="AY124" i="6"/>
  <c r="AX124" i="6"/>
  <c r="AW124" i="6"/>
  <c r="AV124" i="6"/>
  <c r="AU124" i="6"/>
  <c r="AT124" i="6"/>
  <c r="AS124" i="6"/>
  <c r="AR124" i="6"/>
  <c r="AQ124" i="6"/>
  <c r="AP124" i="6"/>
  <c r="AO124" i="6"/>
  <c r="AN124" i="6"/>
  <c r="AM124" i="6"/>
  <c r="AK124" i="6"/>
  <c r="AL124" i="6"/>
  <c r="AY121" i="6"/>
  <c r="AX121" i="6"/>
  <c r="AW121" i="6"/>
  <c r="AV121" i="6"/>
  <c r="AU121" i="6"/>
  <c r="AS121" i="6"/>
  <c r="AR121" i="6"/>
  <c r="AQ121" i="6"/>
  <c r="AP121" i="6"/>
  <c r="AO121" i="6"/>
  <c r="AN121" i="6"/>
  <c r="AT121" i="6"/>
  <c r="AM121" i="6"/>
  <c r="AK121" i="6"/>
  <c r="AL121" i="6"/>
  <c r="AY118" i="6"/>
  <c r="AX118" i="6"/>
  <c r="AW118" i="6"/>
  <c r="AV118" i="6"/>
  <c r="AU118" i="6"/>
  <c r="AS118" i="6"/>
  <c r="AR118" i="6"/>
  <c r="AQ118" i="6"/>
  <c r="AP118" i="6"/>
  <c r="AO118" i="6"/>
  <c r="AN118" i="6"/>
  <c r="AT118" i="6"/>
  <c r="AM118" i="6"/>
  <c r="AK118" i="6"/>
  <c r="AL118" i="6"/>
  <c r="AY115" i="6"/>
  <c r="AX115" i="6"/>
  <c r="AW115" i="6"/>
  <c r="AV115" i="6"/>
  <c r="AU115" i="6"/>
  <c r="AT115" i="6"/>
  <c r="AS115" i="6"/>
  <c r="AR115" i="6"/>
  <c r="AQ115" i="6"/>
  <c r="AP115" i="6"/>
  <c r="AO115" i="6"/>
  <c r="AN115" i="6"/>
  <c r="AM115" i="6"/>
  <c r="AK115" i="6"/>
  <c r="AL115" i="6"/>
  <c r="AY112" i="6"/>
  <c r="AX112" i="6"/>
  <c r="AW112" i="6"/>
  <c r="AV112" i="6"/>
  <c r="AU112" i="6"/>
  <c r="AS112" i="6"/>
  <c r="AR112" i="6"/>
  <c r="AQ112" i="6"/>
  <c r="AP112" i="6"/>
  <c r="AO112" i="6"/>
  <c r="AN112" i="6"/>
  <c r="AT112" i="6"/>
  <c r="AM112" i="6"/>
  <c r="AK112" i="6"/>
  <c r="AL112" i="6"/>
  <c r="AY109" i="6"/>
  <c r="AX109" i="6"/>
  <c r="AW109" i="6"/>
  <c r="AV109" i="6"/>
  <c r="AU109" i="6"/>
  <c r="AS109" i="6"/>
  <c r="AR109" i="6"/>
  <c r="AQ109" i="6"/>
  <c r="AP109" i="6"/>
  <c r="AO109" i="6"/>
  <c r="AN109" i="6"/>
  <c r="AT109" i="6"/>
  <c r="AM109" i="6"/>
  <c r="AK109" i="6"/>
  <c r="AL109" i="6"/>
  <c r="AY106" i="6"/>
  <c r="AX106" i="6"/>
  <c r="AW106" i="6"/>
  <c r="AV106" i="6"/>
  <c r="AU106" i="6"/>
  <c r="AT106" i="6"/>
  <c r="AS106" i="6"/>
  <c r="AR106" i="6"/>
  <c r="AQ106" i="6"/>
  <c r="AP106" i="6"/>
  <c r="AO106" i="6"/>
  <c r="AN106" i="6"/>
  <c r="AM106" i="6"/>
  <c r="AK106" i="6"/>
  <c r="AL106" i="6"/>
  <c r="AY103" i="6"/>
  <c r="AX103" i="6"/>
  <c r="AW103" i="6"/>
  <c r="AV103" i="6"/>
  <c r="AU103" i="6"/>
  <c r="AS103" i="6"/>
  <c r="AR103" i="6"/>
  <c r="AQ103" i="6"/>
  <c r="AP103" i="6"/>
  <c r="AO103" i="6"/>
  <c r="AN103" i="6"/>
  <c r="AT103" i="6"/>
  <c r="AM103" i="6"/>
  <c r="AK103" i="6"/>
  <c r="AL103" i="6"/>
  <c r="AY100" i="6"/>
  <c r="AX100" i="6"/>
  <c r="AW100" i="6"/>
  <c r="AV100" i="6"/>
  <c r="AU100" i="6"/>
  <c r="AS100" i="6"/>
  <c r="AR100" i="6"/>
  <c r="AQ100" i="6"/>
  <c r="AP100" i="6"/>
  <c r="AO100" i="6"/>
  <c r="AN100" i="6"/>
  <c r="AT100" i="6"/>
  <c r="AM100" i="6"/>
  <c r="AK100" i="6"/>
  <c r="AL100" i="6"/>
  <c r="AY97" i="6"/>
  <c r="AX97" i="6"/>
  <c r="AW97" i="6"/>
  <c r="AV97" i="6"/>
  <c r="AU97" i="6"/>
  <c r="AT97" i="6"/>
  <c r="AS97" i="6"/>
  <c r="AR97" i="6"/>
  <c r="AQ97" i="6"/>
  <c r="AP97" i="6"/>
  <c r="AO97" i="6"/>
  <c r="AN97" i="6"/>
  <c r="AM97" i="6"/>
  <c r="AK97" i="6"/>
  <c r="AL97" i="6"/>
  <c r="AY94" i="6"/>
  <c r="AX94" i="6"/>
  <c r="AW94" i="6"/>
  <c r="AV94" i="6"/>
  <c r="AU94" i="6"/>
  <c r="AS94" i="6"/>
  <c r="AR94" i="6"/>
  <c r="AQ94" i="6"/>
  <c r="AP94" i="6"/>
  <c r="AO94" i="6"/>
  <c r="AN94" i="6"/>
  <c r="AT94" i="6"/>
  <c r="AM94" i="6"/>
  <c r="AK94" i="6"/>
  <c r="AL94" i="6"/>
  <c r="Z131" i="6"/>
  <c r="X131" i="6"/>
  <c r="V131" i="6"/>
  <c r="Y131" i="6"/>
  <c r="W131" i="6"/>
  <c r="T131" i="6"/>
  <c r="U131" i="6"/>
  <c r="R131" i="6"/>
  <c r="Q131" i="6"/>
  <c r="S131" i="6"/>
  <c r="P131" i="6"/>
  <c r="O131" i="6"/>
  <c r="L131" i="6"/>
  <c r="M131" i="6"/>
  <c r="Z125" i="6"/>
  <c r="Y125" i="6"/>
  <c r="V125" i="6"/>
  <c r="X125" i="6"/>
  <c r="W125" i="6"/>
  <c r="T125" i="6"/>
  <c r="U125" i="6"/>
  <c r="R125" i="6"/>
  <c r="S125" i="6"/>
  <c r="Q125" i="6"/>
  <c r="P125" i="6"/>
  <c r="O125" i="6"/>
  <c r="L125" i="6"/>
  <c r="M125" i="6"/>
  <c r="Z119" i="6"/>
  <c r="Y119" i="6"/>
  <c r="V119" i="6"/>
  <c r="X119" i="6"/>
  <c r="W119" i="6"/>
  <c r="T119" i="6"/>
  <c r="S119" i="6"/>
  <c r="U119" i="6"/>
  <c r="R119" i="6"/>
  <c r="Q119" i="6"/>
  <c r="P119" i="6"/>
  <c r="O119" i="6"/>
  <c r="L119" i="6"/>
  <c r="M119" i="6"/>
  <c r="Z113" i="6"/>
  <c r="X113" i="6"/>
  <c r="V113" i="6"/>
  <c r="Y113" i="6"/>
  <c r="W113" i="6"/>
  <c r="T113" i="6"/>
  <c r="S113" i="6"/>
  <c r="U113" i="6"/>
  <c r="R113" i="6"/>
  <c r="Q113" i="6"/>
  <c r="P113" i="6"/>
  <c r="O113" i="6"/>
  <c r="L113" i="6"/>
  <c r="M113" i="6"/>
  <c r="Z107" i="6"/>
  <c r="Y107" i="6"/>
  <c r="V107" i="6"/>
  <c r="X107" i="6"/>
  <c r="W107" i="6"/>
  <c r="T107" i="6"/>
  <c r="S107" i="6"/>
  <c r="U107" i="6"/>
  <c r="R107" i="6"/>
  <c r="Q107" i="6"/>
  <c r="P107" i="6"/>
  <c r="O107" i="6"/>
  <c r="L107" i="6"/>
  <c r="M107" i="6"/>
  <c r="Z101" i="6"/>
  <c r="Y101" i="6"/>
  <c r="V101" i="6"/>
  <c r="X101" i="6"/>
  <c r="W101" i="6"/>
  <c r="T101" i="6"/>
  <c r="S101" i="6"/>
  <c r="U101" i="6"/>
  <c r="R101" i="6"/>
  <c r="Q101" i="6"/>
  <c r="P101" i="6"/>
  <c r="O101" i="6"/>
  <c r="L101" i="6"/>
  <c r="M101" i="6"/>
  <c r="Z95" i="6"/>
  <c r="Y95" i="6"/>
  <c r="X95" i="6"/>
  <c r="V95" i="6"/>
  <c r="W95" i="6"/>
  <c r="T95" i="6"/>
  <c r="S95" i="6"/>
  <c r="U95" i="6"/>
  <c r="R95" i="6"/>
  <c r="Q95" i="6"/>
  <c r="P95" i="6"/>
  <c r="O95" i="6"/>
  <c r="L95" i="6"/>
  <c r="M95" i="6"/>
  <c r="Y92" i="6"/>
  <c r="Z92" i="6"/>
  <c r="X92" i="6"/>
  <c r="V92" i="6"/>
  <c r="W92" i="6"/>
  <c r="T92" i="6"/>
  <c r="S92" i="6"/>
  <c r="U92" i="6"/>
  <c r="O92" i="6"/>
  <c r="R92" i="6"/>
  <c r="Q92" i="6"/>
  <c r="P92" i="6"/>
  <c r="L92" i="6"/>
  <c r="M92" i="6"/>
  <c r="AY123" i="6"/>
  <c r="AX123" i="6"/>
  <c r="AW123" i="6"/>
  <c r="AV123" i="6"/>
  <c r="AU123" i="6"/>
  <c r="AT123" i="6"/>
  <c r="AS123" i="6"/>
  <c r="AR123" i="6"/>
  <c r="AQ123" i="6"/>
  <c r="AP123" i="6"/>
  <c r="AM123" i="6"/>
  <c r="AK123" i="6"/>
  <c r="AL123" i="6"/>
  <c r="AO123" i="6"/>
  <c r="AN123" i="6"/>
  <c r="AY117" i="6"/>
  <c r="AX117" i="6"/>
  <c r="AW117" i="6"/>
  <c r="AV117" i="6"/>
  <c r="AU117" i="6"/>
  <c r="AT117" i="6"/>
  <c r="AS117" i="6"/>
  <c r="AR117" i="6"/>
  <c r="AQ117" i="6"/>
  <c r="AP117" i="6"/>
  <c r="AN117" i="6"/>
  <c r="AM117" i="6"/>
  <c r="AK117" i="6"/>
  <c r="AL117" i="6"/>
  <c r="AO117" i="6"/>
  <c r="AY111" i="6"/>
  <c r="AX111" i="6"/>
  <c r="AW111" i="6"/>
  <c r="AV111" i="6"/>
  <c r="AU111" i="6"/>
  <c r="AT111" i="6"/>
  <c r="AS111" i="6"/>
  <c r="AR111" i="6"/>
  <c r="AQ111" i="6"/>
  <c r="AP111" i="6"/>
  <c r="AO111" i="6"/>
  <c r="AM111" i="6"/>
  <c r="AK111" i="6"/>
  <c r="AL111" i="6"/>
  <c r="AN111" i="6"/>
  <c r="AY105" i="6"/>
  <c r="AX105" i="6"/>
  <c r="AW105" i="6"/>
  <c r="AV105" i="6"/>
  <c r="AU105" i="6"/>
  <c r="AT105" i="6"/>
  <c r="AS105" i="6"/>
  <c r="AR105" i="6"/>
  <c r="AQ105" i="6"/>
  <c r="AP105" i="6"/>
  <c r="AM105" i="6"/>
  <c r="AK105" i="6"/>
  <c r="AL105" i="6"/>
  <c r="AO105" i="6"/>
  <c r="AN105" i="6"/>
  <c r="AY99" i="6"/>
  <c r="AX99" i="6"/>
  <c r="AW99" i="6"/>
  <c r="AV99" i="6"/>
  <c r="AU99" i="6"/>
  <c r="AT99" i="6"/>
  <c r="AS99" i="6"/>
  <c r="AR99" i="6"/>
  <c r="AQ99" i="6"/>
  <c r="AP99" i="6"/>
  <c r="AN99" i="6"/>
  <c r="AM99" i="6"/>
  <c r="AK99" i="6"/>
  <c r="AL99" i="6"/>
  <c r="AO99" i="6"/>
  <c r="AY93" i="6"/>
  <c r="AX93" i="6"/>
  <c r="AW93" i="6"/>
  <c r="AV93" i="6"/>
  <c r="AU93" i="6"/>
  <c r="AT93" i="6"/>
  <c r="AS93" i="6"/>
  <c r="AR93" i="6"/>
  <c r="AQ93" i="6"/>
  <c r="AP93" i="6"/>
  <c r="AO93" i="6"/>
  <c r="AM93" i="6"/>
  <c r="AK93" i="6"/>
  <c r="AL93" i="6"/>
  <c r="AN93" i="6"/>
  <c r="Y130" i="6"/>
  <c r="Z130" i="6"/>
  <c r="W130" i="6"/>
  <c r="X130" i="6"/>
  <c r="S130" i="6"/>
  <c r="V130" i="6"/>
  <c r="U130" i="6"/>
  <c r="T130" i="6"/>
  <c r="Q130" i="6"/>
  <c r="P130" i="6"/>
  <c r="R130" i="6"/>
  <c r="O130" i="6"/>
  <c r="M130" i="6"/>
  <c r="L130" i="6"/>
  <c r="Y124" i="6"/>
  <c r="Z124" i="6"/>
  <c r="X124" i="6"/>
  <c r="W124" i="6"/>
  <c r="V124" i="6"/>
  <c r="S124" i="6"/>
  <c r="U124" i="6"/>
  <c r="T124" i="6"/>
  <c r="Q124" i="6"/>
  <c r="P124" i="6"/>
  <c r="R124" i="6"/>
  <c r="O124" i="6"/>
  <c r="L124" i="6"/>
  <c r="M124" i="6"/>
  <c r="Y118" i="6"/>
  <c r="Z118" i="6"/>
  <c r="X118" i="6"/>
  <c r="W118" i="6"/>
  <c r="S118" i="6"/>
  <c r="U118" i="6"/>
  <c r="V118" i="6"/>
  <c r="T118" i="6"/>
  <c r="Q118" i="6"/>
  <c r="P118" i="6"/>
  <c r="R118" i="6"/>
  <c r="O118" i="6"/>
  <c r="M118" i="6"/>
  <c r="L118" i="6"/>
  <c r="Y112" i="6"/>
  <c r="Z112" i="6"/>
  <c r="W112" i="6"/>
  <c r="X112" i="6"/>
  <c r="S112" i="6"/>
  <c r="V112" i="6"/>
  <c r="U112" i="6"/>
  <c r="T112" i="6"/>
  <c r="Q112" i="6"/>
  <c r="P112" i="6"/>
  <c r="R112" i="6"/>
  <c r="O112" i="6"/>
  <c r="L112" i="6"/>
  <c r="M112" i="6"/>
  <c r="Y109" i="6"/>
  <c r="Z109" i="6"/>
  <c r="X109" i="6"/>
  <c r="W109" i="6"/>
  <c r="S109" i="6"/>
  <c r="U109" i="6"/>
  <c r="V109" i="6"/>
  <c r="T109" i="6"/>
  <c r="Q109" i="6"/>
  <c r="P109" i="6"/>
  <c r="R109" i="6"/>
  <c r="O109" i="6"/>
  <c r="M109" i="6"/>
  <c r="L109" i="6"/>
  <c r="Y106" i="6"/>
  <c r="Z106" i="6"/>
  <c r="X106" i="6"/>
  <c r="W106" i="6"/>
  <c r="V106" i="6"/>
  <c r="S106" i="6"/>
  <c r="U106" i="6"/>
  <c r="T106" i="6"/>
  <c r="Q106" i="6"/>
  <c r="P106" i="6"/>
  <c r="R106" i="6"/>
  <c r="O106" i="6"/>
  <c r="M106" i="6"/>
  <c r="L106" i="6"/>
  <c r="Z103" i="6"/>
  <c r="Y103" i="6"/>
  <c r="W103" i="6"/>
  <c r="X103" i="6"/>
  <c r="S103" i="6"/>
  <c r="V103" i="6"/>
  <c r="U103" i="6"/>
  <c r="T103" i="6"/>
  <c r="Q103" i="6"/>
  <c r="P103" i="6"/>
  <c r="R103" i="6"/>
  <c r="O103" i="6"/>
  <c r="M103" i="6"/>
  <c r="L103" i="6"/>
  <c r="Z100" i="6"/>
  <c r="Y100" i="6"/>
  <c r="X100" i="6"/>
  <c r="W100" i="6"/>
  <c r="S100" i="6"/>
  <c r="U100" i="6"/>
  <c r="V100" i="6"/>
  <c r="T100" i="6"/>
  <c r="Q100" i="6"/>
  <c r="P100" i="6"/>
  <c r="R100" i="6"/>
  <c r="O100" i="6"/>
  <c r="M100" i="6"/>
  <c r="L100" i="6"/>
  <c r="Z97" i="6"/>
  <c r="Y97" i="6"/>
  <c r="X97" i="6"/>
  <c r="W97" i="6"/>
  <c r="V97" i="6"/>
  <c r="S97" i="6"/>
  <c r="U97" i="6"/>
  <c r="T97" i="6"/>
  <c r="Q97" i="6"/>
  <c r="P97" i="6"/>
  <c r="R97" i="6"/>
  <c r="O97" i="6"/>
  <c r="M97" i="6"/>
  <c r="L97" i="6"/>
  <c r="Z94" i="6"/>
  <c r="Y94" i="6"/>
  <c r="W94" i="6"/>
  <c r="X94" i="6"/>
  <c r="S94" i="6"/>
  <c r="V94" i="6"/>
  <c r="U94" i="6"/>
  <c r="T94" i="6"/>
  <c r="Q94" i="6"/>
  <c r="P94" i="6"/>
  <c r="R94" i="6"/>
  <c r="O94" i="6"/>
  <c r="M94" i="6"/>
  <c r="L94" i="6"/>
  <c r="AY131" i="6"/>
  <c r="AX131" i="6"/>
  <c r="AW131" i="6"/>
  <c r="AU131" i="6"/>
  <c r="AS131" i="6"/>
  <c r="AR131" i="6"/>
  <c r="AQ131" i="6"/>
  <c r="AP131" i="6"/>
  <c r="AO131" i="6"/>
  <c r="AN131" i="6"/>
  <c r="AV131" i="6"/>
  <c r="AT131" i="6"/>
  <c r="AM131" i="6"/>
  <c r="AK131" i="6"/>
  <c r="AL131" i="6"/>
  <c r="AY128" i="6"/>
  <c r="AX128" i="6"/>
  <c r="AW128" i="6"/>
  <c r="AT128" i="6"/>
  <c r="AV128" i="6"/>
  <c r="AS128" i="6"/>
  <c r="AR128" i="6"/>
  <c r="AQ128" i="6"/>
  <c r="AP128" i="6"/>
  <c r="AO128" i="6"/>
  <c r="AN128" i="6"/>
  <c r="AU128" i="6"/>
  <c r="AM128" i="6"/>
  <c r="AK128" i="6"/>
  <c r="AL128" i="6"/>
  <c r="AY125" i="6"/>
  <c r="AX125" i="6"/>
  <c r="AW125" i="6"/>
  <c r="AV125" i="6"/>
  <c r="AU125" i="6"/>
  <c r="AT125" i="6"/>
  <c r="AS125" i="6"/>
  <c r="AR125" i="6"/>
  <c r="AQ125" i="6"/>
  <c r="AP125" i="6"/>
  <c r="AO125" i="6"/>
  <c r="AN125" i="6"/>
  <c r="AM125" i="6"/>
  <c r="AK125" i="6"/>
  <c r="AL125" i="6"/>
  <c r="AY122" i="6"/>
  <c r="AX122" i="6"/>
  <c r="AW122" i="6"/>
  <c r="AU122" i="6"/>
  <c r="AS122" i="6"/>
  <c r="AR122" i="6"/>
  <c r="AQ122" i="6"/>
  <c r="AP122" i="6"/>
  <c r="AO122" i="6"/>
  <c r="AN122" i="6"/>
  <c r="AV122" i="6"/>
  <c r="AT122" i="6"/>
  <c r="AM122" i="6"/>
  <c r="AK122" i="6"/>
  <c r="AL122" i="6"/>
  <c r="AY119" i="6"/>
  <c r="AX119" i="6"/>
  <c r="AW119" i="6"/>
  <c r="AT119" i="6"/>
  <c r="AV119" i="6"/>
  <c r="AS119" i="6"/>
  <c r="AR119" i="6"/>
  <c r="AQ119" i="6"/>
  <c r="AP119" i="6"/>
  <c r="AO119" i="6"/>
  <c r="AN119" i="6"/>
  <c r="AU119" i="6"/>
  <c r="AM119" i="6"/>
  <c r="AK119" i="6"/>
  <c r="AL119" i="6"/>
  <c r="AY116" i="6"/>
  <c r="AX116" i="6"/>
  <c r="AW116" i="6"/>
  <c r="AV116" i="6"/>
  <c r="AU116" i="6"/>
  <c r="AT116" i="6"/>
  <c r="AS116" i="6"/>
  <c r="AR116" i="6"/>
  <c r="AQ116" i="6"/>
  <c r="AP116" i="6"/>
  <c r="AO116" i="6"/>
  <c r="AN116" i="6"/>
  <c r="AM116" i="6"/>
  <c r="AK116" i="6"/>
  <c r="AL116" i="6"/>
  <c r="AY113" i="6"/>
  <c r="AX113" i="6"/>
  <c r="AW113" i="6"/>
  <c r="AU113" i="6"/>
  <c r="AS113" i="6"/>
  <c r="AR113" i="6"/>
  <c r="AQ113" i="6"/>
  <c r="AP113" i="6"/>
  <c r="AO113" i="6"/>
  <c r="AN113" i="6"/>
  <c r="AV113" i="6"/>
  <c r="AT113" i="6"/>
  <c r="AM113" i="6"/>
  <c r="AK113" i="6"/>
  <c r="AL113" i="6"/>
  <c r="AY110" i="6"/>
  <c r="AX110" i="6"/>
  <c r="AW110" i="6"/>
  <c r="AT110" i="6"/>
  <c r="AV110" i="6"/>
  <c r="AS110" i="6"/>
  <c r="AR110" i="6"/>
  <c r="AQ110" i="6"/>
  <c r="AP110" i="6"/>
  <c r="AO110" i="6"/>
  <c r="AN110" i="6"/>
  <c r="AU110" i="6"/>
  <c r="AM110" i="6"/>
  <c r="AK110" i="6"/>
  <c r="AL110" i="6"/>
  <c r="AY107" i="6"/>
  <c r="AX107" i="6"/>
  <c r="AW107" i="6"/>
  <c r="AV107" i="6"/>
  <c r="AU107" i="6"/>
  <c r="AT107" i="6"/>
  <c r="AS107" i="6"/>
  <c r="AR107" i="6"/>
  <c r="AQ107" i="6"/>
  <c r="AP107" i="6"/>
  <c r="AO107" i="6"/>
  <c r="AN107" i="6"/>
  <c r="AM107" i="6"/>
  <c r="AK107" i="6"/>
  <c r="AL107" i="6"/>
  <c r="AY104" i="6"/>
  <c r="AX104" i="6"/>
  <c r="AW104" i="6"/>
  <c r="AU104" i="6"/>
  <c r="AS104" i="6"/>
  <c r="AR104" i="6"/>
  <c r="AQ104" i="6"/>
  <c r="AP104" i="6"/>
  <c r="AO104" i="6"/>
  <c r="AN104" i="6"/>
  <c r="AV104" i="6"/>
  <c r="AT104" i="6"/>
  <c r="AM104" i="6"/>
  <c r="AK104" i="6"/>
  <c r="AL104" i="6"/>
  <c r="AY101" i="6"/>
  <c r="AX101" i="6"/>
  <c r="AW101" i="6"/>
  <c r="AT101" i="6"/>
  <c r="AV101" i="6"/>
  <c r="AS101" i="6"/>
  <c r="AR101" i="6"/>
  <c r="AQ101" i="6"/>
  <c r="AP101" i="6"/>
  <c r="AO101" i="6"/>
  <c r="AN101" i="6"/>
  <c r="AU101" i="6"/>
  <c r="AM101" i="6"/>
  <c r="AK101" i="6"/>
  <c r="AL101" i="6"/>
  <c r="AY98" i="6"/>
  <c r="AX98" i="6"/>
  <c r="AW98" i="6"/>
  <c r="AV98" i="6"/>
  <c r="AU98" i="6"/>
  <c r="AT98" i="6"/>
  <c r="AS98" i="6"/>
  <c r="AR98" i="6"/>
  <c r="AQ98" i="6"/>
  <c r="AP98" i="6"/>
  <c r="AO98" i="6"/>
  <c r="AN98" i="6"/>
  <c r="AM98" i="6"/>
  <c r="AK98" i="6"/>
  <c r="AL98" i="6"/>
  <c r="AY95" i="6"/>
  <c r="AX95" i="6"/>
  <c r="AW95" i="6"/>
  <c r="AU95" i="6"/>
  <c r="AS95" i="6"/>
  <c r="AR95" i="6"/>
  <c r="AQ95" i="6"/>
  <c r="AP95" i="6"/>
  <c r="AO95" i="6"/>
  <c r="AN95" i="6"/>
  <c r="AV95" i="6"/>
  <c r="AT95" i="6"/>
  <c r="AM95" i="6"/>
  <c r="AK95" i="6"/>
  <c r="AL95" i="6"/>
  <c r="AY92" i="6"/>
  <c r="AX92" i="6"/>
  <c r="AW92" i="6"/>
  <c r="AT92" i="6"/>
  <c r="AV92" i="6"/>
  <c r="AS92" i="6"/>
  <c r="AR92" i="6"/>
  <c r="AQ92" i="6"/>
  <c r="AP92" i="6"/>
  <c r="AO92" i="6"/>
  <c r="AN92" i="6"/>
  <c r="AU92" i="6"/>
  <c r="AM92" i="6"/>
  <c r="AK92" i="6"/>
  <c r="AL92" i="6"/>
  <c r="BI125" i="6"/>
  <c r="BJ125" i="6" s="1"/>
  <c r="BK125" i="6" s="1"/>
  <c r="BI116" i="6"/>
  <c r="BJ116" i="6" s="1"/>
  <c r="BK116" i="6" s="1"/>
  <c r="BI110" i="6"/>
  <c r="BJ110" i="6" s="1"/>
  <c r="BK110" i="6" s="1"/>
  <c r="BI101" i="6"/>
  <c r="BJ101" i="6" s="1"/>
  <c r="BK101" i="6" s="1"/>
  <c r="BI129" i="6"/>
  <c r="BJ129" i="6" s="1"/>
  <c r="BK129" i="6" s="1"/>
  <c r="BI126" i="6"/>
  <c r="BJ126" i="6" s="1"/>
  <c r="BK126" i="6" s="1"/>
  <c r="BI123" i="6"/>
  <c r="BJ123" i="6" s="1"/>
  <c r="BK123" i="6" s="1"/>
  <c r="BI120" i="6"/>
  <c r="BJ120" i="6" s="1"/>
  <c r="BK120" i="6" s="1"/>
  <c r="BI117" i="6"/>
  <c r="BJ117" i="6" s="1"/>
  <c r="BK117" i="6" s="1"/>
  <c r="BI114" i="6"/>
  <c r="BJ114" i="6" s="1"/>
  <c r="BK114" i="6" s="1"/>
  <c r="BI111" i="6"/>
  <c r="BJ111" i="6" s="1"/>
  <c r="BK111" i="6" s="1"/>
  <c r="BI108" i="6"/>
  <c r="BJ108" i="6" s="1"/>
  <c r="BK108" i="6" s="1"/>
  <c r="BI105" i="6"/>
  <c r="BJ105" i="6" s="1"/>
  <c r="BK105" i="6" s="1"/>
  <c r="BI99" i="6"/>
  <c r="BJ99" i="6" s="1"/>
  <c r="BK99" i="6" s="1"/>
  <c r="BI93" i="6"/>
  <c r="BJ93" i="6" s="1"/>
  <c r="BK93" i="6" s="1"/>
  <c r="BI119" i="6"/>
  <c r="BJ119" i="6" s="1"/>
  <c r="BK119" i="6" s="1"/>
  <c r="BI107" i="6"/>
  <c r="BJ107" i="6" s="1"/>
  <c r="BK107" i="6" s="1"/>
  <c r="BI98" i="6"/>
  <c r="BJ98" i="6" s="1"/>
  <c r="BK98" i="6" s="1"/>
  <c r="BI95" i="6"/>
  <c r="BJ95" i="6" s="1"/>
  <c r="BK95" i="6" s="1"/>
  <c r="BI128" i="6"/>
  <c r="BJ128" i="6" s="1"/>
  <c r="BK128" i="6" s="1"/>
  <c r="BI113" i="6"/>
  <c r="BJ113" i="6" s="1"/>
  <c r="BK113" i="6" s="1"/>
  <c r="BI104" i="6"/>
  <c r="BJ104" i="6" s="1"/>
  <c r="BK104" i="6" s="1"/>
  <c r="BI92" i="6"/>
  <c r="BJ92" i="6" s="1"/>
  <c r="BK92" i="6" s="1"/>
  <c r="BI130" i="6"/>
  <c r="BJ130" i="6" s="1"/>
  <c r="BK130" i="6" s="1"/>
  <c r="BI127" i="6"/>
  <c r="BJ127" i="6" s="1"/>
  <c r="BK127" i="6" s="1"/>
  <c r="BI124" i="6"/>
  <c r="BJ124" i="6" s="1"/>
  <c r="BK124" i="6" s="1"/>
  <c r="BI121" i="6"/>
  <c r="BJ121" i="6" s="1"/>
  <c r="BK121" i="6" s="1"/>
  <c r="BI112" i="6"/>
  <c r="BJ112" i="6" s="1"/>
  <c r="BK112" i="6" s="1"/>
  <c r="BI109" i="6"/>
  <c r="BJ109" i="6" s="1"/>
  <c r="BK109" i="6" s="1"/>
  <c r="BI106" i="6"/>
  <c r="BJ106" i="6" s="1"/>
  <c r="BK106" i="6" s="1"/>
  <c r="BI103" i="6"/>
  <c r="BJ103" i="6" s="1"/>
  <c r="BK103" i="6" s="1"/>
  <c r="BI100" i="6"/>
  <c r="BJ100" i="6" s="1"/>
  <c r="BK100" i="6" s="1"/>
  <c r="BI97" i="6"/>
  <c r="BJ97" i="6" s="1"/>
  <c r="BK97" i="6" s="1"/>
  <c r="BI94" i="6"/>
  <c r="BJ94" i="6" s="1"/>
  <c r="BK94" i="6" s="1"/>
  <c r="BI131" i="6"/>
  <c r="BJ131" i="6" s="1"/>
  <c r="BK131" i="6" s="1"/>
  <c r="BI122" i="6"/>
  <c r="BJ122" i="6" s="1"/>
  <c r="BK122" i="6" s="1"/>
  <c r="BI118" i="6"/>
  <c r="BJ118" i="6" s="1"/>
  <c r="BK118" i="6" s="1"/>
  <c r="BI115" i="6"/>
  <c r="BJ115" i="6" s="1"/>
  <c r="BK115" i="6" s="1"/>
  <c r="BI102" i="6"/>
  <c r="BJ102" i="6" s="1"/>
  <c r="BK102" i="6" s="1"/>
  <c r="BI96" i="6"/>
  <c r="BJ96" i="6" s="1"/>
  <c r="BK96" i="6" s="1"/>
  <c r="BP125" i="6"/>
  <c r="BQ125" i="6" s="1"/>
  <c r="BR125" i="6" s="1"/>
  <c r="BP119" i="6"/>
  <c r="BQ119" i="6" s="1"/>
  <c r="BR119" i="6" s="1"/>
  <c r="BP113" i="6"/>
  <c r="BQ113" i="6" s="1"/>
  <c r="BR113" i="6" s="1"/>
  <c r="BP107" i="6"/>
  <c r="BQ107" i="6" s="1"/>
  <c r="BR107" i="6" s="1"/>
  <c r="BP101" i="6"/>
  <c r="BQ101" i="6" s="1"/>
  <c r="BR101" i="6" s="1"/>
  <c r="BP98" i="6"/>
  <c r="BQ98" i="6" s="1"/>
  <c r="BR98" i="6" s="1"/>
  <c r="BP92" i="6"/>
  <c r="BQ92" i="6" s="1"/>
  <c r="BR92" i="6" s="1"/>
  <c r="BP130" i="6"/>
  <c r="BQ130" i="6" s="1"/>
  <c r="BR130" i="6" s="1"/>
  <c r="BP127" i="6"/>
  <c r="BQ127" i="6" s="1"/>
  <c r="BR127" i="6" s="1"/>
  <c r="BP124" i="6"/>
  <c r="BQ124" i="6" s="1"/>
  <c r="BR124" i="6" s="1"/>
  <c r="BP121" i="6"/>
  <c r="BQ121" i="6" s="1"/>
  <c r="BR121" i="6" s="1"/>
  <c r="BP118" i="6"/>
  <c r="BQ118" i="6" s="1"/>
  <c r="BR118" i="6" s="1"/>
  <c r="BP115" i="6"/>
  <c r="BQ115" i="6" s="1"/>
  <c r="BR115" i="6" s="1"/>
  <c r="BP112" i="6"/>
  <c r="BQ112" i="6" s="1"/>
  <c r="BR112" i="6" s="1"/>
  <c r="BP109" i="6"/>
  <c r="BQ109" i="6" s="1"/>
  <c r="BR109" i="6" s="1"/>
  <c r="BP106" i="6"/>
  <c r="BQ106" i="6" s="1"/>
  <c r="BR106" i="6" s="1"/>
  <c r="BP103" i="6"/>
  <c r="BQ103" i="6" s="1"/>
  <c r="BR103" i="6" s="1"/>
  <c r="BP100" i="6"/>
  <c r="BQ100" i="6" s="1"/>
  <c r="BR100" i="6" s="1"/>
  <c r="BP97" i="6"/>
  <c r="BQ97" i="6" s="1"/>
  <c r="BR97" i="6" s="1"/>
  <c r="BP94" i="6"/>
  <c r="BQ94" i="6" s="1"/>
  <c r="BR94" i="6" s="1"/>
  <c r="BP131" i="6"/>
  <c r="BQ131" i="6" s="1"/>
  <c r="BR131" i="6" s="1"/>
  <c r="BP128" i="6"/>
  <c r="BQ128" i="6" s="1"/>
  <c r="BR128" i="6" s="1"/>
  <c r="BP122" i="6"/>
  <c r="BQ122" i="6" s="1"/>
  <c r="BR122" i="6" s="1"/>
  <c r="BP116" i="6"/>
  <c r="BQ116" i="6" s="1"/>
  <c r="BR116" i="6" s="1"/>
  <c r="BP110" i="6"/>
  <c r="BQ110" i="6" s="1"/>
  <c r="BR110" i="6" s="1"/>
  <c r="BP104" i="6"/>
  <c r="BQ104" i="6" s="1"/>
  <c r="BR104" i="6" s="1"/>
  <c r="BP95" i="6"/>
  <c r="BQ95" i="6" s="1"/>
  <c r="BR95" i="6" s="1"/>
  <c r="BP129" i="6"/>
  <c r="BQ129" i="6" s="1"/>
  <c r="BR129" i="6" s="1"/>
  <c r="BP126" i="6"/>
  <c r="BQ126" i="6" s="1"/>
  <c r="BR126" i="6" s="1"/>
  <c r="BP123" i="6"/>
  <c r="BQ123" i="6" s="1"/>
  <c r="BR123" i="6" s="1"/>
  <c r="BP120" i="6"/>
  <c r="BQ120" i="6" s="1"/>
  <c r="BR120" i="6" s="1"/>
  <c r="BP117" i="6"/>
  <c r="BQ117" i="6" s="1"/>
  <c r="BR117" i="6" s="1"/>
  <c r="BP114" i="6"/>
  <c r="BQ114" i="6" s="1"/>
  <c r="BR114" i="6" s="1"/>
  <c r="BP111" i="6"/>
  <c r="BQ111" i="6" s="1"/>
  <c r="BR111" i="6" s="1"/>
  <c r="BP108" i="6"/>
  <c r="BQ108" i="6" s="1"/>
  <c r="BR108" i="6" s="1"/>
  <c r="BP105" i="6"/>
  <c r="BQ105" i="6" s="1"/>
  <c r="BR105" i="6" s="1"/>
  <c r="BP102" i="6"/>
  <c r="BQ102" i="6" s="1"/>
  <c r="BR102" i="6" s="1"/>
  <c r="BP99" i="6"/>
  <c r="BQ99" i="6" s="1"/>
  <c r="BR99" i="6" s="1"/>
  <c r="BP96" i="6"/>
  <c r="BQ96" i="6" s="1"/>
  <c r="BR96" i="6" s="1"/>
  <c r="BP93" i="6"/>
  <c r="BQ93" i="6" s="1"/>
  <c r="BR93" i="6" s="1"/>
  <c r="BL135" i="6"/>
  <c r="BL141" i="6"/>
  <c r="BL136" i="6"/>
  <c r="BL142" i="6"/>
  <c r="E1" i="2"/>
  <c r="D132" i="2"/>
  <c r="F132" i="2"/>
  <c r="D133" i="2"/>
  <c r="F133" i="2"/>
  <c r="D134" i="2"/>
  <c r="F134" i="2"/>
  <c r="D135" i="2"/>
  <c r="F135" i="2"/>
  <c r="D136" i="2"/>
  <c r="F136" i="2"/>
  <c r="D137" i="2"/>
  <c r="F137" i="2"/>
  <c r="D138" i="2"/>
  <c r="F138" i="2"/>
  <c r="D139" i="2"/>
  <c r="F139" i="2"/>
  <c r="D140" i="2"/>
  <c r="F140" i="2"/>
  <c r="D141" i="2"/>
  <c r="F141" i="2"/>
  <c r="D142" i="2"/>
  <c r="F142" i="2"/>
  <c r="D143" i="2"/>
  <c r="F143" i="2"/>
  <c r="D144" i="2"/>
  <c r="F144" i="2"/>
  <c r="D145" i="2"/>
  <c r="F145" i="2"/>
  <c r="D146" i="2"/>
  <c r="F146" i="2"/>
  <c r="D147" i="2"/>
  <c r="F147" i="2"/>
  <c r="D148" i="2"/>
  <c r="F148" i="2"/>
  <c r="D149" i="2"/>
  <c r="F149" i="2"/>
  <c r="D150" i="2"/>
  <c r="F150" i="2"/>
  <c r="D151" i="2"/>
  <c r="F151" i="2"/>
  <c r="F122" i="2"/>
  <c r="F123" i="2"/>
  <c r="F124" i="2"/>
  <c r="F125" i="2"/>
  <c r="F126" i="2"/>
  <c r="F127" i="2"/>
  <c r="F128" i="2"/>
  <c r="F129" i="2"/>
  <c r="F130" i="2"/>
  <c r="F131" i="2"/>
  <c r="F103" i="2"/>
  <c r="F104" i="2"/>
  <c r="F105" i="2"/>
  <c r="F106" i="2"/>
  <c r="F107" i="2"/>
  <c r="F108" i="2"/>
  <c r="F109" i="2"/>
  <c r="F110" i="2"/>
  <c r="F111" i="2"/>
  <c r="F112" i="2"/>
  <c r="F113" i="2"/>
  <c r="F114" i="2"/>
  <c r="F115" i="2"/>
  <c r="F116" i="2"/>
  <c r="F117" i="2"/>
  <c r="F118" i="2"/>
  <c r="F119" i="2"/>
  <c r="F120" i="2"/>
  <c r="F121"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BD130" i="6" l="1"/>
  <c r="BT130" i="6" s="1"/>
  <c r="BU130" i="6" s="1"/>
  <c r="BD118" i="6"/>
  <c r="BT118" i="6" s="1"/>
  <c r="BU118" i="6" s="1"/>
  <c r="AE129" i="6"/>
  <c r="AF129" i="6" s="1"/>
  <c r="AE126" i="6"/>
  <c r="AF126" i="6" s="1"/>
  <c r="BD109" i="6"/>
  <c r="BT109" i="6" s="1"/>
  <c r="BU109" i="6" s="1"/>
  <c r="BD121" i="6"/>
  <c r="BT121" i="6" s="1"/>
  <c r="BU121" i="6" s="1"/>
  <c r="BD100" i="6"/>
  <c r="BT100" i="6" s="1"/>
  <c r="BU100" i="6" s="1"/>
  <c r="BD113" i="6"/>
  <c r="BT113" i="6" s="1"/>
  <c r="BU113" i="6" s="1"/>
  <c r="BD94" i="6"/>
  <c r="BT94" i="6" s="1"/>
  <c r="BU94" i="6" s="1"/>
  <c r="BD97" i="6"/>
  <c r="BT97" i="6" s="1"/>
  <c r="BU97" i="6" s="1"/>
  <c r="BD96" i="6"/>
  <c r="BT96" i="6" s="1"/>
  <c r="BU96" i="6" s="1"/>
  <c r="BD117" i="6"/>
  <c r="BT117" i="6" s="1"/>
  <c r="BU117" i="6" s="1"/>
  <c r="BD105" i="6"/>
  <c r="BT105" i="6" s="1"/>
  <c r="BU105" i="6" s="1"/>
  <c r="BD93" i="6"/>
  <c r="BT93" i="6" s="1"/>
  <c r="BU93" i="6" s="1"/>
  <c r="BD110" i="6"/>
  <c r="BT110" i="6" s="1"/>
  <c r="BU110" i="6" s="1"/>
  <c r="BD104" i="6"/>
  <c r="BT104" i="6" s="1"/>
  <c r="BU104" i="6" s="1"/>
  <c r="BD115" i="6"/>
  <c r="BT115" i="6" s="1"/>
  <c r="BU115" i="6" s="1"/>
  <c r="BD99" i="6"/>
  <c r="BT99" i="6" s="1"/>
  <c r="BU99" i="6" s="1"/>
  <c r="BD103" i="6"/>
  <c r="BT103" i="6" s="1"/>
  <c r="BU103" i="6" s="1"/>
  <c r="BD112" i="6"/>
  <c r="BT112" i="6" s="1"/>
  <c r="BU112" i="6" s="1"/>
  <c r="BD107" i="6"/>
  <c r="BT107" i="6" s="1"/>
  <c r="BU107" i="6" s="1"/>
  <c r="BD126" i="6"/>
  <c r="BT126" i="6" s="1"/>
  <c r="BU126" i="6" s="1"/>
  <c r="BD129" i="6"/>
  <c r="BT129" i="6" s="1"/>
  <c r="BU129" i="6" s="1"/>
  <c r="BD122" i="6"/>
  <c r="BT122" i="6" s="1"/>
  <c r="BU122" i="6" s="1"/>
  <c r="BD127" i="6"/>
  <c r="BT127" i="6" s="1"/>
  <c r="BU127" i="6" s="1"/>
  <c r="BD114" i="6"/>
  <c r="BT114" i="6" s="1"/>
  <c r="BU114" i="6" s="1"/>
  <c r="BD124" i="6"/>
  <c r="BT124" i="6" s="1"/>
  <c r="BU124" i="6" s="1"/>
  <c r="BD125" i="6"/>
  <c r="BT125" i="6" s="1"/>
  <c r="BU125" i="6" s="1"/>
  <c r="BD106" i="6"/>
  <c r="BT106" i="6" s="1"/>
  <c r="BU106" i="6" s="1"/>
  <c r="BD92" i="6"/>
  <c r="BD95" i="6"/>
  <c r="BT95" i="6" s="1"/>
  <c r="BU95" i="6" s="1"/>
  <c r="BD123" i="6"/>
  <c r="BT123" i="6" s="1"/>
  <c r="BU123" i="6" s="1"/>
  <c r="BD116" i="6"/>
  <c r="BT116" i="6" s="1"/>
  <c r="BU116" i="6" s="1"/>
  <c r="BD111" i="6"/>
  <c r="BT111" i="6" s="1"/>
  <c r="BU111" i="6" s="1"/>
  <c r="BD108" i="6"/>
  <c r="BT108" i="6" s="1"/>
  <c r="BU108" i="6" s="1"/>
  <c r="BD101" i="6"/>
  <c r="BT101" i="6" s="1"/>
  <c r="BU101" i="6" s="1"/>
  <c r="BD98" i="6"/>
  <c r="BT98" i="6" s="1"/>
  <c r="BU98" i="6" s="1"/>
  <c r="BD131" i="6"/>
  <c r="BT131" i="6" s="1"/>
  <c r="BU131" i="6" s="1"/>
  <c r="BD102" i="6"/>
  <c r="BT102" i="6" s="1"/>
  <c r="BU102" i="6" s="1"/>
  <c r="BD119" i="6"/>
  <c r="BT119" i="6" s="1"/>
  <c r="BU119" i="6" s="1"/>
  <c r="BD128" i="6"/>
  <c r="BT128" i="6" s="1"/>
  <c r="BU128" i="6" s="1"/>
  <c r="BD120" i="6"/>
  <c r="BT120" i="6" s="1"/>
  <c r="BU120" i="6" s="1"/>
  <c r="AE113" i="6"/>
  <c r="AF113" i="6" s="1"/>
  <c r="AE117" i="6"/>
  <c r="AF117" i="6" s="1"/>
  <c r="AE120" i="6"/>
  <c r="AF120" i="6" s="1"/>
  <c r="AE111" i="6"/>
  <c r="AF111" i="6" s="1"/>
  <c r="AE100" i="6"/>
  <c r="AF100" i="6" s="1"/>
  <c r="AE96" i="6"/>
  <c r="AF96" i="6" s="1"/>
  <c r="AE104" i="6"/>
  <c r="AF104" i="6" s="1"/>
  <c r="AE108" i="6"/>
  <c r="AF108" i="6" s="1"/>
  <c r="AE122" i="6"/>
  <c r="AF122" i="6" s="1"/>
  <c r="AE121" i="6"/>
  <c r="AF121" i="6" s="1"/>
  <c r="AE109" i="6"/>
  <c r="AF109" i="6" s="1"/>
  <c r="AE130" i="6"/>
  <c r="AF130" i="6" s="1"/>
  <c r="AE105" i="6"/>
  <c r="AF105" i="6" s="1"/>
  <c r="AE92" i="6"/>
  <c r="AF92" i="6" s="1"/>
  <c r="AE116" i="6"/>
  <c r="AF116" i="6" s="1"/>
  <c r="AE114" i="6"/>
  <c r="AF114" i="6" s="1"/>
  <c r="AE119" i="6"/>
  <c r="AF119" i="6" s="1"/>
  <c r="AE118" i="6"/>
  <c r="AF118" i="6" s="1"/>
  <c r="AE98" i="6"/>
  <c r="AF98" i="6" s="1"/>
  <c r="AE128" i="6"/>
  <c r="AF128" i="6" s="1"/>
  <c r="AE110" i="6"/>
  <c r="AF110" i="6" s="1"/>
  <c r="AE97" i="6"/>
  <c r="AF97" i="6" s="1"/>
  <c r="AE106" i="6"/>
  <c r="AF106" i="6" s="1"/>
  <c r="AE127" i="6"/>
  <c r="AF127" i="6" s="1"/>
  <c r="AE94" i="6"/>
  <c r="AF94" i="6" s="1"/>
  <c r="AE103" i="6"/>
  <c r="AF103" i="6" s="1"/>
  <c r="AE112" i="6"/>
  <c r="AF112" i="6" s="1"/>
  <c r="AE123" i="6"/>
  <c r="AF123" i="6" s="1"/>
  <c r="AE99" i="6"/>
  <c r="AF99" i="6" s="1"/>
  <c r="AE101" i="6"/>
  <c r="AF101" i="6" s="1"/>
  <c r="AE93" i="6"/>
  <c r="AF93" i="6" s="1"/>
  <c r="AE102" i="6"/>
  <c r="AF102" i="6" s="1"/>
  <c r="AE125" i="6"/>
  <c r="AF125" i="6" s="1"/>
  <c r="AE131" i="6"/>
  <c r="AF131" i="6" s="1"/>
  <c r="AE95" i="6"/>
  <c r="AF95" i="6" s="1"/>
  <c r="AE107" i="6"/>
  <c r="AF107" i="6" s="1"/>
  <c r="AE115" i="6"/>
  <c r="AF115" i="6" s="1"/>
  <c r="AE124" i="6"/>
  <c r="AF124" i="6" s="1"/>
  <c r="AH91" i="6"/>
  <c r="BC91" i="6" s="1"/>
  <c r="I91" i="6"/>
  <c r="AH90" i="6"/>
  <c r="BC90" i="6" s="1"/>
  <c r="I90" i="6"/>
  <c r="AH89" i="6"/>
  <c r="BC89" i="6" s="1"/>
  <c r="I89" i="6"/>
  <c r="AH88" i="6"/>
  <c r="BC88" i="6" s="1"/>
  <c r="I88" i="6"/>
  <c r="AH87" i="6"/>
  <c r="BC87" i="6" s="1"/>
  <c r="I87" i="6"/>
  <c r="AH86" i="6"/>
  <c r="BC86" i="6" s="1"/>
  <c r="I86" i="6"/>
  <c r="AH85" i="6"/>
  <c r="BC85" i="6" s="1"/>
  <c r="I85" i="6"/>
  <c r="AH84" i="6"/>
  <c r="BC84" i="6" s="1"/>
  <c r="I84" i="6"/>
  <c r="AH83" i="6"/>
  <c r="BC83" i="6" s="1"/>
  <c r="I83" i="6"/>
  <c r="AH82" i="6"/>
  <c r="BC82" i="6" s="1"/>
  <c r="I82" i="6"/>
  <c r="AH81" i="6"/>
  <c r="BC81" i="6" s="1"/>
  <c r="I81" i="6"/>
  <c r="AH80" i="6"/>
  <c r="BC80" i="6" s="1"/>
  <c r="I80" i="6"/>
  <c r="AH79" i="6"/>
  <c r="BC79" i="6" s="1"/>
  <c r="I79" i="6"/>
  <c r="AH78" i="6"/>
  <c r="BC78" i="6" s="1"/>
  <c r="I78" i="6"/>
  <c r="AH77" i="6"/>
  <c r="BC77" i="6" s="1"/>
  <c r="I77" i="6"/>
  <c r="AH76" i="6"/>
  <c r="BC76" i="6" s="1"/>
  <c r="I76" i="6"/>
  <c r="AH75" i="6"/>
  <c r="BC75" i="6" s="1"/>
  <c r="I75" i="6"/>
  <c r="AH74" i="6"/>
  <c r="BC74" i="6" s="1"/>
  <c r="I74" i="6"/>
  <c r="AH73" i="6"/>
  <c r="BC73" i="6" s="1"/>
  <c r="I73" i="6"/>
  <c r="AH72" i="6"/>
  <c r="BC72" i="6" s="1"/>
  <c r="I72" i="6"/>
  <c r="AH71" i="6"/>
  <c r="BC71" i="6" s="1"/>
  <c r="I71" i="6"/>
  <c r="AH70" i="6"/>
  <c r="BC70" i="6" s="1"/>
  <c r="I70" i="6"/>
  <c r="AH69" i="6"/>
  <c r="BC69" i="6" s="1"/>
  <c r="I69" i="6"/>
  <c r="AH68" i="6"/>
  <c r="BC68" i="6" s="1"/>
  <c r="I68" i="6"/>
  <c r="AH67" i="6"/>
  <c r="BC67" i="6" s="1"/>
  <c r="I67" i="6"/>
  <c r="AH66" i="6"/>
  <c r="BC66" i="6" s="1"/>
  <c r="I66" i="6"/>
  <c r="AH65" i="6"/>
  <c r="BC65" i="6" s="1"/>
  <c r="I65" i="6"/>
  <c r="AH64" i="6"/>
  <c r="BC64" i="6" s="1"/>
  <c r="I64" i="6"/>
  <c r="AH63" i="6"/>
  <c r="BC63" i="6" s="1"/>
  <c r="I63" i="6"/>
  <c r="AH62" i="6"/>
  <c r="BC62" i="6" s="1"/>
  <c r="I62" i="6"/>
  <c r="AH61" i="6"/>
  <c r="BC61" i="6" s="1"/>
  <c r="I61" i="6"/>
  <c r="AH60" i="6"/>
  <c r="BC60" i="6" s="1"/>
  <c r="I60" i="6"/>
  <c r="AH59" i="6"/>
  <c r="BC59" i="6" s="1"/>
  <c r="I59" i="6"/>
  <c r="AH58" i="6"/>
  <c r="BC58" i="6" s="1"/>
  <c r="I58" i="6"/>
  <c r="AH57" i="6"/>
  <c r="BC57" i="6" s="1"/>
  <c r="I57" i="6"/>
  <c r="AH56" i="6"/>
  <c r="BC56" i="6" s="1"/>
  <c r="I56" i="6"/>
  <c r="AH55" i="6"/>
  <c r="BC55" i="6" s="1"/>
  <c r="I55" i="6"/>
  <c r="AH54" i="6"/>
  <c r="BC54" i="6" s="1"/>
  <c r="I54" i="6"/>
  <c r="AH53" i="6"/>
  <c r="BC53" i="6" s="1"/>
  <c r="I53" i="6"/>
  <c r="AH52" i="6"/>
  <c r="BC52" i="6" s="1"/>
  <c r="I52" i="6"/>
  <c r="AH51" i="6"/>
  <c r="BC51" i="6" s="1"/>
  <c r="I51" i="6"/>
  <c r="AH50" i="6"/>
  <c r="BC50" i="6" s="1"/>
  <c r="I50" i="6"/>
  <c r="AH49" i="6"/>
  <c r="BC49" i="6" s="1"/>
  <c r="I49" i="6"/>
  <c r="AH48" i="6"/>
  <c r="BC48" i="6" s="1"/>
  <c r="I48" i="6"/>
  <c r="AH47" i="6"/>
  <c r="BC47" i="6" s="1"/>
  <c r="I47" i="6"/>
  <c r="AH46" i="6"/>
  <c r="BC46" i="6" s="1"/>
  <c r="I46" i="6"/>
  <c r="AH45" i="6"/>
  <c r="BC45" i="6" s="1"/>
  <c r="I45" i="6"/>
  <c r="AH44" i="6"/>
  <c r="BC44" i="6" s="1"/>
  <c r="I44" i="6"/>
  <c r="AH43" i="6"/>
  <c r="BC43" i="6" s="1"/>
  <c r="I43" i="6"/>
  <c r="AH42" i="6"/>
  <c r="BC42" i="6" s="1"/>
  <c r="I42" i="6"/>
  <c r="AH41" i="6"/>
  <c r="BC41" i="6" s="1"/>
  <c r="I41" i="6"/>
  <c r="AH40" i="6"/>
  <c r="BC40" i="6" s="1"/>
  <c r="I40" i="6"/>
  <c r="AH39" i="6"/>
  <c r="BC39" i="6" s="1"/>
  <c r="I39" i="6"/>
  <c r="AH38" i="6"/>
  <c r="BC38" i="6" s="1"/>
  <c r="I38" i="6"/>
  <c r="AH37" i="6"/>
  <c r="BC37" i="6" s="1"/>
  <c r="I37" i="6"/>
  <c r="AH36" i="6"/>
  <c r="BC36" i="6" s="1"/>
  <c r="I36" i="6"/>
  <c r="AH35" i="6"/>
  <c r="BC35" i="6" s="1"/>
  <c r="I35" i="6"/>
  <c r="AH34" i="6"/>
  <c r="BC34" i="6" s="1"/>
  <c r="I34" i="6"/>
  <c r="AH33" i="6"/>
  <c r="BC33" i="6" s="1"/>
  <c r="I33" i="6"/>
  <c r="AH32" i="6"/>
  <c r="BC32" i="6" s="1"/>
  <c r="I32" i="6"/>
  <c r="AH31" i="6"/>
  <c r="BC31" i="6" s="1"/>
  <c r="I31" i="6"/>
  <c r="AH30" i="6"/>
  <c r="BC30" i="6" s="1"/>
  <c r="I30" i="6"/>
  <c r="AH29" i="6"/>
  <c r="BC29" i="6" s="1"/>
  <c r="I29" i="6"/>
  <c r="AH28" i="6"/>
  <c r="BC28" i="6" s="1"/>
  <c r="I28" i="6"/>
  <c r="AH27" i="6"/>
  <c r="BC27" i="6" s="1"/>
  <c r="I27" i="6"/>
  <c r="AH26" i="6"/>
  <c r="BC26" i="6" s="1"/>
  <c r="I26" i="6"/>
  <c r="AH25" i="6"/>
  <c r="BC25" i="6" s="1"/>
  <c r="I25" i="6"/>
  <c r="AH24" i="6"/>
  <c r="BC24" i="6" s="1"/>
  <c r="I24" i="6"/>
  <c r="AH23" i="6"/>
  <c r="BC23" i="6" s="1"/>
  <c r="I23" i="6"/>
  <c r="AH22" i="6"/>
  <c r="BC22" i="6" s="1"/>
  <c r="I22" i="6"/>
  <c r="AH21" i="6"/>
  <c r="BC21" i="6" s="1"/>
  <c r="I21" i="6"/>
  <c r="AH20" i="6"/>
  <c r="BC20" i="6" s="1"/>
  <c r="I20" i="6"/>
  <c r="AH19" i="6"/>
  <c r="BC19" i="6" s="1"/>
  <c r="I19" i="6"/>
  <c r="AH18" i="6"/>
  <c r="BC18" i="6" s="1"/>
  <c r="I18" i="6"/>
  <c r="AH17" i="6"/>
  <c r="BC17" i="6" s="1"/>
  <c r="I17" i="6"/>
  <c r="AH16" i="6"/>
  <c r="BC16" i="6" s="1"/>
  <c r="I16" i="6"/>
  <c r="AH15" i="6"/>
  <c r="BC15" i="6" s="1"/>
  <c r="I15" i="6"/>
  <c r="AH14" i="6"/>
  <c r="BC14" i="6" s="1"/>
  <c r="I14" i="6"/>
  <c r="AH13" i="6"/>
  <c r="BC13" i="6" s="1"/>
  <c r="I13" i="6"/>
  <c r="AH12" i="6"/>
  <c r="BC12" i="6" s="1"/>
  <c r="I12" i="6"/>
  <c r="AH11" i="6"/>
  <c r="BC11" i="6" s="1"/>
  <c r="I11" i="6"/>
  <c r="AH10" i="6"/>
  <c r="BC10" i="6" s="1"/>
  <c r="I10" i="6"/>
  <c r="AH9" i="6"/>
  <c r="BC9" i="6" s="1"/>
  <c r="I9" i="6"/>
  <c r="AH8" i="6"/>
  <c r="BC8" i="6" s="1"/>
  <c r="I8" i="6"/>
  <c r="AH7" i="6"/>
  <c r="BC7" i="6" s="1"/>
  <c r="I7" i="6"/>
  <c r="AH6" i="6"/>
  <c r="BC6" i="6" s="1"/>
  <c r="I6" i="6"/>
  <c r="AH5" i="6"/>
  <c r="BC5" i="6" s="1"/>
  <c r="I5" i="6"/>
  <c r="E27" i="6" l="1"/>
  <c r="N6" i="6"/>
  <c r="AD6" i="6"/>
  <c r="AC6" i="6"/>
  <c r="AB6" i="6"/>
  <c r="N10" i="6"/>
  <c r="AD10" i="6"/>
  <c r="AB10" i="6"/>
  <c r="AC10" i="6"/>
  <c r="N14" i="6"/>
  <c r="AD14" i="6"/>
  <c r="AB14" i="6"/>
  <c r="AC14" i="6"/>
  <c r="N16" i="6"/>
  <c r="AD16" i="6"/>
  <c r="AC16" i="6"/>
  <c r="AB16" i="6"/>
  <c r="N20" i="6"/>
  <c r="AD20" i="6"/>
  <c r="AC20" i="6"/>
  <c r="AB20" i="6"/>
  <c r="N22" i="6"/>
  <c r="AD22" i="6"/>
  <c r="AB22" i="6"/>
  <c r="AC22" i="6"/>
  <c r="N24" i="6"/>
  <c r="AD24" i="6"/>
  <c r="AC24" i="6"/>
  <c r="AB24" i="6"/>
  <c r="N28" i="6"/>
  <c r="AD28" i="6"/>
  <c r="AB28" i="6"/>
  <c r="AC28" i="6"/>
  <c r="N32" i="6"/>
  <c r="AD32" i="6"/>
  <c r="AB32" i="6"/>
  <c r="AC32" i="6"/>
  <c r="N36" i="6"/>
  <c r="AD36" i="6"/>
  <c r="AB36" i="6"/>
  <c r="AC36" i="6"/>
  <c r="N40" i="6"/>
  <c r="AD40" i="6"/>
  <c r="AB40" i="6"/>
  <c r="AC40" i="6"/>
  <c r="N44" i="6"/>
  <c r="AD44" i="6"/>
  <c r="AB44" i="6"/>
  <c r="AC44" i="6"/>
  <c r="N48" i="6"/>
  <c r="AD48" i="6"/>
  <c r="AB48" i="6"/>
  <c r="AC48" i="6"/>
  <c r="N52" i="6"/>
  <c r="AD52" i="6"/>
  <c r="AB52" i="6"/>
  <c r="AC52" i="6"/>
  <c r="N56" i="6"/>
  <c r="AD56" i="6"/>
  <c r="AB56" i="6"/>
  <c r="AC56" i="6"/>
  <c r="N60" i="6"/>
  <c r="AD60" i="6"/>
  <c r="AB60" i="6"/>
  <c r="AC60" i="6"/>
  <c r="N64" i="6"/>
  <c r="AD64" i="6"/>
  <c r="AB64" i="6"/>
  <c r="AC64" i="6"/>
  <c r="N70" i="6"/>
  <c r="AD70" i="6"/>
  <c r="AB70" i="6"/>
  <c r="AC70" i="6"/>
  <c r="N74" i="6"/>
  <c r="AD74" i="6"/>
  <c r="AB74" i="6"/>
  <c r="AC74" i="6"/>
  <c r="N78" i="6"/>
  <c r="AD78" i="6"/>
  <c r="AB78" i="6"/>
  <c r="AC78" i="6"/>
  <c r="N80" i="6"/>
  <c r="AD80" i="6"/>
  <c r="AB80" i="6"/>
  <c r="AC80" i="6"/>
  <c r="N84" i="6"/>
  <c r="AD84" i="6"/>
  <c r="AB84" i="6"/>
  <c r="AC84" i="6"/>
  <c r="N88" i="6"/>
  <c r="AD88" i="6"/>
  <c r="AB88" i="6"/>
  <c r="AC88" i="6"/>
  <c r="BA8" i="6"/>
  <c r="BB8" i="6"/>
  <c r="BA12" i="6"/>
  <c r="BB12" i="6"/>
  <c r="BA16" i="6"/>
  <c r="BB16" i="6"/>
  <c r="BA20" i="6"/>
  <c r="BB20" i="6"/>
  <c r="BB22" i="6"/>
  <c r="BA22" i="6"/>
  <c r="BB26" i="6"/>
  <c r="BA26" i="6"/>
  <c r="BB30" i="6"/>
  <c r="BA30" i="6"/>
  <c r="BB34" i="6"/>
  <c r="BA34" i="6"/>
  <c r="BB38" i="6"/>
  <c r="BA38" i="6"/>
  <c r="BB42" i="6"/>
  <c r="BA42" i="6"/>
  <c r="BA44" i="6"/>
  <c r="BB44" i="6"/>
  <c r="BA48" i="6"/>
  <c r="BB48" i="6"/>
  <c r="BA52" i="6"/>
  <c r="BB52" i="6"/>
  <c r="BA56" i="6"/>
  <c r="BB56" i="6"/>
  <c r="BA60" i="6"/>
  <c r="BB60" i="6"/>
  <c r="BA64" i="6"/>
  <c r="BB64" i="6"/>
  <c r="BA68" i="6"/>
  <c r="BB68" i="6"/>
  <c r="BA72" i="6"/>
  <c r="BB72" i="6"/>
  <c r="BB74" i="6"/>
  <c r="BA74" i="6"/>
  <c r="BB78" i="6"/>
  <c r="BA78" i="6"/>
  <c r="BB82" i="6"/>
  <c r="BA82" i="6"/>
  <c r="BB86" i="6"/>
  <c r="BA86" i="6"/>
  <c r="BB90" i="6"/>
  <c r="BA90" i="6"/>
  <c r="AC5" i="6"/>
  <c r="AD5" i="6"/>
  <c r="AB5" i="6"/>
  <c r="N7" i="6"/>
  <c r="AC7" i="6"/>
  <c r="AD7" i="6"/>
  <c r="AB7" i="6"/>
  <c r="N9" i="6"/>
  <c r="AC9" i="6"/>
  <c r="AD9" i="6"/>
  <c r="AB9" i="6"/>
  <c r="N11" i="6"/>
  <c r="AC11" i="6"/>
  <c r="AD11" i="6"/>
  <c r="AB11" i="6"/>
  <c r="N13" i="6"/>
  <c r="AC13" i="6"/>
  <c r="AD13" i="6"/>
  <c r="AB13" i="6"/>
  <c r="N15" i="6"/>
  <c r="AC15" i="6"/>
  <c r="AD15" i="6"/>
  <c r="AB15" i="6"/>
  <c r="N17" i="6"/>
  <c r="AC17" i="6"/>
  <c r="AD17" i="6"/>
  <c r="AB17" i="6"/>
  <c r="N19" i="6"/>
  <c r="AC19" i="6"/>
  <c r="AD19" i="6"/>
  <c r="AB19" i="6"/>
  <c r="N21" i="6"/>
  <c r="AC21" i="6"/>
  <c r="AD21" i="6"/>
  <c r="AB21" i="6"/>
  <c r="N23" i="6"/>
  <c r="AC23" i="6"/>
  <c r="AD23" i="6"/>
  <c r="AB23" i="6"/>
  <c r="N25" i="6"/>
  <c r="AD25" i="6"/>
  <c r="AC25" i="6"/>
  <c r="AB25" i="6"/>
  <c r="N27" i="6"/>
  <c r="AC27" i="6"/>
  <c r="AD27" i="6"/>
  <c r="AB27" i="6"/>
  <c r="N29" i="6"/>
  <c r="AC29" i="6"/>
  <c r="AD29" i="6"/>
  <c r="AB29" i="6"/>
  <c r="N31" i="6"/>
  <c r="AD31" i="6"/>
  <c r="AB31" i="6"/>
  <c r="AC31" i="6"/>
  <c r="N33" i="6"/>
  <c r="AC33" i="6"/>
  <c r="AD33" i="6"/>
  <c r="AB33" i="6"/>
  <c r="N35" i="6"/>
  <c r="AD35" i="6"/>
  <c r="AB35" i="6"/>
  <c r="AC35" i="6"/>
  <c r="N37" i="6"/>
  <c r="AD37" i="6"/>
  <c r="AC37" i="6"/>
  <c r="AB37" i="6"/>
  <c r="N39" i="6"/>
  <c r="AD39" i="6"/>
  <c r="AB39" i="6"/>
  <c r="AC39" i="6"/>
  <c r="N41" i="6"/>
  <c r="AC41" i="6"/>
  <c r="AD41" i="6"/>
  <c r="AB41" i="6"/>
  <c r="N43" i="6"/>
  <c r="AD43" i="6"/>
  <c r="AB43" i="6"/>
  <c r="AC43" i="6"/>
  <c r="N45" i="6"/>
  <c r="AC45" i="6"/>
  <c r="AD45" i="6"/>
  <c r="AB45" i="6"/>
  <c r="N47" i="6"/>
  <c r="AD47" i="6"/>
  <c r="AB47" i="6"/>
  <c r="AC47" i="6"/>
  <c r="N49" i="6"/>
  <c r="AC49" i="6"/>
  <c r="AD49" i="6"/>
  <c r="AB49" i="6"/>
  <c r="N51" i="6"/>
  <c r="AD51" i="6"/>
  <c r="AB51" i="6"/>
  <c r="AC51" i="6"/>
  <c r="N53" i="6"/>
  <c r="AD53" i="6"/>
  <c r="AC53" i="6"/>
  <c r="AB53" i="6"/>
  <c r="N55" i="6"/>
  <c r="AD55" i="6"/>
  <c r="AB55" i="6"/>
  <c r="AC55" i="6"/>
  <c r="N57" i="6"/>
  <c r="AC57" i="6"/>
  <c r="AD57" i="6"/>
  <c r="AB57" i="6"/>
  <c r="N59" i="6"/>
  <c r="AD59" i="6"/>
  <c r="AB59" i="6"/>
  <c r="AC59" i="6"/>
  <c r="N61" i="6"/>
  <c r="AC61" i="6"/>
  <c r="AD61" i="6"/>
  <c r="AB61" i="6"/>
  <c r="N63" i="6"/>
  <c r="AD63" i="6"/>
  <c r="AB63" i="6"/>
  <c r="AC63" i="6"/>
  <c r="N65" i="6"/>
  <c r="AC65" i="6"/>
  <c r="AB65" i="6"/>
  <c r="AD65" i="6"/>
  <c r="N67" i="6"/>
  <c r="AD67" i="6"/>
  <c r="AB67" i="6"/>
  <c r="AC67" i="6"/>
  <c r="N69" i="6"/>
  <c r="AD69" i="6"/>
  <c r="AC69" i="6"/>
  <c r="AB69" i="6"/>
  <c r="N71" i="6"/>
  <c r="AD71" i="6"/>
  <c r="AC71" i="6"/>
  <c r="AB71" i="6"/>
  <c r="N73" i="6"/>
  <c r="AC73" i="6"/>
  <c r="AD73" i="6"/>
  <c r="AB73" i="6"/>
  <c r="N75" i="6"/>
  <c r="AD75" i="6"/>
  <c r="AC75" i="6"/>
  <c r="AB75" i="6"/>
  <c r="N77" i="6"/>
  <c r="AC77" i="6"/>
  <c r="AD77" i="6"/>
  <c r="AB77" i="6"/>
  <c r="N79" i="6"/>
  <c r="AD79" i="6"/>
  <c r="AC79" i="6"/>
  <c r="AB79" i="6"/>
  <c r="N81" i="6"/>
  <c r="AC81" i="6"/>
  <c r="AD81" i="6"/>
  <c r="AB81" i="6"/>
  <c r="N83" i="6"/>
  <c r="AD83" i="6"/>
  <c r="AC83" i="6"/>
  <c r="AB83" i="6"/>
  <c r="N85" i="6"/>
  <c r="AD85" i="6"/>
  <c r="AC85" i="6"/>
  <c r="AB85" i="6"/>
  <c r="N87" i="6"/>
  <c r="AD87" i="6"/>
  <c r="AC87" i="6"/>
  <c r="AB87" i="6"/>
  <c r="N89" i="6"/>
  <c r="AC89" i="6"/>
  <c r="AD89" i="6"/>
  <c r="AB89" i="6"/>
  <c r="N91" i="6"/>
  <c r="AD91" i="6"/>
  <c r="AC91" i="6"/>
  <c r="AB91" i="6"/>
  <c r="N8" i="6"/>
  <c r="AC8" i="6"/>
  <c r="AD8" i="6"/>
  <c r="AB8" i="6"/>
  <c r="N12" i="6"/>
  <c r="AD12" i="6"/>
  <c r="AC12" i="6"/>
  <c r="AB12" i="6"/>
  <c r="N18" i="6"/>
  <c r="AD18" i="6"/>
  <c r="AB18" i="6"/>
  <c r="AC18" i="6"/>
  <c r="N26" i="6"/>
  <c r="AD26" i="6"/>
  <c r="AB26" i="6"/>
  <c r="AC26" i="6"/>
  <c r="N30" i="6"/>
  <c r="AD30" i="6"/>
  <c r="AB30" i="6"/>
  <c r="AC30" i="6"/>
  <c r="N34" i="6"/>
  <c r="AD34" i="6"/>
  <c r="AB34" i="6"/>
  <c r="AC34" i="6"/>
  <c r="N38" i="6"/>
  <c r="AD38" i="6"/>
  <c r="AB38" i="6"/>
  <c r="AC38" i="6"/>
  <c r="N42" i="6"/>
  <c r="AD42" i="6"/>
  <c r="AB42" i="6"/>
  <c r="AC42" i="6"/>
  <c r="N46" i="6"/>
  <c r="AD46" i="6"/>
  <c r="AB46" i="6"/>
  <c r="AC46" i="6"/>
  <c r="N50" i="6"/>
  <c r="AD50" i="6"/>
  <c r="AB50" i="6"/>
  <c r="AC50" i="6"/>
  <c r="N54" i="6"/>
  <c r="AD54" i="6"/>
  <c r="AB54" i="6"/>
  <c r="AC54" i="6"/>
  <c r="N58" i="6"/>
  <c r="AD58" i="6"/>
  <c r="AB58" i="6"/>
  <c r="AC58" i="6"/>
  <c r="N62" i="6"/>
  <c r="AD62" i="6"/>
  <c r="AB62" i="6"/>
  <c r="AC62" i="6"/>
  <c r="N66" i="6"/>
  <c r="AD66" i="6"/>
  <c r="AB66" i="6"/>
  <c r="AC66" i="6"/>
  <c r="N68" i="6"/>
  <c r="AD68" i="6"/>
  <c r="AB68" i="6"/>
  <c r="AC68" i="6"/>
  <c r="N72" i="6"/>
  <c r="AD72" i="6"/>
  <c r="AB72" i="6"/>
  <c r="AC72" i="6"/>
  <c r="N76" i="6"/>
  <c r="AD76" i="6"/>
  <c r="AB76" i="6"/>
  <c r="AC76" i="6"/>
  <c r="N82" i="6"/>
  <c r="AD82" i="6"/>
  <c r="AB82" i="6"/>
  <c r="AC82" i="6"/>
  <c r="N86" i="6"/>
  <c r="AD86" i="6"/>
  <c r="AB86" i="6"/>
  <c r="AC86" i="6"/>
  <c r="N90" i="6"/>
  <c r="AD90" i="6"/>
  <c r="AB90" i="6"/>
  <c r="AC90" i="6"/>
  <c r="BB6" i="6"/>
  <c r="BA6" i="6"/>
  <c r="BB10" i="6"/>
  <c r="BA10" i="6"/>
  <c r="BB14" i="6"/>
  <c r="BA14" i="6"/>
  <c r="BB18" i="6"/>
  <c r="BA18" i="6"/>
  <c r="BA24" i="6"/>
  <c r="BB24" i="6"/>
  <c r="BA28" i="6"/>
  <c r="BB28" i="6"/>
  <c r="BA32" i="6"/>
  <c r="BB32" i="6"/>
  <c r="BA36" i="6"/>
  <c r="BB36" i="6"/>
  <c r="BA40" i="6"/>
  <c r="BB40" i="6"/>
  <c r="BB46" i="6"/>
  <c r="BA46" i="6"/>
  <c r="BB50" i="6"/>
  <c r="BA50" i="6"/>
  <c r="BB54" i="6"/>
  <c r="BA54" i="6"/>
  <c r="BB58" i="6"/>
  <c r="BA58" i="6"/>
  <c r="BB62" i="6"/>
  <c r="BA62" i="6"/>
  <c r="BB66" i="6"/>
  <c r="BA66" i="6"/>
  <c r="BB70" i="6"/>
  <c r="BA70" i="6"/>
  <c r="BA76" i="6"/>
  <c r="BB76" i="6"/>
  <c r="BA80" i="6"/>
  <c r="BB80" i="6"/>
  <c r="BA84" i="6"/>
  <c r="BB84" i="6"/>
  <c r="BA88" i="6"/>
  <c r="BB88" i="6"/>
  <c r="BB5" i="6"/>
  <c r="BA5" i="6"/>
  <c r="BA7" i="6"/>
  <c r="BB7" i="6"/>
  <c r="BB9" i="6"/>
  <c r="BA9" i="6"/>
  <c r="BA11" i="6"/>
  <c r="BB11" i="6"/>
  <c r="BB13" i="6"/>
  <c r="BA13" i="6"/>
  <c r="BA15" i="6"/>
  <c r="BB15" i="6"/>
  <c r="BB17" i="6"/>
  <c r="BA17" i="6"/>
  <c r="BA19" i="6"/>
  <c r="BB19" i="6"/>
  <c r="BB21" i="6"/>
  <c r="BA21" i="6"/>
  <c r="BA23" i="6"/>
  <c r="BB23" i="6"/>
  <c r="BB25" i="6"/>
  <c r="BA25" i="6"/>
  <c r="BA27" i="6"/>
  <c r="BB27" i="6"/>
  <c r="BB29" i="6"/>
  <c r="BA29" i="6"/>
  <c r="BA31" i="6"/>
  <c r="BB31" i="6"/>
  <c r="BB33" i="6"/>
  <c r="BA33" i="6"/>
  <c r="BA35" i="6"/>
  <c r="BB35" i="6"/>
  <c r="BB37" i="6"/>
  <c r="BA37" i="6"/>
  <c r="BA39" i="6"/>
  <c r="BB39" i="6"/>
  <c r="BB41" i="6"/>
  <c r="BA41" i="6"/>
  <c r="BA43" i="6"/>
  <c r="BB43" i="6"/>
  <c r="BB45" i="6"/>
  <c r="BA45" i="6"/>
  <c r="BA47" i="6"/>
  <c r="BB47" i="6"/>
  <c r="BB49" i="6"/>
  <c r="BA49" i="6"/>
  <c r="BA51" i="6"/>
  <c r="BB51" i="6"/>
  <c r="BB53" i="6"/>
  <c r="BA53" i="6"/>
  <c r="BA55" i="6"/>
  <c r="BB55" i="6"/>
  <c r="BB57" i="6"/>
  <c r="BA57" i="6"/>
  <c r="BA59" i="6"/>
  <c r="BB59" i="6"/>
  <c r="BB61" i="6"/>
  <c r="BA61" i="6"/>
  <c r="BA63" i="6"/>
  <c r="BB63" i="6"/>
  <c r="BB65" i="6"/>
  <c r="BA65" i="6"/>
  <c r="BA67" i="6"/>
  <c r="BB67" i="6"/>
  <c r="BB69" i="6"/>
  <c r="BA69" i="6"/>
  <c r="BA71" i="6"/>
  <c r="BB71" i="6"/>
  <c r="BB73" i="6"/>
  <c r="BA73" i="6"/>
  <c r="BA75" i="6"/>
  <c r="BB75" i="6"/>
  <c r="BB77" i="6"/>
  <c r="BA77" i="6"/>
  <c r="BA79" i="6"/>
  <c r="BB79" i="6"/>
  <c r="BB81" i="6"/>
  <c r="BA81" i="6"/>
  <c r="BA83" i="6"/>
  <c r="BB83" i="6"/>
  <c r="BB85" i="6"/>
  <c r="BA85" i="6"/>
  <c r="BA87" i="6"/>
  <c r="BB87" i="6"/>
  <c r="BB89" i="6"/>
  <c r="BA89" i="6"/>
  <c r="BA91" i="6"/>
  <c r="BB91" i="6"/>
  <c r="AZ8" i="6"/>
  <c r="AZ12" i="6"/>
  <c r="AZ16" i="6"/>
  <c r="AZ20" i="6"/>
  <c r="AZ24" i="6"/>
  <c r="AZ28" i="6"/>
  <c r="AZ32" i="6"/>
  <c r="AZ36" i="6"/>
  <c r="AZ40" i="6"/>
  <c r="AZ44" i="6"/>
  <c r="AZ48" i="6"/>
  <c r="AZ52" i="6"/>
  <c r="AZ56" i="6"/>
  <c r="AZ60" i="6"/>
  <c r="AZ64" i="6"/>
  <c r="AZ68" i="6"/>
  <c r="AZ72" i="6"/>
  <c r="AZ76" i="6"/>
  <c r="AZ80" i="6"/>
  <c r="AZ84" i="6"/>
  <c r="AZ88" i="6"/>
  <c r="AZ5" i="6"/>
  <c r="AZ9" i="6"/>
  <c r="AZ13" i="6"/>
  <c r="AZ17" i="6"/>
  <c r="AZ21" i="6"/>
  <c r="AZ25" i="6"/>
  <c r="AZ29" i="6"/>
  <c r="AZ33" i="6"/>
  <c r="AZ37" i="6"/>
  <c r="AZ41" i="6"/>
  <c r="AZ45" i="6"/>
  <c r="AZ49" i="6"/>
  <c r="AZ53" i="6"/>
  <c r="AZ57" i="6"/>
  <c r="AZ61" i="6"/>
  <c r="AZ65" i="6"/>
  <c r="AZ69" i="6"/>
  <c r="AZ73" i="6"/>
  <c r="AZ77" i="6"/>
  <c r="AZ81" i="6"/>
  <c r="AZ85" i="6"/>
  <c r="AZ89" i="6"/>
  <c r="AZ6" i="6"/>
  <c r="AZ10" i="6"/>
  <c r="AZ14" i="6"/>
  <c r="AZ18" i="6"/>
  <c r="AZ22" i="6"/>
  <c r="AZ26" i="6"/>
  <c r="AZ30" i="6"/>
  <c r="AZ34" i="6"/>
  <c r="AZ38" i="6"/>
  <c r="AZ42" i="6"/>
  <c r="AZ46" i="6"/>
  <c r="AZ50" i="6"/>
  <c r="AZ54" i="6"/>
  <c r="AZ58" i="6"/>
  <c r="AZ62" i="6"/>
  <c r="AZ66" i="6"/>
  <c r="AZ70" i="6"/>
  <c r="AZ74" i="6"/>
  <c r="AZ78" i="6"/>
  <c r="AZ82" i="6"/>
  <c r="AZ86" i="6"/>
  <c r="AZ90" i="6"/>
  <c r="AZ7" i="6"/>
  <c r="AZ11" i="6"/>
  <c r="AZ15" i="6"/>
  <c r="AZ19" i="6"/>
  <c r="AZ23" i="6"/>
  <c r="AZ27" i="6"/>
  <c r="AZ31" i="6"/>
  <c r="AZ35" i="6"/>
  <c r="AZ39" i="6"/>
  <c r="AZ43" i="6"/>
  <c r="AZ47" i="6"/>
  <c r="AZ51" i="6"/>
  <c r="AZ55" i="6"/>
  <c r="AZ59" i="6"/>
  <c r="AZ63" i="6"/>
  <c r="AZ67" i="6"/>
  <c r="AZ71" i="6"/>
  <c r="AZ75" i="6"/>
  <c r="AZ79" i="6"/>
  <c r="AZ83" i="6"/>
  <c r="AZ87" i="6"/>
  <c r="AZ91" i="6"/>
  <c r="AA44" i="6"/>
  <c r="AA48" i="6"/>
  <c r="AA52" i="6"/>
  <c r="AA56" i="6"/>
  <c r="AA60" i="6"/>
  <c r="AA64" i="6"/>
  <c r="AA68" i="6"/>
  <c r="AA72" i="6"/>
  <c r="AA76" i="6"/>
  <c r="AA80" i="6"/>
  <c r="AA84" i="6"/>
  <c r="AA88" i="6"/>
  <c r="AA5" i="6"/>
  <c r="AA45" i="6"/>
  <c r="AA49" i="6"/>
  <c r="AA53" i="6"/>
  <c r="AA57" i="6"/>
  <c r="AA61" i="6"/>
  <c r="AA65" i="6"/>
  <c r="AA69" i="6"/>
  <c r="AA73" i="6"/>
  <c r="AA77" i="6"/>
  <c r="AA81" i="6"/>
  <c r="AA85" i="6"/>
  <c r="AA89" i="6"/>
  <c r="AA46" i="6"/>
  <c r="AA50" i="6"/>
  <c r="AA54" i="6"/>
  <c r="AA58" i="6"/>
  <c r="AA62" i="6"/>
  <c r="AA66" i="6"/>
  <c r="AA70" i="6"/>
  <c r="AA74" i="6"/>
  <c r="AA78" i="6"/>
  <c r="AA82" i="6"/>
  <c r="AA86" i="6"/>
  <c r="AA90" i="6"/>
  <c r="AA43" i="6"/>
  <c r="AA47" i="6"/>
  <c r="AA51" i="6"/>
  <c r="AA55" i="6"/>
  <c r="AA59" i="6"/>
  <c r="AA63" i="6"/>
  <c r="AA67" i="6"/>
  <c r="AA71" i="6"/>
  <c r="AA75" i="6"/>
  <c r="AA79" i="6"/>
  <c r="AA83" i="6"/>
  <c r="AA87" i="6"/>
  <c r="AA91" i="6"/>
  <c r="AA8" i="6"/>
  <c r="AA12" i="6"/>
  <c r="AA16" i="6"/>
  <c r="AA20" i="6"/>
  <c r="AA24" i="6"/>
  <c r="AA28" i="6"/>
  <c r="AA32" i="6"/>
  <c r="AA36" i="6"/>
  <c r="AA40" i="6"/>
  <c r="AA9" i="6"/>
  <c r="AA13" i="6"/>
  <c r="AA17" i="6"/>
  <c r="AA21" i="6"/>
  <c r="AA25" i="6"/>
  <c r="AA29" i="6"/>
  <c r="AA33" i="6"/>
  <c r="AA37" i="6"/>
  <c r="AA41" i="6"/>
  <c r="AA6" i="6"/>
  <c r="AA10" i="6"/>
  <c r="AA14" i="6"/>
  <c r="AA18" i="6"/>
  <c r="AA22" i="6"/>
  <c r="AA26" i="6"/>
  <c r="AA30" i="6"/>
  <c r="AA34" i="6"/>
  <c r="AA38" i="6"/>
  <c r="AA42" i="6"/>
  <c r="AA7" i="6"/>
  <c r="AA11" i="6"/>
  <c r="AA15" i="6"/>
  <c r="AA19" i="6"/>
  <c r="AA23" i="6"/>
  <c r="AA27" i="6"/>
  <c r="AA31" i="6"/>
  <c r="AA35" i="6"/>
  <c r="AA39" i="6"/>
  <c r="Z5" i="6"/>
  <c r="X5" i="6"/>
  <c r="Y5" i="6"/>
  <c r="V5" i="6"/>
  <c r="W5" i="6"/>
  <c r="T5" i="6"/>
  <c r="S5" i="6"/>
  <c r="U5" i="6"/>
  <c r="R5" i="6"/>
  <c r="O5" i="6"/>
  <c r="Q5" i="6"/>
  <c r="N5" i="6"/>
  <c r="P5" i="6"/>
  <c r="L5" i="6"/>
  <c r="M5" i="6"/>
  <c r="Z8" i="6"/>
  <c r="Y8" i="6"/>
  <c r="X8" i="6"/>
  <c r="V8" i="6"/>
  <c r="W8" i="6"/>
  <c r="T8" i="6"/>
  <c r="U8" i="6"/>
  <c r="S8" i="6"/>
  <c r="O8" i="6"/>
  <c r="Q8" i="6"/>
  <c r="R8" i="6"/>
  <c r="P8" i="6"/>
  <c r="L8" i="6"/>
  <c r="M8" i="6"/>
  <c r="AY9" i="6"/>
  <c r="AX9" i="6"/>
  <c r="AW9" i="6"/>
  <c r="AV9" i="6"/>
  <c r="AU9" i="6"/>
  <c r="AT9" i="6"/>
  <c r="AS9" i="6"/>
  <c r="AR9" i="6"/>
  <c r="AQ9" i="6"/>
  <c r="AP9" i="6"/>
  <c r="AO9" i="6"/>
  <c r="AN9" i="6"/>
  <c r="AK9" i="6"/>
  <c r="AL9" i="6"/>
  <c r="AM9" i="6"/>
  <c r="Y11" i="6"/>
  <c r="Z11" i="6"/>
  <c r="X11" i="6"/>
  <c r="V11" i="6"/>
  <c r="W11" i="6"/>
  <c r="U11" i="6"/>
  <c r="T11" i="6"/>
  <c r="S11" i="6"/>
  <c r="O11" i="6"/>
  <c r="R11" i="6"/>
  <c r="Q11" i="6"/>
  <c r="P11" i="6"/>
  <c r="L11" i="6"/>
  <c r="M11" i="6"/>
  <c r="Z14" i="6"/>
  <c r="X14" i="6"/>
  <c r="Y14" i="6"/>
  <c r="V14" i="6"/>
  <c r="W14" i="6"/>
  <c r="T14" i="6"/>
  <c r="S14" i="6"/>
  <c r="U14" i="6"/>
  <c r="R14" i="6"/>
  <c r="O14" i="6"/>
  <c r="Q14" i="6"/>
  <c r="P14" i="6"/>
  <c r="L14" i="6"/>
  <c r="M14" i="6"/>
  <c r="Z17" i="6"/>
  <c r="Y17" i="6"/>
  <c r="V17" i="6"/>
  <c r="X17" i="6"/>
  <c r="W17" i="6"/>
  <c r="T17" i="6"/>
  <c r="S17" i="6"/>
  <c r="U17" i="6"/>
  <c r="O17" i="6"/>
  <c r="Q17" i="6"/>
  <c r="R17" i="6"/>
  <c r="P17" i="6"/>
  <c r="L17" i="6"/>
  <c r="M17" i="6"/>
  <c r="Z20" i="6"/>
  <c r="Y20" i="6"/>
  <c r="X20" i="6"/>
  <c r="V20" i="6"/>
  <c r="W20" i="6"/>
  <c r="T20" i="6"/>
  <c r="S20" i="6"/>
  <c r="U20" i="6"/>
  <c r="O20" i="6"/>
  <c r="R20" i="6"/>
  <c r="Q20" i="6"/>
  <c r="P20" i="6"/>
  <c r="L20" i="6"/>
  <c r="M20" i="6"/>
  <c r="AY21" i="6"/>
  <c r="AX21" i="6"/>
  <c r="AW21" i="6"/>
  <c r="AV21" i="6"/>
  <c r="AU21" i="6"/>
  <c r="AT21" i="6"/>
  <c r="AS21" i="6"/>
  <c r="AR21" i="6"/>
  <c r="AQ21" i="6"/>
  <c r="AP21" i="6"/>
  <c r="AO21" i="6"/>
  <c r="AK21" i="6"/>
  <c r="AL21" i="6"/>
  <c r="AN21" i="6"/>
  <c r="AM21" i="6"/>
  <c r="AY24" i="6"/>
  <c r="AX24" i="6"/>
  <c r="AW24" i="6"/>
  <c r="AV24" i="6"/>
  <c r="AU24" i="6"/>
  <c r="AT24" i="6"/>
  <c r="AS24" i="6"/>
  <c r="AR24" i="6"/>
  <c r="AQ24" i="6"/>
  <c r="AP24" i="6"/>
  <c r="AO24" i="6"/>
  <c r="AM24" i="6"/>
  <c r="AK24" i="6"/>
  <c r="AL24" i="6"/>
  <c r="AN24" i="6"/>
  <c r="AY27" i="6"/>
  <c r="AX27" i="6"/>
  <c r="AW27" i="6"/>
  <c r="AV27" i="6"/>
  <c r="AU27" i="6"/>
  <c r="AT27" i="6"/>
  <c r="AS27" i="6"/>
  <c r="AR27" i="6"/>
  <c r="AQ27" i="6"/>
  <c r="AP27" i="6"/>
  <c r="AO27" i="6"/>
  <c r="AN27" i="6"/>
  <c r="AM27" i="6"/>
  <c r="AK27" i="6"/>
  <c r="AL27" i="6"/>
  <c r="Y29" i="6"/>
  <c r="X29" i="6"/>
  <c r="Z29" i="6"/>
  <c r="V29" i="6"/>
  <c r="W29" i="6"/>
  <c r="T29" i="6"/>
  <c r="S29" i="6"/>
  <c r="U29" i="6"/>
  <c r="O29" i="6"/>
  <c r="R29" i="6"/>
  <c r="Q29" i="6"/>
  <c r="P29" i="6"/>
  <c r="L29" i="6"/>
  <c r="M29" i="6"/>
  <c r="AY33" i="6"/>
  <c r="AX33" i="6"/>
  <c r="AW33" i="6"/>
  <c r="AV33" i="6"/>
  <c r="AU33" i="6"/>
  <c r="AT33" i="6"/>
  <c r="AS33" i="6"/>
  <c r="AR33" i="6"/>
  <c r="AQ33" i="6"/>
  <c r="AP33" i="6"/>
  <c r="AO33" i="6"/>
  <c r="AM33" i="6"/>
  <c r="AK33" i="6"/>
  <c r="AL33" i="6"/>
  <c r="AN33" i="6"/>
  <c r="AY36" i="6"/>
  <c r="AX36" i="6"/>
  <c r="AW36" i="6"/>
  <c r="AV36" i="6"/>
  <c r="AU36" i="6"/>
  <c r="AT36" i="6"/>
  <c r="AS36" i="6"/>
  <c r="AR36" i="6"/>
  <c r="AQ36" i="6"/>
  <c r="AP36" i="6"/>
  <c r="AO36" i="6"/>
  <c r="AN36" i="6"/>
  <c r="AM36" i="6"/>
  <c r="AK36" i="6"/>
  <c r="AL36" i="6"/>
  <c r="AY39" i="6"/>
  <c r="AX39" i="6"/>
  <c r="AW39" i="6"/>
  <c r="AV39" i="6"/>
  <c r="AU39" i="6"/>
  <c r="AT39" i="6"/>
  <c r="AS39" i="6"/>
  <c r="AR39" i="6"/>
  <c r="AQ39" i="6"/>
  <c r="AP39" i="6"/>
  <c r="AO39" i="6"/>
  <c r="AM39" i="6"/>
  <c r="AK39" i="6"/>
  <c r="AL39" i="6"/>
  <c r="AN39" i="6"/>
  <c r="Z41" i="6"/>
  <c r="Y41" i="6"/>
  <c r="X41" i="6"/>
  <c r="V41" i="6"/>
  <c r="W41" i="6"/>
  <c r="T41" i="6"/>
  <c r="S41" i="6"/>
  <c r="U41" i="6"/>
  <c r="R41" i="6"/>
  <c r="O41" i="6"/>
  <c r="Q41" i="6"/>
  <c r="P41" i="6"/>
  <c r="L41" i="6"/>
  <c r="M41" i="6"/>
  <c r="Z44" i="6"/>
  <c r="Y44" i="6"/>
  <c r="V44" i="6"/>
  <c r="X44" i="6"/>
  <c r="W44" i="6"/>
  <c r="T44" i="6"/>
  <c r="S44" i="6"/>
  <c r="U44" i="6"/>
  <c r="O44" i="6"/>
  <c r="Q44" i="6"/>
  <c r="R44" i="6"/>
  <c r="P44" i="6"/>
  <c r="L44" i="6"/>
  <c r="M44" i="6"/>
  <c r="AY45" i="6"/>
  <c r="AX45" i="6"/>
  <c r="AW45" i="6"/>
  <c r="AV45" i="6"/>
  <c r="AU45" i="6"/>
  <c r="AT45" i="6"/>
  <c r="AS45" i="6"/>
  <c r="AR45" i="6"/>
  <c r="AQ45" i="6"/>
  <c r="AP45" i="6"/>
  <c r="AO45" i="6"/>
  <c r="AN45" i="6"/>
  <c r="AM45" i="6"/>
  <c r="AK45" i="6"/>
  <c r="AL45" i="6"/>
  <c r="AY48" i="6"/>
  <c r="AX48" i="6"/>
  <c r="AW48" i="6"/>
  <c r="AV48" i="6"/>
  <c r="AU48" i="6"/>
  <c r="AT48" i="6"/>
  <c r="AS48" i="6"/>
  <c r="AR48" i="6"/>
  <c r="AQ48" i="6"/>
  <c r="AP48" i="6"/>
  <c r="AO48" i="6"/>
  <c r="AM48" i="6"/>
  <c r="AK48" i="6"/>
  <c r="AL48" i="6"/>
  <c r="AN48" i="6"/>
  <c r="Z53" i="6"/>
  <c r="Y53" i="6"/>
  <c r="V53" i="6"/>
  <c r="X53" i="6"/>
  <c r="W53" i="6"/>
  <c r="T53" i="6"/>
  <c r="S53" i="6"/>
  <c r="U53" i="6"/>
  <c r="O53" i="6"/>
  <c r="Q53" i="6"/>
  <c r="R53" i="6"/>
  <c r="P53" i="6"/>
  <c r="L53" i="6"/>
  <c r="M53" i="6"/>
  <c r="Y56" i="6"/>
  <c r="X56" i="6"/>
  <c r="Z56" i="6"/>
  <c r="V56" i="6"/>
  <c r="W56" i="6"/>
  <c r="T56" i="6"/>
  <c r="S56" i="6"/>
  <c r="U56" i="6"/>
  <c r="O56" i="6"/>
  <c r="R56" i="6"/>
  <c r="Q56" i="6"/>
  <c r="P56" i="6"/>
  <c r="L56" i="6"/>
  <c r="M56" i="6"/>
  <c r="Z59" i="6"/>
  <c r="Y59" i="6"/>
  <c r="V59" i="6"/>
  <c r="X59" i="6"/>
  <c r="W59" i="6"/>
  <c r="T59" i="6"/>
  <c r="S59" i="6"/>
  <c r="U59" i="6"/>
  <c r="R59" i="6"/>
  <c r="O59" i="6"/>
  <c r="Q59" i="6"/>
  <c r="P59" i="6"/>
  <c r="L59" i="6"/>
  <c r="M59" i="6"/>
  <c r="AY69" i="6"/>
  <c r="AX69" i="6"/>
  <c r="AW69" i="6"/>
  <c r="AV69" i="6"/>
  <c r="AU69" i="6"/>
  <c r="AT69" i="6"/>
  <c r="AS69" i="6"/>
  <c r="AR69" i="6"/>
  <c r="AQ69" i="6"/>
  <c r="AP69" i="6"/>
  <c r="AM69" i="6"/>
  <c r="AK69" i="6"/>
  <c r="AL69" i="6"/>
  <c r="AO69" i="6"/>
  <c r="AN69" i="6"/>
  <c r="X6" i="6"/>
  <c r="Z6" i="6"/>
  <c r="Y6" i="6"/>
  <c r="W6" i="6"/>
  <c r="V6" i="6"/>
  <c r="U6" i="6"/>
  <c r="R6" i="6"/>
  <c r="T6" i="6"/>
  <c r="S6" i="6"/>
  <c r="P6" i="6"/>
  <c r="O6" i="6"/>
  <c r="Q6" i="6"/>
  <c r="M6" i="6"/>
  <c r="L6" i="6"/>
  <c r="AY7" i="6"/>
  <c r="AX7" i="6"/>
  <c r="AW7" i="6"/>
  <c r="AV7" i="6"/>
  <c r="AU7" i="6"/>
  <c r="AT7" i="6"/>
  <c r="AR7" i="6"/>
  <c r="AQ7" i="6"/>
  <c r="AP7" i="6"/>
  <c r="AO7" i="6"/>
  <c r="AN7" i="6"/>
  <c r="AS7" i="6"/>
  <c r="AM7" i="6"/>
  <c r="AK7" i="6"/>
  <c r="AL7" i="6"/>
  <c r="Z9" i="6"/>
  <c r="X9" i="6"/>
  <c r="Y9" i="6"/>
  <c r="W9" i="6"/>
  <c r="V9" i="6"/>
  <c r="R9" i="6"/>
  <c r="T9" i="6"/>
  <c r="U9" i="6"/>
  <c r="P9" i="6"/>
  <c r="S9" i="6"/>
  <c r="O9" i="6"/>
  <c r="Q9" i="6"/>
  <c r="M9" i="6"/>
  <c r="L9" i="6"/>
  <c r="AY10" i="6"/>
  <c r="AX10" i="6"/>
  <c r="AW10" i="6"/>
  <c r="AV10" i="6"/>
  <c r="AU10" i="6"/>
  <c r="AT10" i="6"/>
  <c r="AR10" i="6"/>
  <c r="AQ10" i="6"/>
  <c r="AP10" i="6"/>
  <c r="AO10" i="6"/>
  <c r="AN10" i="6"/>
  <c r="AS10" i="6"/>
  <c r="AM10" i="6"/>
  <c r="AK10" i="6"/>
  <c r="AL10" i="6"/>
  <c r="X12" i="6"/>
  <c r="Z12" i="6"/>
  <c r="Y12" i="6"/>
  <c r="W12" i="6"/>
  <c r="V12" i="6"/>
  <c r="R12" i="6"/>
  <c r="U12" i="6"/>
  <c r="T12" i="6"/>
  <c r="P12" i="6"/>
  <c r="O12" i="6"/>
  <c r="S12" i="6"/>
  <c r="Q12" i="6"/>
  <c r="M12" i="6"/>
  <c r="L12" i="6"/>
  <c r="AY13" i="6"/>
  <c r="AX13" i="6"/>
  <c r="AW13" i="6"/>
  <c r="AV13" i="6"/>
  <c r="AU13" i="6"/>
  <c r="AS13" i="6"/>
  <c r="AR13" i="6"/>
  <c r="AQ13" i="6"/>
  <c r="AP13" i="6"/>
  <c r="AO13" i="6"/>
  <c r="AN13" i="6"/>
  <c r="AT13" i="6"/>
  <c r="AK13" i="6"/>
  <c r="AL13" i="6"/>
  <c r="AM13" i="6"/>
  <c r="X15" i="6"/>
  <c r="Y15" i="6"/>
  <c r="Z15" i="6"/>
  <c r="W15" i="6"/>
  <c r="V15" i="6"/>
  <c r="U15" i="6"/>
  <c r="R15" i="6"/>
  <c r="T15" i="6"/>
  <c r="S15" i="6"/>
  <c r="P15" i="6"/>
  <c r="O15" i="6"/>
  <c r="Q15" i="6"/>
  <c r="M15" i="6"/>
  <c r="L15" i="6"/>
  <c r="AY16" i="6"/>
  <c r="AX16" i="6"/>
  <c r="AW16" i="6"/>
  <c r="AV16" i="6"/>
  <c r="AU16" i="6"/>
  <c r="AT16" i="6"/>
  <c r="AR16" i="6"/>
  <c r="AQ16" i="6"/>
  <c r="AP16" i="6"/>
  <c r="AO16" i="6"/>
  <c r="AN16" i="6"/>
  <c r="AS16" i="6"/>
  <c r="AM16" i="6"/>
  <c r="AK16" i="6"/>
  <c r="AL16" i="6"/>
  <c r="Z18" i="6"/>
  <c r="X18" i="6"/>
  <c r="Y18" i="6"/>
  <c r="W18" i="6"/>
  <c r="V18" i="6"/>
  <c r="U18" i="6"/>
  <c r="R18" i="6"/>
  <c r="T18" i="6"/>
  <c r="P18" i="6"/>
  <c r="S18" i="6"/>
  <c r="O18" i="6"/>
  <c r="Q18" i="6"/>
  <c r="M18" i="6"/>
  <c r="L18" i="6"/>
  <c r="AY19" i="6"/>
  <c r="AX19" i="6"/>
  <c r="AW19" i="6"/>
  <c r="AV19" i="6"/>
  <c r="AU19" i="6"/>
  <c r="AR19" i="6"/>
  <c r="AQ19" i="6"/>
  <c r="AP19" i="6"/>
  <c r="AO19" i="6"/>
  <c r="AN19" i="6"/>
  <c r="AS19" i="6"/>
  <c r="AT19" i="6"/>
  <c r="AM19" i="6"/>
  <c r="AK19" i="6"/>
  <c r="AL19" i="6"/>
  <c r="X21" i="6"/>
  <c r="Z21" i="6"/>
  <c r="Y21" i="6"/>
  <c r="W21" i="6"/>
  <c r="V21" i="6"/>
  <c r="U21" i="6"/>
  <c r="R21" i="6"/>
  <c r="T21" i="6"/>
  <c r="P21" i="6"/>
  <c r="O21" i="6"/>
  <c r="S21" i="6"/>
  <c r="Q21" i="6"/>
  <c r="M21" i="6"/>
  <c r="L21" i="6"/>
  <c r="AY22" i="6"/>
  <c r="AX22" i="6"/>
  <c r="AW22" i="6"/>
  <c r="AV22" i="6"/>
  <c r="AU22" i="6"/>
  <c r="AS22" i="6"/>
  <c r="AR22" i="6"/>
  <c r="AQ22" i="6"/>
  <c r="AP22" i="6"/>
  <c r="AO22" i="6"/>
  <c r="AN22" i="6"/>
  <c r="AT22" i="6"/>
  <c r="AK22" i="6"/>
  <c r="AL22" i="6"/>
  <c r="AM22" i="6"/>
  <c r="X24" i="6"/>
  <c r="Y24" i="6"/>
  <c r="Z24" i="6"/>
  <c r="W24" i="6"/>
  <c r="V24" i="6"/>
  <c r="U24" i="6"/>
  <c r="R24" i="6"/>
  <c r="T24" i="6"/>
  <c r="S24" i="6"/>
  <c r="P24" i="6"/>
  <c r="O24" i="6"/>
  <c r="Q24" i="6"/>
  <c r="M24" i="6"/>
  <c r="L24" i="6"/>
  <c r="AY25" i="6"/>
  <c r="AX25" i="6"/>
  <c r="AW25" i="6"/>
  <c r="AV25" i="6"/>
  <c r="AU25" i="6"/>
  <c r="AT25" i="6"/>
  <c r="AS25" i="6"/>
  <c r="AR25" i="6"/>
  <c r="AQ25" i="6"/>
  <c r="AP25" i="6"/>
  <c r="AO25" i="6"/>
  <c r="AN25" i="6"/>
  <c r="AM25" i="6"/>
  <c r="AK25" i="6"/>
  <c r="AL25" i="6"/>
  <c r="Z27" i="6"/>
  <c r="X27" i="6"/>
  <c r="Y27" i="6"/>
  <c r="W27" i="6"/>
  <c r="V27" i="6"/>
  <c r="U27" i="6"/>
  <c r="R27" i="6"/>
  <c r="T27" i="6"/>
  <c r="P27" i="6"/>
  <c r="S27" i="6"/>
  <c r="O27" i="6"/>
  <c r="Q27" i="6"/>
  <c r="M27" i="6"/>
  <c r="L27" i="6"/>
  <c r="AY28" i="6"/>
  <c r="AX28" i="6"/>
  <c r="AW28" i="6"/>
  <c r="AV28" i="6"/>
  <c r="AU28" i="6"/>
  <c r="AS28" i="6"/>
  <c r="AR28" i="6"/>
  <c r="AQ28" i="6"/>
  <c r="AP28" i="6"/>
  <c r="AO28" i="6"/>
  <c r="AN28" i="6"/>
  <c r="AT28" i="6"/>
  <c r="AM28" i="6"/>
  <c r="AK28" i="6"/>
  <c r="AL28" i="6"/>
  <c r="X30" i="6"/>
  <c r="Z30" i="6"/>
  <c r="Y30" i="6"/>
  <c r="W30" i="6"/>
  <c r="V30" i="6"/>
  <c r="U30" i="6"/>
  <c r="R30" i="6"/>
  <c r="T30" i="6"/>
  <c r="P30" i="6"/>
  <c r="O30" i="6"/>
  <c r="S30" i="6"/>
  <c r="Q30" i="6"/>
  <c r="M30" i="6"/>
  <c r="L30" i="6"/>
  <c r="AY31" i="6"/>
  <c r="AX31" i="6"/>
  <c r="AW31" i="6"/>
  <c r="AV31" i="6"/>
  <c r="AU31" i="6"/>
  <c r="AS31" i="6"/>
  <c r="AR31" i="6"/>
  <c r="AQ31" i="6"/>
  <c r="AP31" i="6"/>
  <c r="AO31" i="6"/>
  <c r="AN31" i="6"/>
  <c r="AT31" i="6"/>
  <c r="AM31" i="6"/>
  <c r="AK31" i="6"/>
  <c r="AL31" i="6"/>
  <c r="X33" i="6"/>
  <c r="Z33" i="6"/>
  <c r="Y33" i="6"/>
  <c r="W33" i="6"/>
  <c r="V33" i="6"/>
  <c r="U33" i="6"/>
  <c r="R33" i="6"/>
  <c r="T33" i="6"/>
  <c r="S33" i="6"/>
  <c r="P33" i="6"/>
  <c r="O33" i="6"/>
  <c r="Q33" i="6"/>
  <c r="M33" i="6"/>
  <c r="L33" i="6"/>
  <c r="AY34" i="6"/>
  <c r="AX34" i="6"/>
  <c r="AW34" i="6"/>
  <c r="AV34" i="6"/>
  <c r="AU34" i="6"/>
  <c r="AT34" i="6"/>
  <c r="AS34" i="6"/>
  <c r="AR34" i="6"/>
  <c r="AQ34" i="6"/>
  <c r="AP34" i="6"/>
  <c r="AO34" i="6"/>
  <c r="AN34" i="6"/>
  <c r="AM34" i="6"/>
  <c r="AK34" i="6"/>
  <c r="AL34" i="6"/>
  <c r="Z36" i="6"/>
  <c r="X36" i="6"/>
  <c r="Y36" i="6"/>
  <c r="W36" i="6"/>
  <c r="V36" i="6"/>
  <c r="U36" i="6"/>
  <c r="R36" i="6"/>
  <c r="T36" i="6"/>
  <c r="P36" i="6"/>
  <c r="S36" i="6"/>
  <c r="O36" i="6"/>
  <c r="Q36" i="6"/>
  <c r="M36" i="6"/>
  <c r="L36" i="6"/>
  <c r="AY37" i="6"/>
  <c r="AX37" i="6"/>
  <c r="AW37" i="6"/>
  <c r="AV37" i="6"/>
  <c r="AU37" i="6"/>
  <c r="AS37" i="6"/>
  <c r="AR37" i="6"/>
  <c r="AQ37" i="6"/>
  <c r="AP37" i="6"/>
  <c r="AO37" i="6"/>
  <c r="AN37" i="6"/>
  <c r="AT37" i="6"/>
  <c r="AM37" i="6"/>
  <c r="AK37" i="6"/>
  <c r="AL37" i="6"/>
  <c r="X39" i="6"/>
  <c r="Z39" i="6"/>
  <c r="Y39" i="6"/>
  <c r="W39" i="6"/>
  <c r="V39" i="6"/>
  <c r="U39" i="6"/>
  <c r="R39" i="6"/>
  <c r="T39" i="6"/>
  <c r="P39" i="6"/>
  <c r="O39" i="6"/>
  <c r="S39" i="6"/>
  <c r="Q39" i="6"/>
  <c r="M39" i="6"/>
  <c r="L39" i="6"/>
  <c r="AY40" i="6"/>
  <c r="AX40" i="6"/>
  <c r="AW40" i="6"/>
  <c r="AV40" i="6"/>
  <c r="AU40" i="6"/>
  <c r="AS40" i="6"/>
  <c r="AR40" i="6"/>
  <c r="AQ40" i="6"/>
  <c r="AP40" i="6"/>
  <c r="AO40" i="6"/>
  <c r="AN40" i="6"/>
  <c r="AT40" i="6"/>
  <c r="AM40" i="6"/>
  <c r="AK40" i="6"/>
  <c r="AL40" i="6"/>
  <c r="X42" i="6"/>
  <c r="Y42" i="6"/>
  <c r="Z42" i="6"/>
  <c r="W42" i="6"/>
  <c r="V42" i="6"/>
  <c r="U42" i="6"/>
  <c r="R42" i="6"/>
  <c r="T42" i="6"/>
  <c r="S42" i="6"/>
  <c r="P42" i="6"/>
  <c r="O42" i="6"/>
  <c r="Q42" i="6"/>
  <c r="M42" i="6"/>
  <c r="L42" i="6"/>
  <c r="AY43" i="6"/>
  <c r="AX43" i="6"/>
  <c r="AW43" i="6"/>
  <c r="AV43" i="6"/>
  <c r="AU43" i="6"/>
  <c r="AT43" i="6"/>
  <c r="AS43" i="6"/>
  <c r="AR43" i="6"/>
  <c r="AQ43" i="6"/>
  <c r="AP43" i="6"/>
  <c r="AO43" i="6"/>
  <c r="AN43" i="6"/>
  <c r="AM43" i="6"/>
  <c r="AK43" i="6"/>
  <c r="AL43" i="6"/>
  <c r="Z45" i="6"/>
  <c r="X45" i="6"/>
  <c r="Y45" i="6"/>
  <c r="W45" i="6"/>
  <c r="V45" i="6"/>
  <c r="U45" i="6"/>
  <c r="R45" i="6"/>
  <c r="T45" i="6"/>
  <c r="P45" i="6"/>
  <c r="S45" i="6"/>
  <c r="O45" i="6"/>
  <c r="Q45" i="6"/>
  <c r="M45" i="6"/>
  <c r="L45" i="6"/>
  <c r="AY46" i="6"/>
  <c r="AX46" i="6"/>
  <c r="AW46" i="6"/>
  <c r="AV46" i="6"/>
  <c r="AU46" i="6"/>
  <c r="AS46" i="6"/>
  <c r="AR46" i="6"/>
  <c r="AQ46" i="6"/>
  <c r="AP46" i="6"/>
  <c r="AO46" i="6"/>
  <c r="AN46" i="6"/>
  <c r="AT46" i="6"/>
  <c r="AM46" i="6"/>
  <c r="AK46" i="6"/>
  <c r="AL46" i="6"/>
  <c r="X48" i="6"/>
  <c r="Z48" i="6"/>
  <c r="Y48" i="6"/>
  <c r="W48" i="6"/>
  <c r="V48" i="6"/>
  <c r="U48" i="6"/>
  <c r="R48" i="6"/>
  <c r="T48" i="6"/>
  <c r="P48" i="6"/>
  <c r="O48" i="6"/>
  <c r="S48" i="6"/>
  <c r="Q48" i="6"/>
  <c r="M48" i="6"/>
  <c r="L48" i="6"/>
  <c r="AY49" i="6"/>
  <c r="AX49" i="6"/>
  <c r="AW49" i="6"/>
  <c r="AV49" i="6"/>
  <c r="AU49" i="6"/>
  <c r="AS49" i="6"/>
  <c r="AR49" i="6"/>
  <c r="AQ49" i="6"/>
  <c r="AP49" i="6"/>
  <c r="AO49" i="6"/>
  <c r="AN49" i="6"/>
  <c r="AT49" i="6"/>
  <c r="AM49" i="6"/>
  <c r="AK49" i="6"/>
  <c r="AL49" i="6"/>
  <c r="X51" i="6"/>
  <c r="Y51" i="6"/>
  <c r="Z51" i="6"/>
  <c r="W51" i="6"/>
  <c r="V51" i="6"/>
  <c r="U51" i="6"/>
  <c r="R51" i="6"/>
  <c r="T51" i="6"/>
  <c r="S51" i="6"/>
  <c r="P51" i="6"/>
  <c r="O51" i="6"/>
  <c r="Q51" i="6"/>
  <c r="M51" i="6"/>
  <c r="L51" i="6"/>
  <c r="AY52" i="6"/>
  <c r="AX52" i="6"/>
  <c r="AW52" i="6"/>
  <c r="AV52" i="6"/>
  <c r="AU52" i="6"/>
  <c r="AT52" i="6"/>
  <c r="AS52" i="6"/>
  <c r="AR52" i="6"/>
  <c r="AQ52" i="6"/>
  <c r="AP52" i="6"/>
  <c r="AO52" i="6"/>
  <c r="AN52" i="6"/>
  <c r="AM52" i="6"/>
  <c r="AK52" i="6"/>
  <c r="AL52" i="6"/>
  <c r="Z54" i="6"/>
  <c r="X54" i="6"/>
  <c r="Y54" i="6"/>
  <c r="W54" i="6"/>
  <c r="V54" i="6"/>
  <c r="U54" i="6"/>
  <c r="R54" i="6"/>
  <c r="T54" i="6"/>
  <c r="P54" i="6"/>
  <c r="S54" i="6"/>
  <c r="O54" i="6"/>
  <c r="Q54" i="6"/>
  <c r="M54" i="6"/>
  <c r="L54" i="6"/>
  <c r="AY55" i="6"/>
  <c r="AX55" i="6"/>
  <c r="AW55" i="6"/>
  <c r="AV55" i="6"/>
  <c r="AU55" i="6"/>
  <c r="AS55" i="6"/>
  <c r="AR55" i="6"/>
  <c r="AQ55" i="6"/>
  <c r="AP55" i="6"/>
  <c r="AO55" i="6"/>
  <c r="AN55" i="6"/>
  <c r="AT55" i="6"/>
  <c r="AM55" i="6"/>
  <c r="AK55" i="6"/>
  <c r="AL55" i="6"/>
  <c r="X57" i="6"/>
  <c r="Z57" i="6"/>
  <c r="Y57" i="6"/>
  <c r="W57" i="6"/>
  <c r="V57" i="6"/>
  <c r="U57" i="6"/>
  <c r="R57" i="6"/>
  <c r="T57" i="6"/>
  <c r="P57" i="6"/>
  <c r="O57" i="6"/>
  <c r="S57" i="6"/>
  <c r="Q57" i="6"/>
  <c r="M57" i="6"/>
  <c r="L57" i="6"/>
  <c r="AY58" i="6"/>
  <c r="AX58" i="6"/>
  <c r="AW58" i="6"/>
  <c r="AV58" i="6"/>
  <c r="AU58" i="6"/>
  <c r="AS58" i="6"/>
  <c r="AR58" i="6"/>
  <c r="AQ58" i="6"/>
  <c r="AP58" i="6"/>
  <c r="AO58" i="6"/>
  <c r="AN58" i="6"/>
  <c r="AT58" i="6"/>
  <c r="AM58" i="6"/>
  <c r="AK58" i="6"/>
  <c r="AL58" i="6"/>
  <c r="X60" i="6"/>
  <c r="Z60" i="6"/>
  <c r="Y60" i="6"/>
  <c r="W60" i="6"/>
  <c r="U60" i="6"/>
  <c r="R60" i="6"/>
  <c r="T60" i="6"/>
  <c r="V60" i="6"/>
  <c r="S60" i="6"/>
  <c r="P60" i="6"/>
  <c r="O60" i="6"/>
  <c r="Q60" i="6"/>
  <c r="M60" i="6"/>
  <c r="L60" i="6"/>
  <c r="AY61" i="6"/>
  <c r="AX61" i="6"/>
  <c r="AW61" i="6"/>
  <c r="AV61" i="6"/>
  <c r="AU61" i="6"/>
  <c r="AT61" i="6"/>
  <c r="AS61" i="6"/>
  <c r="AR61" i="6"/>
  <c r="AQ61" i="6"/>
  <c r="AP61" i="6"/>
  <c r="AO61" i="6"/>
  <c r="AN61" i="6"/>
  <c r="AM61" i="6"/>
  <c r="AK61" i="6"/>
  <c r="AL61" i="6"/>
  <c r="Z63" i="6"/>
  <c r="X63" i="6"/>
  <c r="Y63" i="6"/>
  <c r="W63" i="6"/>
  <c r="U63" i="6"/>
  <c r="R63" i="6"/>
  <c r="V63" i="6"/>
  <c r="T63" i="6"/>
  <c r="P63" i="6"/>
  <c r="S63" i="6"/>
  <c r="O63" i="6"/>
  <c r="Q63" i="6"/>
  <c r="M63" i="6"/>
  <c r="L63" i="6"/>
  <c r="AY64" i="6"/>
  <c r="AX64" i="6"/>
  <c r="AW64" i="6"/>
  <c r="AV64" i="6"/>
  <c r="AU64" i="6"/>
  <c r="AS64" i="6"/>
  <c r="AR64" i="6"/>
  <c r="AQ64" i="6"/>
  <c r="AP64" i="6"/>
  <c r="AO64" i="6"/>
  <c r="AN64" i="6"/>
  <c r="AT64" i="6"/>
  <c r="AM64" i="6"/>
  <c r="AK64" i="6"/>
  <c r="AL64" i="6"/>
  <c r="X66" i="6"/>
  <c r="Z66" i="6"/>
  <c r="Y66" i="6"/>
  <c r="W66" i="6"/>
  <c r="V66" i="6"/>
  <c r="U66" i="6"/>
  <c r="R66" i="6"/>
  <c r="T66" i="6"/>
  <c r="P66" i="6"/>
  <c r="O66" i="6"/>
  <c r="S66" i="6"/>
  <c r="Q66" i="6"/>
  <c r="M66" i="6"/>
  <c r="L66" i="6"/>
  <c r="AY67" i="6"/>
  <c r="AX67" i="6"/>
  <c r="AW67" i="6"/>
  <c r="AV67" i="6"/>
  <c r="AU67" i="6"/>
  <c r="AS67" i="6"/>
  <c r="AR67" i="6"/>
  <c r="AQ67" i="6"/>
  <c r="AP67" i="6"/>
  <c r="AO67" i="6"/>
  <c r="AN67" i="6"/>
  <c r="AT67" i="6"/>
  <c r="AM67" i="6"/>
  <c r="AK67" i="6"/>
  <c r="AL67" i="6"/>
  <c r="X69" i="6"/>
  <c r="Y69" i="6"/>
  <c r="Z69" i="6"/>
  <c r="W69" i="6"/>
  <c r="U69" i="6"/>
  <c r="R69" i="6"/>
  <c r="T69" i="6"/>
  <c r="V69" i="6"/>
  <c r="S69" i="6"/>
  <c r="P69" i="6"/>
  <c r="O69" i="6"/>
  <c r="Q69" i="6"/>
  <c r="M69" i="6"/>
  <c r="L69" i="6"/>
  <c r="AY70" i="6"/>
  <c r="AX70" i="6"/>
  <c r="AW70" i="6"/>
  <c r="AV70" i="6"/>
  <c r="AU70" i="6"/>
  <c r="AT70" i="6"/>
  <c r="AS70" i="6"/>
  <c r="AR70" i="6"/>
  <c r="AQ70" i="6"/>
  <c r="AP70" i="6"/>
  <c r="AO70" i="6"/>
  <c r="AN70" i="6"/>
  <c r="AM70" i="6"/>
  <c r="AK70" i="6"/>
  <c r="AL70" i="6"/>
  <c r="Z72" i="6"/>
  <c r="X72" i="6"/>
  <c r="W72" i="6"/>
  <c r="Y72" i="6"/>
  <c r="U72" i="6"/>
  <c r="R72" i="6"/>
  <c r="V72" i="6"/>
  <c r="T72" i="6"/>
  <c r="P72" i="6"/>
  <c r="S72" i="6"/>
  <c r="O72" i="6"/>
  <c r="Q72" i="6"/>
  <c r="M72" i="6"/>
  <c r="L72" i="6"/>
  <c r="AY73" i="6"/>
  <c r="AX73" i="6"/>
  <c r="AW73" i="6"/>
  <c r="AV73" i="6"/>
  <c r="AU73" i="6"/>
  <c r="AS73" i="6"/>
  <c r="AR73" i="6"/>
  <c r="AQ73" i="6"/>
  <c r="AP73" i="6"/>
  <c r="AO73" i="6"/>
  <c r="AN73" i="6"/>
  <c r="AT73" i="6"/>
  <c r="AM73" i="6"/>
  <c r="AK73" i="6"/>
  <c r="AL73" i="6"/>
  <c r="X75" i="6"/>
  <c r="Z75" i="6"/>
  <c r="Y75" i="6"/>
  <c r="W75" i="6"/>
  <c r="V75" i="6"/>
  <c r="U75" i="6"/>
  <c r="R75" i="6"/>
  <c r="T75" i="6"/>
  <c r="P75" i="6"/>
  <c r="O75" i="6"/>
  <c r="S75" i="6"/>
  <c r="Q75" i="6"/>
  <c r="M75" i="6"/>
  <c r="L75" i="6"/>
  <c r="AY76" i="6"/>
  <c r="AX76" i="6"/>
  <c r="AW76" i="6"/>
  <c r="AV76" i="6"/>
  <c r="AU76" i="6"/>
  <c r="AS76" i="6"/>
  <c r="AR76" i="6"/>
  <c r="AQ76" i="6"/>
  <c r="AP76" i="6"/>
  <c r="AO76" i="6"/>
  <c r="AN76" i="6"/>
  <c r="AT76" i="6"/>
  <c r="AM76" i="6"/>
  <c r="AK76" i="6"/>
  <c r="AL76" i="6"/>
  <c r="X78" i="6"/>
  <c r="Y78" i="6"/>
  <c r="Z78" i="6"/>
  <c r="W78" i="6"/>
  <c r="U78" i="6"/>
  <c r="R78" i="6"/>
  <c r="T78" i="6"/>
  <c r="V78" i="6"/>
  <c r="S78" i="6"/>
  <c r="P78" i="6"/>
  <c r="O78" i="6"/>
  <c r="Q78" i="6"/>
  <c r="M78" i="6"/>
  <c r="L78" i="6"/>
  <c r="AY79" i="6"/>
  <c r="AX79" i="6"/>
  <c r="AW79" i="6"/>
  <c r="AV79" i="6"/>
  <c r="AU79" i="6"/>
  <c r="AT79" i="6"/>
  <c r="AS79" i="6"/>
  <c r="AR79" i="6"/>
  <c r="AQ79" i="6"/>
  <c r="AP79" i="6"/>
  <c r="AO79" i="6"/>
  <c r="AN79" i="6"/>
  <c r="AM79" i="6"/>
  <c r="AK79" i="6"/>
  <c r="AL79" i="6"/>
  <c r="Z81" i="6"/>
  <c r="X81" i="6"/>
  <c r="Y81" i="6"/>
  <c r="W81" i="6"/>
  <c r="U81" i="6"/>
  <c r="R81" i="6"/>
  <c r="V81" i="6"/>
  <c r="T81" i="6"/>
  <c r="P81" i="6"/>
  <c r="S81" i="6"/>
  <c r="O81" i="6"/>
  <c r="Q81" i="6"/>
  <c r="M81" i="6"/>
  <c r="L81" i="6"/>
  <c r="AY82" i="6"/>
  <c r="AX82" i="6"/>
  <c r="AW82" i="6"/>
  <c r="AV82" i="6"/>
  <c r="AU82" i="6"/>
  <c r="AS82" i="6"/>
  <c r="AR82" i="6"/>
  <c r="AQ82" i="6"/>
  <c r="AP82" i="6"/>
  <c r="AO82" i="6"/>
  <c r="AN82" i="6"/>
  <c r="AT82" i="6"/>
  <c r="AM82" i="6"/>
  <c r="AK82" i="6"/>
  <c r="AL82" i="6"/>
  <c r="X84" i="6"/>
  <c r="Z84" i="6"/>
  <c r="Y84" i="6"/>
  <c r="W84" i="6"/>
  <c r="V84" i="6"/>
  <c r="U84" i="6"/>
  <c r="R84" i="6"/>
  <c r="T84" i="6"/>
  <c r="P84" i="6"/>
  <c r="O84" i="6"/>
  <c r="S84" i="6"/>
  <c r="Q84" i="6"/>
  <c r="M84" i="6"/>
  <c r="L84" i="6"/>
  <c r="AY85" i="6"/>
  <c r="AX85" i="6"/>
  <c r="AW85" i="6"/>
  <c r="AV85" i="6"/>
  <c r="AU85" i="6"/>
  <c r="AS85" i="6"/>
  <c r="AR85" i="6"/>
  <c r="AQ85" i="6"/>
  <c r="AP85" i="6"/>
  <c r="AO85" i="6"/>
  <c r="AN85" i="6"/>
  <c r="AT85" i="6"/>
  <c r="AM85" i="6"/>
  <c r="AK85" i="6"/>
  <c r="AL85" i="6"/>
  <c r="X87" i="6"/>
  <c r="Z87" i="6"/>
  <c r="Y87" i="6"/>
  <c r="W87" i="6"/>
  <c r="U87" i="6"/>
  <c r="R87" i="6"/>
  <c r="T87" i="6"/>
  <c r="V87" i="6"/>
  <c r="S87" i="6"/>
  <c r="P87" i="6"/>
  <c r="O87" i="6"/>
  <c r="Q87" i="6"/>
  <c r="M87" i="6"/>
  <c r="L87" i="6"/>
  <c r="AY88" i="6"/>
  <c r="AX88" i="6"/>
  <c r="AW88" i="6"/>
  <c r="AV88" i="6"/>
  <c r="AU88" i="6"/>
  <c r="AT88" i="6"/>
  <c r="AS88" i="6"/>
  <c r="AR88" i="6"/>
  <c r="AQ88" i="6"/>
  <c r="AP88" i="6"/>
  <c r="AO88" i="6"/>
  <c r="AN88" i="6"/>
  <c r="AM88" i="6"/>
  <c r="AK88" i="6"/>
  <c r="AL88" i="6"/>
  <c r="Z90" i="6"/>
  <c r="X90" i="6"/>
  <c r="W90" i="6"/>
  <c r="Y90" i="6"/>
  <c r="U90" i="6"/>
  <c r="R90" i="6"/>
  <c r="V90" i="6"/>
  <c r="T90" i="6"/>
  <c r="P90" i="6"/>
  <c r="S90" i="6"/>
  <c r="O90" i="6"/>
  <c r="Q90" i="6"/>
  <c r="M90" i="6"/>
  <c r="L90" i="6"/>
  <c r="AY91" i="6"/>
  <c r="AX91" i="6"/>
  <c r="AW91" i="6"/>
  <c r="AV91" i="6"/>
  <c r="AU91" i="6"/>
  <c r="AS91" i="6"/>
  <c r="AR91" i="6"/>
  <c r="AQ91" i="6"/>
  <c r="AP91" i="6"/>
  <c r="AO91" i="6"/>
  <c r="AN91" i="6"/>
  <c r="AT91" i="6"/>
  <c r="AM91" i="6"/>
  <c r="AK91" i="6"/>
  <c r="AL91" i="6"/>
  <c r="AY6" i="6"/>
  <c r="AX6" i="6"/>
  <c r="AW6" i="6"/>
  <c r="AV6" i="6"/>
  <c r="AU6" i="6"/>
  <c r="AT6" i="6"/>
  <c r="AS6" i="6"/>
  <c r="AR6" i="6"/>
  <c r="AQ6" i="6"/>
  <c r="AP6" i="6"/>
  <c r="AO6" i="6"/>
  <c r="AM6" i="6"/>
  <c r="AK6" i="6"/>
  <c r="AL6" i="6"/>
  <c r="AN6" i="6"/>
  <c r="AY12" i="6"/>
  <c r="AX12" i="6"/>
  <c r="AW12" i="6"/>
  <c r="AV12" i="6"/>
  <c r="AU12" i="6"/>
  <c r="AT12" i="6"/>
  <c r="AS12" i="6"/>
  <c r="AR12" i="6"/>
  <c r="AQ12" i="6"/>
  <c r="AP12" i="6"/>
  <c r="AO12" i="6"/>
  <c r="AK12" i="6"/>
  <c r="AL12" i="6"/>
  <c r="AN12" i="6"/>
  <c r="AM12" i="6"/>
  <c r="AY15" i="6"/>
  <c r="AX15" i="6"/>
  <c r="AW15" i="6"/>
  <c r="AV15" i="6"/>
  <c r="AU15" i="6"/>
  <c r="AT15" i="6"/>
  <c r="AS15" i="6"/>
  <c r="AR15" i="6"/>
  <c r="AQ15" i="6"/>
  <c r="AP15" i="6"/>
  <c r="AO15" i="6"/>
  <c r="AM15" i="6"/>
  <c r="AK15" i="6"/>
  <c r="AL15" i="6"/>
  <c r="AN15" i="6"/>
  <c r="AY18" i="6"/>
  <c r="AX18" i="6"/>
  <c r="AW18" i="6"/>
  <c r="AV18" i="6"/>
  <c r="AU18" i="6"/>
  <c r="AT18" i="6"/>
  <c r="AS18" i="6"/>
  <c r="AR18" i="6"/>
  <c r="AQ18" i="6"/>
  <c r="AP18" i="6"/>
  <c r="AO18" i="6"/>
  <c r="AN18" i="6"/>
  <c r="AK18" i="6"/>
  <c r="AL18" i="6"/>
  <c r="AM18" i="6"/>
  <c r="Z23" i="6"/>
  <c r="Y23" i="6"/>
  <c r="V23" i="6"/>
  <c r="X23" i="6"/>
  <c r="W23" i="6"/>
  <c r="T23" i="6"/>
  <c r="S23" i="6"/>
  <c r="U23" i="6"/>
  <c r="R23" i="6"/>
  <c r="O23" i="6"/>
  <c r="Q23" i="6"/>
  <c r="P23" i="6"/>
  <c r="L23" i="6"/>
  <c r="M23" i="6"/>
  <c r="Z26" i="6"/>
  <c r="Y26" i="6"/>
  <c r="V26" i="6"/>
  <c r="X26" i="6"/>
  <c r="W26" i="6"/>
  <c r="T26" i="6"/>
  <c r="S26" i="6"/>
  <c r="U26" i="6"/>
  <c r="O26" i="6"/>
  <c r="Q26" i="6"/>
  <c r="R26" i="6"/>
  <c r="P26" i="6"/>
  <c r="L26" i="6"/>
  <c r="M26" i="6"/>
  <c r="AY30" i="6"/>
  <c r="AX30" i="6"/>
  <c r="AW30" i="6"/>
  <c r="AV30" i="6"/>
  <c r="AU30" i="6"/>
  <c r="AT30" i="6"/>
  <c r="AS30" i="6"/>
  <c r="AR30" i="6"/>
  <c r="AQ30" i="6"/>
  <c r="AP30" i="6"/>
  <c r="AO30" i="6"/>
  <c r="AM30" i="6"/>
  <c r="AK30" i="6"/>
  <c r="AL30" i="6"/>
  <c r="AN30" i="6"/>
  <c r="Z32" i="6"/>
  <c r="Y32" i="6"/>
  <c r="V32" i="6"/>
  <c r="X32" i="6"/>
  <c r="W32" i="6"/>
  <c r="T32" i="6"/>
  <c r="S32" i="6"/>
  <c r="U32" i="6"/>
  <c r="R32" i="6"/>
  <c r="O32" i="6"/>
  <c r="Q32" i="6"/>
  <c r="P32" i="6"/>
  <c r="L32" i="6"/>
  <c r="M32" i="6"/>
  <c r="Z35" i="6"/>
  <c r="Y35" i="6"/>
  <c r="X35" i="6"/>
  <c r="V35" i="6"/>
  <c r="W35" i="6"/>
  <c r="T35" i="6"/>
  <c r="S35" i="6"/>
  <c r="U35" i="6"/>
  <c r="O35" i="6"/>
  <c r="Q35" i="6"/>
  <c r="R35" i="6"/>
  <c r="P35" i="6"/>
  <c r="L35" i="6"/>
  <c r="M35" i="6"/>
  <c r="Y38" i="6"/>
  <c r="Z38" i="6"/>
  <c r="X38" i="6"/>
  <c r="V38" i="6"/>
  <c r="W38" i="6"/>
  <c r="T38" i="6"/>
  <c r="S38" i="6"/>
  <c r="U38" i="6"/>
  <c r="O38" i="6"/>
  <c r="R38" i="6"/>
  <c r="Q38" i="6"/>
  <c r="P38" i="6"/>
  <c r="L38" i="6"/>
  <c r="M38" i="6"/>
  <c r="AY42" i="6"/>
  <c r="AX42" i="6"/>
  <c r="AW42" i="6"/>
  <c r="AV42" i="6"/>
  <c r="AU42" i="6"/>
  <c r="AT42" i="6"/>
  <c r="AS42" i="6"/>
  <c r="AR42" i="6"/>
  <c r="AQ42" i="6"/>
  <c r="AP42" i="6"/>
  <c r="AO42" i="6"/>
  <c r="AM42" i="6"/>
  <c r="AK42" i="6"/>
  <c r="AL42" i="6"/>
  <c r="AN42" i="6"/>
  <c r="Z47" i="6"/>
  <c r="Y47" i="6"/>
  <c r="X47" i="6"/>
  <c r="V47" i="6"/>
  <c r="W47" i="6"/>
  <c r="T47" i="6"/>
  <c r="S47" i="6"/>
  <c r="U47" i="6"/>
  <c r="O47" i="6"/>
  <c r="R47" i="6"/>
  <c r="Q47" i="6"/>
  <c r="P47" i="6"/>
  <c r="L47" i="6"/>
  <c r="M47" i="6"/>
  <c r="Z50" i="6"/>
  <c r="Y50" i="6"/>
  <c r="V50" i="6"/>
  <c r="X50" i="6"/>
  <c r="W50" i="6"/>
  <c r="T50" i="6"/>
  <c r="S50" i="6"/>
  <c r="U50" i="6"/>
  <c r="R50" i="6"/>
  <c r="O50" i="6"/>
  <c r="Q50" i="6"/>
  <c r="P50" i="6"/>
  <c r="L50" i="6"/>
  <c r="M50" i="6"/>
  <c r="AY51" i="6"/>
  <c r="AX51" i="6"/>
  <c r="AW51" i="6"/>
  <c r="AV51" i="6"/>
  <c r="AU51" i="6"/>
  <c r="AT51" i="6"/>
  <c r="AS51" i="6"/>
  <c r="AR51" i="6"/>
  <c r="AQ51" i="6"/>
  <c r="AP51" i="6"/>
  <c r="AM51" i="6"/>
  <c r="AK51" i="6"/>
  <c r="AL51" i="6"/>
  <c r="AO51" i="6"/>
  <c r="AN51" i="6"/>
  <c r="AY54" i="6"/>
  <c r="AX54" i="6"/>
  <c r="AW54" i="6"/>
  <c r="AV54" i="6"/>
  <c r="AU54" i="6"/>
  <c r="AT54" i="6"/>
  <c r="AS54" i="6"/>
  <c r="AR54" i="6"/>
  <c r="AQ54" i="6"/>
  <c r="AP54" i="6"/>
  <c r="AN54" i="6"/>
  <c r="AM54" i="6"/>
  <c r="AK54" i="6"/>
  <c r="AL54" i="6"/>
  <c r="AO54" i="6"/>
  <c r="AY57" i="6"/>
  <c r="AX57" i="6"/>
  <c r="AW57" i="6"/>
  <c r="AV57" i="6"/>
  <c r="AU57" i="6"/>
  <c r="AT57" i="6"/>
  <c r="AS57" i="6"/>
  <c r="AR57" i="6"/>
  <c r="AQ57" i="6"/>
  <c r="AP57" i="6"/>
  <c r="AO57" i="6"/>
  <c r="AM57" i="6"/>
  <c r="AK57" i="6"/>
  <c r="AL57" i="6"/>
  <c r="AN57" i="6"/>
  <c r="AY60" i="6"/>
  <c r="AX60" i="6"/>
  <c r="AW60" i="6"/>
  <c r="AV60" i="6"/>
  <c r="AU60" i="6"/>
  <c r="AT60" i="6"/>
  <c r="AS60" i="6"/>
  <c r="AR60" i="6"/>
  <c r="AQ60" i="6"/>
  <c r="AP60" i="6"/>
  <c r="AM60" i="6"/>
  <c r="AK60" i="6"/>
  <c r="AL60" i="6"/>
  <c r="AO60" i="6"/>
  <c r="AN60" i="6"/>
  <c r="Z62" i="6"/>
  <c r="Y62" i="6"/>
  <c r="X62" i="6"/>
  <c r="V62" i="6"/>
  <c r="W62" i="6"/>
  <c r="T62" i="6"/>
  <c r="S62" i="6"/>
  <c r="U62" i="6"/>
  <c r="O62" i="6"/>
  <c r="Q62" i="6"/>
  <c r="R62" i="6"/>
  <c r="P62" i="6"/>
  <c r="L62" i="6"/>
  <c r="M62" i="6"/>
  <c r="AY63" i="6"/>
  <c r="AX63" i="6"/>
  <c r="AW63" i="6"/>
  <c r="AV63" i="6"/>
  <c r="AU63" i="6"/>
  <c r="AT63" i="6"/>
  <c r="AS63" i="6"/>
  <c r="AR63" i="6"/>
  <c r="AQ63" i="6"/>
  <c r="AP63" i="6"/>
  <c r="AN63" i="6"/>
  <c r="AM63" i="6"/>
  <c r="AK63" i="6"/>
  <c r="AL63" i="6"/>
  <c r="AO63" i="6"/>
  <c r="Y65" i="6"/>
  <c r="Z65" i="6"/>
  <c r="X65" i="6"/>
  <c r="V65" i="6"/>
  <c r="W65" i="6"/>
  <c r="T65" i="6"/>
  <c r="S65" i="6"/>
  <c r="U65" i="6"/>
  <c r="O65" i="6"/>
  <c r="R65" i="6"/>
  <c r="Q65" i="6"/>
  <c r="P65" i="6"/>
  <c r="L65" i="6"/>
  <c r="M65" i="6"/>
  <c r="AY66" i="6"/>
  <c r="AX66" i="6"/>
  <c r="AW66" i="6"/>
  <c r="AV66" i="6"/>
  <c r="AU66" i="6"/>
  <c r="AT66" i="6"/>
  <c r="AS66" i="6"/>
  <c r="AR66" i="6"/>
  <c r="AQ66" i="6"/>
  <c r="AP66" i="6"/>
  <c r="AO66" i="6"/>
  <c r="AM66" i="6"/>
  <c r="AK66" i="6"/>
  <c r="AL66" i="6"/>
  <c r="AN66" i="6"/>
  <c r="Z68" i="6"/>
  <c r="Y68" i="6"/>
  <c r="X68" i="6"/>
  <c r="V68" i="6"/>
  <c r="W68" i="6"/>
  <c r="T68" i="6"/>
  <c r="S68" i="6"/>
  <c r="U68" i="6"/>
  <c r="R68" i="6"/>
  <c r="O68" i="6"/>
  <c r="Q68" i="6"/>
  <c r="P68" i="6"/>
  <c r="L68" i="6"/>
  <c r="M68" i="6"/>
  <c r="Z71" i="6"/>
  <c r="Y71" i="6"/>
  <c r="V71" i="6"/>
  <c r="X71" i="6"/>
  <c r="W71" i="6"/>
  <c r="T71" i="6"/>
  <c r="S71" i="6"/>
  <c r="U71" i="6"/>
  <c r="O71" i="6"/>
  <c r="Q71" i="6"/>
  <c r="R71" i="6"/>
  <c r="P71" i="6"/>
  <c r="L71" i="6"/>
  <c r="M71" i="6"/>
  <c r="AY72" i="6"/>
  <c r="AX72" i="6"/>
  <c r="AW72" i="6"/>
  <c r="AV72" i="6"/>
  <c r="AU72" i="6"/>
  <c r="AT72" i="6"/>
  <c r="AS72" i="6"/>
  <c r="AR72" i="6"/>
  <c r="AQ72" i="6"/>
  <c r="AP72" i="6"/>
  <c r="AN72" i="6"/>
  <c r="AM72" i="6"/>
  <c r="AK72" i="6"/>
  <c r="AL72" i="6"/>
  <c r="AO72" i="6"/>
  <c r="Z74" i="6"/>
  <c r="Y74" i="6"/>
  <c r="X74" i="6"/>
  <c r="V74" i="6"/>
  <c r="W74" i="6"/>
  <c r="T74" i="6"/>
  <c r="S74" i="6"/>
  <c r="U74" i="6"/>
  <c r="O74" i="6"/>
  <c r="R74" i="6"/>
  <c r="Q74" i="6"/>
  <c r="P74" i="6"/>
  <c r="L74" i="6"/>
  <c r="M74" i="6"/>
  <c r="AY75" i="6"/>
  <c r="AX75" i="6"/>
  <c r="AW75" i="6"/>
  <c r="AV75" i="6"/>
  <c r="AU75" i="6"/>
  <c r="AT75" i="6"/>
  <c r="AS75" i="6"/>
  <c r="AR75" i="6"/>
  <c r="AQ75" i="6"/>
  <c r="AP75" i="6"/>
  <c r="AO75" i="6"/>
  <c r="AM75" i="6"/>
  <c r="AK75" i="6"/>
  <c r="AL75" i="6"/>
  <c r="AN75" i="6"/>
  <c r="Z77" i="6"/>
  <c r="V77" i="6"/>
  <c r="X77" i="6"/>
  <c r="Y77" i="6"/>
  <c r="W77" i="6"/>
  <c r="T77" i="6"/>
  <c r="S77" i="6"/>
  <c r="U77" i="6"/>
  <c r="R77" i="6"/>
  <c r="O77" i="6"/>
  <c r="Q77" i="6"/>
  <c r="P77" i="6"/>
  <c r="L77" i="6"/>
  <c r="M77" i="6"/>
  <c r="AY78" i="6"/>
  <c r="AX78" i="6"/>
  <c r="AW78" i="6"/>
  <c r="AV78" i="6"/>
  <c r="AU78" i="6"/>
  <c r="AT78" i="6"/>
  <c r="AS78" i="6"/>
  <c r="AR78" i="6"/>
  <c r="AQ78" i="6"/>
  <c r="AP78" i="6"/>
  <c r="AM78" i="6"/>
  <c r="AK78" i="6"/>
  <c r="AL78" i="6"/>
  <c r="AO78" i="6"/>
  <c r="AN78" i="6"/>
  <c r="Z80" i="6"/>
  <c r="Y80" i="6"/>
  <c r="V80" i="6"/>
  <c r="X80" i="6"/>
  <c r="W80" i="6"/>
  <c r="T80" i="6"/>
  <c r="S80" i="6"/>
  <c r="U80" i="6"/>
  <c r="O80" i="6"/>
  <c r="Q80" i="6"/>
  <c r="R80" i="6"/>
  <c r="P80" i="6"/>
  <c r="L80" i="6"/>
  <c r="M80" i="6"/>
  <c r="AY81" i="6"/>
  <c r="AX81" i="6"/>
  <c r="AW81" i="6"/>
  <c r="AV81" i="6"/>
  <c r="AU81" i="6"/>
  <c r="AT81" i="6"/>
  <c r="AS81" i="6"/>
  <c r="AR81" i="6"/>
  <c r="AQ81" i="6"/>
  <c r="AP81" i="6"/>
  <c r="AN81" i="6"/>
  <c r="AM81" i="6"/>
  <c r="AK81" i="6"/>
  <c r="AL81" i="6"/>
  <c r="AO81" i="6"/>
  <c r="Y83" i="6"/>
  <c r="X83" i="6"/>
  <c r="Z83" i="6"/>
  <c r="V83" i="6"/>
  <c r="W83" i="6"/>
  <c r="T83" i="6"/>
  <c r="S83" i="6"/>
  <c r="U83" i="6"/>
  <c r="O83" i="6"/>
  <c r="R83" i="6"/>
  <c r="Q83" i="6"/>
  <c r="P83" i="6"/>
  <c r="L83" i="6"/>
  <c r="M83" i="6"/>
  <c r="AY84" i="6"/>
  <c r="AX84" i="6"/>
  <c r="AW84" i="6"/>
  <c r="AV84" i="6"/>
  <c r="AU84" i="6"/>
  <c r="AT84" i="6"/>
  <c r="AS84" i="6"/>
  <c r="AR84" i="6"/>
  <c r="AQ84" i="6"/>
  <c r="AP84" i="6"/>
  <c r="AO84" i="6"/>
  <c r="AM84" i="6"/>
  <c r="AK84" i="6"/>
  <c r="AL84" i="6"/>
  <c r="AN84" i="6"/>
  <c r="Z86" i="6"/>
  <c r="V86" i="6"/>
  <c r="Y86" i="6"/>
  <c r="X86" i="6"/>
  <c r="W86" i="6"/>
  <c r="T86" i="6"/>
  <c r="S86" i="6"/>
  <c r="U86" i="6"/>
  <c r="R86" i="6"/>
  <c r="O86" i="6"/>
  <c r="Q86" i="6"/>
  <c r="P86" i="6"/>
  <c r="L86" i="6"/>
  <c r="M86" i="6"/>
  <c r="AY87" i="6"/>
  <c r="AX87" i="6"/>
  <c r="AW87" i="6"/>
  <c r="AV87" i="6"/>
  <c r="AU87" i="6"/>
  <c r="AT87" i="6"/>
  <c r="AS87" i="6"/>
  <c r="AR87" i="6"/>
  <c r="AQ87" i="6"/>
  <c r="AP87" i="6"/>
  <c r="AM87" i="6"/>
  <c r="AK87" i="6"/>
  <c r="AL87" i="6"/>
  <c r="AO87" i="6"/>
  <c r="AN87" i="6"/>
  <c r="Z89" i="6"/>
  <c r="Y89" i="6"/>
  <c r="X89" i="6"/>
  <c r="V89" i="6"/>
  <c r="W89" i="6"/>
  <c r="T89" i="6"/>
  <c r="S89" i="6"/>
  <c r="U89" i="6"/>
  <c r="O89" i="6"/>
  <c r="Q89" i="6"/>
  <c r="R89" i="6"/>
  <c r="P89" i="6"/>
  <c r="L89" i="6"/>
  <c r="M89" i="6"/>
  <c r="AY90" i="6"/>
  <c r="AX90" i="6"/>
  <c r="AW90" i="6"/>
  <c r="AV90" i="6"/>
  <c r="AU90" i="6"/>
  <c r="AT90" i="6"/>
  <c r="AS90" i="6"/>
  <c r="AR90" i="6"/>
  <c r="AQ90" i="6"/>
  <c r="AP90" i="6"/>
  <c r="AN90" i="6"/>
  <c r="AM90" i="6"/>
  <c r="AK90" i="6"/>
  <c r="AL90" i="6"/>
  <c r="AO90" i="6"/>
  <c r="AY5" i="6"/>
  <c r="AX5" i="6"/>
  <c r="AW5" i="6"/>
  <c r="AV5" i="6"/>
  <c r="AU5" i="6"/>
  <c r="AT5" i="6"/>
  <c r="AS5" i="6"/>
  <c r="AR5" i="6"/>
  <c r="AQ5" i="6"/>
  <c r="AP5" i="6"/>
  <c r="AO5" i="6"/>
  <c r="AN5" i="6"/>
  <c r="AM5" i="6"/>
  <c r="AK5" i="6"/>
  <c r="AL5" i="6"/>
  <c r="Z7" i="6"/>
  <c r="Y7" i="6"/>
  <c r="X7" i="6"/>
  <c r="U7" i="6"/>
  <c r="W7" i="6"/>
  <c r="S7" i="6"/>
  <c r="V7" i="6"/>
  <c r="T7" i="6"/>
  <c r="Q7" i="6"/>
  <c r="R7" i="6"/>
  <c r="P7" i="6"/>
  <c r="O7" i="6"/>
  <c r="M7" i="6"/>
  <c r="L7" i="6"/>
  <c r="AY8" i="6"/>
  <c r="AX8" i="6"/>
  <c r="AW8" i="6"/>
  <c r="AV8" i="6"/>
  <c r="AS8" i="6"/>
  <c r="AU8" i="6"/>
  <c r="AR8" i="6"/>
  <c r="AQ8" i="6"/>
  <c r="AP8" i="6"/>
  <c r="AO8" i="6"/>
  <c r="AN8" i="6"/>
  <c r="AM8" i="6"/>
  <c r="AT8" i="6"/>
  <c r="AK8" i="6"/>
  <c r="AL8" i="6"/>
  <c r="Z10" i="6"/>
  <c r="Y10" i="6"/>
  <c r="X10" i="6"/>
  <c r="U10" i="6"/>
  <c r="W10" i="6"/>
  <c r="V10" i="6"/>
  <c r="S10" i="6"/>
  <c r="T10" i="6"/>
  <c r="R10" i="6"/>
  <c r="Q10" i="6"/>
  <c r="P10" i="6"/>
  <c r="O10" i="6"/>
  <c r="M10" i="6"/>
  <c r="L10" i="6"/>
  <c r="AY11" i="6"/>
  <c r="AX11" i="6"/>
  <c r="AW11" i="6"/>
  <c r="AT11" i="6"/>
  <c r="AV11" i="6"/>
  <c r="AR11" i="6"/>
  <c r="AQ11" i="6"/>
  <c r="AP11" i="6"/>
  <c r="AO11" i="6"/>
  <c r="AN11" i="6"/>
  <c r="AM11" i="6"/>
  <c r="AU11" i="6"/>
  <c r="AS11" i="6"/>
  <c r="AK11" i="6"/>
  <c r="AL11" i="6"/>
  <c r="Z13" i="6"/>
  <c r="Y13" i="6"/>
  <c r="U13" i="6"/>
  <c r="X13" i="6"/>
  <c r="W13" i="6"/>
  <c r="S13" i="6"/>
  <c r="V13" i="6"/>
  <c r="T13" i="6"/>
  <c r="Q13" i="6"/>
  <c r="P13" i="6"/>
  <c r="R13" i="6"/>
  <c r="O13" i="6"/>
  <c r="M13" i="6"/>
  <c r="L13" i="6"/>
  <c r="AY14" i="6"/>
  <c r="AX14" i="6"/>
  <c r="AW14" i="6"/>
  <c r="AU14" i="6"/>
  <c r="AS14" i="6"/>
  <c r="AR14" i="6"/>
  <c r="AQ14" i="6"/>
  <c r="AP14" i="6"/>
  <c r="AO14" i="6"/>
  <c r="AN14" i="6"/>
  <c r="AM14" i="6"/>
  <c r="AV14" i="6"/>
  <c r="AT14" i="6"/>
  <c r="AK14" i="6"/>
  <c r="AL14" i="6"/>
  <c r="Z16" i="6"/>
  <c r="Y16" i="6"/>
  <c r="X16" i="6"/>
  <c r="W16" i="6"/>
  <c r="S16" i="6"/>
  <c r="U16" i="6"/>
  <c r="V16" i="6"/>
  <c r="T16" i="6"/>
  <c r="Q16" i="6"/>
  <c r="R16" i="6"/>
  <c r="P16" i="6"/>
  <c r="O16" i="6"/>
  <c r="M16" i="6"/>
  <c r="L16" i="6"/>
  <c r="AY17" i="6"/>
  <c r="AX17" i="6"/>
  <c r="AW17" i="6"/>
  <c r="AV17" i="6"/>
  <c r="AS17" i="6"/>
  <c r="AU17" i="6"/>
  <c r="AT17" i="6"/>
  <c r="AR17" i="6"/>
  <c r="AQ17" i="6"/>
  <c r="AP17" i="6"/>
  <c r="AO17" i="6"/>
  <c r="AN17" i="6"/>
  <c r="AM17" i="6"/>
  <c r="AK17" i="6"/>
  <c r="AL17" i="6"/>
  <c r="Z19" i="6"/>
  <c r="Y19" i="6"/>
  <c r="X19" i="6"/>
  <c r="W19" i="6"/>
  <c r="V19" i="6"/>
  <c r="S19" i="6"/>
  <c r="U19" i="6"/>
  <c r="T19" i="6"/>
  <c r="R19" i="6"/>
  <c r="Q19" i="6"/>
  <c r="P19" i="6"/>
  <c r="O19" i="6"/>
  <c r="M19" i="6"/>
  <c r="L19" i="6"/>
  <c r="AY20" i="6"/>
  <c r="AX20" i="6"/>
  <c r="AW20" i="6"/>
  <c r="AT20" i="6"/>
  <c r="AV20" i="6"/>
  <c r="AR20" i="6"/>
  <c r="AQ20" i="6"/>
  <c r="AP20" i="6"/>
  <c r="AO20" i="6"/>
  <c r="AN20" i="6"/>
  <c r="AM20" i="6"/>
  <c r="AU20" i="6"/>
  <c r="AS20" i="6"/>
  <c r="AK20" i="6"/>
  <c r="AL20" i="6"/>
  <c r="Z22" i="6"/>
  <c r="Y22" i="6"/>
  <c r="X22" i="6"/>
  <c r="W22" i="6"/>
  <c r="S22" i="6"/>
  <c r="V22" i="6"/>
  <c r="U22" i="6"/>
  <c r="T22" i="6"/>
  <c r="Q22" i="6"/>
  <c r="P22" i="6"/>
  <c r="R22" i="6"/>
  <c r="O22" i="6"/>
  <c r="M22" i="6"/>
  <c r="L22" i="6"/>
  <c r="AY23" i="6"/>
  <c r="AX23" i="6"/>
  <c r="AW23" i="6"/>
  <c r="AU23" i="6"/>
  <c r="AS23" i="6"/>
  <c r="AR23" i="6"/>
  <c r="AQ23" i="6"/>
  <c r="AP23" i="6"/>
  <c r="AO23" i="6"/>
  <c r="AN23" i="6"/>
  <c r="AM23" i="6"/>
  <c r="AV23" i="6"/>
  <c r="AT23" i="6"/>
  <c r="AK23" i="6"/>
  <c r="AL23" i="6"/>
  <c r="Z25" i="6"/>
  <c r="Y25" i="6"/>
  <c r="X25" i="6"/>
  <c r="W25" i="6"/>
  <c r="S25" i="6"/>
  <c r="U25" i="6"/>
  <c r="V25" i="6"/>
  <c r="T25" i="6"/>
  <c r="Q25" i="6"/>
  <c r="R25" i="6"/>
  <c r="P25" i="6"/>
  <c r="O25" i="6"/>
  <c r="M25" i="6"/>
  <c r="L25" i="6"/>
  <c r="AY26" i="6"/>
  <c r="AX26" i="6"/>
  <c r="AW26" i="6"/>
  <c r="AV26" i="6"/>
  <c r="AU26" i="6"/>
  <c r="AT26" i="6"/>
  <c r="AS26" i="6"/>
  <c r="AR26" i="6"/>
  <c r="AQ26" i="6"/>
  <c r="AP26" i="6"/>
  <c r="AO26" i="6"/>
  <c r="AN26" i="6"/>
  <c r="AM26" i="6"/>
  <c r="AK26" i="6"/>
  <c r="AL26" i="6"/>
  <c r="Z28" i="6"/>
  <c r="Y28" i="6"/>
  <c r="X28" i="6"/>
  <c r="W28" i="6"/>
  <c r="V28" i="6"/>
  <c r="S28" i="6"/>
  <c r="U28" i="6"/>
  <c r="T28" i="6"/>
  <c r="R28" i="6"/>
  <c r="Q28" i="6"/>
  <c r="P28" i="6"/>
  <c r="O28" i="6"/>
  <c r="M28" i="6"/>
  <c r="L28" i="6"/>
  <c r="AY29" i="6"/>
  <c r="AX29" i="6"/>
  <c r="AW29" i="6"/>
  <c r="AT29" i="6"/>
  <c r="AV29" i="6"/>
  <c r="AS29" i="6"/>
  <c r="AR29" i="6"/>
  <c r="AQ29" i="6"/>
  <c r="AP29" i="6"/>
  <c r="AO29" i="6"/>
  <c r="AN29" i="6"/>
  <c r="AU29" i="6"/>
  <c r="AM29" i="6"/>
  <c r="AK29" i="6"/>
  <c r="AL29" i="6"/>
  <c r="Z31" i="6"/>
  <c r="Y31" i="6"/>
  <c r="X31" i="6"/>
  <c r="W31" i="6"/>
  <c r="S31" i="6"/>
  <c r="V31" i="6"/>
  <c r="U31" i="6"/>
  <c r="T31" i="6"/>
  <c r="Q31" i="6"/>
  <c r="P31" i="6"/>
  <c r="R31" i="6"/>
  <c r="O31" i="6"/>
  <c r="M31" i="6"/>
  <c r="L31" i="6"/>
  <c r="AY32" i="6"/>
  <c r="AX32" i="6"/>
  <c r="AW32" i="6"/>
  <c r="AU32" i="6"/>
  <c r="AS32" i="6"/>
  <c r="AR32" i="6"/>
  <c r="AQ32" i="6"/>
  <c r="AP32" i="6"/>
  <c r="AO32" i="6"/>
  <c r="AN32" i="6"/>
  <c r="AV32" i="6"/>
  <c r="AT32" i="6"/>
  <c r="AM32" i="6"/>
  <c r="AK32" i="6"/>
  <c r="AL32" i="6"/>
  <c r="Z34" i="6"/>
  <c r="Y34" i="6"/>
  <c r="X34" i="6"/>
  <c r="W34" i="6"/>
  <c r="S34" i="6"/>
  <c r="U34" i="6"/>
  <c r="V34" i="6"/>
  <c r="T34" i="6"/>
  <c r="Q34" i="6"/>
  <c r="R34" i="6"/>
  <c r="P34" i="6"/>
  <c r="O34" i="6"/>
  <c r="M34" i="6"/>
  <c r="L34" i="6"/>
  <c r="AY35" i="6"/>
  <c r="AX35" i="6"/>
  <c r="AW35" i="6"/>
  <c r="AV35" i="6"/>
  <c r="AU35" i="6"/>
  <c r="AT35" i="6"/>
  <c r="AS35" i="6"/>
  <c r="AR35" i="6"/>
  <c r="AQ35" i="6"/>
  <c r="AP35" i="6"/>
  <c r="AO35" i="6"/>
  <c r="AN35" i="6"/>
  <c r="AM35" i="6"/>
  <c r="AK35" i="6"/>
  <c r="AL35" i="6"/>
  <c r="Z37" i="6"/>
  <c r="Y37" i="6"/>
  <c r="X37" i="6"/>
  <c r="W37" i="6"/>
  <c r="V37" i="6"/>
  <c r="S37" i="6"/>
  <c r="U37" i="6"/>
  <c r="T37" i="6"/>
  <c r="R37" i="6"/>
  <c r="Q37" i="6"/>
  <c r="P37" i="6"/>
  <c r="O37" i="6"/>
  <c r="M37" i="6"/>
  <c r="L37" i="6"/>
  <c r="AY38" i="6"/>
  <c r="AX38" i="6"/>
  <c r="AW38" i="6"/>
  <c r="AT38" i="6"/>
  <c r="AV38" i="6"/>
  <c r="AS38" i="6"/>
  <c r="AR38" i="6"/>
  <c r="AQ38" i="6"/>
  <c r="AP38" i="6"/>
  <c r="AO38" i="6"/>
  <c r="AN38" i="6"/>
  <c r="AU38" i="6"/>
  <c r="AM38" i="6"/>
  <c r="AK38" i="6"/>
  <c r="AL38" i="6"/>
  <c r="Z40" i="6"/>
  <c r="Y40" i="6"/>
  <c r="W40" i="6"/>
  <c r="X40" i="6"/>
  <c r="S40" i="6"/>
  <c r="V40" i="6"/>
  <c r="U40" i="6"/>
  <c r="T40" i="6"/>
  <c r="Q40" i="6"/>
  <c r="P40" i="6"/>
  <c r="R40" i="6"/>
  <c r="O40" i="6"/>
  <c r="M40" i="6"/>
  <c r="L40" i="6"/>
  <c r="AY41" i="6"/>
  <c r="AX41" i="6"/>
  <c r="AW41" i="6"/>
  <c r="AU41" i="6"/>
  <c r="AS41" i="6"/>
  <c r="AR41" i="6"/>
  <c r="AQ41" i="6"/>
  <c r="AP41" i="6"/>
  <c r="AO41" i="6"/>
  <c r="AN41" i="6"/>
  <c r="AV41" i="6"/>
  <c r="AT41" i="6"/>
  <c r="AM41" i="6"/>
  <c r="AK41" i="6"/>
  <c r="AL41" i="6"/>
  <c r="Z43" i="6"/>
  <c r="Y43" i="6"/>
  <c r="X43" i="6"/>
  <c r="W43" i="6"/>
  <c r="S43" i="6"/>
  <c r="U43" i="6"/>
  <c r="V43" i="6"/>
  <c r="T43" i="6"/>
  <c r="Q43" i="6"/>
  <c r="R43" i="6"/>
  <c r="P43" i="6"/>
  <c r="O43" i="6"/>
  <c r="M43" i="6"/>
  <c r="L43" i="6"/>
  <c r="AY44" i="6"/>
  <c r="AX44" i="6"/>
  <c r="AW44" i="6"/>
  <c r="AV44" i="6"/>
  <c r="AU44" i="6"/>
  <c r="AT44" i="6"/>
  <c r="AS44" i="6"/>
  <c r="AR44" i="6"/>
  <c r="AQ44" i="6"/>
  <c r="AP44" i="6"/>
  <c r="AO44" i="6"/>
  <c r="AN44" i="6"/>
  <c r="AM44" i="6"/>
  <c r="AK44" i="6"/>
  <c r="AL44" i="6"/>
  <c r="Z46" i="6"/>
  <c r="Y46" i="6"/>
  <c r="W46" i="6"/>
  <c r="X46" i="6"/>
  <c r="V46" i="6"/>
  <c r="S46" i="6"/>
  <c r="U46" i="6"/>
  <c r="T46" i="6"/>
  <c r="R46" i="6"/>
  <c r="Q46" i="6"/>
  <c r="P46" i="6"/>
  <c r="O46" i="6"/>
  <c r="M46" i="6"/>
  <c r="L46" i="6"/>
  <c r="AY47" i="6"/>
  <c r="AX47" i="6"/>
  <c r="AW47" i="6"/>
  <c r="AT47" i="6"/>
  <c r="AV47" i="6"/>
  <c r="AS47" i="6"/>
  <c r="AR47" i="6"/>
  <c r="AQ47" i="6"/>
  <c r="AP47" i="6"/>
  <c r="AO47" i="6"/>
  <c r="AN47" i="6"/>
  <c r="AU47" i="6"/>
  <c r="AM47" i="6"/>
  <c r="AK47" i="6"/>
  <c r="AL47" i="6"/>
  <c r="Z49" i="6"/>
  <c r="Y49" i="6"/>
  <c r="X49" i="6"/>
  <c r="W49" i="6"/>
  <c r="S49" i="6"/>
  <c r="V49" i="6"/>
  <c r="U49" i="6"/>
  <c r="T49" i="6"/>
  <c r="Q49" i="6"/>
  <c r="P49" i="6"/>
  <c r="R49" i="6"/>
  <c r="O49" i="6"/>
  <c r="M49" i="6"/>
  <c r="L49" i="6"/>
  <c r="AY50" i="6"/>
  <c r="AX50" i="6"/>
  <c r="AW50" i="6"/>
  <c r="AU50" i="6"/>
  <c r="AS50" i="6"/>
  <c r="AR50" i="6"/>
  <c r="AQ50" i="6"/>
  <c r="AP50" i="6"/>
  <c r="AO50" i="6"/>
  <c r="AN50" i="6"/>
  <c r="AV50" i="6"/>
  <c r="AT50" i="6"/>
  <c r="AM50" i="6"/>
  <c r="AK50" i="6"/>
  <c r="AL50" i="6"/>
  <c r="Z52" i="6"/>
  <c r="Y52" i="6"/>
  <c r="X52" i="6"/>
  <c r="W52" i="6"/>
  <c r="S52" i="6"/>
  <c r="U52" i="6"/>
  <c r="V52" i="6"/>
  <c r="T52" i="6"/>
  <c r="Q52" i="6"/>
  <c r="R52" i="6"/>
  <c r="P52" i="6"/>
  <c r="O52" i="6"/>
  <c r="M52" i="6"/>
  <c r="L52" i="6"/>
  <c r="AY53" i="6"/>
  <c r="AX53" i="6"/>
  <c r="AW53" i="6"/>
  <c r="AV53" i="6"/>
  <c r="AU53" i="6"/>
  <c r="AT53" i="6"/>
  <c r="AS53" i="6"/>
  <c r="AR53" i="6"/>
  <c r="AQ53" i="6"/>
  <c r="AP53" i="6"/>
  <c r="AO53" i="6"/>
  <c r="AN53" i="6"/>
  <c r="AM53" i="6"/>
  <c r="AK53" i="6"/>
  <c r="AL53" i="6"/>
  <c r="Z55" i="6"/>
  <c r="Y55" i="6"/>
  <c r="X55" i="6"/>
  <c r="W55" i="6"/>
  <c r="V55" i="6"/>
  <c r="S55" i="6"/>
  <c r="U55" i="6"/>
  <c r="T55" i="6"/>
  <c r="R55" i="6"/>
  <c r="Q55" i="6"/>
  <c r="P55" i="6"/>
  <c r="O55" i="6"/>
  <c r="M55" i="6"/>
  <c r="L55" i="6"/>
  <c r="AY56" i="6"/>
  <c r="AX56" i="6"/>
  <c r="AW56" i="6"/>
  <c r="AT56" i="6"/>
  <c r="AV56" i="6"/>
  <c r="AS56" i="6"/>
  <c r="AR56" i="6"/>
  <c r="AQ56" i="6"/>
  <c r="AP56" i="6"/>
  <c r="AO56" i="6"/>
  <c r="AN56" i="6"/>
  <c r="AU56" i="6"/>
  <c r="AM56" i="6"/>
  <c r="AK56" i="6"/>
  <c r="AL56" i="6"/>
  <c r="Z58" i="6"/>
  <c r="Y58" i="6"/>
  <c r="X58" i="6"/>
  <c r="W58" i="6"/>
  <c r="S58" i="6"/>
  <c r="V58" i="6"/>
  <c r="U58" i="6"/>
  <c r="T58" i="6"/>
  <c r="Q58" i="6"/>
  <c r="P58" i="6"/>
  <c r="R58" i="6"/>
  <c r="O58" i="6"/>
  <c r="M58" i="6"/>
  <c r="L58" i="6"/>
  <c r="AY59" i="6"/>
  <c r="AX59" i="6"/>
  <c r="AW59" i="6"/>
  <c r="AU59" i="6"/>
  <c r="AS59" i="6"/>
  <c r="AR59" i="6"/>
  <c r="AQ59" i="6"/>
  <c r="AP59" i="6"/>
  <c r="AO59" i="6"/>
  <c r="AN59" i="6"/>
  <c r="AV59" i="6"/>
  <c r="AT59" i="6"/>
  <c r="AM59" i="6"/>
  <c r="AK59" i="6"/>
  <c r="AL59" i="6"/>
  <c r="Z61" i="6"/>
  <c r="Y61" i="6"/>
  <c r="X61" i="6"/>
  <c r="W61" i="6"/>
  <c r="V61" i="6"/>
  <c r="S61" i="6"/>
  <c r="U61" i="6"/>
  <c r="T61" i="6"/>
  <c r="Q61" i="6"/>
  <c r="R61" i="6"/>
  <c r="P61" i="6"/>
  <c r="O61" i="6"/>
  <c r="M61" i="6"/>
  <c r="L61" i="6"/>
  <c r="AY62" i="6"/>
  <c r="AX62" i="6"/>
  <c r="AW62" i="6"/>
  <c r="AV62" i="6"/>
  <c r="AU62" i="6"/>
  <c r="AT62" i="6"/>
  <c r="AS62" i="6"/>
  <c r="AR62" i="6"/>
  <c r="AQ62" i="6"/>
  <c r="AP62" i="6"/>
  <c r="AO62" i="6"/>
  <c r="AN62" i="6"/>
  <c r="AM62" i="6"/>
  <c r="AK62" i="6"/>
  <c r="AL62" i="6"/>
  <c r="Z64" i="6"/>
  <c r="Y64" i="6"/>
  <c r="X64" i="6"/>
  <c r="W64" i="6"/>
  <c r="S64" i="6"/>
  <c r="U64" i="6"/>
  <c r="V64" i="6"/>
  <c r="T64" i="6"/>
  <c r="R64" i="6"/>
  <c r="Q64" i="6"/>
  <c r="P64" i="6"/>
  <c r="O64" i="6"/>
  <c r="M64" i="6"/>
  <c r="L64" i="6"/>
  <c r="AY65" i="6"/>
  <c r="AX65" i="6"/>
  <c r="AW65" i="6"/>
  <c r="AT65" i="6"/>
  <c r="AV65" i="6"/>
  <c r="AS65" i="6"/>
  <c r="AR65" i="6"/>
  <c r="AQ65" i="6"/>
  <c r="AP65" i="6"/>
  <c r="AO65" i="6"/>
  <c r="AN65" i="6"/>
  <c r="AU65" i="6"/>
  <c r="AM65" i="6"/>
  <c r="AK65" i="6"/>
  <c r="AL65" i="6"/>
  <c r="Z67" i="6"/>
  <c r="Y67" i="6"/>
  <c r="W67" i="6"/>
  <c r="X67" i="6"/>
  <c r="S67" i="6"/>
  <c r="V67" i="6"/>
  <c r="U67" i="6"/>
  <c r="T67" i="6"/>
  <c r="Q67" i="6"/>
  <c r="P67" i="6"/>
  <c r="R67" i="6"/>
  <c r="O67" i="6"/>
  <c r="M67" i="6"/>
  <c r="L67" i="6"/>
  <c r="AY68" i="6"/>
  <c r="AX68" i="6"/>
  <c r="AW68" i="6"/>
  <c r="AU68" i="6"/>
  <c r="AS68" i="6"/>
  <c r="AR68" i="6"/>
  <c r="AQ68" i="6"/>
  <c r="AP68" i="6"/>
  <c r="AO68" i="6"/>
  <c r="AN68" i="6"/>
  <c r="AV68" i="6"/>
  <c r="AT68" i="6"/>
  <c r="AM68" i="6"/>
  <c r="AK68" i="6"/>
  <c r="AL68" i="6"/>
  <c r="Z70" i="6"/>
  <c r="Y70" i="6"/>
  <c r="X70" i="6"/>
  <c r="W70" i="6"/>
  <c r="V70" i="6"/>
  <c r="S70" i="6"/>
  <c r="U70" i="6"/>
  <c r="T70" i="6"/>
  <c r="Q70" i="6"/>
  <c r="R70" i="6"/>
  <c r="P70" i="6"/>
  <c r="O70" i="6"/>
  <c r="M70" i="6"/>
  <c r="L70" i="6"/>
  <c r="AY71" i="6"/>
  <c r="AX71" i="6"/>
  <c r="AW71" i="6"/>
  <c r="AV71" i="6"/>
  <c r="AU71" i="6"/>
  <c r="AT71" i="6"/>
  <c r="AS71" i="6"/>
  <c r="AR71" i="6"/>
  <c r="AQ71" i="6"/>
  <c r="AP71" i="6"/>
  <c r="AO71" i="6"/>
  <c r="AN71" i="6"/>
  <c r="AM71" i="6"/>
  <c r="AK71" i="6"/>
  <c r="AL71" i="6"/>
  <c r="Z73" i="6"/>
  <c r="Y73" i="6"/>
  <c r="W73" i="6"/>
  <c r="X73" i="6"/>
  <c r="S73" i="6"/>
  <c r="U73" i="6"/>
  <c r="V73" i="6"/>
  <c r="T73" i="6"/>
  <c r="R73" i="6"/>
  <c r="Q73" i="6"/>
  <c r="P73" i="6"/>
  <c r="O73" i="6"/>
  <c r="M73" i="6"/>
  <c r="L73" i="6"/>
  <c r="AY74" i="6"/>
  <c r="AX74" i="6"/>
  <c r="AW74" i="6"/>
  <c r="AT74" i="6"/>
  <c r="AV74" i="6"/>
  <c r="AS74" i="6"/>
  <c r="AR74" i="6"/>
  <c r="AQ74" i="6"/>
  <c r="AP74" i="6"/>
  <c r="AO74" i="6"/>
  <c r="AN74" i="6"/>
  <c r="AU74" i="6"/>
  <c r="AM74" i="6"/>
  <c r="AK74" i="6"/>
  <c r="AL74" i="6"/>
  <c r="Z76" i="6"/>
  <c r="Y76" i="6"/>
  <c r="X76" i="6"/>
  <c r="W76" i="6"/>
  <c r="S76" i="6"/>
  <c r="V76" i="6"/>
  <c r="U76" i="6"/>
  <c r="T76" i="6"/>
  <c r="Q76" i="6"/>
  <c r="P76" i="6"/>
  <c r="R76" i="6"/>
  <c r="O76" i="6"/>
  <c r="M76" i="6"/>
  <c r="L76" i="6"/>
  <c r="AY77" i="6"/>
  <c r="AX77" i="6"/>
  <c r="AW77" i="6"/>
  <c r="AU77" i="6"/>
  <c r="AS77" i="6"/>
  <c r="AR77" i="6"/>
  <c r="AQ77" i="6"/>
  <c r="AP77" i="6"/>
  <c r="AO77" i="6"/>
  <c r="AN77" i="6"/>
  <c r="AV77" i="6"/>
  <c r="AT77" i="6"/>
  <c r="AM77" i="6"/>
  <c r="AK77" i="6"/>
  <c r="AL77" i="6"/>
  <c r="Z79" i="6"/>
  <c r="Y79" i="6"/>
  <c r="X79" i="6"/>
  <c r="W79" i="6"/>
  <c r="V79" i="6"/>
  <c r="S79" i="6"/>
  <c r="U79" i="6"/>
  <c r="T79" i="6"/>
  <c r="Q79" i="6"/>
  <c r="R79" i="6"/>
  <c r="P79" i="6"/>
  <c r="O79" i="6"/>
  <c r="M79" i="6"/>
  <c r="L79" i="6"/>
  <c r="AY80" i="6"/>
  <c r="AX80" i="6"/>
  <c r="AW80" i="6"/>
  <c r="AV80" i="6"/>
  <c r="AU80" i="6"/>
  <c r="AT80" i="6"/>
  <c r="AS80" i="6"/>
  <c r="AR80" i="6"/>
  <c r="AQ80" i="6"/>
  <c r="AP80" i="6"/>
  <c r="AO80" i="6"/>
  <c r="AN80" i="6"/>
  <c r="AM80" i="6"/>
  <c r="AK80" i="6"/>
  <c r="AL80" i="6"/>
  <c r="Z82" i="6"/>
  <c r="Y82" i="6"/>
  <c r="X82" i="6"/>
  <c r="W82" i="6"/>
  <c r="S82" i="6"/>
  <c r="U82" i="6"/>
  <c r="V82" i="6"/>
  <c r="T82" i="6"/>
  <c r="R82" i="6"/>
  <c r="Q82" i="6"/>
  <c r="P82" i="6"/>
  <c r="O82" i="6"/>
  <c r="M82" i="6"/>
  <c r="L82" i="6"/>
  <c r="AY83" i="6"/>
  <c r="AX83" i="6"/>
  <c r="AW83" i="6"/>
  <c r="AT83" i="6"/>
  <c r="AV83" i="6"/>
  <c r="AS83" i="6"/>
  <c r="AR83" i="6"/>
  <c r="AQ83" i="6"/>
  <c r="AP83" i="6"/>
  <c r="AO83" i="6"/>
  <c r="AN83" i="6"/>
  <c r="AU83" i="6"/>
  <c r="AM83" i="6"/>
  <c r="AK83" i="6"/>
  <c r="AL83" i="6"/>
  <c r="Z85" i="6"/>
  <c r="Y85" i="6"/>
  <c r="X85" i="6"/>
  <c r="W85" i="6"/>
  <c r="S85" i="6"/>
  <c r="V85" i="6"/>
  <c r="U85" i="6"/>
  <c r="T85" i="6"/>
  <c r="Q85" i="6"/>
  <c r="P85" i="6"/>
  <c r="R85" i="6"/>
  <c r="O85" i="6"/>
  <c r="M85" i="6"/>
  <c r="L85" i="6"/>
  <c r="AY86" i="6"/>
  <c r="AX86" i="6"/>
  <c r="AW86" i="6"/>
  <c r="AU86" i="6"/>
  <c r="AS86" i="6"/>
  <c r="AR86" i="6"/>
  <c r="AQ86" i="6"/>
  <c r="AP86" i="6"/>
  <c r="AO86" i="6"/>
  <c r="AN86" i="6"/>
  <c r="AV86" i="6"/>
  <c r="AT86" i="6"/>
  <c r="AM86" i="6"/>
  <c r="AK86" i="6"/>
  <c r="AL86" i="6"/>
  <c r="Z88" i="6"/>
  <c r="Y88" i="6"/>
  <c r="X88" i="6"/>
  <c r="W88" i="6"/>
  <c r="V88" i="6"/>
  <c r="S88" i="6"/>
  <c r="U88" i="6"/>
  <c r="T88" i="6"/>
  <c r="Q88" i="6"/>
  <c r="R88" i="6"/>
  <c r="P88" i="6"/>
  <c r="O88" i="6"/>
  <c r="M88" i="6"/>
  <c r="L88" i="6"/>
  <c r="AY89" i="6"/>
  <c r="AX89" i="6"/>
  <c r="AW89" i="6"/>
  <c r="AV89" i="6"/>
  <c r="AU89" i="6"/>
  <c r="AT89" i="6"/>
  <c r="AS89" i="6"/>
  <c r="AR89" i="6"/>
  <c r="AQ89" i="6"/>
  <c r="AP89" i="6"/>
  <c r="AO89" i="6"/>
  <c r="AN89" i="6"/>
  <c r="AM89" i="6"/>
  <c r="AK89" i="6"/>
  <c r="AL89" i="6"/>
  <c r="Z91" i="6"/>
  <c r="Y91" i="6"/>
  <c r="X91" i="6"/>
  <c r="W91" i="6"/>
  <c r="S91" i="6"/>
  <c r="U91" i="6"/>
  <c r="V91" i="6"/>
  <c r="T91" i="6"/>
  <c r="R91" i="6"/>
  <c r="Q91" i="6"/>
  <c r="P91" i="6"/>
  <c r="O91" i="6"/>
  <c r="M91" i="6"/>
  <c r="L91" i="6"/>
  <c r="BI8" i="6"/>
  <c r="BJ8" i="6" s="1"/>
  <c r="BK8" i="6" s="1"/>
  <c r="BI11" i="6"/>
  <c r="BJ11" i="6" s="1"/>
  <c r="BK11" i="6" s="1"/>
  <c r="BI20" i="6"/>
  <c r="BJ20" i="6" s="1"/>
  <c r="BK20" i="6" s="1"/>
  <c r="BI23" i="6"/>
  <c r="BJ23" i="6" s="1"/>
  <c r="BK23" i="6" s="1"/>
  <c r="BI32" i="6"/>
  <c r="BJ32" i="6" s="1"/>
  <c r="BK32" i="6" s="1"/>
  <c r="BI7" i="6"/>
  <c r="BJ7" i="6" s="1"/>
  <c r="BK7" i="6" s="1"/>
  <c r="BI10" i="6"/>
  <c r="BJ10" i="6" s="1"/>
  <c r="BK10" i="6" s="1"/>
  <c r="BI16" i="6"/>
  <c r="BJ16" i="6" s="1"/>
  <c r="BK16" i="6" s="1"/>
  <c r="BI19" i="6"/>
  <c r="BJ19" i="6" s="1"/>
  <c r="BK19" i="6" s="1"/>
  <c r="BI22" i="6"/>
  <c r="BJ22" i="6" s="1"/>
  <c r="BK22" i="6" s="1"/>
  <c r="BI28" i="6"/>
  <c r="BJ28" i="6" s="1"/>
  <c r="BK28" i="6" s="1"/>
  <c r="BI6" i="6"/>
  <c r="BJ6" i="6" s="1"/>
  <c r="BK6" i="6" s="1"/>
  <c r="BI9" i="6"/>
  <c r="BJ9" i="6" s="1"/>
  <c r="BK9" i="6" s="1"/>
  <c r="BI12" i="6"/>
  <c r="BJ12" i="6" s="1"/>
  <c r="BK12" i="6" s="1"/>
  <c r="BI15" i="6"/>
  <c r="BJ15" i="6" s="1"/>
  <c r="BK15" i="6" s="1"/>
  <c r="BI18" i="6"/>
  <c r="BJ18" i="6" s="1"/>
  <c r="BK18" i="6" s="1"/>
  <c r="BI21" i="6"/>
  <c r="BJ21" i="6" s="1"/>
  <c r="BK21" i="6" s="1"/>
  <c r="BI24" i="6"/>
  <c r="BJ24" i="6" s="1"/>
  <c r="BK24" i="6" s="1"/>
  <c r="BI30" i="6"/>
  <c r="BJ30" i="6" s="1"/>
  <c r="BK30" i="6" s="1"/>
  <c r="BI33" i="6"/>
  <c r="BJ33" i="6" s="1"/>
  <c r="BK33" i="6" s="1"/>
  <c r="BI36" i="6"/>
  <c r="BJ36" i="6" s="1"/>
  <c r="BK36" i="6" s="1"/>
  <c r="BI39" i="6"/>
  <c r="BJ39" i="6" s="1"/>
  <c r="BK39" i="6" s="1"/>
  <c r="BI42" i="6"/>
  <c r="BJ42" i="6" s="1"/>
  <c r="BK42" i="6" s="1"/>
  <c r="BI45" i="6"/>
  <c r="BJ45" i="6" s="1"/>
  <c r="BK45" i="6" s="1"/>
  <c r="BI48" i="6"/>
  <c r="BJ48" i="6" s="1"/>
  <c r="BK48" i="6" s="1"/>
  <c r="BI51" i="6"/>
  <c r="BJ51" i="6" s="1"/>
  <c r="BK51" i="6" s="1"/>
  <c r="BI54" i="6"/>
  <c r="BJ54" i="6" s="1"/>
  <c r="BK54" i="6" s="1"/>
  <c r="BI57" i="6"/>
  <c r="BJ57" i="6" s="1"/>
  <c r="BK57" i="6" s="1"/>
  <c r="BI60" i="6"/>
  <c r="BJ60" i="6" s="1"/>
  <c r="BK60" i="6" s="1"/>
  <c r="BI63" i="6"/>
  <c r="BJ63" i="6" s="1"/>
  <c r="BK63" i="6" s="1"/>
  <c r="BI66" i="6"/>
  <c r="BJ66" i="6" s="1"/>
  <c r="BK66" i="6" s="1"/>
  <c r="BI72" i="6"/>
  <c r="BJ72" i="6" s="1"/>
  <c r="BK72" i="6" s="1"/>
  <c r="BI75" i="6"/>
  <c r="BJ75" i="6" s="1"/>
  <c r="BK75" i="6" s="1"/>
  <c r="BI78" i="6"/>
  <c r="BJ78" i="6" s="1"/>
  <c r="BK78" i="6" s="1"/>
  <c r="BI81" i="6"/>
  <c r="BJ81" i="6" s="1"/>
  <c r="BK81" i="6" s="1"/>
  <c r="BI84" i="6"/>
  <c r="BJ84" i="6" s="1"/>
  <c r="BK84" i="6" s="1"/>
  <c r="BI87" i="6"/>
  <c r="BJ87" i="6" s="1"/>
  <c r="BK87" i="6" s="1"/>
  <c r="BI90" i="6"/>
  <c r="BJ90" i="6" s="1"/>
  <c r="BK90" i="6" s="1"/>
  <c r="BI29" i="6"/>
  <c r="BJ29" i="6" s="1"/>
  <c r="BK29" i="6" s="1"/>
  <c r="BI38" i="6"/>
  <c r="BJ38" i="6" s="1"/>
  <c r="BK38" i="6" s="1"/>
  <c r="BI41" i="6"/>
  <c r="BJ41" i="6" s="1"/>
  <c r="BK41" i="6" s="1"/>
  <c r="BI47" i="6"/>
  <c r="BJ47" i="6" s="1"/>
  <c r="BK47" i="6" s="1"/>
  <c r="BI50" i="6"/>
  <c r="BJ50" i="6" s="1"/>
  <c r="BK50" i="6" s="1"/>
  <c r="BI53" i="6"/>
  <c r="BJ53" i="6" s="1"/>
  <c r="BK53" i="6" s="1"/>
  <c r="BI56" i="6"/>
  <c r="BJ56" i="6" s="1"/>
  <c r="BK56" i="6" s="1"/>
  <c r="BI62" i="6"/>
  <c r="BJ62" i="6" s="1"/>
  <c r="BK62" i="6" s="1"/>
  <c r="BI68" i="6"/>
  <c r="BJ68" i="6" s="1"/>
  <c r="BK68" i="6" s="1"/>
  <c r="BI77" i="6"/>
  <c r="BJ77" i="6" s="1"/>
  <c r="BK77" i="6" s="1"/>
  <c r="BI80" i="6"/>
  <c r="BJ80" i="6" s="1"/>
  <c r="BK80" i="6" s="1"/>
  <c r="BI83" i="6"/>
  <c r="BJ83" i="6" s="1"/>
  <c r="BK83" i="6" s="1"/>
  <c r="BI86" i="6"/>
  <c r="BJ86" i="6" s="1"/>
  <c r="BK86" i="6" s="1"/>
  <c r="BI89" i="6"/>
  <c r="BJ89" i="6" s="1"/>
  <c r="BK89" i="6" s="1"/>
  <c r="BI5" i="6"/>
  <c r="BJ5" i="6" s="1"/>
  <c r="BK5" i="6" s="1"/>
  <c r="BI14" i="6"/>
  <c r="BJ14" i="6" s="1"/>
  <c r="BK14" i="6" s="1"/>
  <c r="BI17" i="6"/>
  <c r="BJ17" i="6" s="1"/>
  <c r="BK17" i="6" s="1"/>
  <c r="BI26" i="6"/>
  <c r="BJ26" i="6" s="1"/>
  <c r="BK26" i="6" s="1"/>
  <c r="BI44" i="6"/>
  <c r="BJ44" i="6" s="1"/>
  <c r="BK44" i="6" s="1"/>
  <c r="BI13" i="6"/>
  <c r="BJ13" i="6" s="1"/>
  <c r="BK13" i="6" s="1"/>
  <c r="BI25" i="6"/>
  <c r="BJ25" i="6" s="1"/>
  <c r="BK25" i="6" s="1"/>
  <c r="BI31" i="6"/>
  <c r="BJ31" i="6" s="1"/>
  <c r="BK31" i="6" s="1"/>
  <c r="BI34" i="6"/>
  <c r="BJ34" i="6" s="1"/>
  <c r="BK34" i="6" s="1"/>
  <c r="BI37" i="6"/>
  <c r="BJ37" i="6" s="1"/>
  <c r="BK37" i="6" s="1"/>
  <c r="BI43" i="6"/>
  <c r="BJ43" i="6" s="1"/>
  <c r="BK43" i="6" s="1"/>
  <c r="BI46" i="6"/>
  <c r="BJ46" i="6" s="1"/>
  <c r="BK46" i="6" s="1"/>
  <c r="BI49" i="6"/>
  <c r="BJ49" i="6" s="1"/>
  <c r="BK49" i="6" s="1"/>
  <c r="BI55" i="6"/>
  <c r="BJ55" i="6" s="1"/>
  <c r="BK55" i="6" s="1"/>
  <c r="BI58" i="6"/>
  <c r="BJ58" i="6" s="1"/>
  <c r="BK58" i="6" s="1"/>
  <c r="BI61" i="6"/>
  <c r="BJ61" i="6" s="1"/>
  <c r="BK61" i="6" s="1"/>
  <c r="BI64" i="6"/>
  <c r="BJ64" i="6" s="1"/>
  <c r="BK64" i="6" s="1"/>
  <c r="BI67" i="6"/>
  <c r="BJ67" i="6" s="1"/>
  <c r="BK67" i="6" s="1"/>
  <c r="BI70" i="6"/>
  <c r="BJ70" i="6" s="1"/>
  <c r="BK70" i="6" s="1"/>
  <c r="BI73" i="6"/>
  <c r="BJ73" i="6" s="1"/>
  <c r="BK73" i="6" s="1"/>
  <c r="BI76" i="6"/>
  <c r="BJ76" i="6" s="1"/>
  <c r="BK76" i="6" s="1"/>
  <c r="BI79" i="6"/>
  <c r="BJ79" i="6" s="1"/>
  <c r="BK79" i="6" s="1"/>
  <c r="BI82" i="6"/>
  <c r="BJ82" i="6" s="1"/>
  <c r="BK82" i="6" s="1"/>
  <c r="BI88" i="6"/>
  <c r="BJ88" i="6" s="1"/>
  <c r="BK88" i="6" s="1"/>
  <c r="BI91" i="6"/>
  <c r="BJ91" i="6" s="1"/>
  <c r="BK91" i="6" s="1"/>
  <c r="BI85" i="6"/>
  <c r="BJ85" i="6" s="1"/>
  <c r="BK85" i="6" s="1"/>
  <c r="BI74" i="6"/>
  <c r="BJ74" i="6" s="1"/>
  <c r="BK74" i="6" s="1"/>
  <c r="BI71" i="6"/>
  <c r="BJ71" i="6" s="1"/>
  <c r="BK71" i="6" s="1"/>
  <c r="BI69" i="6"/>
  <c r="BJ69" i="6" s="1"/>
  <c r="BK69" i="6" s="1"/>
  <c r="BI65" i="6"/>
  <c r="BJ65" i="6" s="1"/>
  <c r="BK65" i="6" s="1"/>
  <c r="BI59" i="6"/>
  <c r="BJ59" i="6" s="1"/>
  <c r="BK59" i="6" s="1"/>
  <c r="BI52" i="6"/>
  <c r="BJ52" i="6" s="1"/>
  <c r="BK52" i="6" s="1"/>
  <c r="BI40" i="6"/>
  <c r="BJ40" i="6" s="1"/>
  <c r="BK40" i="6" s="1"/>
  <c r="BI35" i="6"/>
  <c r="BJ35" i="6" s="1"/>
  <c r="BK35" i="6" s="1"/>
  <c r="BI27" i="6"/>
  <c r="BJ27" i="6" s="1"/>
  <c r="BK27" i="6" s="1"/>
  <c r="BE92" i="6"/>
  <c r="BT92" i="6"/>
  <c r="BU92" i="6" s="1"/>
  <c r="BP10" i="6"/>
  <c r="BQ10" i="6" s="1"/>
  <c r="BR10" i="6" s="1"/>
  <c r="BP16" i="6"/>
  <c r="BQ16" i="6" s="1"/>
  <c r="BR16" i="6" s="1"/>
  <c r="BP22" i="6"/>
  <c r="BQ22" i="6" s="1"/>
  <c r="BR22" i="6" s="1"/>
  <c r="BP28" i="6"/>
  <c r="BQ28" i="6" s="1"/>
  <c r="BR28" i="6" s="1"/>
  <c r="BP34" i="6"/>
  <c r="BQ34" i="6" s="1"/>
  <c r="BR34" i="6" s="1"/>
  <c r="BP37" i="6"/>
  <c r="BQ37" i="6" s="1"/>
  <c r="BR37" i="6" s="1"/>
  <c r="BP46" i="6"/>
  <c r="BQ46" i="6" s="1"/>
  <c r="BR46" i="6" s="1"/>
  <c r="BP52" i="6"/>
  <c r="BQ52" i="6" s="1"/>
  <c r="BR52" i="6" s="1"/>
  <c r="BP58" i="6"/>
  <c r="BQ58" i="6" s="1"/>
  <c r="BR58" i="6" s="1"/>
  <c r="BP64" i="6"/>
  <c r="BQ64" i="6" s="1"/>
  <c r="BR64" i="6" s="1"/>
  <c r="BP70" i="6"/>
  <c r="BQ70" i="6" s="1"/>
  <c r="BR70" i="6" s="1"/>
  <c r="BP76" i="6"/>
  <c r="BQ76" i="6" s="1"/>
  <c r="BR76" i="6" s="1"/>
  <c r="BP82" i="6"/>
  <c r="BQ82" i="6" s="1"/>
  <c r="BR82" i="6" s="1"/>
  <c r="BP88" i="6"/>
  <c r="BQ88" i="6" s="1"/>
  <c r="BR88" i="6" s="1"/>
  <c r="BP91" i="6"/>
  <c r="BQ91" i="6" s="1"/>
  <c r="BR91" i="6" s="1"/>
  <c r="BP6" i="6"/>
  <c r="BQ6" i="6" s="1"/>
  <c r="BR6" i="6" s="1"/>
  <c r="BP9" i="6"/>
  <c r="BQ9" i="6" s="1"/>
  <c r="BR9" i="6" s="1"/>
  <c r="BP12" i="6"/>
  <c r="BQ12" i="6" s="1"/>
  <c r="BR12" i="6" s="1"/>
  <c r="BP15" i="6"/>
  <c r="BQ15" i="6" s="1"/>
  <c r="BR15" i="6" s="1"/>
  <c r="BP18" i="6"/>
  <c r="BQ18" i="6" s="1"/>
  <c r="BR18" i="6" s="1"/>
  <c r="BP21" i="6"/>
  <c r="BQ21" i="6" s="1"/>
  <c r="BR21" i="6" s="1"/>
  <c r="BP24" i="6"/>
  <c r="BQ24" i="6" s="1"/>
  <c r="BR24" i="6" s="1"/>
  <c r="BP27" i="6"/>
  <c r="BQ27" i="6" s="1"/>
  <c r="BR27" i="6" s="1"/>
  <c r="BP30" i="6"/>
  <c r="BQ30" i="6" s="1"/>
  <c r="BR30" i="6" s="1"/>
  <c r="BP33" i="6"/>
  <c r="BQ33" i="6" s="1"/>
  <c r="BR33" i="6" s="1"/>
  <c r="BP36" i="6"/>
  <c r="BQ36" i="6" s="1"/>
  <c r="BR36" i="6" s="1"/>
  <c r="BP39" i="6"/>
  <c r="BQ39" i="6" s="1"/>
  <c r="BR39" i="6" s="1"/>
  <c r="BP42" i="6"/>
  <c r="BQ42" i="6" s="1"/>
  <c r="BR42" i="6" s="1"/>
  <c r="BP45" i="6"/>
  <c r="BQ45" i="6" s="1"/>
  <c r="BR45" i="6" s="1"/>
  <c r="BP48" i="6"/>
  <c r="BQ48" i="6" s="1"/>
  <c r="BR48" i="6" s="1"/>
  <c r="BP51" i="6"/>
  <c r="BQ51" i="6" s="1"/>
  <c r="BR51" i="6" s="1"/>
  <c r="BP54" i="6"/>
  <c r="BQ54" i="6" s="1"/>
  <c r="BR54" i="6" s="1"/>
  <c r="BP57" i="6"/>
  <c r="BQ57" i="6" s="1"/>
  <c r="BR57" i="6" s="1"/>
  <c r="BP60" i="6"/>
  <c r="BQ60" i="6" s="1"/>
  <c r="BR60" i="6" s="1"/>
  <c r="BP63" i="6"/>
  <c r="BQ63" i="6" s="1"/>
  <c r="BR63" i="6" s="1"/>
  <c r="BP66" i="6"/>
  <c r="BQ66" i="6" s="1"/>
  <c r="BR66" i="6" s="1"/>
  <c r="BP69" i="6"/>
  <c r="BQ69" i="6" s="1"/>
  <c r="BR69" i="6" s="1"/>
  <c r="BP72" i="6"/>
  <c r="BQ72" i="6" s="1"/>
  <c r="BR72" i="6" s="1"/>
  <c r="BP75" i="6"/>
  <c r="BQ75" i="6" s="1"/>
  <c r="BR75" i="6" s="1"/>
  <c r="BP78" i="6"/>
  <c r="BQ78" i="6" s="1"/>
  <c r="BR78" i="6" s="1"/>
  <c r="BP81" i="6"/>
  <c r="BQ81" i="6" s="1"/>
  <c r="BR81" i="6" s="1"/>
  <c r="BP84" i="6"/>
  <c r="BQ84" i="6" s="1"/>
  <c r="BR84" i="6" s="1"/>
  <c r="BP87" i="6"/>
  <c r="BQ87" i="6" s="1"/>
  <c r="BR87" i="6" s="1"/>
  <c r="BP90" i="6"/>
  <c r="BQ90" i="6" s="1"/>
  <c r="BR90" i="6" s="1"/>
  <c r="BP7" i="6"/>
  <c r="BQ7" i="6" s="1"/>
  <c r="BR7" i="6" s="1"/>
  <c r="BP13" i="6"/>
  <c r="BQ13" i="6" s="1"/>
  <c r="BR13" i="6" s="1"/>
  <c r="BP19" i="6"/>
  <c r="BQ19" i="6" s="1"/>
  <c r="BR19" i="6" s="1"/>
  <c r="BP25" i="6"/>
  <c r="BQ25" i="6" s="1"/>
  <c r="BR25" i="6" s="1"/>
  <c r="BP31" i="6"/>
  <c r="BQ31" i="6" s="1"/>
  <c r="BR31" i="6" s="1"/>
  <c r="BP40" i="6"/>
  <c r="BQ40" i="6" s="1"/>
  <c r="BR40" i="6" s="1"/>
  <c r="BP43" i="6"/>
  <c r="BQ43" i="6" s="1"/>
  <c r="BR43" i="6" s="1"/>
  <c r="BP49" i="6"/>
  <c r="BQ49" i="6" s="1"/>
  <c r="BR49" i="6" s="1"/>
  <c r="BP55" i="6"/>
  <c r="BQ55" i="6" s="1"/>
  <c r="BR55" i="6" s="1"/>
  <c r="BP61" i="6"/>
  <c r="BQ61" i="6" s="1"/>
  <c r="BR61" i="6" s="1"/>
  <c r="BP67" i="6"/>
  <c r="BQ67" i="6" s="1"/>
  <c r="BR67" i="6" s="1"/>
  <c r="BP73" i="6"/>
  <c r="BQ73" i="6" s="1"/>
  <c r="BR73" i="6" s="1"/>
  <c r="BP79" i="6"/>
  <c r="BQ79" i="6" s="1"/>
  <c r="BR79" i="6" s="1"/>
  <c r="BP85" i="6"/>
  <c r="BQ85" i="6" s="1"/>
  <c r="BR85" i="6" s="1"/>
  <c r="BP5" i="6"/>
  <c r="BQ5" i="6" s="1"/>
  <c r="BR5" i="6" s="1"/>
  <c r="BP8" i="6"/>
  <c r="BQ8" i="6" s="1"/>
  <c r="BR8" i="6" s="1"/>
  <c r="BP11" i="6"/>
  <c r="BQ11" i="6" s="1"/>
  <c r="BR11" i="6" s="1"/>
  <c r="BP14" i="6"/>
  <c r="BQ14" i="6" s="1"/>
  <c r="BR14" i="6" s="1"/>
  <c r="BP17" i="6"/>
  <c r="BQ17" i="6" s="1"/>
  <c r="BR17" i="6" s="1"/>
  <c r="BP20" i="6"/>
  <c r="BQ20" i="6" s="1"/>
  <c r="BR20" i="6" s="1"/>
  <c r="BP23" i="6"/>
  <c r="BQ23" i="6" s="1"/>
  <c r="BR23" i="6" s="1"/>
  <c r="BP26" i="6"/>
  <c r="BQ26" i="6" s="1"/>
  <c r="BR26" i="6" s="1"/>
  <c r="BP29" i="6"/>
  <c r="BQ29" i="6" s="1"/>
  <c r="BR29" i="6" s="1"/>
  <c r="BP32" i="6"/>
  <c r="BQ32" i="6" s="1"/>
  <c r="BR32" i="6" s="1"/>
  <c r="BP35" i="6"/>
  <c r="BQ35" i="6" s="1"/>
  <c r="BR35" i="6" s="1"/>
  <c r="BP38" i="6"/>
  <c r="BQ38" i="6" s="1"/>
  <c r="BR38" i="6" s="1"/>
  <c r="BP41" i="6"/>
  <c r="BQ41" i="6" s="1"/>
  <c r="BR41" i="6" s="1"/>
  <c r="BP44" i="6"/>
  <c r="BQ44" i="6" s="1"/>
  <c r="BR44" i="6" s="1"/>
  <c r="BP47" i="6"/>
  <c r="BQ47" i="6" s="1"/>
  <c r="BR47" i="6" s="1"/>
  <c r="BP50" i="6"/>
  <c r="BQ50" i="6" s="1"/>
  <c r="BR50" i="6" s="1"/>
  <c r="BP53" i="6"/>
  <c r="BQ53" i="6" s="1"/>
  <c r="BR53" i="6" s="1"/>
  <c r="BP56" i="6"/>
  <c r="BQ56" i="6" s="1"/>
  <c r="BR56" i="6" s="1"/>
  <c r="BP59" i="6"/>
  <c r="BQ59" i="6" s="1"/>
  <c r="BR59" i="6" s="1"/>
  <c r="BP62" i="6"/>
  <c r="BQ62" i="6" s="1"/>
  <c r="BR62" i="6" s="1"/>
  <c r="BP65" i="6"/>
  <c r="BQ65" i="6" s="1"/>
  <c r="BR65" i="6" s="1"/>
  <c r="BP68" i="6"/>
  <c r="BQ68" i="6" s="1"/>
  <c r="BR68" i="6" s="1"/>
  <c r="BP71" i="6"/>
  <c r="BQ71" i="6" s="1"/>
  <c r="BR71" i="6" s="1"/>
  <c r="BP74" i="6"/>
  <c r="BQ74" i="6" s="1"/>
  <c r="BR74" i="6" s="1"/>
  <c r="BP77" i="6"/>
  <c r="BQ77" i="6" s="1"/>
  <c r="BR77" i="6" s="1"/>
  <c r="BP80" i="6"/>
  <c r="BQ80" i="6" s="1"/>
  <c r="BR80" i="6" s="1"/>
  <c r="BP83" i="6"/>
  <c r="BQ83" i="6" s="1"/>
  <c r="BR83" i="6" s="1"/>
  <c r="BP86" i="6"/>
  <c r="BQ86" i="6" s="1"/>
  <c r="BR86" i="6" s="1"/>
  <c r="BP89" i="6"/>
  <c r="BQ89" i="6" s="1"/>
  <c r="BR89" i="6" s="1"/>
  <c r="AG98" i="6"/>
  <c r="BE109" i="6"/>
  <c r="AG121" i="6"/>
  <c r="BE117" i="6"/>
  <c r="AG106" i="6"/>
  <c r="BE94" i="6"/>
  <c r="AG124" i="6"/>
  <c r="AG101" i="6"/>
  <c r="AG97" i="6"/>
  <c r="AG92" i="6"/>
  <c r="AG96" i="6"/>
  <c r="BE119" i="6"/>
  <c r="BE123" i="6"/>
  <c r="BE122" i="6"/>
  <c r="BE104" i="6"/>
  <c r="BE113" i="6"/>
  <c r="BE98" i="6"/>
  <c r="BE105" i="6"/>
  <c r="AG118" i="6"/>
  <c r="BE112" i="6"/>
  <c r="AG116" i="6"/>
  <c r="BE115" i="6"/>
  <c r="AG115" i="6"/>
  <c r="AG99" i="6"/>
  <c r="AG110" i="6"/>
  <c r="AG105" i="6"/>
  <c r="AG100" i="6"/>
  <c r="BE102" i="6"/>
  <c r="BE95" i="6"/>
  <c r="BE129" i="6"/>
  <c r="BE110" i="6"/>
  <c r="BE100" i="6"/>
  <c r="AG112" i="6"/>
  <c r="AG109" i="6"/>
  <c r="BE107" i="6"/>
  <c r="AG131" i="6"/>
  <c r="AG117" i="6"/>
  <c r="AG126" i="6"/>
  <c r="AG93" i="6"/>
  <c r="AG104" i="6"/>
  <c r="BE128" i="6"/>
  <c r="BE116" i="6"/>
  <c r="BE127" i="6"/>
  <c r="BE130" i="6"/>
  <c r="AG107" i="6"/>
  <c r="AG123" i="6"/>
  <c r="AG128" i="6"/>
  <c r="AG130" i="6"/>
  <c r="AG111" i="6"/>
  <c r="BE131" i="6"/>
  <c r="BE126" i="6"/>
  <c r="BE93" i="6"/>
  <c r="BE121" i="6"/>
  <c r="AG95" i="6"/>
  <c r="AG120" i="6"/>
  <c r="BE106" i="6"/>
  <c r="AG103" i="6"/>
  <c r="BE101" i="6"/>
  <c r="BE125" i="6"/>
  <c r="AG125" i="6"/>
  <c r="AG94" i="6"/>
  <c r="AG119" i="6"/>
  <c r="AG122" i="6"/>
  <c r="AG113" i="6"/>
  <c r="BE108" i="6"/>
  <c r="BE124" i="6"/>
  <c r="BE103" i="6"/>
  <c r="BE96" i="6"/>
  <c r="AG129" i="6"/>
  <c r="AG102" i="6"/>
  <c r="AG127" i="6"/>
  <c r="AG114" i="6"/>
  <c r="AG108" i="6"/>
  <c r="BE120" i="6"/>
  <c r="BE111" i="6"/>
  <c r="BE114" i="6"/>
  <c r="BE99" i="6"/>
  <c r="BE97" i="6"/>
  <c r="BE118" i="6"/>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5" i="2"/>
  <c r="C27" i="6" l="1"/>
  <c r="G27" i="6" s="1"/>
  <c r="B27" i="6"/>
  <c r="B24" i="6"/>
  <c r="C25" i="6"/>
  <c r="B25" i="6"/>
  <c r="E24" i="6"/>
  <c r="C24" i="6"/>
  <c r="E25" i="6"/>
  <c r="C13" i="6"/>
  <c r="B13" i="6"/>
  <c r="C20" i="6"/>
  <c r="B20" i="6"/>
  <c r="E11" i="6"/>
  <c r="E19" i="6"/>
  <c r="C11" i="6"/>
  <c r="B11" i="6"/>
  <c r="C19" i="6"/>
  <c r="B19" i="6"/>
  <c r="E12" i="6"/>
  <c r="E20" i="6"/>
  <c r="C14" i="6"/>
  <c r="B14" i="6"/>
  <c r="C22" i="6"/>
  <c r="B22" i="6"/>
  <c r="E13" i="6"/>
  <c r="E21" i="6"/>
  <c r="C12" i="6"/>
  <c r="B12" i="6"/>
  <c r="C21" i="6"/>
  <c r="B21" i="6"/>
  <c r="E14" i="6"/>
  <c r="E22" i="6"/>
  <c r="C15" i="6"/>
  <c r="B15" i="6"/>
  <c r="C23" i="6"/>
  <c r="B23" i="6"/>
  <c r="E15" i="6"/>
  <c r="E23" i="6"/>
  <c r="C18" i="6"/>
  <c r="B18" i="6"/>
  <c r="C26" i="6"/>
  <c r="B26" i="6"/>
  <c r="E16" i="6"/>
  <c r="E26" i="6"/>
  <c r="C10" i="6"/>
  <c r="B10" i="6"/>
  <c r="C16" i="6"/>
  <c r="B16" i="6"/>
  <c r="E18" i="6"/>
  <c r="E10" i="6"/>
  <c r="E17" i="6"/>
  <c r="C17" i="6"/>
  <c r="B17" i="6"/>
  <c r="BN136" i="6"/>
  <c r="BN147" i="6"/>
  <c r="BN141" i="6"/>
  <c r="BN98" i="6"/>
  <c r="BN156" i="6"/>
  <c r="BN87" i="6"/>
  <c r="BN128" i="6"/>
  <c r="BN114" i="6"/>
  <c r="BN109" i="6"/>
  <c r="BN74" i="6"/>
  <c r="BN82" i="6"/>
  <c r="BN131" i="6"/>
  <c r="BN101" i="6"/>
  <c r="BN152" i="6"/>
  <c r="BN127" i="6"/>
  <c r="BN100" i="6"/>
  <c r="BN73" i="6"/>
  <c r="BN132" i="6"/>
  <c r="BN105" i="6"/>
  <c r="BN78" i="6"/>
  <c r="BN125" i="6"/>
  <c r="BN104" i="6"/>
  <c r="BN83" i="6"/>
  <c r="BN143" i="6"/>
  <c r="BN118" i="6"/>
  <c r="BN91" i="6"/>
  <c r="BN151" i="6"/>
  <c r="BN123" i="6"/>
  <c r="BN96" i="6"/>
  <c r="BN150" i="6"/>
  <c r="BN116" i="6"/>
  <c r="BN89" i="6"/>
  <c r="BN122" i="6"/>
  <c r="BN95" i="6"/>
  <c r="BN119" i="6"/>
  <c r="BN92" i="6"/>
  <c r="BN80" i="6"/>
  <c r="BN158" i="6"/>
  <c r="BN149" i="6"/>
  <c r="BN142" i="6"/>
  <c r="BN133" i="6"/>
  <c r="BN124" i="6"/>
  <c r="BN115" i="6"/>
  <c r="BN106" i="6"/>
  <c r="BN97" i="6"/>
  <c r="BN88" i="6"/>
  <c r="BN79" i="6"/>
  <c r="BN157" i="6"/>
  <c r="BN148" i="6"/>
  <c r="BN138" i="6"/>
  <c r="BN129" i="6"/>
  <c r="BN120" i="6"/>
  <c r="BN111" i="6"/>
  <c r="BN102" i="6"/>
  <c r="BN93" i="6"/>
  <c r="BN84" i="6"/>
  <c r="BN75" i="6"/>
  <c r="BN153" i="6"/>
  <c r="BN144" i="6"/>
  <c r="BN134" i="6"/>
  <c r="BN107" i="6"/>
  <c r="BN140" i="6"/>
  <c r="BN113" i="6"/>
  <c r="BN137" i="6"/>
  <c r="BN110" i="6"/>
  <c r="BN86" i="6"/>
  <c r="BN77" i="6"/>
  <c r="BN155" i="6"/>
  <c r="BN146" i="6"/>
  <c r="BN139" i="6"/>
  <c r="BN130" i="6"/>
  <c r="BN121" i="6"/>
  <c r="BN112" i="6"/>
  <c r="BN103" i="6"/>
  <c r="BN94" i="6"/>
  <c r="BN85" i="6"/>
  <c r="BN76" i="6"/>
  <c r="BN154" i="6"/>
  <c r="BN145" i="6"/>
  <c r="BN135" i="6"/>
  <c r="BN126" i="6"/>
  <c r="BN117" i="6"/>
  <c r="BN108" i="6"/>
  <c r="BN99" i="6"/>
  <c r="BN90" i="6"/>
  <c r="BN81" i="6"/>
  <c r="BN72" i="6"/>
  <c r="BW54" i="6"/>
  <c r="BW71" i="6"/>
  <c r="BW73" i="6"/>
  <c r="BW66" i="6"/>
  <c r="BW55" i="6"/>
  <c r="BW60" i="6"/>
  <c r="BW65" i="6"/>
  <c r="BW61" i="6"/>
  <c r="BW49" i="6"/>
  <c r="BW52" i="6"/>
  <c r="BW68" i="6"/>
  <c r="BW70" i="6"/>
  <c r="BW59" i="6"/>
  <c r="BW69" i="6"/>
  <c r="BW57" i="6"/>
  <c r="BW51" i="6"/>
  <c r="BW62" i="6"/>
  <c r="BW63" i="6"/>
  <c r="BW56" i="6"/>
  <c r="BW64" i="6"/>
  <c r="BW67" i="6"/>
  <c r="BW50" i="6"/>
  <c r="BW53" i="6"/>
  <c r="BW48" i="6"/>
  <c r="BW58" i="6"/>
  <c r="BL111" i="6"/>
  <c r="BL129" i="6"/>
  <c r="BL103" i="6"/>
  <c r="BL123" i="6"/>
  <c r="BL124" i="6"/>
  <c r="BL98" i="6"/>
  <c r="BL131" i="6"/>
  <c r="BN71" i="6" s="1"/>
  <c r="BL116" i="6"/>
  <c r="BL97" i="6"/>
  <c r="BL121" i="6"/>
  <c r="BL114" i="6"/>
  <c r="BL122" i="6"/>
  <c r="BL125" i="6"/>
  <c r="BL95" i="6"/>
  <c r="BL104" i="6"/>
  <c r="BL117" i="6"/>
  <c r="BL109" i="6"/>
  <c r="BL110" i="6"/>
  <c r="BL118" i="6"/>
  <c r="BL92" i="6"/>
  <c r="BL127" i="6"/>
  <c r="BL119" i="6"/>
  <c r="BL130" i="6"/>
  <c r="BL107" i="6"/>
  <c r="BL93" i="6"/>
  <c r="BL112" i="6"/>
  <c r="BL100" i="6"/>
  <c r="BL99" i="6"/>
  <c r="BL108" i="6"/>
  <c r="BN54" i="6" s="1"/>
  <c r="BL102" i="6"/>
  <c r="BL113" i="6"/>
  <c r="BL94" i="6"/>
  <c r="BN46" i="6" s="1"/>
  <c r="BL120" i="6"/>
  <c r="BL128" i="6"/>
  <c r="BL126" i="6"/>
  <c r="BL105" i="6"/>
  <c r="BL115" i="6"/>
  <c r="BL96" i="6"/>
  <c r="BL101" i="6"/>
  <c r="BL106" i="6"/>
  <c r="C9" i="6"/>
  <c r="E9" i="6"/>
  <c r="B9" i="6"/>
  <c r="BD85" i="6"/>
  <c r="BD82" i="6"/>
  <c r="BD76" i="6"/>
  <c r="BD67" i="6"/>
  <c r="BD58" i="6"/>
  <c r="BD55" i="6"/>
  <c r="BD49" i="6"/>
  <c r="BD31" i="6"/>
  <c r="BD28" i="6"/>
  <c r="BD84" i="6"/>
  <c r="BD75" i="6"/>
  <c r="BD60" i="6"/>
  <c r="BD57" i="6"/>
  <c r="BD54" i="6"/>
  <c r="BD51" i="6"/>
  <c r="BD48" i="6"/>
  <c r="BD45" i="6"/>
  <c r="BD39" i="6"/>
  <c r="BD33" i="6"/>
  <c r="BD18" i="6"/>
  <c r="BD15" i="6"/>
  <c r="BD9" i="6"/>
  <c r="BD80" i="6"/>
  <c r="BD71" i="6"/>
  <c r="BD62" i="6"/>
  <c r="BD35" i="6"/>
  <c r="BD20" i="6"/>
  <c r="BD11" i="6"/>
  <c r="BD63" i="6"/>
  <c r="BD42" i="6"/>
  <c r="BD30" i="6"/>
  <c r="BD6" i="6"/>
  <c r="BD68" i="6"/>
  <c r="BD91" i="6"/>
  <c r="BD79" i="6"/>
  <c r="BD73" i="6"/>
  <c r="BD64" i="6"/>
  <c r="BD52" i="6"/>
  <c r="BD46" i="6"/>
  <c r="BD37" i="6"/>
  <c r="BD19" i="6"/>
  <c r="BD16" i="6"/>
  <c r="BD10" i="6"/>
  <c r="AE89" i="6"/>
  <c r="AF89" i="6" s="1"/>
  <c r="AE83" i="6"/>
  <c r="AF83" i="6" s="1"/>
  <c r="AE80" i="6"/>
  <c r="AF80" i="6" s="1"/>
  <c r="BD66" i="6"/>
  <c r="AE44" i="6"/>
  <c r="AF44" i="6" s="1"/>
  <c r="AE20" i="6"/>
  <c r="AF20" i="6" s="1"/>
  <c r="AE88" i="6"/>
  <c r="AF88" i="6" s="1"/>
  <c r="BD86" i="6"/>
  <c r="AE85" i="6"/>
  <c r="AF85" i="6" s="1"/>
  <c r="AE82" i="6"/>
  <c r="AF82" i="6" s="1"/>
  <c r="AE79" i="6"/>
  <c r="AF79" i="6" s="1"/>
  <c r="BD77" i="6"/>
  <c r="AE76" i="6"/>
  <c r="AF76" i="6" s="1"/>
  <c r="AE70" i="6"/>
  <c r="AF70" i="6" s="1"/>
  <c r="AE67" i="6"/>
  <c r="AF67" i="6" s="1"/>
  <c r="AE64" i="6"/>
  <c r="AF64" i="6" s="1"/>
  <c r="AE61" i="6"/>
  <c r="AF61" i="6" s="1"/>
  <c r="BD59" i="6"/>
  <c r="AE58" i="6"/>
  <c r="AF58" i="6" s="1"/>
  <c r="BD53" i="6"/>
  <c r="BD50" i="6"/>
  <c r="BD44" i="6"/>
  <c r="BD41" i="6"/>
  <c r="BD32" i="6"/>
  <c r="BD26" i="6"/>
  <c r="BD17" i="6"/>
  <c r="BD5" i="6"/>
  <c r="BD72" i="6"/>
  <c r="AE56" i="6"/>
  <c r="AF56" i="6" s="1"/>
  <c r="AE53" i="6"/>
  <c r="AF53" i="6" s="1"/>
  <c r="AE35" i="6"/>
  <c r="AF35" i="6" s="1"/>
  <c r="BD24" i="6"/>
  <c r="BD22" i="6"/>
  <c r="BD13" i="6"/>
  <c r="BD23" i="6"/>
  <c r="BD8" i="6"/>
  <c r="BD88" i="6"/>
  <c r="BD70" i="6"/>
  <c r="BD61" i="6"/>
  <c r="BD43" i="6"/>
  <c r="BD40" i="6"/>
  <c r="BD34" i="6"/>
  <c r="BD25" i="6"/>
  <c r="BD7" i="6"/>
  <c r="BD90" i="6"/>
  <c r="BD87" i="6"/>
  <c r="BD81" i="6"/>
  <c r="BD78" i="6"/>
  <c r="BD36" i="6"/>
  <c r="BD27" i="6"/>
  <c r="BD21" i="6"/>
  <c r="BD89" i="6"/>
  <c r="BD83" i="6"/>
  <c r="BD74" i="6"/>
  <c r="BD65" i="6"/>
  <c r="BD56" i="6"/>
  <c r="BD47" i="6"/>
  <c r="BD38" i="6"/>
  <c r="BD29" i="6"/>
  <c r="BD14" i="6"/>
  <c r="BD69" i="6"/>
  <c r="BD12" i="6"/>
  <c r="AE33" i="6"/>
  <c r="AF33" i="6" s="1"/>
  <c r="AE73" i="6"/>
  <c r="AF73" i="6" s="1"/>
  <c r="AE55" i="6"/>
  <c r="AF55" i="6" s="1"/>
  <c r="AE52" i="6"/>
  <c r="AF52" i="6" s="1"/>
  <c r="AE49" i="6"/>
  <c r="AF49" i="6" s="1"/>
  <c r="AE46" i="6"/>
  <c r="AF46" i="6" s="1"/>
  <c r="AE43" i="6"/>
  <c r="AF43" i="6" s="1"/>
  <c r="AE40" i="6"/>
  <c r="AF40" i="6" s="1"/>
  <c r="AE37" i="6"/>
  <c r="AF37" i="6" s="1"/>
  <c r="AE34" i="6"/>
  <c r="AF34" i="6" s="1"/>
  <c r="AE31" i="6"/>
  <c r="AF31" i="6" s="1"/>
  <c r="AE28" i="6"/>
  <c r="AF28" i="6" s="1"/>
  <c r="AE25" i="6"/>
  <c r="AF25" i="6" s="1"/>
  <c r="AE22" i="6"/>
  <c r="AF22" i="6" s="1"/>
  <c r="AE59" i="6"/>
  <c r="AF59" i="6" s="1"/>
  <c r="AE50" i="6"/>
  <c r="AF50" i="6" s="1"/>
  <c r="AE24" i="6"/>
  <c r="AF24" i="6" s="1"/>
  <c r="AE23" i="6"/>
  <c r="AF23" i="6" s="1"/>
  <c r="AE91" i="6"/>
  <c r="AF91" i="6" s="1"/>
  <c r="AE87" i="6"/>
  <c r="AF87" i="6" s="1"/>
  <c r="AE84" i="6"/>
  <c r="AF84" i="6" s="1"/>
  <c r="AE78" i="6"/>
  <c r="AF78" i="6" s="1"/>
  <c r="AE75" i="6"/>
  <c r="AF75" i="6" s="1"/>
  <c r="AE69" i="6"/>
  <c r="AF69" i="6" s="1"/>
  <c r="AE66" i="6"/>
  <c r="AF66" i="6" s="1"/>
  <c r="AE60" i="6"/>
  <c r="AF60" i="6" s="1"/>
  <c r="AE57" i="6"/>
  <c r="AF57" i="6" s="1"/>
  <c r="AE51" i="6"/>
  <c r="AF51" i="6" s="1"/>
  <c r="AE48" i="6"/>
  <c r="AF48" i="6" s="1"/>
  <c r="AE42" i="6"/>
  <c r="AF42" i="6" s="1"/>
  <c r="AE39" i="6"/>
  <c r="AF39" i="6" s="1"/>
  <c r="AE86" i="6"/>
  <c r="AF86" i="6" s="1"/>
  <c r="AE77" i="6"/>
  <c r="AF77" i="6" s="1"/>
  <c r="AE68" i="6"/>
  <c r="AF68" i="6" s="1"/>
  <c r="AE65" i="6"/>
  <c r="AF65" i="6" s="1"/>
  <c r="AE29" i="6"/>
  <c r="AF29" i="6" s="1"/>
  <c r="AE62" i="6"/>
  <c r="AF62" i="6" s="1"/>
  <c r="AE47" i="6"/>
  <c r="AF47" i="6" s="1"/>
  <c r="AE38" i="6"/>
  <c r="AF38" i="6" s="1"/>
  <c r="AE17" i="6"/>
  <c r="AF17" i="6" s="1"/>
  <c r="AE14" i="6"/>
  <c r="AF14" i="6" s="1"/>
  <c r="AE90" i="6"/>
  <c r="AF90" i="6" s="1"/>
  <c r="AE81" i="6"/>
  <c r="AF81" i="6" s="1"/>
  <c r="AE72" i="6"/>
  <c r="AF72" i="6" s="1"/>
  <c r="AE63" i="6"/>
  <c r="AF63" i="6" s="1"/>
  <c r="AE54" i="6"/>
  <c r="AF54" i="6" s="1"/>
  <c r="AE45" i="6"/>
  <c r="AF45" i="6" s="1"/>
  <c r="AE36" i="6"/>
  <c r="AF36" i="6" s="1"/>
  <c r="AE30" i="6"/>
  <c r="AF30" i="6" s="1"/>
  <c r="AE27" i="6"/>
  <c r="AF27" i="6" s="1"/>
  <c r="AE21" i="6"/>
  <c r="AF21" i="6" s="1"/>
  <c r="AE18" i="6"/>
  <c r="AF18" i="6" s="1"/>
  <c r="AE15" i="6"/>
  <c r="AF15" i="6" s="1"/>
  <c r="AE12" i="6"/>
  <c r="AF12" i="6" s="1"/>
  <c r="AE9" i="6"/>
  <c r="AF9" i="6" s="1"/>
  <c r="AE6" i="6"/>
  <c r="AF6" i="6" s="1"/>
  <c r="AE74" i="6"/>
  <c r="AF74" i="6" s="1"/>
  <c r="AE71" i="6"/>
  <c r="AF71" i="6" s="1"/>
  <c r="AE41" i="6"/>
  <c r="AF41" i="6" s="1"/>
  <c r="AE11" i="6"/>
  <c r="AF11" i="6" s="1"/>
  <c r="AE19" i="6"/>
  <c r="AF19" i="6" s="1"/>
  <c r="AE16" i="6"/>
  <c r="AF16" i="6" s="1"/>
  <c r="AE13" i="6"/>
  <c r="AF13" i="6" s="1"/>
  <c r="AE10" i="6"/>
  <c r="AF10" i="6" s="1"/>
  <c r="AE7" i="6"/>
  <c r="AF7" i="6" s="1"/>
  <c r="AE32" i="6"/>
  <c r="AF32" i="6" s="1"/>
  <c r="AE26" i="6"/>
  <c r="AF26" i="6" s="1"/>
  <c r="AE8" i="6"/>
  <c r="AF8" i="6" s="1"/>
  <c r="AE5" i="6"/>
  <c r="AF5" i="6" s="1"/>
  <c r="E29" i="6" l="1"/>
  <c r="C29" i="6"/>
  <c r="B29" i="6"/>
  <c r="G11" i="6"/>
  <c r="G25" i="6"/>
  <c r="G17" i="6"/>
  <c r="G19" i="6"/>
  <c r="G16" i="6"/>
  <c r="G20" i="6"/>
  <c r="G18" i="6"/>
  <c r="G15" i="6"/>
  <c r="G22" i="6"/>
  <c r="G26" i="6"/>
  <c r="G21" i="6"/>
  <c r="G14" i="6"/>
  <c r="G24" i="6"/>
  <c r="G10" i="6"/>
  <c r="G23" i="6"/>
  <c r="G12" i="6"/>
  <c r="G13" i="6"/>
  <c r="BN48" i="6"/>
  <c r="BN66" i="6"/>
  <c r="BN57" i="6"/>
  <c r="BN70" i="6"/>
  <c r="BN44" i="6"/>
  <c r="BN59" i="6"/>
  <c r="BN64" i="6"/>
  <c r="BN47" i="6"/>
  <c r="BN69" i="6"/>
  <c r="BN65" i="6"/>
  <c r="BN63" i="6"/>
  <c r="BN56" i="6"/>
  <c r="BN68" i="6"/>
  <c r="BN58" i="6"/>
  <c r="BN45" i="6"/>
  <c r="BN61" i="6"/>
  <c r="BN67" i="6"/>
  <c r="BN51" i="6"/>
  <c r="BN60" i="6"/>
  <c r="BN53" i="6"/>
  <c r="BN55" i="6"/>
  <c r="BN62" i="6"/>
  <c r="BN50" i="6"/>
  <c r="BN52" i="6"/>
  <c r="BN49" i="6"/>
  <c r="BE74" i="6"/>
  <c r="BT74" i="6"/>
  <c r="BU74" i="6" s="1"/>
  <c r="BE90" i="6"/>
  <c r="BT90" i="6"/>
  <c r="BU90" i="6" s="1"/>
  <c r="BE5" i="6"/>
  <c r="BT5" i="6"/>
  <c r="BU5" i="6" s="1"/>
  <c r="BE12" i="6"/>
  <c r="BT12" i="6"/>
  <c r="BU12" i="6" s="1"/>
  <c r="BE56" i="6"/>
  <c r="BT56" i="6"/>
  <c r="BU56" i="6" s="1"/>
  <c r="BE83" i="6"/>
  <c r="BT83" i="6"/>
  <c r="BU83" i="6" s="1"/>
  <c r="BE27" i="6"/>
  <c r="BT27" i="6"/>
  <c r="BU27" i="6" s="1"/>
  <c r="BE7" i="6"/>
  <c r="BT7" i="6"/>
  <c r="BU7" i="6" s="1"/>
  <c r="BE40" i="6"/>
  <c r="BT40" i="6"/>
  <c r="BU40" i="6" s="1"/>
  <c r="BE70" i="6"/>
  <c r="BT70" i="6"/>
  <c r="BU70" i="6" s="1"/>
  <c r="BE23" i="6"/>
  <c r="BT23" i="6"/>
  <c r="BU23" i="6" s="1"/>
  <c r="BE17" i="6"/>
  <c r="BT17" i="6"/>
  <c r="BU17" i="6" s="1"/>
  <c r="BE41" i="6"/>
  <c r="BT41" i="6"/>
  <c r="BU41" i="6" s="1"/>
  <c r="BE53" i="6"/>
  <c r="BT53" i="6"/>
  <c r="BU53" i="6" s="1"/>
  <c r="BE86" i="6"/>
  <c r="BT86" i="6"/>
  <c r="BU86" i="6" s="1"/>
  <c r="BE16" i="6"/>
  <c r="BT16" i="6"/>
  <c r="BU16" i="6" s="1"/>
  <c r="BE46" i="6"/>
  <c r="BT46" i="6"/>
  <c r="BU46" i="6" s="1"/>
  <c r="BE73" i="6"/>
  <c r="BT73" i="6"/>
  <c r="BU73" i="6" s="1"/>
  <c r="BE68" i="6"/>
  <c r="BT68" i="6"/>
  <c r="BU68" i="6" s="1"/>
  <c r="BE20" i="6"/>
  <c r="BT20" i="6"/>
  <c r="BU20" i="6" s="1"/>
  <c r="BE71" i="6"/>
  <c r="BT71" i="6"/>
  <c r="BU71" i="6" s="1"/>
  <c r="BE15" i="6"/>
  <c r="BT15" i="6"/>
  <c r="BU15" i="6" s="1"/>
  <c r="BE39" i="6"/>
  <c r="BT39" i="6"/>
  <c r="BU39" i="6" s="1"/>
  <c r="BE51" i="6"/>
  <c r="BT51" i="6"/>
  <c r="BU51" i="6" s="1"/>
  <c r="BE60" i="6"/>
  <c r="BT60" i="6"/>
  <c r="BU60" i="6" s="1"/>
  <c r="BE28" i="6"/>
  <c r="BT28" i="6"/>
  <c r="BU28" i="6" s="1"/>
  <c r="BE55" i="6"/>
  <c r="BT55" i="6"/>
  <c r="BU55" i="6" s="1"/>
  <c r="BE76" i="6"/>
  <c r="BT76" i="6"/>
  <c r="BU76" i="6" s="1"/>
  <c r="BE69" i="6"/>
  <c r="BT69" i="6"/>
  <c r="BU69" i="6" s="1"/>
  <c r="BE38" i="6"/>
  <c r="BT38" i="6"/>
  <c r="BU38" i="6" s="1"/>
  <c r="BE65" i="6"/>
  <c r="BT65" i="6"/>
  <c r="BU65" i="6" s="1"/>
  <c r="BE89" i="6"/>
  <c r="BT89" i="6"/>
  <c r="BU89" i="6" s="1"/>
  <c r="BE36" i="6"/>
  <c r="BT36" i="6"/>
  <c r="BU36" i="6" s="1"/>
  <c r="BE87" i="6"/>
  <c r="BT87" i="6"/>
  <c r="BU87" i="6" s="1"/>
  <c r="BE25" i="6"/>
  <c r="BT25" i="6"/>
  <c r="BU25" i="6" s="1"/>
  <c r="BE43" i="6"/>
  <c r="BT43" i="6"/>
  <c r="BU43" i="6" s="1"/>
  <c r="BE88" i="6"/>
  <c r="BT88" i="6"/>
  <c r="BU88" i="6" s="1"/>
  <c r="BE13" i="6"/>
  <c r="BT13" i="6"/>
  <c r="BU13" i="6" s="1"/>
  <c r="BE72" i="6"/>
  <c r="BT72" i="6"/>
  <c r="BU72" i="6" s="1"/>
  <c r="BE26" i="6"/>
  <c r="BT26" i="6"/>
  <c r="BU26" i="6" s="1"/>
  <c r="BE44" i="6"/>
  <c r="BT44" i="6"/>
  <c r="BU44" i="6" s="1"/>
  <c r="BE66" i="6"/>
  <c r="BT66" i="6"/>
  <c r="BU66" i="6" s="1"/>
  <c r="BE19" i="6"/>
  <c r="BT19" i="6"/>
  <c r="BU19" i="6" s="1"/>
  <c r="BE52" i="6"/>
  <c r="BT52" i="6"/>
  <c r="BU52" i="6" s="1"/>
  <c r="BE79" i="6"/>
  <c r="BT79" i="6"/>
  <c r="BU79" i="6" s="1"/>
  <c r="BE6" i="6"/>
  <c r="BT6" i="6"/>
  <c r="BU6" i="6" s="1"/>
  <c r="BE63" i="6"/>
  <c r="BT63" i="6"/>
  <c r="BU63" i="6" s="1"/>
  <c r="BE35" i="6"/>
  <c r="BT35" i="6"/>
  <c r="BU35" i="6" s="1"/>
  <c r="BE80" i="6"/>
  <c r="BT80" i="6"/>
  <c r="BU80" i="6" s="1"/>
  <c r="BE18" i="6"/>
  <c r="BT18" i="6"/>
  <c r="BU18" i="6" s="1"/>
  <c r="BE45" i="6"/>
  <c r="BT45" i="6"/>
  <c r="BU45" i="6" s="1"/>
  <c r="BE54" i="6"/>
  <c r="BT54" i="6"/>
  <c r="BU54" i="6" s="1"/>
  <c r="BE75" i="6"/>
  <c r="BT75" i="6"/>
  <c r="BU75" i="6" s="1"/>
  <c r="BE31" i="6"/>
  <c r="BT31" i="6"/>
  <c r="BU31" i="6" s="1"/>
  <c r="BE58" i="6"/>
  <c r="BT58" i="6"/>
  <c r="BU58" i="6" s="1"/>
  <c r="BE82" i="6"/>
  <c r="BT82" i="6"/>
  <c r="BU82" i="6" s="1"/>
  <c r="BE47" i="6"/>
  <c r="BT47" i="6"/>
  <c r="BU47" i="6" s="1"/>
  <c r="BE78" i="6"/>
  <c r="BT78" i="6"/>
  <c r="BU78" i="6" s="1"/>
  <c r="BE61" i="6"/>
  <c r="BT61" i="6"/>
  <c r="BU61" i="6" s="1"/>
  <c r="BE32" i="6"/>
  <c r="BT32" i="6"/>
  <c r="BU32" i="6" s="1"/>
  <c r="BE59" i="6"/>
  <c r="BT59" i="6"/>
  <c r="BU59" i="6" s="1"/>
  <c r="BE37" i="6"/>
  <c r="BT37" i="6"/>
  <c r="BU37" i="6" s="1"/>
  <c r="BE91" i="6"/>
  <c r="BT91" i="6"/>
  <c r="BU91" i="6" s="1"/>
  <c r="BE62" i="6"/>
  <c r="BT62" i="6"/>
  <c r="BU62" i="6" s="1"/>
  <c r="BE48" i="6"/>
  <c r="BT48" i="6"/>
  <c r="BU48" i="6" s="1"/>
  <c r="BE84" i="6"/>
  <c r="BT84" i="6"/>
  <c r="BU84" i="6" s="1"/>
  <c r="BE14" i="6"/>
  <c r="BT14" i="6"/>
  <c r="BU14" i="6" s="1"/>
  <c r="BE21" i="6"/>
  <c r="BT21" i="6"/>
  <c r="BU21" i="6" s="1"/>
  <c r="BE34" i="6"/>
  <c r="BT34" i="6"/>
  <c r="BU34" i="6" s="1"/>
  <c r="BE8" i="6"/>
  <c r="BT8" i="6"/>
  <c r="BU8" i="6" s="1"/>
  <c r="BE22" i="6"/>
  <c r="BT22" i="6"/>
  <c r="BU22" i="6" s="1"/>
  <c r="BE50" i="6"/>
  <c r="BT50" i="6"/>
  <c r="BU50" i="6" s="1"/>
  <c r="BE77" i="6"/>
  <c r="BT77" i="6"/>
  <c r="BU77" i="6" s="1"/>
  <c r="BE10" i="6"/>
  <c r="BT10" i="6"/>
  <c r="BU10" i="6" s="1"/>
  <c r="BE64" i="6"/>
  <c r="BT64" i="6"/>
  <c r="BU64" i="6" s="1"/>
  <c r="BE30" i="6"/>
  <c r="BT30" i="6"/>
  <c r="BU30" i="6" s="1"/>
  <c r="BE11" i="6"/>
  <c r="BT11" i="6"/>
  <c r="BU11" i="6" s="1"/>
  <c r="BE9" i="6"/>
  <c r="BT9" i="6"/>
  <c r="BU9" i="6" s="1"/>
  <c r="BE33" i="6"/>
  <c r="BT33" i="6"/>
  <c r="BU33" i="6" s="1"/>
  <c r="BE57" i="6"/>
  <c r="BT57" i="6"/>
  <c r="BU57" i="6" s="1"/>
  <c r="BE49" i="6"/>
  <c r="BT49" i="6"/>
  <c r="BU49" i="6" s="1"/>
  <c r="BE67" i="6"/>
  <c r="BT67" i="6"/>
  <c r="BU67" i="6" s="1"/>
  <c r="BE85" i="6"/>
  <c r="BT85" i="6"/>
  <c r="BU85" i="6" s="1"/>
  <c r="BE29" i="6"/>
  <c r="BT29" i="6"/>
  <c r="BU29" i="6" s="1"/>
  <c r="BE81" i="6"/>
  <c r="BT81" i="6"/>
  <c r="BU81" i="6" s="1"/>
  <c r="BE24" i="6"/>
  <c r="BT24" i="6"/>
  <c r="BU24" i="6" s="1"/>
  <c r="BE42" i="6"/>
  <c r="BT42" i="6"/>
  <c r="BU42" i="6" s="1"/>
  <c r="G9" i="6"/>
  <c r="AG18" i="6"/>
  <c r="AG87" i="6"/>
  <c r="AG26" i="6"/>
  <c r="AG57" i="6"/>
  <c r="AG55" i="6"/>
  <c r="AG85" i="6"/>
  <c r="AG32" i="6"/>
  <c r="AG90" i="6"/>
  <c r="AG34" i="6"/>
  <c r="AG64" i="6"/>
  <c r="AG6" i="6"/>
  <c r="AG86" i="6"/>
  <c r="AG40" i="6"/>
  <c r="AG53" i="6"/>
  <c r="AG13" i="6"/>
  <c r="AG9" i="6"/>
  <c r="AG45" i="6"/>
  <c r="AG38" i="6"/>
  <c r="AG39" i="6"/>
  <c r="AG75" i="6"/>
  <c r="AG59" i="6"/>
  <c r="AG43" i="6"/>
  <c r="AG56" i="6"/>
  <c r="AG76" i="6"/>
  <c r="AG44" i="6"/>
  <c r="AG72" i="6"/>
  <c r="AG83" i="6"/>
  <c r="AG41" i="6"/>
  <c r="AG65" i="6"/>
  <c r="AG31" i="6"/>
  <c r="AG68" i="6"/>
  <c r="AG36" i="6"/>
  <c r="AG69" i="6"/>
  <c r="AG70" i="6"/>
  <c r="AG54" i="6"/>
  <c r="AG42" i="6"/>
  <c r="AG22" i="6"/>
  <c r="AG46" i="6"/>
  <c r="AG8" i="6"/>
  <c r="AG29" i="6"/>
  <c r="AG28" i="6"/>
  <c r="AG82" i="6"/>
  <c r="AG21" i="6"/>
  <c r="AG91" i="6"/>
  <c r="AG61" i="6"/>
  <c r="AG27" i="6"/>
  <c r="AG23" i="6"/>
  <c r="AG10" i="6"/>
  <c r="AG17" i="6"/>
  <c r="AG50" i="6"/>
  <c r="AG20" i="6"/>
  <c r="AG16" i="6"/>
  <c r="AG12" i="6"/>
  <c r="AG47" i="6"/>
  <c r="AG78" i="6"/>
  <c r="AG5" i="6"/>
  <c r="AG19" i="6"/>
  <c r="AG15" i="6"/>
  <c r="AG63" i="6"/>
  <c r="AG62" i="6"/>
  <c r="AG48" i="6"/>
  <c r="AG84" i="6"/>
  <c r="AG25" i="6"/>
  <c r="AG49" i="6"/>
  <c r="AG58" i="6"/>
  <c r="AG79" i="6"/>
  <c r="AG80" i="6"/>
  <c r="AG11" i="6"/>
  <c r="AG51" i="6"/>
  <c r="AG52" i="6"/>
  <c r="AG81" i="6"/>
  <c r="AG89" i="6"/>
  <c r="AG71" i="6"/>
  <c r="AG60" i="6"/>
  <c r="AG73" i="6"/>
  <c r="AG7" i="6"/>
  <c r="AG74" i="6"/>
  <c r="AG30" i="6"/>
  <c r="AG14" i="6"/>
  <c r="AG77" i="6"/>
  <c r="AG66" i="6"/>
  <c r="AG24" i="6"/>
  <c r="AG37" i="6"/>
  <c r="AG33" i="6"/>
  <c r="AG35" i="6"/>
  <c r="AG67" i="6"/>
  <c r="AG88" i="6"/>
  <c r="BW5" i="6" l="1"/>
  <c r="BW116" i="6"/>
  <c r="BW118" i="6"/>
  <c r="BW120" i="6"/>
  <c r="BW113" i="6"/>
  <c r="BW115" i="6"/>
  <c r="BW117" i="6"/>
  <c r="BW110" i="6"/>
  <c r="BW112" i="6"/>
  <c r="BW114" i="6"/>
  <c r="BW131" i="6"/>
  <c r="BW135" i="6"/>
  <c r="BW132" i="6"/>
  <c r="BW107" i="6"/>
  <c r="BW109" i="6"/>
  <c r="BW111" i="6"/>
  <c r="BW104" i="6"/>
  <c r="BW106" i="6"/>
  <c r="BW108" i="6"/>
  <c r="BW101" i="6"/>
  <c r="BW103" i="6"/>
  <c r="BW105" i="6"/>
  <c r="BW98" i="6"/>
  <c r="BW100" i="6"/>
  <c r="BW102" i="6"/>
  <c r="BW95" i="6"/>
  <c r="BW97" i="6"/>
  <c r="BW99" i="6"/>
  <c r="BW92" i="6"/>
  <c r="BW94" i="6"/>
  <c r="BW96" i="6"/>
  <c r="BW89" i="6"/>
  <c r="BW91" i="6"/>
  <c r="BW93" i="6"/>
  <c r="BW86" i="6"/>
  <c r="BW88" i="6"/>
  <c r="BW90" i="6"/>
  <c r="BW83" i="6"/>
  <c r="BW85" i="6"/>
  <c r="BW87" i="6"/>
  <c r="BW138" i="6"/>
  <c r="BW80" i="6"/>
  <c r="BW82" i="6"/>
  <c r="BW84" i="6"/>
  <c r="BW77" i="6"/>
  <c r="BW79" i="6"/>
  <c r="BW81" i="6"/>
  <c r="BW74" i="6"/>
  <c r="BW76" i="6"/>
  <c r="BW78" i="6"/>
  <c r="BW142" i="6"/>
  <c r="BW75" i="6"/>
  <c r="BW140" i="6"/>
  <c r="BW72" i="6"/>
  <c r="BW137" i="6"/>
  <c r="BW139" i="6"/>
  <c r="BW141" i="6"/>
  <c r="BW134" i="6"/>
  <c r="BW133" i="6"/>
  <c r="BW128" i="6"/>
  <c r="BW125" i="6"/>
  <c r="BW127" i="6"/>
  <c r="BW129" i="6"/>
  <c r="BW122" i="6"/>
  <c r="BW124" i="6"/>
  <c r="BW126" i="6"/>
  <c r="BW119" i="6"/>
  <c r="BW121" i="6"/>
  <c r="BW123" i="6"/>
  <c r="BW136" i="6"/>
  <c r="BW130" i="6"/>
  <c r="G29" i="6"/>
  <c r="BW9" i="6"/>
  <c r="BW39" i="6"/>
  <c r="BW25" i="6"/>
  <c r="BW43" i="6"/>
  <c r="BW8" i="6"/>
  <c r="BW20" i="6"/>
  <c r="BW31" i="6"/>
  <c r="BW13" i="6"/>
  <c r="BW46" i="6"/>
  <c r="BW36" i="6"/>
  <c r="BW10" i="6"/>
  <c r="BW34" i="6"/>
  <c r="BW22" i="6"/>
  <c r="BW17" i="6"/>
  <c r="BW15" i="6"/>
  <c r="BW44" i="6"/>
  <c r="BW21" i="6"/>
  <c r="BW16" i="6"/>
  <c r="BW18" i="6"/>
  <c r="BW28" i="6"/>
  <c r="BW23" i="6"/>
  <c r="BW14" i="6"/>
  <c r="BW27" i="6"/>
  <c r="BW40" i="6"/>
  <c r="BW41" i="6"/>
  <c r="BW35" i="6"/>
  <c r="BW42" i="6"/>
  <c r="BW32" i="6"/>
  <c r="BW33" i="6"/>
  <c r="BW38" i="6"/>
  <c r="A38" i="6"/>
  <c r="BW24" i="6"/>
  <c r="BW12" i="6"/>
  <c r="BW37" i="6"/>
  <c r="BW7" i="6"/>
  <c r="A41" i="6"/>
  <c r="BW6" i="6"/>
  <c r="BW30" i="6"/>
  <c r="BW47" i="6"/>
  <c r="BW19" i="6"/>
  <c r="BW29" i="6"/>
  <c r="BW11" i="6"/>
  <c r="BW26" i="6"/>
  <c r="BW45" i="6"/>
  <c r="BL24" i="6"/>
  <c r="BL17" i="6"/>
  <c r="BL35" i="6"/>
  <c r="BL14" i="6"/>
  <c r="BL7" i="6"/>
  <c r="BL71" i="6"/>
  <c r="BL52" i="6"/>
  <c r="BL80" i="6"/>
  <c r="BL49" i="6"/>
  <c r="BL48" i="6"/>
  <c r="BL15" i="6"/>
  <c r="BL78" i="6"/>
  <c r="BL16" i="6"/>
  <c r="BL27" i="6"/>
  <c r="BL21" i="6"/>
  <c r="BL29" i="6"/>
  <c r="BL22" i="6"/>
  <c r="BL70" i="6"/>
  <c r="BN30" i="6" s="1"/>
  <c r="BL68" i="6"/>
  <c r="BL41" i="6"/>
  <c r="BL44" i="6"/>
  <c r="BL43" i="6"/>
  <c r="BL39" i="6"/>
  <c r="BL9" i="6"/>
  <c r="BL40" i="6"/>
  <c r="BL64" i="6"/>
  <c r="BL32" i="6"/>
  <c r="BL57" i="6"/>
  <c r="BL18" i="6"/>
  <c r="BL88" i="6"/>
  <c r="BL33" i="6"/>
  <c r="BL66" i="6"/>
  <c r="BL30" i="6"/>
  <c r="BL73" i="6"/>
  <c r="BL89" i="6"/>
  <c r="BL51" i="6"/>
  <c r="BL79" i="6"/>
  <c r="BL25" i="6"/>
  <c r="BL62" i="6"/>
  <c r="BN27" i="6" s="1"/>
  <c r="BL19" i="6"/>
  <c r="BL47" i="6"/>
  <c r="BL20" i="6"/>
  <c r="BL10" i="6"/>
  <c r="BL61" i="6"/>
  <c r="BL82" i="6"/>
  <c r="BL8" i="6"/>
  <c r="BL42" i="6"/>
  <c r="BL69" i="6"/>
  <c r="BL31" i="6"/>
  <c r="BL83" i="6"/>
  <c r="BL76" i="6"/>
  <c r="BL59" i="6"/>
  <c r="BL38" i="6"/>
  <c r="BL13" i="6"/>
  <c r="BL86" i="6"/>
  <c r="BL34" i="6"/>
  <c r="BL85" i="6"/>
  <c r="BL26" i="6"/>
  <c r="BL67" i="6"/>
  <c r="BL37" i="6"/>
  <c r="BL77" i="6"/>
  <c r="BN35" i="6" s="1"/>
  <c r="BL74" i="6"/>
  <c r="BL60" i="6"/>
  <c r="BL81" i="6"/>
  <c r="BL11" i="6"/>
  <c r="BL58" i="6"/>
  <c r="BL84" i="6"/>
  <c r="BL63" i="6"/>
  <c r="BN28" i="6" s="1"/>
  <c r="BL12" i="6"/>
  <c r="BL50" i="6"/>
  <c r="BL23" i="6"/>
  <c r="BL91" i="6"/>
  <c r="BN43" i="6" s="1"/>
  <c r="BL28" i="6"/>
  <c r="BL46" i="6"/>
  <c r="BL54" i="6"/>
  <c r="BL36" i="6"/>
  <c r="BL65" i="6"/>
  <c r="BL72" i="6"/>
  <c r="BL56" i="6"/>
  <c r="BL75" i="6"/>
  <c r="BL45" i="6"/>
  <c r="BL53" i="6"/>
  <c r="BL6" i="6"/>
  <c r="BL90" i="6"/>
  <c r="BN42" i="6" s="1"/>
  <c r="BL55" i="6"/>
  <c r="BL87" i="6"/>
  <c r="BL5" i="6"/>
  <c r="BN5" i="6" s="1"/>
  <c r="A32" i="6"/>
  <c r="K188" i="1" l="1"/>
  <c r="K198" i="1"/>
  <c r="K202" i="1"/>
  <c r="K197" i="1"/>
  <c r="K181" i="1"/>
  <c r="K156" i="1"/>
  <c r="K160" i="1"/>
  <c r="K183" i="1"/>
  <c r="K139" i="1"/>
  <c r="K153" i="1"/>
  <c r="K190" i="1"/>
  <c r="K194" i="1"/>
  <c r="K203" i="1"/>
  <c r="K73" i="1"/>
  <c r="K106" i="1"/>
  <c r="K204" i="1"/>
  <c r="K161" i="1"/>
  <c r="K191" i="1"/>
  <c r="K208" i="1"/>
  <c r="K61" i="1"/>
  <c r="K165" i="1"/>
  <c r="K169" i="1"/>
  <c r="K173" i="1"/>
  <c r="K177" i="1"/>
  <c r="K182" i="1"/>
  <c r="K187" i="1"/>
  <c r="K195" i="1"/>
  <c r="K201" i="1"/>
  <c r="K209" i="1"/>
  <c r="K213" i="1"/>
  <c r="K217" i="1"/>
  <c r="K172" i="1"/>
  <c r="K180" i="1"/>
  <c r="K193" i="1"/>
  <c r="K207" i="1"/>
  <c r="K216" i="1"/>
  <c r="K166" i="1"/>
  <c r="K170" i="1"/>
  <c r="K174" i="1"/>
  <c r="K178" i="1"/>
  <c r="K184" i="1"/>
  <c r="K189" i="1"/>
  <c r="AI191" i="6" s="1"/>
  <c r="BF191" i="6" s="1"/>
  <c r="K196" i="1"/>
  <c r="K205" i="1"/>
  <c r="K210" i="1"/>
  <c r="K214" i="1"/>
  <c r="K218" i="1"/>
  <c r="AI220" i="6" s="1"/>
  <c r="BF220" i="6" s="1"/>
  <c r="K176" i="1"/>
  <c r="K167" i="1"/>
  <c r="K171" i="1"/>
  <c r="K175" i="1"/>
  <c r="K179" i="1"/>
  <c r="K185" i="1"/>
  <c r="K192" i="1"/>
  <c r="K199" i="1"/>
  <c r="K206" i="1"/>
  <c r="K211" i="1"/>
  <c r="AI213" i="6" s="1"/>
  <c r="BF213" i="6" s="1"/>
  <c r="K215" i="1"/>
  <c r="K219" i="1"/>
  <c r="AI221" i="6" s="1"/>
  <c r="BF221" i="6" s="1"/>
  <c r="K168" i="1"/>
  <c r="K186" i="1"/>
  <c r="AI188" i="6" s="1"/>
  <c r="BF188" i="6" s="1"/>
  <c r="K200" i="1"/>
  <c r="K212" i="1"/>
  <c r="AI214" i="6" s="1"/>
  <c r="BF214" i="6" s="1"/>
  <c r="K28" i="1"/>
  <c r="K58" i="1"/>
  <c r="K63" i="1"/>
  <c r="K146" i="1"/>
  <c r="K19" i="1"/>
  <c r="K60" i="1"/>
  <c r="K135" i="1"/>
  <c r="K105" i="1"/>
  <c r="K30" i="1"/>
  <c r="K62" i="1"/>
  <c r="K32" i="1"/>
  <c r="K137" i="1"/>
  <c r="K59" i="1"/>
  <c r="K124" i="1"/>
  <c r="K109" i="1"/>
  <c r="K29" i="1"/>
  <c r="K83" i="1"/>
  <c r="K104" i="1"/>
  <c r="K34" i="1"/>
  <c r="K101" i="1"/>
  <c r="K46" i="1"/>
  <c r="K45" i="1"/>
  <c r="K140" i="1"/>
  <c r="K129" i="1"/>
  <c r="BN15" i="6"/>
  <c r="BN24" i="6"/>
  <c r="BN19" i="6"/>
  <c r="BN32" i="6"/>
  <c r="BN12" i="6"/>
  <c r="BN21" i="6"/>
  <c r="BN39" i="6"/>
  <c r="BN33" i="6"/>
  <c r="BN13" i="6"/>
  <c r="BN23" i="6"/>
  <c r="BN20" i="6"/>
  <c r="BN31" i="6"/>
  <c r="BN38" i="6"/>
  <c r="BN26" i="6"/>
  <c r="BN17" i="6"/>
  <c r="BN14" i="6"/>
  <c r="BN8" i="6"/>
  <c r="BN41" i="6"/>
  <c r="BN11" i="6"/>
  <c r="BN22" i="6"/>
  <c r="BN7" i="6"/>
  <c r="BN40" i="6"/>
  <c r="BN36" i="6"/>
  <c r="BN6" i="6"/>
  <c r="BN37" i="6"/>
  <c r="BN25" i="6"/>
  <c r="BN10" i="6"/>
  <c r="BN9" i="6"/>
  <c r="BN18" i="6"/>
  <c r="BN34" i="6"/>
  <c r="BN29" i="6"/>
  <c r="BN16" i="6"/>
  <c r="K126" i="1"/>
  <c r="K155" i="1"/>
  <c r="K99" i="1"/>
  <c r="K122" i="1"/>
  <c r="K10" i="1"/>
  <c r="K51" i="1"/>
  <c r="K136" i="1"/>
  <c r="K138" i="1"/>
  <c r="K95" i="1"/>
  <c r="K108" i="1"/>
  <c r="K52" i="1"/>
  <c r="K11" i="1"/>
  <c r="K70" i="1"/>
  <c r="K17" i="1"/>
  <c r="K123" i="1"/>
  <c r="K134" i="1"/>
  <c r="K149" i="1"/>
  <c r="K162" i="1"/>
  <c r="K164" i="1"/>
  <c r="K125" i="1"/>
  <c r="K141" i="1"/>
  <c r="K150" i="1"/>
  <c r="K127" i="1"/>
  <c r="K142" i="1"/>
  <c r="K151" i="1"/>
  <c r="K128" i="1"/>
  <c r="K143" i="1"/>
  <c r="K152" i="1"/>
  <c r="K130" i="1"/>
  <c r="K144" i="1"/>
  <c r="K154" i="1"/>
  <c r="K131" i="1"/>
  <c r="K145" i="1"/>
  <c r="K157" i="1"/>
  <c r="K132" i="1"/>
  <c r="K147" i="1"/>
  <c r="K158" i="1"/>
  <c r="K133" i="1"/>
  <c r="K148" i="1"/>
  <c r="K159" i="1"/>
  <c r="K163" i="1"/>
  <c r="K5" i="1"/>
  <c r="AI5" i="6" s="1"/>
  <c r="K38" i="1"/>
  <c r="K48" i="1"/>
  <c r="K82" i="1"/>
  <c r="K115" i="1"/>
  <c r="K26" i="1"/>
  <c r="K92" i="1"/>
  <c r="K8" i="1"/>
  <c r="K18" i="1"/>
  <c r="K27" i="1"/>
  <c r="K40" i="1"/>
  <c r="K50" i="1"/>
  <c r="K66" i="1"/>
  <c r="K76" i="1"/>
  <c r="K85" i="1"/>
  <c r="K93" i="1"/>
  <c r="K107" i="1"/>
  <c r="K116" i="1"/>
  <c r="K12" i="1"/>
  <c r="K33" i="1"/>
  <c r="K54" i="1"/>
  <c r="K87" i="1"/>
  <c r="K96" i="1"/>
  <c r="K118" i="1"/>
  <c r="K6" i="1"/>
  <c r="K35" i="1"/>
  <c r="K55" i="1"/>
  <c r="K88" i="1"/>
  <c r="K112" i="1"/>
  <c r="K49" i="1"/>
  <c r="K9" i="1"/>
  <c r="K20" i="1"/>
  <c r="K31" i="1"/>
  <c r="K41" i="1"/>
  <c r="K53" i="1"/>
  <c r="K67" i="1"/>
  <c r="K77" i="1"/>
  <c r="K86" i="1"/>
  <c r="K110" i="1"/>
  <c r="K117" i="1"/>
  <c r="K21" i="1"/>
  <c r="K42" i="1"/>
  <c r="K78" i="1"/>
  <c r="K111" i="1"/>
  <c r="K22" i="1"/>
  <c r="K43" i="1"/>
  <c r="K79" i="1"/>
  <c r="K97" i="1"/>
  <c r="K119" i="1"/>
  <c r="K39" i="1"/>
  <c r="K103" i="1"/>
  <c r="K68" i="1"/>
  <c r="K69" i="1"/>
  <c r="K65" i="1"/>
  <c r="K13" i="1"/>
  <c r="K23" i="1"/>
  <c r="K36" i="1"/>
  <c r="K44" i="1"/>
  <c r="K56" i="1"/>
  <c r="K71" i="1"/>
  <c r="K80" i="1"/>
  <c r="K89" i="1"/>
  <c r="K98" i="1"/>
  <c r="K113" i="1"/>
  <c r="K120" i="1"/>
  <c r="K14" i="1"/>
  <c r="K37" i="1"/>
  <c r="K47" i="1"/>
  <c r="K57" i="1"/>
  <c r="K72" i="1"/>
  <c r="K90" i="1"/>
  <c r="K100" i="1"/>
  <c r="K121" i="1"/>
  <c r="K15" i="1"/>
  <c r="K64" i="1"/>
  <c r="K91" i="1"/>
  <c r="K7" i="1"/>
  <c r="K75" i="1"/>
  <c r="K94" i="1"/>
  <c r="K24" i="1"/>
  <c r="K81" i="1"/>
  <c r="K114" i="1"/>
  <c r="K25" i="1"/>
  <c r="K74" i="1"/>
  <c r="K102" i="1"/>
  <c r="K16" i="1"/>
  <c r="K84" i="1"/>
  <c r="AI197" i="6" l="1"/>
  <c r="BF197" i="6" s="1"/>
  <c r="AI198" i="6"/>
  <c r="BF198" i="6" s="1"/>
  <c r="AI187" i="6"/>
  <c r="BF187" i="6" s="1"/>
  <c r="AI217" i="6"/>
  <c r="BF217" i="6" s="1"/>
  <c r="AI208" i="6"/>
  <c r="BF208" i="6" s="1"/>
  <c r="AI201" i="6"/>
  <c r="BF201" i="6" s="1"/>
  <c r="AI202" i="6"/>
  <c r="BF202" i="6" s="1"/>
  <c r="AI194" i="6"/>
  <c r="BF194" i="6" s="1"/>
  <c r="AI195" i="6"/>
  <c r="BF195" i="6" s="1"/>
  <c r="AI207" i="6"/>
  <c r="BF207" i="6" s="1"/>
  <c r="AI218" i="6"/>
  <c r="BF218" i="6" s="1"/>
  <c r="AI203" i="6"/>
  <c r="BF203" i="6" s="1"/>
  <c r="AI209" i="6"/>
  <c r="BF209" i="6" s="1"/>
  <c r="AI206" i="6"/>
  <c r="BF206" i="6" s="1"/>
  <c r="AI219" i="6"/>
  <c r="BF219" i="6" s="1"/>
  <c r="AI216" i="6"/>
  <c r="BF216" i="6" s="1"/>
  <c r="AI215" i="6"/>
  <c r="BF215" i="6" s="1"/>
  <c r="AI212" i="6"/>
  <c r="BF212" i="6" s="1"/>
  <c r="AI211" i="6"/>
  <c r="BF211" i="6" s="1"/>
  <c r="AI205" i="6"/>
  <c r="BF205" i="6" s="1"/>
  <c r="AI196" i="6"/>
  <c r="BF196" i="6" s="1"/>
  <c r="AI199" i="6"/>
  <c r="BF199" i="6" s="1"/>
  <c r="AI210" i="6"/>
  <c r="BF210" i="6" s="1"/>
  <c r="AI192" i="6"/>
  <c r="BF192" i="6" s="1"/>
  <c r="AI204" i="6"/>
  <c r="BF204" i="6" s="1"/>
  <c r="AI189" i="6"/>
  <c r="BF189" i="6" s="1"/>
  <c r="AI193" i="6"/>
  <c r="BF193" i="6" s="1"/>
  <c r="AI200" i="6"/>
  <c r="BF200" i="6" s="1"/>
  <c r="AI190" i="6"/>
  <c r="BF190" i="6" s="1"/>
  <c r="AI161" i="6"/>
  <c r="BF161" i="6" s="1"/>
  <c r="AI164" i="6"/>
  <c r="BF164" i="6" s="1"/>
  <c r="AI162" i="6"/>
  <c r="BF162" i="6" s="1"/>
  <c r="AI169" i="6"/>
  <c r="BF169" i="6" s="1"/>
  <c r="AI177" i="6"/>
  <c r="BF177" i="6" s="1"/>
  <c r="AI167" i="6"/>
  <c r="BF167" i="6" s="1"/>
  <c r="AI165" i="6"/>
  <c r="BF165" i="6" s="1"/>
  <c r="AI168" i="6"/>
  <c r="BF168" i="6" s="1"/>
  <c r="AI166" i="6"/>
  <c r="BF166" i="6" s="1"/>
  <c r="AI178" i="6"/>
  <c r="BF178" i="6" s="1"/>
  <c r="AI163" i="6"/>
  <c r="BF163" i="6" s="1"/>
  <c r="AI170" i="6"/>
  <c r="BF170" i="6" s="1"/>
  <c r="AI154" i="6"/>
  <c r="BF154" i="6" s="1"/>
  <c r="AI152" i="6"/>
  <c r="BF152" i="6" s="1"/>
  <c r="AI153" i="6"/>
  <c r="BF153" i="6" s="1"/>
  <c r="AI151" i="6"/>
  <c r="BF151" i="6" s="1"/>
  <c r="AI149" i="6"/>
  <c r="BF149" i="6" s="1"/>
  <c r="AI150" i="6"/>
  <c r="BF150" i="6" s="1"/>
  <c r="AI147" i="6"/>
  <c r="BF147" i="6" s="1"/>
  <c r="AI148" i="6"/>
  <c r="BF148" i="6" s="1"/>
  <c r="AI146" i="6"/>
  <c r="BF146" i="6" s="1"/>
  <c r="AI143" i="6"/>
  <c r="BF143" i="6" s="1"/>
  <c r="AI144" i="6"/>
  <c r="BF144" i="6" s="1"/>
  <c r="AI145" i="6"/>
  <c r="BF145" i="6" s="1"/>
  <c r="AI157" i="6"/>
  <c r="BF157" i="6" s="1"/>
  <c r="AI141" i="6"/>
  <c r="BF141" i="6" s="1"/>
  <c r="AI158" i="6"/>
  <c r="BF158" i="6" s="1"/>
  <c r="AI142" i="6"/>
  <c r="BF142" i="6" s="1"/>
  <c r="AI155" i="6"/>
  <c r="BF155" i="6" s="1"/>
  <c r="AI139" i="6"/>
  <c r="BF139" i="6" s="1"/>
  <c r="AI156" i="6"/>
  <c r="BF156" i="6" s="1"/>
  <c r="AI140" i="6"/>
  <c r="BF140" i="6" s="1"/>
  <c r="AI175" i="6"/>
  <c r="BF175" i="6" s="1"/>
  <c r="AI159" i="6"/>
  <c r="BF159" i="6" s="1"/>
  <c r="AI176" i="6"/>
  <c r="BF176" i="6" s="1"/>
  <c r="AI160" i="6"/>
  <c r="BF160" i="6" s="1"/>
  <c r="AI182" i="6"/>
  <c r="BF182" i="6" s="1"/>
  <c r="AI174" i="6"/>
  <c r="BF174" i="6" s="1"/>
  <c r="AI179" i="6"/>
  <c r="BF179" i="6" s="1"/>
  <c r="AI171" i="6"/>
  <c r="BF171" i="6" s="1"/>
  <c r="AI180" i="6"/>
  <c r="BF180" i="6" s="1"/>
  <c r="AI172" i="6"/>
  <c r="BF172" i="6" s="1"/>
  <c r="AI181" i="6"/>
  <c r="BF181" i="6" s="1"/>
  <c r="AI173" i="6"/>
  <c r="BF173" i="6" s="1"/>
  <c r="AI185" i="6"/>
  <c r="BF185" i="6" s="1"/>
  <c r="AI186" i="6"/>
  <c r="BF186" i="6" s="1"/>
  <c r="AI183" i="6"/>
  <c r="BF183" i="6" s="1"/>
  <c r="AI184" i="6"/>
  <c r="BF184" i="6" s="1"/>
  <c r="AI138" i="6"/>
  <c r="BF138" i="6" s="1"/>
  <c r="AI137" i="6"/>
  <c r="BF137" i="6" s="1"/>
  <c r="AI136" i="6"/>
  <c r="BF136" i="6" s="1"/>
  <c r="AI133" i="6"/>
  <c r="BF133" i="6" s="1"/>
  <c r="AI135" i="6"/>
  <c r="BF135" i="6" s="1"/>
  <c r="AI134" i="6"/>
  <c r="BF134" i="6" s="1"/>
  <c r="AI131" i="6"/>
  <c r="BF131" i="6" s="1"/>
  <c r="AI132" i="6"/>
  <c r="BF132" i="6" s="1"/>
  <c r="AI21" i="6"/>
  <c r="BF21" i="6" s="1"/>
  <c r="AI114" i="6"/>
  <c r="BF114" i="6" s="1"/>
  <c r="AI97" i="6"/>
  <c r="BF97" i="6" s="1"/>
  <c r="AI128" i="6"/>
  <c r="BF128" i="6" s="1"/>
  <c r="AI65" i="6"/>
  <c r="BF65" i="6" s="1"/>
  <c r="AI89" i="6"/>
  <c r="BF89" i="6" s="1"/>
  <c r="AI41" i="6"/>
  <c r="BF41" i="6" s="1"/>
  <c r="AI129" i="6"/>
  <c r="BF129" i="6" s="1"/>
  <c r="AI53" i="6"/>
  <c r="BF53" i="6" s="1"/>
  <c r="AI12" i="6"/>
  <c r="BF12" i="6" s="1"/>
  <c r="AI95" i="6"/>
  <c r="BF95" i="6" s="1"/>
  <c r="AI110" i="6"/>
  <c r="BF110" i="6" s="1"/>
  <c r="AI104" i="6"/>
  <c r="BF104" i="6" s="1"/>
  <c r="AI130" i="6"/>
  <c r="BF130" i="6" s="1"/>
  <c r="AI87" i="6"/>
  <c r="BF87" i="6" s="1"/>
  <c r="AI126" i="6"/>
  <c r="BF126" i="6" s="1"/>
  <c r="AI54" i="6"/>
  <c r="BF54" i="6" s="1"/>
  <c r="AI44" i="6"/>
  <c r="BF44" i="6" s="1"/>
  <c r="AI51" i="6"/>
  <c r="BF51" i="6" s="1"/>
  <c r="AI46" i="6"/>
  <c r="BF46" i="6" s="1"/>
  <c r="AI78" i="6"/>
  <c r="BF78" i="6" s="1"/>
  <c r="AI18" i="6"/>
  <c r="BF18" i="6" s="1"/>
  <c r="AI47" i="6"/>
  <c r="BF47" i="6" s="1"/>
  <c r="AI23" i="6"/>
  <c r="BF23" i="6" s="1"/>
  <c r="AI70" i="6"/>
  <c r="BF70" i="6" s="1"/>
  <c r="AI61" i="6"/>
  <c r="BF61" i="6" s="1"/>
  <c r="AI108" i="6"/>
  <c r="BF108" i="6" s="1"/>
  <c r="AI98" i="6"/>
  <c r="BF98" i="6" s="1"/>
  <c r="AI105" i="6"/>
  <c r="BF105" i="6" s="1"/>
  <c r="AI112" i="6"/>
  <c r="BF112" i="6" s="1"/>
  <c r="AI125" i="6"/>
  <c r="BF125" i="6" s="1"/>
  <c r="AI101" i="6"/>
  <c r="BF101" i="6" s="1"/>
  <c r="AI22" i="6"/>
  <c r="BF22" i="6" s="1"/>
  <c r="AI37" i="6"/>
  <c r="BF37" i="6" s="1"/>
  <c r="AI93" i="6"/>
  <c r="BF93" i="6" s="1"/>
  <c r="AI63" i="6"/>
  <c r="BF63" i="6" s="1"/>
  <c r="AI39" i="6"/>
  <c r="BF39" i="6" s="1"/>
  <c r="AI15" i="6"/>
  <c r="BF15" i="6" s="1"/>
  <c r="AI69" i="6"/>
  <c r="BF69" i="6" s="1"/>
  <c r="AI92" i="6"/>
  <c r="BF92" i="6" s="1"/>
  <c r="AI59" i="6"/>
  <c r="BF59" i="6" s="1"/>
  <c r="AI49" i="6"/>
  <c r="BF49" i="6" s="1"/>
  <c r="AI82" i="6"/>
  <c r="BF82" i="6" s="1"/>
  <c r="AI73" i="6"/>
  <c r="BF73" i="6" s="1"/>
  <c r="AI25" i="6"/>
  <c r="BF25" i="6" s="1"/>
  <c r="AI79" i="6"/>
  <c r="BF79" i="6" s="1"/>
  <c r="AI55" i="6"/>
  <c r="BF55" i="6" s="1"/>
  <c r="AI31" i="6"/>
  <c r="BF31" i="6" s="1"/>
  <c r="AI85" i="6"/>
  <c r="BF85" i="6" s="1"/>
  <c r="AI29" i="6"/>
  <c r="BF29" i="6" s="1"/>
  <c r="AI109" i="6"/>
  <c r="BF109" i="6" s="1"/>
  <c r="AI127" i="6"/>
  <c r="BF127" i="6" s="1"/>
  <c r="AI115" i="6"/>
  <c r="BF115" i="6" s="1"/>
  <c r="AI122" i="6"/>
  <c r="BF122" i="6" s="1"/>
  <c r="AI7" i="6"/>
  <c r="BF7" i="6" s="1"/>
  <c r="AI9" i="6"/>
  <c r="BF9" i="6" s="1"/>
  <c r="AI119" i="6"/>
  <c r="BF119" i="6" s="1"/>
  <c r="AI121" i="6"/>
  <c r="BF121" i="6" s="1"/>
  <c r="AI117" i="6"/>
  <c r="BF117" i="6" s="1"/>
  <c r="AI76" i="6"/>
  <c r="BF76" i="6" s="1"/>
  <c r="AI75" i="6"/>
  <c r="BF75" i="6" s="1"/>
  <c r="AI27" i="6"/>
  <c r="BF27" i="6" s="1"/>
  <c r="AI80" i="6"/>
  <c r="BF80" i="6" s="1"/>
  <c r="AI32" i="6"/>
  <c r="BF32" i="6" s="1"/>
  <c r="AI66" i="6"/>
  <c r="BF66" i="6" s="1"/>
  <c r="AI20" i="6"/>
  <c r="BF20" i="6" s="1"/>
  <c r="AI13" i="6"/>
  <c r="BF13" i="6" s="1"/>
  <c r="AI68" i="6"/>
  <c r="BF68" i="6" s="1"/>
  <c r="AI91" i="6"/>
  <c r="BF91" i="6" s="1"/>
  <c r="AI43" i="6"/>
  <c r="BF43" i="6" s="1"/>
  <c r="AI19" i="6"/>
  <c r="BF19" i="6" s="1"/>
  <c r="AI30" i="6"/>
  <c r="BF30" i="6" s="1"/>
  <c r="AI58" i="6"/>
  <c r="BF58" i="6" s="1"/>
  <c r="AI81" i="6"/>
  <c r="BF81" i="6" s="1"/>
  <c r="AI72" i="6"/>
  <c r="BF72" i="6" s="1"/>
  <c r="AI48" i="6"/>
  <c r="BF48" i="6" s="1"/>
  <c r="AI38" i="6"/>
  <c r="BF38" i="6" s="1"/>
  <c r="AI42" i="6"/>
  <c r="BF42" i="6" s="1"/>
  <c r="AI77" i="6"/>
  <c r="BF77" i="6" s="1"/>
  <c r="AI84" i="6"/>
  <c r="BF84" i="6" s="1"/>
  <c r="AI86" i="6"/>
  <c r="BF86" i="6" s="1"/>
  <c r="AI52" i="6"/>
  <c r="BF52" i="6" s="1"/>
  <c r="AI28" i="6"/>
  <c r="BF28" i="6" s="1"/>
  <c r="AI83" i="6"/>
  <c r="BF83" i="6" s="1"/>
  <c r="AI35" i="6"/>
  <c r="BF35" i="6" s="1"/>
  <c r="AI11" i="6"/>
  <c r="BF11" i="6" s="1"/>
  <c r="AI90" i="6"/>
  <c r="BF90" i="6" s="1"/>
  <c r="AI34" i="6"/>
  <c r="BF34" i="6" s="1"/>
  <c r="AI57" i="6"/>
  <c r="BF57" i="6" s="1"/>
  <c r="AI88" i="6"/>
  <c r="BF88" i="6" s="1"/>
  <c r="AI64" i="6"/>
  <c r="BF64" i="6" s="1"/>
  <c r="AI40" i="6"/>
  <c r="BF40" i="6" s="1"/>
  <c r="AI16" i="6"/>
  <c r="BF16" i="6" s="1"/>
  <c r="AI26" i="6"/>
  <c r="BF26" i="6" s="1"/>
  <c r="AI116" i="6"/>
  <c r="BF116" i="6" s="1"/>
  <c r="AI123" i="6"/>
  <c r="BF123" i="6" s="1"/>
  <c r="AI99" i="6"/>
  <c r="BF99" i="6" s="1"/>
  <c r="AI106" i="6"/>
  <c r="BF106" i="6" s="1"/>
  <c r="AI113" i="6"/>
  <c r="BF113" i="6" s="1"/>
  <c r="AI120" i="6"/>
  <c r="BF120" i="6" s="1"/>
  <c r="AI96" i="6"/>
  <c r="BF96" i="6" s="1"/>
  <c r="AI103" i="6"/>
  <c r="BF103" i="6" s="1"/>
  <c r="AI118" i="6"/>
  <c r="BF118" i="6" s="1"/>
  <c r="AI94" i="6"/>
  <c r="BF94" i="6" s="1"/>
  <c r="AI62" i="6"/>
  <c r="BF62" i="6" s="1"/>
  <c r="AI60" i="6"/>
  <c r="BF60" i="6" s="1"/>
  <c r="AI45" i="6"/>
  <c r="BF45" i="6" s="1"/>
  <c r="AI74" i="6"/>
  <c r="BF74" i="6" s="1"/>
  <c r="AI33" i="6"/>
  <c r="BF33" i="6" s="1"/>
  <c r="AI56" i="6"/>
  <c r="BF56" i="6" s="1"/>
  <c r="AI8" i="6"/>
  <c r="BF8" i="6" s="1"/>
  <c r="AI10" i="6"/>
  <c r="BF10" i="6" s="1"/>
  <c r="AI71" i="6"/>
  <c r="BF71" i="6" s="1"/>
  <c r="AI14" i="6"/>
  <c r="BF14" i="6" s="1"/>
  <c r="AI6" i="6"/>
  <c r="AI36" i="6"/>
  <c r="BF36" i="6" s="1"/>
  <c r="AI67" i="6"/>
  <c r="BF67" i="6" s="1"/>
  <c r="AI50" i="6"/>
  <c r="BF50" i="6" s="1"/>
  <c r="AI17" i="6"/>
  <c r="BF17" i="6" s="1"/>
  <c r="AI24" i="6"/>
  <c r="BF24" i="6" s="1"/>
  <c r="AI124" i="6"/>
  <c r="BF124" i="6" s="1"/>
  <c r="AI100" i="6"/>
  <c r="BF100" i="6" s="1"/>
  <c r="AI107" i="6"/>
  <c r="BF107" i="6" s="1"/>
  <c r="AI111" i="6"/>
  <c r="BF111" i="6" s="1"/>
  <c r="AI102" i="6"/>
  <c r="BF102" i="6" s="1"/>
  <c r="BF5" i="6"/>
  <c r="D27" i="6" l="1"/>
  <c r="F27" i="6" s="1"/>
  <c r="D25" i="6"/>
  <c r="F25" i="6" s="1"/>
  <c r="D24" i="6"/>
  <c r="F24" i="6" s="1"/>
  <c r="D15" i="6"/>
  <c r="F15" i="6" s="1"/>
  <c r="D18" i="6"/>
  <c r="F18" i="6" s="1"/>
  <c r="D19" i="6"/>
  <c r="F19" i="6" s="1"/>
  <c r="D11" i="6"/>
  <c r="F11" i="6" s="1"/>
  <c r="D12" i="6"/>
  <c r="F12" i="6" s="1"/>
  <c r="D10" i="6"/>
  <c r="F10" i="6" s="1"/>
  <c r="D23" i="6"/>
  <c r="F23" i="6" s="1"/>
  <c r="D26" i="6"/>
  <c r="F26" i="6" s="1"/>
  <c r="D20" i="6"/>
  <c r="F20" i="6" s="1"/>
  <c r="D17" i="6"/>
  <c r="F17" i="6" s="1"/>
  <c r="D16" i="6"/>
  <c r="F16" i="6" s="1"/>
  <c r="D14" i="6"/>
  <c r="F14" i="6" s="1"/>
  <c r="D21" i="6"/>
  <c r="F21" i="6" s="1"/>
  <c r="D22" i="6"/>
  <c r="F22" i="6" s="1"/>
  <c r="D13" i="6"/>
  <c r="F13" i="6" s="1"/>
  <c r="BF6" i="6"/>
  <c r="D9" i="6"/>
  <c r="D29" i="6" l="1"/>
  <c r="F9" i="6"/>
  <c r="F29" i="6" s="1"/>
  <c r="A35" i="6"/>
  <c r="A44" i="6" s="1"/>
</calcChain>
</file>

<file path=xl/sharedStrings.xml><?xml version="1.0" encoding="utf-8"?>
<sst xmlns="http://schemas.openxmlformats.org/spreadsheetml/2006/main" count="7349" uniqueCount="1866">
  <si>
    <t>Alimentos</t>
  </si>
  <si>
    <t>Adoçante</t>
  </si>
  <si>
    <t>Arroz (1kg)</t>
  </si>
  <si>
    <t>Arroz (2kg)</t>
  </si>
  <si>
    <t>Arroz (5kg)</t>
  </si>
  <si>
    <t>Arroz Integral</t>
  </si>
  <si>
    <t>Atum</t>
  </si>
  <si>
    <t>Biscoito (120g)</t>
  </si>
  <si>
    <t>Café (0,25kg)</t>
  </si>
  <si>
    <t>Café (1kg)</t>
  </si>
  <si>
    <t>Cevada</t>
  </si>
  <si>
    <t>Feijão (1kg)</t>
  </si>
  <si>
    <t>Feijão (2kg)</t>
  </si>
  <si>
    <t>Grão de Bico (Lata)</t>
  </si>
  <si>
    <t>Leite (Caixa)</t>
  </si>
  <si>
    <t>Leite Condensado</t>
  </si>
  <si>
    <t>Lentilha (1kg)</t>
  </si>
  <si>
    <t>Maizena (200g)</t>
  </si>
  <si>
    <t>Maizena (500g)</t>
  </si>
  <si>
    <t>Miojo</t>
  </si>
  <si>
    <t>Mistura de Bolo</t>
  </si>
  <si>
    <t>Óleo</t>
  </si>
  <si>
    <t>Tomate Pelado (400g)</t>
  </si>
  <si>
    <t>Torrada</t>
  </si>
  <si>
    <t>Açucar (2kg)</t>
  </si>
  <si>
    <t>Higiene</t>
  </si>
  <si>
    <t>Item</t>
  </si>
  <si>
    <t>kg/embalagem</t>
  </si>
  <si>
    <t>Água Sanitária (1L)</t>
  </si>
  <si>
    <t>Água Sanitária (2L)</t>
  </si>
  <si>
    <t>Água Sanitária (5L)</t>
  </si>
  <si>
    <t>Alvejante (1L)</t>
  </si>
  <si>
    <t>Alvejante (2L)</t>
  </si>
  <si>
    <t>Amaciante (2L)</t>
  </si>
  <si>
    <t>Amaciante (5L)</t>
  </si>
  <si>
    <t>Cera</t>
  </si>
  <si>
    <t>Cotonete</t>
  </si>
  <si>
    <t>Desinfetante (1L)</t>
  </si>
  <si>
    <t>Desodorante</t>
  </si>
  <si>
    <t>Detergente</t>
  </si>
  <si>
    <t>Fraldas Geriátricas (08un)</t>
  </si>
  <si>
    <t>Fraldas Geriátricas (09un)</t>
  </si>
  <si>
    <t>Fraldas Geriátricas (20un)</t>
  </si>
  <si>
    <t>Fraldas Geriátricas (30un)</t>
  </si>
  <si>
    <t>Fraldas Infantis (16un)</t>
  </si>
  <si>
    <t>Fraldas Infantis (20un)</t>
  </si>
  <si>
    <t>Fraldas Infantis (24un)</t>
  </si>
  <si>
    <t>Fraldas Infantis (26un)</t>
  </si>
  <si>
    <t>Fraldas Infantis (46un)</t>
  </si>
  <si>
    <t>Lenços Umidecidos (1pcte)</t>
  </si>
  <si>
    <t>Papel Higiênico (04un)</t>
  </si>
  <si>
    <t>Papel Higiênico (08un)</t>
  </si>
  <si>
    <t>Papel Higiênico (12un)</t>
  </si>
  <si>
    <t>Papel Higiênico (16un)</t>
  </si>
  <si>
    <t>Papel Higiênico (24un)</t>
  </si>
  <si>
    <t>Papel Toalha (2un)</t>
  </si>
  <si>
    <t>Pasta de Dente (180g)</t>
  </si>
  <si>
    <t>Pasta de Dente (50g)</t>
  </si>
  <si>
    <t>Pasta de Dente (70g)</t>
  </si>
  <si>
    <t>Pasta de Dente (90g)</t>
  </si>
  <si>
    <t>Sabão em Barra (1un)</t>
  </si>
  <si>
    <t>Sabão Líquido (1L)</t>
  </si>
  <si>
    <t>Sabão em Pó (1kg)</t>
  </si>
  <si>
    <t>Sabão em Pó (2kg)</t>
  </si>
  <si>
    <t>Sabão em Pó (3kg)</t>
  </si>
  <si>
    <t>Sabonetes (90g)</t>
  </si>
  <si>
    <t>Sabonete Líquido (250ml)</t>
  </si>
  <si>
    <t>Saco de Lixo (10un)</t>
  </si>
  <si>
    <t>Saco de Lixo (20un)</t>
  </si>
  <si>
    <t>kg</t>
  </si>
  <si>
    <t>Qtde (S1)</t>
  </si>
  <si>
    <t>Qtde (S2)</t>
  </si>
  <si>
    <t>Row Labels</t>
  </si>
  <si>
    <t>Grand Total</t>
  </si>
  <si>
    <t>Qtde (tot)</t>
  </si>
  <si>
    <t>Sum of Qtde (tot)</t>
  </si>
  <si>
    <t>A</t>
  </si>
  <si>
    <t>B</t>
  </si>
  <si>
    <t>C</t>
  </si>
  <si>
    <t>D</t>
  </si>
  <si>
    <t>E</t>
  </si>
  <si>
    <t>F</t>
  </si>
  <si>
    <t>G</t>
  </si>
  <si>
    <t>H</t>
  </si>
  <si>
    <t>I</t>
  </si>
  <si>
    <t>J</t>
  </si>
  <si>
    <t>L</t>
  </si>
  <si>
    <t>M</t>
  </si>
  <si>
    <t>N</t>
  </si>
  <si>
    <t>O</t>
  </si>
  <si>
    <t>P</t>
  </si>
  <si>
    <t>Q</t>
  </si>
  <si>
    <t>R</t>
  </si>
  <si>
    <t>S</t>
  </si>
  <si>
    <t>T</t>
  </si>
  <si>
    <t>U</t>
  </si>
  <si>
    <t>V</t>
  </si>
  <si>
    <t>W</t>
  </si>
  <si>
    <t>X</t>
  </si>
  <si>
    <t>Y</t>
  </si>
  <si>
    <t>Z</t>
  </si>
  <si>
    <t>Categorias</t>
  </si>
  <si>
    <t>Topo</t>
  </si>
  <si>
    <t>Cadastro</t>
  </si>
  <si>
    <t>Resumo</t>
  </si>
  <si>
    <t>Qtde (S3)</t>
  </si>
  <si>
    <t>Qtde (S4)</t>
  </si>
  <si>
    <t>Qtde (S5)</t>
  </si>
  <si>
    <t>Qtde (S6)</t>
  </si>
  <si>
    <t>Qtde (S7)</t>
  </si>
  <si>
    <t>Qtde (S8)</t>
  </si>
  <si>
    <t>Qtde (S9)</t>
  </si>
  <si>
    <t>Qtde (S10)</t>
  </si>
  <si>
    <t>Qtde (S11)</t>
  </si>
  <si>
    <t>Qtde (S12)</t>
  </si>
  <si>
    <t>Qtde (S13)</t>
  </si>
  <si>
    <t>Supermercados</t>
  </si>
  <si>
    <t>Achocolatado (200g)</t>
  </si>
  <si>
    <t>Achocolatado (400g)</t>
  </si>
  <si>
    <t>Achocolatado (500g)</t>
  </si>
  <si>
    <t>Achocolatado (800g)</t>
  </si>
  <si>
    <t>Açúcar (1kg)</t>
  </si>
  <si>
    <t>Açúcar (2kg)</t>
  </si>
  <si>
    <t>Açúcar (5kg)</t>
  </si>
  <si>
    <t>Arroz integral (500g)</t>
  </si>
  <si>
    <t>Arroz integral (1kg)</t>
  </si>
  <si>
    <t>Café (250g)</t>
  </si>
  <si>
    <t>Café (500g)</t>
  </si>
  <si>
    <t>Coca-cola (1,5L)</t>
  </si>
  <si>
    <t>Coca-cola (2L)</t>
  </si>
  <si>
    <t>Coca-cola (2,5L)</t>
  </si>
  <si>
    <t>Creme de Leite</t>
  </si>
  <si>
    <t>Ervilha conserva (Lata)</t>
  </si>
  <si>
    <t>Ervilha (Sachê)</t>
  </si>
  <si>
    <t>Extrato de tomate (130g)</t>
  </si>
  <si>
    <t>Extrato de tomate (320g)</t>
  </si>
  <si>
    <t>Extrato de tomate (340g)</t>
  </si>
  <si>
    <t>Farinha de milho</t>
  </si>
  <si>
    <t>Farinha de trigo</t>
  </si>
  <si>
    <t>Farofa temperada</t>
  </si>
  <si>
    <t>Fuba (500g)</t>
  </si>
  <si>
    <t>Fuba (1kg)</t>
  </si>
  <si>
    <t>Grão de Bico (sache)</t>
  </si>
  <si>
    <t>Leite em pó (280g)</t>
  </si>
  <si>
    <t>Leite em pó (400g)</t>
  </si>
  <si>
    <t>Leite em pó (800g)</t>
  </si>
  <si>
    <t>Leite (caixa)</t>
  </si>
  <si>
    <t>Leite condensado</t>
  </si>
  <si>
    <t>Lentilha (200g)</t>
  </si>
  <si>
    <t>Macarrão (500g)</t>
  </si>
  <si>
    <t>Macarrão LASANHA (200g)</t>
  </si>
  <si>
    <t>Milho conserva(Lata)</t>
  </si>
  <si>
    <t>Milho conserva (Sache)</t>
  </si>
  <si>
    <t>Milho + ervilha</t>
  </si>
  <si>
    <t>Milho de pipoca</t>
  </si>
  <si>
    <t>Molho de Tomate (340g)</t>
  </si>
  <si>
    <t>Panetone</t>
  </si>
  <si>
    <t>Pão de Mel (500g)</t>
  </si>
  <si>
    <t>Pêssego em calda</t>
  </si>
  <si>
    <t>Sal (500g)</t>
  </si>
  <si>
    <t>Sal (1kg)</t>
  </si>
  <si>
    <t>Salsicha tipo Viena</t>
  </si>
  <si>
    <t xml:space="preserve">Sardinha </t>
  </si>
  <si>
    <t>Sopa pronta (500g)</t>
  </si>
  <si>
    <t>Suco (Caixa)</t>
  </si>
  <si>
    <t>Suco (Saquinho)</t>
  </si>
  <si>
    <t>Tempero pronto</t>
  </si>
  <si>
    <t>Amaciante (500mL)</t>
  </si>
  <si>
    <t>Desinfetante(500mL)</t>
  </si>
  <si>
    <t>Desinfetante (750mL)</t>
  </si>
  <si>
    <t>Desinfetante (2L)</t>
  </si>
  <si>
    <t>Enxaguante bucal (250mL)</t>
  </si>
  <si>
    <t>Enxaguante bucal (500mL)</t>
  </si>
  <si>
    <t>Esponja (1un)</t>
  </si>
  <si>
    <t>Esponja (3un)</t>
  </si>
  <si>
    <t>Esponja de aço</t>
  </si>
  <si>
    <t>Preço</t>
  </si>
  <si>
    <t>Desinfetante (300mL)</t>
  </si>
  <si>
    <t>Fraldas Infantis (34un)</t>
  </si>
  <si>
    <t>Saco de Lixo (50un)</t>
  </si>
  <si>
    <t>Bolacha (100g)</t>
  </si>
  <si>
    <t>Bolacha (120g)</t>
  </si>
  <si>
    <t>Bolacha (130g)</t>
  </si>
  <si>
    <t>Bolacha (140g)</t>
  </si>
  <si>
    <t>Bolacha (200g)</t>
  </si>
  <si>
    <t>Bolacha (250g)</t>
  </si>
  <si>
    <t>Bolacha (400g)</t>
  </si>
  <si>
    <t>Bolacha (500g)</t>
  </si>
  <si>
    <t>Atum (325g)</t>
  </si>
  <si>
    <t>Gelatina (35g)</t>
  </si>
  <si>
    <t>Goiabada (500g)</t>
  </si>
  <si>
    <t>Vinagre (750ml)</t>
  </si>
  <si>
    <t>Preço por produto</t>
  </si>
  <si>
    <t>Kg equivalente</t>
  </si>
  <si>
    <t>Preço x Qtde</t>
  </si>
  <si>
    <t>Alcool (1L)</t>
  </si>
  <si>
    <t>Algodão (50g)</t>
  </si>
  <si>
    <t>Bolacha (110g)</t>
  </si>
  <si>
    <t>Bolacha (300g)</t>
  </si>
  <si>
    <t>Bolacha (360g)</t>
  </si>
  <si>
    <t>Esponja (4un)</t>
  </si>
  <si>
    <t>Fraldas Geriátricas (07un)</t>
  </si>
  <si>
    <t>Feijão (500g)</t>
  </si>
  <si>
    <t>Lâmina refil (5un)</t>
  </si>
  <si>
    <t>Molho de Tomate (440g)</t>
  </si>
  <si>
    <t>Álcool Gel (500ml)</t>
  </si>
  <si>
    <t>Antisséptico (100ml)</t>
  </si>
  <si>
    <t>Atum (170g)</t>
  </si>
  <si>
    <t>Aveia (200g)</t>
  </si>
  <si>
    <t>Bolacha (135g)</t>
  </si>
  <si>
    <t>Bolacha (160g)</t>
  </si>
  <si>
    <t>Bolacha (330g)</t>
  </si>
  <si>
    <t>Bolacha (420g)</t>
  </si>
  <si>
    <t>Extrato de tomate (400g)</t>
  </si>
  <si>
    <t>Sabão em pó (2,8kg)</t>
  </si>
  <si>
    <t>Talco (100g)</t>
  </si>
  <si>
    <t>Molho de tomate (520g)</t>
  </si>
  <si>
    <t>Sopão (200g)</t>
  </si>
  <si>
    <t>Bebida Láctea Chocolate (180mL)</t>
  </si>
  <si>
    <t>Desengordurante</t>
  </si>
  <si>
    <t>Bolacha (115g)</t>
  </si>
  <si>
    <t>Desinfetante (5L)</t>
  </si>
  <si>
    <t>Bolacha (375g)</t>
  </si>
  <si>
    <t>Caldo Knor</t>
  </si>
  <si>
    <t>Fraldas Infantis (14un)</t>
  </si>
  <si>
    <t>Fraldas Infantis (18 un)</t>
  </si>
  <si>
    <t>Farofa (300g)</t>
  </si>
  <si>
    <t>Farofa (500g)</t>
  </si>
  <si>
    <t>Guardanapo</t>
  </si>
  <si>
    <t>Goiabada (400g)</t>
  </si>
  <si>
    <t>Lâmina de barbear (4un)</t>
  </si>
  <si>
    <t>Lâmina de Barbear (5un)</t>
  </si>
  <si>
    <t>Lâmina de Barbear (7un)</t>
  </si>
  <si>
    <t>Lâmina de barbear (8un)</t>
  </si>
  <si>
    <t>Maionese (500g)</t>
  </si>
  <si>
    <t>Quantidade</t>
  </si>
  <si>
    <t>Qtde</t>
  </si>
  <si>
    <t>Qtde (S14)</t>
  </si>
  <si>
    <t>Qtde (S15)</t>
  </si>
  <si>
    <t>Absorvente (15un)</t>
  </si>
  <si>
    <t xml:space="preserve">Shampoo ou condicinador(200mL) </t>
  </si>
  <si>
    <t xml:space="preserve">Shampoo ou condicinador(400mL) </t>
  </si>
  <si>
    <t>Shampoo ou condicionador (325ml)</t>
  </si>
  <si>
    <t>Shampoo ou condicionador (350ml)</t>
  </si>
  <si>
    <t>Total</t>
  </si>
  <si>
    <t>Kg</t>
  </si>
  <si>
    <t>R$</t>
  </si>
  <si>
    <t>Supermercado</t>
  </si>
  <si>
    <t>Total alimentos [kg]</t>
  </si>
  <si>
    <t>Total itens de higiene [kg]</t>
  </si>
  <si>
    <t>Preço Médio Alimentos [R$]</t>
  </si>
  <si>
    <t>Total Arrecadado [R$]</t>
  </si>
  <si>
    <t>Total [kg]</t>
  </si>
  <si>
    <t>Talco (200g)</t>
  </si>
  <si>
    <t>Fraldas Geriátricas (10un)</t>
  </si>
  <si>
    <t>Fraldas Geriátricas (18un)</t>
  </si>
  <si>
    <t>Fraldas Infantis (30un)</t>
  </si>
  <si>
    <t>Absorvente (08un)</t>
  </si>
  <si>
    <t>Absorvente (16un)</t>
  </si>
  <si>
    <t>Absorvente (32un)</t>
  </si>
  <si>
    <t>Absorvente (60un)</t>
  </si>
  <si>
    <t>Fraldas Infantis (50un)</t>
  </si>
  <si>
    <t>Fraldas Infantis (22un)</t>
  </si>
  <si>
    <t>Fraldas Infantis (32un)</t>
  </si>
  <si>
    <t>Lâmina de barbear (1un)</t>
  </si>
  <si>
    <t>Lâmina de barbear (2un)</t>
  </si>
  <si>
    <t>Multiuso (500mL)</t>
  </si>
  <si>
    <t>Macarrão (1kg)</t>
  </si>
  <si>
    <t>Azeite (500mL)</t>
  </si>
  <si>
    <t>Achocolatado</t>
  </si>
  <si>
    <t>Açúcar</t>
  </si>
  <si>
    <t>Arroz</t>
  </si>
  <si>
    <t>Arroz integral</t>
  </si>
  <si>
    <t>Aveia</t>
  </si>
  <si>
    <t>Azeite</t>
  </si>
  <si>
    <t>Bebida Láctea Chocolate</t>
  </si>
  <si>
    <t>Bolacha</t>
  </si>
  <si>
    <t>Café</t>
  </si>
  <si>
    <t>Coca-cola</t>
  </si>
  <si>
    <t>Doces</t>
  </si>
  <si>
    <t>Ervilha</t>
  </si>
  <si>
    <t>Ervilha conserva</t>
  </si>
  <si>
    <t>Extrato de tomate</t>
  </si>
  <si>
    <t>Farofa</t>
  </si>
  <si>
    <t>Feijão</t>
  </si>
  <si>
    <t>Fuba</t>
  </si>
  <si>
    <t>Gelatina</t>
  </si>
  <si>
    <t>Goiabada</t>
  </si>
  <si>
    <t>Grão de Bico</t>
  </si>
  <si>
    <t>Leite</t>
  </si>
  <si>
    <t>Leite em pó</t>
  </si>
  <si>
    <t>Lentilha</t>
  </si>
  <si>
    <t>Macarrão</t>
  </si>
  <si>
    <t>Macarrão LASANHA</t>
  </si>
  <si>
    <t>Maionese</t>
  </si>
  <si>
    <t>Maizena</t>
  </si>
  <si>
    <t>Milho conserva</t>
  </si>
  <si>
    <t>Pão de Mel</t>
  </si>
  <si>
    <t>Sal</t>
  </si>
  <si>
    <t>Sopa pronta</t>
  </si>
  <si>
    <t>Sopão</t>
  </si>
  <si>
    <t>Suco</t>
  </si>
  <si>
    <t>Tomate Pelado</t>
  </si>
  <si>
    <t>Vinagre</t>
  </si>
  <si>
    <t>aux</t>
  </si>
  <si>
    <t>un</t>
  </si>
  <si>
    <t>un/embalagem</t>
  </si>
  <si>
    <t>embalagens</t>
  </si>
  <si>
    <t>Absorvente</t>
  </si>
  <si>
    <t>Água Sanitária</t>
  </si>
  <si>
    <t>Alcool</t>
  </si>
  <si>
    <t>Álcool Gel</t>
  </si>
  <si>
    <t>Algodão</t>
  </si>
  <si>
    <t>Alvejante</t>
  </si>
  <si>
    <t>Amaciante</t>
  </si>
  <si>
    <t>Antisséptico</t>
  </si>
  <si>
    <t>Desinfetante</t>
  </si>
  <si>
    <t>Enxaguante bucal</t>
  </si>
  <si>
    <t>Esponja</t>
  </si>
  <si>
    <t>Fraldas Geriátricas</t>
  </si>
  <si>
    <t>Fraldas Infantis</t>
  </si>
  <si>
    <t>Lâmina de barbear</t>
  </si>
  <si>
    <t>Lâmina refil</t>
  </si>
  <si>
    <t>Lenços Umidecidos</t>
  </si>
  <si>
    <t>Multiuso</t>
  </si>
  <si>
    <t>Papel Higiênico</t>
  </si>
  <si>
    <t>Papel Toalha</t>
  </si>
  <si>
    <t>Pasta de Dente</t>
  </si>
  <si>
    <t>Sabão em Barra</t>
  </si>
  <si>
    <t>Sabão em Pó</t>
  </si>
  <si>
    <t>Sabão Líquido</t>
  </si>
  <si>
    <t>Sabonete Líquido</t>
  </si>
  <si>
    <t>Sabonetes</t>
  </si>
  <si>
    <t>Saco de Lixo</t>
  </si>
  <si>
    <t>Shampoo ou condicionador</t>
  </si>
  <si>
    <t>Talco</t>
  </si>
  <si>
    <t>Achocolatado (1kg)</t>
  </si>
  <si>
    <t>Goiabada (300g)</t>
  </si>
  <si>
    <t>Lentilha (500g)</t>
  </si>
  <si>
    <t>Farofa (250g)</t>
  </si>
  <si>
    <t>Achocolatado (700g)</t>
  </si>
  <si>
    <t>Fraldas Geriátricas (24 un)</t>
  </si>
  <si>
    <t>Álcool Gel (1L)</t>
  </si>
  <si>
    <t>Absorvente (40 un)</t>
  </si>
  <si>
    <t>Escova de dente (3 un)</t>
  </si>
  <si>
    <t>Lâmina de barbear (3un)</t>
  </si>
  <si>
    <t>Multiuso (750mL)</t>
  </si>
  <si>
    <t>Queijo ralado</t>
  </si>
  <si>
    <t>Sabonete (125g)</t>
  </si>
  <si>
    <t>Sabonete (84g)</t>
  </si>
  <si>
    <t>Suco concentrado</t>
  </si>
  <si>
    <t>Tira manchas (450mL)</t>
  </si>
  <si>
    <t>Refrigerante (2L)</t>
  </si>
  <si>
    <t>Farinha de mandioca (500g)</t>
  </si>
  <si>
    <t>Absorvente (36un)</t>
  </si>
  <si>
    <t>Escova de dente (2un)</t>
  </si>
  <si>
    <t>Leite de soja (1L)</t>
  </si>
  <si>
    <t>Bolacha (150g)</t>
  </si>
  <si>
    <t>Extrato de tomate (280g)</t>
  </si>
  <si>
    <t>Lâmina refil (2un)</t>
  </si>
  <si>
    <t>Miojo (500g)</t>
  </si>
  <si>
    <t>Molho de tomate (680g)</t>
  </si>
  <si>
    <t>Polvilho antisséptico</t>
  </si>
  <si>
    <t>Extrato de tomate (520g)</t>
  </si>
  <si>
    <t>Removedor de mancha (450mL)</t>
  </si>
  <si>
    <t>Bolacha (315g)</t>
  </si>
  <si>
    <t>Queijo ralado (50g)</t>
  </si>
  <si>
    <t>Suco concentrado (500mL)</t>
  </si>
  <si>
    <t>Cereal infantil (230g)</t>
  </si>
  <si>
    <t>Miojo (80g)</t>
  </si>
  <si>
    <t>Molho de tomate (130g)</t>
  </si>
  <si>
    <t>Escova de dente (1un)</t>
  </si>
  <si>
    <t>Seleta de legumes (280g)</t>
  </si>
  <si>
    <t>Bolacha (090g)</t>
  </si>
  <si>
    <t>Polvilho antisséptico (100g)</t>
  </si>
  <si>
    <t>Cereal infantil</t>
  </si>
  <si>
    <t>Farinha de mandioca</t>
  </si>
  <si>
    <t>Leite de soja</t>
  </si>
  <si>
    <t>Molho de tomate</t>
  </si>
  <si>
    <t>Refrigerante</t>
  </si>
  <si>
    <t>Seleta de legumes</t>
  </si>
  <si>
    <t>Escova de dente</t>
  </si>
  <si>
    <t>Removedor de mancha</t>
  </si>
  <si>
    <t>Sabonete</t>
  </si>
  <si>
    <t>Tira manchas</t>
  </si>
  <si>
    <t>CB</t>
  </si>
  <si>
    <t>7891010560812</t>
  </si>
  <si>
    <t>7896098902486</t>
  </si>
  <si>
    <t>Marca</t>
  </si>
  <si>
    <t>Johnson</t>
  </si>
  <si>
    <t>Qtde (S16)</t>
  </si>
  <si>
    <t>CB (item único)</t>
  </si>
  <si>
    <t>CadastroCB</t>
  </si>
  <si>
    <t>Ypê</t>
  </si>
  <si>
    <t>7891959014612</t>
  </si>
  <si>
    <t>União</t>
  </si>
  <si>
    <t>7896702324314</t>
  </si>
  <si>
    <t>Santa Izabel</t>
  </si>
  <si>
    <t>7893500018483</t>
  </si>
  <si>
    <t>Tio João</t>
  </si>
  <si>
    <t>7896110100043</t>
  </si>
  <si>
    <t>Sal Lebre</t>
  </si>
  <si>
    <t>7891150008502</t>
  </si>
  <si>
    <t>Omo</t>
  </si>
  <si>
    <t>7891035800214</t>
  </si>
  <si>
    <t>Veja</t>
  </si>
  <si>
    <t>7895000393527</t>
  </si>
  <si>
    <t>Qualitá</t>
  </si>
  <si>
    <t>7896098900215</t>
  </si>
  <si>
    <t>7896098900208</t>
  </si>
  <si>
    <t>7891035210006</t>
  </si>
  <si>
    <t>7896205788156</t>
  </si>
  <si>
    <t>Adria</t>
  </si>
  <si>
    <t>7896022200299</t>
  </si>
  <si>
    <t>Renata</t>
  </si>
  <si>
    <t>7896205754458</t>
  </si>
  <si>
    <t>Data</t>
  </si>
  <si>
    <t>7898080641298</t>
  </si>
  <si>
    <t>Nilza</t>
  </si>
  <si>
    <t>7896569405003</t>
  </si>
  <si>
    <t>lider</t>
  </si>
  <si>
    <t>7898215151685</t>
  </si>
  <si>
    <t>piracanjuba</t>
  </si>
  <si>
    <t>7898080640611</t>
  </si>
  <si>
    <t>italac</t>
  </si>
  <si>
    <t>7897380000217</t>
  </si>
  <si>
    <t>hercules</t>
  </si>
  <si>
    <t>7896238101137</t>
  </si>
  <si>
    <t>matilat</t>
  </si>
  <si>
    <t>7891030002354</t>
  </si>
  <si>
    <t>mococa</t>
  </si>
  <si>
    <t>7893500020134</t>
  </si>
  <si>
    <t>tio joao</t>
  </si>
  <si>
    <t>7896046400200</t>
  </si>
  <si>
    <t>rosalto</t>
  </si>
  <si>
    <t>7896290300189</t>
  </si>
  <si>
    <t>prato fino</t>
  </si>
  <si>
    <t>7896006762003</t>
  </si>
  <si>
    <t>camil</t>
  </si>
  <si>
    <t>7896901200013</t>
  </si>
  <si>
    <t>serrazul</t>
  </si>
  <si>
    <t>7896290300011</t>
  </si>
  <si>
    <t>7896046400194</t>
  </si>
  <si>
    <t>rosalito</t>
  </si>
  <si>
    <t>7891103202926</t>
  </si>
  <si>
    <t>carrefour</t>
  </si>
  <si>
    <t>8480017496201</t>
  </si>
  <si>
    <t>Dia</t>
  </si>
  <si>
    <t>7896046400262</t>
  </si>
  <si>
    <t>7896700711130</t>
  </si>
  <si>
    <t>safra azul</t>
  </si>
  <si>
    <t>7896086420350</t>
  </si>
  <si>
    <t>emporio sao joao</t>
  </si>
  <si>
    <t>7896046400149</t>
  </si>
  <si>
    <t>7896046400064</t>
  </si>
  <si>
    <t>rosalito preto</t>
  </si>
  <si>
    <t>7898957777013</t>
  </si>
  <si>
    <t>de luci</t>
  </si>
  <si>
    <t>7896417000015</t>
  </si>
  <si>
    <t>quatigua</t>
  </si>
  <si>
    <t>7896086421982</t>
  </si>
  <si>
    <t>7896086422231</t>
  </si>
  <si>
    <t>pateko</t>
  </si>
  <si>
    <t>7896200115360</t>
  </si>
  <si>
    <t>broto legal</t>
  </si>
  <si>
    <t>7896062602008</t>
  </si>
  <si>
    <t>solito</t>
  </si>
  <si>
    <t>7896555300046</t>
  </si>
  <si>
    <t>denadai</t>
  </si>
  <si>
    <t>7898116880035</t>
  </si>
  <si>
    <t>ubirana preto</t>
  </si>
  <si>
    <t>7896200115346</t>
  </si>
  <si>
    <t>7896200115773</t>
  </si>
  <si>
    <t>7896550720030</t>
  </si>
  <si>
    <t>vasconcelos</t>
  </si>
  <si>
    <t>7897500200015</t>
  </si>
  <si>
    <t>irano</t>
  </si>
  <si>
    <t>7896006744115</t>
  </si>
  <si>
    <t>7893500050315</t>
  </si>
  <si>
    <t>biju</t>
  </si>
  <si>
    <t>7896022200206</t>
  </si>
  <si>
    <t>renata</t>
  </si>
  <si>
    <t>7896763621155</t>
  </si>
  <si>
    <t>padre nosso</t>
  </si>
  <si>
    <t>7896763621094</t>
  </si>
  <si>
    <t>massas paulistas</t>
  </si>
  <si>
    <t>7896205722198</t>
  </si>
  <si>
    <t>basilar</t>
  </si>
  <si>
    <t>7896763621018</t>
  </si>
  <si>
    <t>massas paulista</t>
  </si>
  <si>
    <t>7896022200213</t>
  </si>
  <si>
    <t>7896022200152</t>
  </si>
  <si>
    <t>7896005281697</t>
  </si>
  <si>
    <t>dona benta</t>
  </si>
  <si>
    <t>7896205756407</t>
  </si>
  <si>
    <t>7896005286593</t>
  </si>
  <si>
    <t>7896022200282</t>
  </si>
  <si>
    <t>7896005286524</t>
  </si>
  <si>
    <t>8000139923524</t>
  </si>
  <si>
    <t>bary</t>
  </si>
  <si>
    <t>7896022200732</t>
  </si>
  <si>
    <t>galo</t>
  </si>
  <si>
    <t>7896763621001</t>
  </si>
  <si>
    <t>7896205722013</t>
  </si>
  <si>
    <t>7896022204495</t>
  </si>
  <si>
    <t>7896022200879</t>
  </si>
  <si>
    <t>7896005275399</t>
  </si>
  <si>
    <t>7896022203610</t>
  </si>
  <si>
    <t>7896205756360</t>
  </si>
  <si>
    <t>basila</t>
  </si>
  <si>
    <t>7896205722211</t>
  </si>
  <si>
    <t>7896763621223</t>
  </si>
  <si>
    <t>7891150024809</t>
  </si>
  <si>
    <t>rexona</t>
  </si>
  <si>
    <t>7891150034952</t>
  </si>
  <si>
    <t>7891024034750</t>
  </si>
  <si>
    <t>palmolive</t>
  </si>
  <si>
    <t>7896569405027</t>
  </si>
  <si>
    <t>7896090400300</t>
  </si>
  <si>
    <t>francis</t>
  </si>
  <si>
    <t>7891024111901</t>
  </si>
  <si>
    <t>7891150037878</t>
  </si>
  <si>
    <t>lux</t>
  </si>
  <si>
    <t>7891150043749</t>
  </si>
  <si>
    <t>sabonete 4 un</t>
  </si>
  <si>
    <t>7891024034880</t>
  </si>
  <si>
    <t>7891010877989</t>
  </si>
  <si>
    <t>johnsons</t>
  </si>
  <si>
    <t>7891010718725</t>
  </si>
  <si>
    <t>7891010877972</t>
  </si>
  <si>
    <t>jonhsons</t>
  </si>
  <si>
    <t>7891010921293</t>
  </si>
  <si>
    <t>7891024034798</t>
  </si>
  <si>
    <t>7891010690380</t>
  </si>
  <si>
    <t>7891150024823</t>
  </si>
  <si>
    <t>7896090400331</t>
  </si>
  <si>
    <t>7896512909794</t>
  </si>
  <si>
    <t>phebo</t>
  </si>
  <si>
    <t>7891010690397</t>
  </si>
  <si>
    <t>7891010690373</t>
  </si>
  <si>
    <t>7891010691448</t>
  </si>
  <si>
    <t>7891024034767</t>
  </si>
  <si>
    <t>7891150024816</t>
  </si>
  <si>
    <t>7891024034736</t>
  </si>
  <si>
    <t>7896512909770</t>
  </si>
  <si>
    <t>7891024034828</t>
  </si>
  <si>
    <t>7891024034781</t>
  </si>
  <si>
    <t>7891150024779</t>
  </si>
  <si>
    <t>7891150024793</t>
  </si>
  <si>
    <t>7898920223363</t>
  </si>
  <si>
    <t>pramesa</t>
  </si>
  <si>
    <t>7898902299263</t>
  </si>
  <si>
    <t>stella D'oro</t>
  </si>
  <si>
    <t>7896036095904</t>
  </si>
  <si>
    <t>pomarola</t>
  </si>
  <si>
    <t>7896025802490</t>
  </si>
  <si>
    <t>cepera</t>
  </si>
  <si>
    <t>7891528029498</t>
  </si>
  <si>
    <t>sorriso</t>
  </si>
  <si>
    <t>7891150049888</t>
  </si>
  <si>
    <t>closeup</t>
  </si>
  <si>
    <t>7891150049895</t>
  </si>
  <si>
    <t>7891037744356</t>
  </si>
  <si>
    <t>7891024132005</t>
  </si>
  <si>
    <t>colgate</t>
  </si>
  <si>
    <t>7891528030142</t>
  </si>
  <si>
    <t>7891024132128</t>
  </si>
  <si>
    <t>7891528038308</t>
  </si>
  <si>
    <t>7891022100372</t>
  </si>
  <si>
    <t>limpol</t>
  </si>
  <si>
    <t>7896733600050</t>
  </si>
  <si>
    <t>flora</t>
  </si>
  <si>
    <t>7896098900253</t>
  </si>
  <si>
    <t>ype</t>
  </si>
  <si>
    <t>7896098900239</t>
  </si>
  <si>
    <t>7897664130043</t>
  </si>
  <si>
    <t>minuano</t>
  </si>
  <si>
    <t>7898247780075</t>
  </si>
  <si>
    <t>concordia</t>
  </si>
  <si>
    <t>7896036090244</t>
  </si>
  <si>
    <t>liza</t>
  </si>
  <si>
    <t>7896018900035</t>
  </si>
  <si>
    <t>leve</t>
  </si>
  <si>
    <t>7891107101621</t>
  </si>
  <si>
    <t>soya</t>
  </si>
  <si>
    <t>7891528029504</t>
  </si>
  <si>
    <t>7896508200034</t>
  </si>
  <si>
    <t>alto alegre</t>
  </si>
  <si>
    <t>7896032501010</t>
  </si>
  <si>
    <t>da barra</t>
  </si>
  <si>
    <t>7896005202074</t>
  </si>
  <si>
    <t>7898234850019</t>
  </si>
  <si>
    <t>nita</t>
  </si>
  <si>
    <t>7806500773405</t>
  </si>
  <si>
    <t>cotidian</t>
  </si>
  <si>
    <t>7806500773603</t>
  </si>
  <si>
    <t>7896064203456</t>
  </si>
  <si>
    <t>di lucca</t>
  </si>
  <si>
    <t>7899686700044</t>
  </si>
  <si>
    <t>uni</t>
  </si>
  <si>
    <t>7899686700051</t>
  </si>
  <si>
    <t>7896007544059</t>
  </si>
  <si>
    <t>intimus</t>
  </si>
  <si>
    <t>7896090122707</t>
  </si>
  <si>
    <t>assolan</t>
  </si>
  <si>
    <t>7896061915109</t>
  </si>
  <si>
    <t>sublime</t>
  </si>
  <si>
    <t>7896110007892</t>
  </si>
  <si>
    <t>sym</t>
  </si>
  <si>
    <t>7896110003740</t>
  </si>
  <si>
    <t>7896098903629</t>
  </si>
  <si>
    <t>7896098900109</t>
  </si>
  <si>
    <t>sabao em barra 5un</t>
  </si>
  <si>
    <t>7896022205140</t>
  </si>
  <si>
    <t>7896003703078</t>
  </si>
  <si>
    <t>marilan</t>
  </si>
  <si>
    <t>7896080866130</t>
  </si>
  <si>
    <t>liane</t>
  </si>
  <si>
    <t>7891962036984</t>
  </si>
  <si>
    <t>bauduco</t>
  </si>
  <si>
    <t>7891095028344</t>
  </si>
  <si>
    <t>yoki</t>
  </si>
  <si>
    <t>7896244138875</t>
  </si>
  <si>
    <t>garça</t>
  </si>
  <si>
    <t>7891965120345</t>
  </si>
  <si>
    <t>hikari</t>
  </si>
  <si>
    <t>7622300999506</t>
  </si>
  <si>
    <t>fresh</t>
  </si>
  <si>
    <t>7622210655622</t>
  </si>
  <si>
    <t>tang</t>
  </si>
  <si>
    <t>7622300861261</t>
  </si>
  <si>
    <t>7622300861223</t>
  </si>
  <si>
    <t>7622300861919</t>
  </si>
  <si>
    <t>7622300861308</t>
  </si>
  <si>
    <t>7896043350553</t>
  </si>
  <si>
    <t>sukest</t>
  </si>
  <si>
    <t>7896043350454</t>
  </si>
  <si>
    <t>7896043350478</t>
  </si>
  <si>
    <t>7896043350515</t>
  </si>
  <si>
    <t>7896706300550</t>
  </si>
  <si>
    <t>chokilar</t>
  </si>
  <si>
    <t>7896072005080</t>
  </si>
  <si>
    <t>nuky</t>
  </si>
  <si>
    <t>7891000009437</t>
  </si>
  <si>
    <t>nescau</t>
  </si>
  <si>
    <t>7898930141015</t>
  </si>
  <si>
    <t>stella d'oro</t>
  </si>
  <si>
    <t>7896102501018</t>
  </si>
  <si>
    <t>quero</t>
  </si>
  <si>
    <t>7896102501155</t>
  </si>
  <si>
    <t>7898905153289</t>
  </si>
  <si>
    <t>bonare</t>
  </si>
  <si>
    <t>7898905153012</t>
  </si>
  <si>
    <t>070330728509</t>
  </si>
  <si>
    <t>bic</t>
  </si>
  <si>
    <t>7897217400180</t>
  </si>
  <si>
    <t>jadefrog</t>
  </si>
  <si>
    <t>7897517209025</t>
  </si>
  <si>
    <t>fugini</t>
  </si>
  <si>
    <t>7896089011357</t>
  </si>
  <si>
    <t>pilao</t>
  </si>
  <si>
    <t>7897217400326</t>
  </si>
  <si>
    <t>7891150021228</t>
  </si>
  <si>
    <t>surf</t>
  </si>
  <si>
    <t>7891150045163</t>
  </si>
  <si>
    <t>treseme</t>
  </si>
  <si>
    <t>7896105500094</t>
  </si>
  <si>
    <t>candura</t>
  </si>
  <si>
    <t>7896384801431</t>
  </si>
  <si>
    <t>itavex</t>
  </si>
  <si>
    <t>7896733600197</t>
  </si>
  <si>
    <t>7896534400323</t>
  </si>
  <si>
    <t>globo</t>
  </si>
  <si>
    <t>7896005271377</t>
  </si>
  <si>
    <t>petybon</t>
  </si>
  <si>
    <t>7896894900013</t>
  </si>
  <si>
    <t>caravelas</t>
  </si>
  <si>
    <t>7891910000197</t>
  </si>
  <si>
    <t>uniao</t>
  </si>
  <si>
    <t>7896534700010</t>
  </si>
  <si>
    <t>sm</t>
  </si>
  <si>
    <t>7896005208151</t>
  </si>
  <si>
    <t>7891022638004</t>
  </si>
  <si>
    <t>7896733600111</t>
  </si>
  <si>
    <t>Flora</t>
  </si>
  <si>
    <t>7896733600128</t>
  </si>
  <si>
    <t>7897664130319</t>
  </si>
  <si>
    <t>7897664130012</t>
  </si>
  <si>
    <t>7897664130036</t>
  </si>
  <si>
    <t>7896097600024</t>
  </si>
  <si>
    <t>bufalo</t>
  </si>
  <si>
    <t>7891022639001</t>
  </si>
  <si>
    <t>7896098900840</t>
  </si>
  <si>
    <t>detergente 6un</t>
  </si>
  <si>
    <t>Ype</t>
  </si>
  <si>
    <t>7896527700751</t>
  </si>
  <si>
    <t>triex</t>
  </si>
  <si>
    <t>7897664130029</t>
  </si>
  <si>
    <t>7896527700782</t>
  </si>
  <si>
    <t>7896098900277</t>
  </si>
  <si>
    <t>7891022637007</t>
  </si>
  <si>
    <t>7896098900222</t>
  </si>
  <si>
    <t>7891022640007</t>
  </si>
  <si>
    <t>7896733600135</t>
  </si>
  <si>
    <t>7896527700485</t>
  </si>
  <si>
    <t>detergente 5l</t>
  </si>
  <si>
    <t>7896527700515</t>
  </si>
  <si>
    <t>7896461824087</t>
  </si>
  <si>
    <t>varex</t>
  </si>
  <si>
    <t>7896098904688</t>
  </si>
  <si>
    <t>7896105500018</t>
  </si>
  <si>
    <t>7896090126040</t>
  </si>
  <si>
    <t>assim</t>
  </si>
  <si>
    <t>7896056405233</t>
  </si>
  <si>
    <t>urca</t>
  </si>
  <si>
    <t>7891150021242</t>
  </si>
  <si>
    <t>7896056404571</t>
  </si>
  <si>
    <t>7891150055117</t>
  </si>
  <si>
    <t>brilhante</t>
  </si>
  <si>
    <t>7896097600017</t>
  </si>
  <si>
    <t>7896098903612</t>
  </si>
  <si>
    <t>7896105500186</t>
  </si>
  <si>
    <t>7898009350010</t>
  </si>
  <si>
    <t>pro lar</t>
  </si>
  <si>
    <t>7896384801417</t>
  </si>
  <si>
    <t>7896527700386</t>
  </si>
  <si>
    <t>TRIEx</t>
  </si>
  <si>
    <t>7896040703710</t>
  </si>
  <si>
    <t>casa e perfume</t>
  </si>
  <si>
    <t>7896733600760</t>
  </si>
  <si>
    <t>7897664100022</t>
  </si>
  <si>
    <t>7896098906118</t>
  </si>
  <si>
    <t>7896056406001</t>
  </si>
  <si>
    <t>multiuso 3 un 500ml</t>
  </si>
  <si>
    <t>7896056400870</t>
  </si>
  <si>
    <t>7891035210433</t>
  </si>
  <si>
    <t>veja</t>
  </si>
  <si>
    <t>7891035209000</t>
  </si>
  <si>
    <t>7891242211506</t>
  </si>
  <si>
    <t>uau</t>
  </si>
  <si>
    <t>7896098900857</t>
  </si>
  <si>
    <t>7891242211308</t>
  </si>
  <si>
    <t>7896527700218</t>
  </si>
  <si>
    <t>7891035216206</t>
  </si>
  <si>
    <t>7896056402751</t>
  </si>
  <si>
    <t>7896056401228</t>
  </si>
  <si>
    <t>7896056401112</t>
  </si>
  <si>
    <t>7898080641311</t>
  </si>
  <si>
    <t>nilza</t>
  </si>
  <si>
    <t>7898080640628</t>
  </si>
  <si>
    <t>7898080640635</t>
  </si>
  <si>
    <t>7896283800184</t>
  </si>
  <si>
    <t>jussara max</t>
  </si>
  <si>
    <t>7898080642097</t>
  </si>
  <si>
    <t>7896283800221</t>
  </si>
  <si>
    <t>jussara</t>
  </si>
  <si>
    <t>7898215151678</t>
  </si>
  <si>
    <t>7898080641304</t>
  </si>
  <si>
    <t>17898080641318</t>
  </si>
  <si>
    <t>leite (caixa com 12)</t>
  </si>
  <si>
    <t>7896109801005</t>
  </si>
  <si>
    <t>guarani</t>
  </si>
  <si>
    <t>7896109800022</t>
  </si>
  <si>
    <t>7896109800039</t>
  </si>
  <si>
    <t>7891959009922</t>
  </si>
  <si>
    <t>7896070900158</t>
  </si>
  <si>
    <t>serra da gama</t>
  </si>
  <si>
    <t>7897005100087</t>
  </si>
  <si>
    <t>kinino</t>
  </si>
  <si>
    <t>7896256050141</t>
  </si>
  <si>
    <t>kodillar</t>
  </si>
  <si>
    <t>7898957983094</t>
  </si>
  <si>
    <t>Tapioca (1 kg)</t>
  </si>
  <si>
    <t>sei la</t>
  </si>
  <si>
    <t>8480017336323</t>
  </si>
  <si>
    <t>dia</t>
  </si>
  <si>
    <t>7891000071397</t>
  </si>
  <si>
    <t>ninho</t>
  </si>
  <si>
    <t>7897001010403</t>
  </si>
  <si>
    <t>suavit</t>
  </si>
  <si>
    <t>7891022850031</t>
  </si>
  <si>
    <t>lustro</t>
  </si>
  <si>
    <t>2820593100028</t>
  </si>
  <si>
    <t>roda dagua</t>
  </si>
  <si>
    <t>7896110003900</t>
  </si>
  <si>
    <t>personal</t>
  </si>
  <si>
    <t>7896026838245</t>
  </si>
  <si>
    <t>paloma</t>
  </si>
  <si>
    <t>7896110094700</t>
  </si>
  <si>
    <t>7896110091440</t>
  </si>
  <si>
    <t>7896104998557</t>
  </si>
  <si>
    <t>mili bianco</t>
  </si>
  <si>
    <t>7896110005874</t>
  </si>
  <si>
    <t>7896110000176</t>
  </si>
  <si>
    <t>7899686700020</t>
  </si>
  <si>
    <t>7896239300362</t>
  </si>
  <si>
    <t>igor</t>
  </si>
  <si>
    <t>7891962018553</t>
  </si>
  <si>
    <t>tommy</t>
  </si>
  <si>
    <t>7898215151692</t>
  </si>
  <si>
    <t>pira</t>
  </si>
  <si>
    <t>7898187830052</t>
  </si>
  <si>
    <t>santa isabel</t>
  </si>
  <si>
    <t>7893500020318</t>
  </si>
  <si>
    <t>meu biju</t>
  </si>
  <si>
    <t>7896062699947</t>
  </si>
  <si>
    <t>7896550720603</t>
  </si>
  <si>
    <t>4r</t>
  </si>
  <si>
    <t>7896006711162</t>
  </si>
  <si>
    <t>pop</t>
  </si>
  <si>
    <t>7896230400139</t>
  </si>
  <si>
    <t>albaruska</t>
  </si>
  <si>
    <t>7896006715153</t>
  </si>
  <si>
    <t>tche</t>
  </si>
  <si>
    <t>7896046400033</t>
  </si>
  <si>
    <t>7896086419774</t>
  </si>
  <si>
    <t>7896022200534</t>
  </si>
  <si>
    <t>7896022202989</t>
  </si>
  <si>
    <t>7896022205478</t>
  </si>
  <si>
    <t>7896205756391</t>
  </si>
  <si>
    <t>7896022200176</t>
  </si>
  <si>
    <t>7896022200145</t>
  </si>
  <si>
    <t>7896022203443</t>
  </si>
  <si>
    <t>7896022200572</t>
  </si>
  <si>
    <t>7896022200039</t>
  </si>
  <si>
    <t>7896022200480</t>
  </si>
  <si>
    <t>7896022200626</t>
  </si>
  <si>
    <t>7896205722068</t>
  </si>
  <si>
    <t>7896763621056</t>
  </si>
  <si>
    <t>paulista</t>
  </si>
  <si>
    <t>7896022200350</t>
  </si>
  <si>
    <t>7896022200435</t>
  </si>
  <si>
    <t>7896022200022</t>
  </si>
  <si>
    <t>7896763625030</t>
  </si>
  <si>
    <t>7896022201326</t>
  </si>
  <si>
    <t>7896022200169</t>
  </si>
  <si>
    <t>7896022200275</t>
  </si>
  <si>
    <t>7896038305193</t>
  </si>
  <si>
    <t>tio urbano</t>
  </si>
  <si>
    <t>7896005286579</t>
  </si>
  <si>
    <t>7896022200756</t>
  </si>
  <si>
    <t>7898951850064</t>
  </si>
  <si>
    <t>7896022200268</t>
  </si>
  <si>
    <t>7896006711155</t>
  </si>
  <si>
    <t>7897136323331</t>
  </si>
  <si>
    <t>7 povos</t>
  </si>
  <si>
    <t>7896555300145</t>
  </si>
  <si>
    <t>7898916153032</t>
  </si>
  <si>
    <t>divino</t>
  </si>
  <si>
    <t>7898116880066</t>
  </si>
  <si>
    <t>ubirama</t>
  </si>
  <si>
    <t>7898957777068</t>
  </si>
  <si>
    <t>serra paulista</t>
  </si>
  <si>
    <t>7896022205225</t>
  </si>
  <si>
    <t>7896048300720</t>
  </si>
  <si>
    <t>pacaembu</t>
  </si>
  <si>
    <t>7896089012460</t>
  </si>
  <si>
    <t>caboclo</t>
  </si>
  <si>
    <t>7891021007429</t>
  </si>
  <si>
    <t>Café solúvel (50g)</t>
  </si>
  <si>
    <t>melita</t>
  </si>
  <si>
    <t>7896085051968</t>
  </si>
  <si>
    <t>nikito</t>
  </si>
  <si>
    <t>7896058256895</t>
  </si>
  <si>
    <t>salpet</t>
  </si>
  <si>
    <t>7891000241356</t>
  </si>
  <si>
    <t>passatempo</t>
  </si>
  <si>
    <t>7896998705217</t>
  </si>
  <si>
    <t>newbread</t>
  </si>
  <si>
    <t>7896003703245</t>
  </si>
  <si>
    <t>7896080861135</t>
  </si>
  <si>
    <t>7896003703085</t>
  </si>
  <si>
    <t>7896003703054</t>
  </si>
  <si>
    <t>7891203021168</t>
  </si>
  <si>
    <t>panco</t>
  </si>
  <si>
    <t>7896003703634</t>
  </si>
  <si>
    <t>7896085052163</t>
  </si>
  <si>
    <t>zabet</t>
  </si>
  <si>
    <t>7891962035550</t>
  </si>
  <si>
    <t>x</t>
  </si>
  <si>
    <t>7891962035529</t>
  </si>
  <si>
    <t>7896003702934</t>
  </si>
  <si>
    <t>7896003703214</t>
  </si>
  <si>
    <t>7896003700800</t>
  </si>
  <si>
    <t>m</t>
  </si>
  <si>
    <t>7896058251241</t>
  </si>
  <si>
    <t>triunfo</t>
  </si>
  <si>
    <t>7896045318711</t>
  </si>
  <si>
    <t>magitec</t>
  </si>
  <si>
    <t>7896085052071</t>
  </si>
  <si>
    <t>7896022205157</t>
  </si>
  <si>
    <t>7891962050072</t>
  </si>
  <si>
    <t>recheadinho</t>
  </si>
  <si>
    <t>7898176550367</t>
  </si>
  <si>
    <t>c</t>
  </si>
  <si>
    <t>7896011100234</t>
  </si>
  <si>
    <t>oadua</t>
  </si>
  <si>
    <t>7896998705200</t>
  </si>
  <si>
    <t>7896022205201</t>
  </si>
  <si>
    <t>7896022204648</t>
  </si>
  <si>
    <t>7896022204891</t>
  </si>
  <si>
    <t>7896085051975</t>
  </si>
  <si>
    <t>7898176550350</t>
  </si>
  <si>
    <t>fofinho</t>
  </si>
  <si>
    <t>7896003700817</t>
  </si>
  <si>
    <t>7896998705309</t>
  </si>
  <si>
    <t>7891000140307</t>
  </si>
  <si>
    <t>7896051130291</t>
  </si>
  <si>
    <t>itambe</t>
  </si>
  <si>
    <t>7891000142202</t>
  </si>
  <si>
    <t>7898215152439</t>
  </si>
  <si>
    <t>7898080640369</t>
  </si>
  <si>
    <t>7898080641694</t>
  </si>
  <si>
    <t>7898080641823</t>
  </si>
  <si>
    <t>7897217400296</t>
  </si>
  <si>
    <t>7896049528512</t>
  </si>
  <si>
    <t>7899686700235</t>
  </si>
  <si>
    <t>7891095200467</t>
  </si>
  <si>
    <t>7898187830021</t>
  </si>
  <si>
    <t>7898930141084</t>
  </si>
  <si>
    <t>7891000018774</t>
  </si>
  <si>
    <t>7896048300966</t>
  </si>
  <si>
    <t>7896051130093</t>
  </si>
  <si>
    <t>7891965220441</t>
  </si>
  <si>
    <t>7896183300173</t>
  </si>
  <si>
    <t>7891095100552</t>
  </si>
  <si>
    <t>7896334200550</t>
  </si>
  <si>
    <t>7500435117791</t>
  </si>
  <si>
    <t>7500435122191</t>
  </si>
  <si>
    <t>7506339391329</t>
  </si>
  <si>
    <t>7898138781921</t>
  </si>
  <si>
    <t>7898138782003</t>
  </si>
  <si>
    <t>7891095200450</t>
  </si>
  <si>
    <t>7896102509410</t>
  </si>
  <si>
    <t>7896098900710</t>
  </si>
  <si>
    <t>7896040704625</t>
  </si>
  <si>
    <t>7891024034743</t>
  </si>
  <si>
    <t>7891024029817</t>
  </si>
  <si>
    <t>7891010032906</t>
  </si>
  <si>
    <t>7891150033955</t>
  </si>
  <si>
    <t>7891000101506</t>
  </si>
  <si>
    <t>7896026839242</t>
  </si>
  <si>
    <t>7891024134702</t>
  </si>
  <si>
    <t>7891150003217</t>
  </si>
  <si>
    <t>7891150039490</t>
  </si>
  <si>
    <t>7896290300141</t>
  </si>
  <si>
    <t>7896159010013</t>
  </si>
  <si>
    <t>7896102502961</t>
  </si>
  <si>
    <t>7891079000229</t>
  </si>
  <si>
    <t>7894321240923</t>
  </si>
  <si>
    <t>7896280400707</t>
  </si>
  <si>
    <t>7896051130116</t>
  </si>
  <si>
    <t>7896372000013</t>
  </si>
  <si>
    <t>7896097607252</t>
  </si>
  <si>
    <t>7891022101256</t>
  </si>
  <si>
    <t>7896020160076</t>
  </si>
  <si>
    <t>7896550750020</t>
  </si>
  <si>
    <t>7896110100029</t>
  </si>
  <si>
    <t>7891095300488</t>
  </si>
  <si>
    <t>7896280400110</t>
  </si>
  <si>
    <t>7891010610302</t>
  </si>
  <si>
    <t>7891024134610</t>
  </si>
  <si>
    <t>7891150042483</t>
  </si>
  <si>
    <t>7896238400018</t>
  </si>
  <si>
    <t>Doces (bala-200g)</t>
  </si>
  <si>
    <t>7896097400228</t>
  </si>
  <si>
    <t>7896706303834</t>
  </si>
  <si>
    <t>7891000001080</t>
  </si>
  <si>
    <t>7896036094983</t>
  </si>
  <si>
    <t>7898905153258</t>
  </si>
  <si>
    <t>7896114900014</t>
  </si>
  <si>
    <t>7896615213002</t>
  </si>
  <si>
    <t>7896061990076</t>
  </si>
  <si>
    <t>7891024034712</t>
  </si>
  <si>
    <t>7896098900956</t>
  </si>
  <si>
    <t>7899686700211</t>
  </si>
  <si>
    <t>7898045701111</t>
  </si>
  <si>
    <t>7896256600223</t>
  </si>
  <si>
    <t>7891022855029</t>
  </si>
  <si>
    <t>7896061302251</t>
  </si>
  <si>
    <t>Ketchup (400g)</t>
  </si>
  <si>
    <t>Tapioca (1kg)</t>
  </si>
  <si>
    <t>7896036095003</t>
  </si>
  <si>
    <t>tarantela</t>
  </si>
  <si>
    <t>7891080170591</t>
  </si>
  <si>
    <t>primor</t>
  </si>
  <si>
    <t>7891528031132</t>
  </si>
  <si>
    <t>7896080861043</t>
  </si>
  <si>
    <t>7896022200381</t>
  </si>
  <si>
    <t>7891032015215</t>
  </si>
  <si>
    <t>7506339391305</t>
  </si>
  <si>
    <t>7896110005638</t>
  </si>
  <si>
    <t>7896061918445</t>
  </si>
  <si>
    <t>7898016970508</t>
  </si>
  <si>
    <t>7896005400029</t>
  </si>
  <si>
    <t>7891167021013</t>
  </si>
  <si>
    <t>7898061120019</t>
  </si>
  <si>
    <t>7896593100011</t>
  </si>
  <si>
    <t>7897001050430</t>
  </si>
  <si>
    <t>7898930141039</t>
  </si>
  <si>
    <t>7896086420312</t>
  </si>
  <si>
    <t>7896100013018</t>
  </si>
  <si>
    <t>7891051040403</t>
  </si>
  <si>
    <t>7897517206086</t>
  </si>
  <si>
    <t>7899686700013</t>
  </si>
  <si>
    <t>7896022203870</t>
  </si>
  <si>
    <t>7896104994320</t>
  </si>
  <si>
    <t>7896036090619</t>
  </si>
  <si>
    <t>7896058202540</t>
  </si>
  <si>
    <t>7891962035505</t>
  </si>
  <si>
    <t>7896079820037</t>
  </si>
  <si>
    <t>Bombom de Cereja (94g)</t>
  </si>
  <si>
    <t>7896070902503</t>
  </si>
  <si>
    <t>7891000243152</t>
  </si>
  <si>
    <t>Chocolate barra (100g)</t>
  </si>
  <si>
    <t>7898323450014</t>
  </si>
  <si>
    <t>7896183300319</t>
  </si>
  <si>
    <t>7501001109653</t>
  </si>
  <si>
    <t>7896035210001</t>
  </si>
  <si>
    <t>7896051130109</t>
  </si>
  <si>
    <t>7896036091326</t>
  </si>
  <si>
    <t>Polenta (500g)</t>
  </si>
  <si>
    <t>Band Aid</t>
  </si>
  <si>
    <t>Molho de Tomate (300g)</t>
  </si>
  <si>
    <t>Fraldas Infantis (40un)</t>
  </si>
  <si>
    <t>panetone (80g)</t>
  </si>
  <si>
    <t>creme de barbear</t>
  </si>
  <si>
    <t>7896069511327</t>
  </si>
  <si>
    <t>Siamar</t>
  </si>
  <si>
    <t>7896006711117</t>
  </si>
  <si>
    <t>Camilo</t>
  </si>
  <si>
    <t>7896292300545</t>
  </si>
  <si>
    <t>Predilecta</t>
  </si>
  <si>
    <t>7896110091846</t>
  </si>
  <si>
    <t>Personal</t>
  </si>
  <si>
    <t>7896104995280</t>
  </si>
  <si>
    <t>Mili</t>
  </si>
  <si>
    <t>7891024132104</t>
  </si>
  <si>
    <t>Colgate</t>
  </si>
  <si>
    <t>7896090403158</t>
  </si>
  <si>
    <t>Francis</t>
  </si>
  <si>
    <t>7896012800355</t>
  </si>
  <si>
    <t>POMPOM</t>
  </si>
  <si>
    <t>7896007548408</t>
  </si>
  <si>
    <t>huggies</t>
  </si>
  <si>
    <t>7896104995044</t>
  </si>
  <si>
    <t>7891051028791</t>
  </si>
  <si>
    <t>Probak</t>
  </si>
  <si>
    <t>4005808530878</t>
  </si>
  <si>
    <t>Nivea</t>
  </si>
  <si>
    <t>7897516700011</t>
  </si>
  <si>
    <t>Sao Carlos</t>
  </si>
  <si>
    <t>7891095200993</t>
  </si>
  <si>
    <t>7896098901717</t>
  </si>
  <si>
    <t>7891095300389</t>
  </si>
  <si>
    <t>7891965120215</t>
  </si>
  <si>
    <t>7897517209056</t>
  </si>
  <si>
    <t>7896593100028</t>
  </si>
  <si>
    <t>7891024036839</t>
  </si>
  <si>
    <t>7896061990403</t>
  </si>
  <si>
    <t>7896022204211</t>
  </si>
  <si>
    <t>7896069511037</t>
  </si>
  <si>
    <t>7896083800155</t>
  </si>
  <si>
    <t>7891080803918</t>
  </si>
  <si>
    <t>7897664140196</t>
  </si>
  <si>
    <t>7891080147951</t>
  </si>
  <si>
    <t>7898905153630</t>
  </si>
  <si>
    <t>7896036096062</t>
  </si>
  <si>
    <t>7896550750013</t>
  </si>
  <si>
    <t>7892020200194</t>
  </si>
  <si>
    <t>7896099100348</t>
  </si>
  <si>
    <t>7896273900023</t>
  </si>
  <si>
    <t>7891150044616</t>
  </si>
  <si>
    <t>7891528038612</t>
  </si>
  <si>
    <t>7896292311282</t>
  </si>
  <si>
    <t>7897517209001</t>
  </si>
  <si>
    <t>7896292300507</t>
  </si>
  <si>
    <t>000098767335</t>
  </si>
  <si>
    <t>08965507</t>
  </si>
  <si>
    <t>7896275970574</t>
  </si>
  <si>
    <t>7896003703641</t>
  </si>
  <si>
    <t>7891300908676</t>
  </si>
  <si>
    <t>7896230400238</t>
  </si>
  <si>
    <t>7500435121736</t>
  </si>
  <si>
    <t>7793100111143</t>
  </si>
  <si>
    <t>7891024132371</t>
  </si>
  <si>
    <t>7897664113022</t>
  </si>
  <si>
    <t>7896527701185</t>
  </si>
  <si>
    <t>7891024034804</t>
  </si>
  <si>
    <t>7891010973483</t>
  </si>
  <si>
    <t>7891167021020</t>
  </si>
  <si>
    <t>7896901200235</t>
  </si>
  <si>
    <t>7898285310579</t>
  </si>
  <si>
    <t>7891150048478</t>
  </si>
  <si>
    <t>7896416200201</t>
  </si>
  <si>
    <t>7896058252279</t>
  </si>
  <si>
    <t>7896098900925</t>
  </si>
  <si>
    <t>7891024110300</t>
  </si>
  <si>
    <t>7891010504755</t>
  </si>
  <si>
    <t>7896098901090</t>
  </si>
  <si>
    <t>sa]]</t>
  </si>
  <si>
    <t>7896080870274</t>
  </si>
  <si>
    <t>l</t>
  </si>
  <si>
    <t>7896012800379</t>
  </si>
  <si>
    <t>h</t>
  </si>
  <si>
    <t>7896527701468</t>
  </si>
  <si>
    <t>s</t>
  </si>
  <si>
    <t>095188794506</t>
  </si>
  <si>
    <t>7898925255208</t>
  </si>
  <si>
    <t>d</t>
  </si>
  <si>
    <t>7891024120705</t>
  </si>
  <si>
    <t>7891079000434</t>
  </si>
  <si>
    <t>j</t>
  </si>
  <si>
    <t>7896102502183</t>
  </si>
  <si>
    <t>ç4</t>
  </si>
  <si>
    <t>7896290300295</t>
  </si>
  <si>
    <t>ds</t>
  </si>
  <si>
    <t>6</t>
  </si>
  <si>
    <t>as</t>
  </si>
  <si>
    <t>6105500186</t>
  </si>
  <si>
    <t>7896292303003</t>
  </si>
  <si>
    <t>k4</t>
  </si>
  <si>
    <t>7896901200143</t>
  </si>
  <si>
    <t>mn</t>
  </si>
  <si>
    <t>7898309100100</t>
  </si>
  <si>
    <t>7896085052088</t>
  </si>
  <si>
    <t>fd</t>
  </si>
  <si>
    <t>7896706300680</t>
  </si>
  <si>
    <t>sad s</t>
  </si>
  <si>
    <t>7897517206178</t>
  </si>
  <si>
    <t>sd</t>
  </si>
  <si>
    <t>7891032015307</t>
  </si>
  <si>
    <t>szc</t>
  </si>
  <si>
    <t>7898327431262</t>
  </si>
  <si>
    <t>s4</t>
  </si>
  <si>
    <t>7896003706598</t>
  </si>
  <si>
    <t>fad</t>
  </si>
  <si>
    <t>7896048300027</t>
  </si>
  <si>
    <t>fda</t>
  </si>
  <si>
    <t>7891000089859</t>
  </si>
  <si>
    <t>z</t>
  </si>
  <si>
    <t>7891030002033</t>
  </si>
  <si>
    <t>zdv</t>
  </si>
  <si>
    <t>7896048284648</t>
  </si>
  <si>
    <t>adf</t>
  </si>
  <si>
    <t>7896104995754</t>
  </si>
  <si>
    <t>afcd</t>
  </si>
  <si>
    <t>7896012801819</t>
  </si>
  <si>
    <t>czx</t>
  </si>
  <si>
    <t>7896012802045</t>
  </si>
  <si>
    <t>7896104993774</t>
  </si>
  <si>
    <t>7896003703061</t>
  </si>
  <si>
    <t>xvx</t>
  </si>
  <si>
    <t>7896527700379</t>
  </si>
  <si>
    <t>1</t>
  </si>
  <si>
    <t>fds</t>
  </si>
  <si>
    <t>7896527702021</t>
  </si>
  <si>
    <t>cz</t>
  </si>
  <si>
    <t>7891528020600</t>
  </si>
  <si>
    <t>ad</t>
  </si>
  <si>
    <t>7896094999138</t>
  </si>
  <si>
    <t>7891024112861</t>
  </si>
  <si>
    <t>sa</t>
  </si>
  <si>
    <t>7896012800874</t>
  </si>
  <si>
    <t>ads</t>
  </si>
  <si>
    <t>7891080147814</t>
  </si>
  <si>
    <t>7898215152484</t>
  </si>
  <si>
    <t>7891700011204</t>
  </si>
  <si>
    <t>er</t>
  </si>
  <si>
    <t>7897664140226</t>
  </si>
  <si>
    <t>adds</t>
  </si>
  <si>
    <t>7896645720471</t>
  </si>
  <si>
    <t>dsf</t>
  </si>
  <si>
    <t>sad</t>
  </si>
  <si>
    <t>7896110094694</t>
  </si>
  <si>
    <t>7891080000119</t>
  </si>
  <si>
    <t>xc</t>
  </si>
  <si>
    <t>7891350011043</t>
  </si>
  <si>
    <t>daf</t>
  </si>
  <si>
    <t>7891150042285</t>
  </si>
  <si>
    <t>xds</t>
  </si>
  <si>
    <t>7791293035017</t>
  </si>
  <si>
    <t>17898080640632</t>
  </si>
  <si>
    <t>sdf</t>
  </si>
  <si>
    <t>7896205722044</t>
  </si>
  <si>
    <t>7897664110304</t>
  </si>
  <si>
    <t>sd44</t>
  </si>
  <si>
    <t>7896012800836</t>
  </si>
  <si>
    <t>sdfd</t>
  </si>
  <si>
    <t>7896050427354</t>
  </si>
  <si>
    <t>7896114990022</t>
  </si>
  <si>
    <t>7896069511297</t>
  </si>
  <si>
    <t>Qtde (S17)</t>
  </si>
  <si>
    <t>Qtde (S18)</t>
  </si>
  <si>
    <t>VILA PRADO S2</t>
  </si>
  <si>
    <t>Qtde (ex)</t>
  </si>
  <si>
    <t>Bairro</t>
  </si>
  <si>
    <t>Kibe (500g)</t>
  </si>
  <si>
    <t>Fio Dental</t>
  </si>
  <si>
    <t>Cuscuz (500g)</t>
  </si>
  <si>
    <t>Água de Coco (2L)</t>
  </si>
  <si>
    <t>Filtro de Café</t>
  </si>
  <si>
    <t>Querosene (900ml)</t>
  </si>
  <si>
    <t>Cloro ativo (500ml)</t>
  </si>
  <si>
    <t>Biscoito de Polvinho</t>
  </si>
  <si>
    <t>Salgadinho (50g)</t>
  </si>
  <si>
    <t>Pate de peru (100g)</t>
  </si>
  <si>
    <t>Granulado (1kg)</t>
  </si>
  <si>
    <t>Cappuccino (20g)</t>
  </si>
  <si>
    <t>Granulado (130g)</t>
  </si>
  <si>
    <t>Maionese (200g)</t>
  </si>
  <si>
    <t>Salsicha (lata)</t>
  </si>
  <si>
    <t>Doces (bala - 300g)</t>
  </si>
  <si>
    <t>Doces (bala - 70 g)</t>
  </si>
  <si>
    <t>Fósforo (10 caixas x 40 un)</t>
  </si>
  <si>
    <t>Lentilha (380 g)</t>
  </si>
  <si>
    <t>Sabonete (180 g)</t>
  </si>
  <si>
    <t>Maionese (300g)</t>
  </si>
  <si>
    <t>Uva Passa (100g)</t>
  </si>
  <si>
    <t>Suco em Pó (450g)</t>
  </si>
  <si>
    <t>Ervilha Seca (500g)</t>
  </si>
  <si>
    <t>Azeitona (100g)</t>
  </si>
  <si>
    <t>Aveia (500g)</t>
  </si>
  <si>
    <t>Açucar (500g)</t>
  </si>
  <si>
    <t>Maionese (250g)</t>
  </si>
  <si>
    <t>Brilho Alumínio (2L)</t>
  </si>
  <si>
    <t>Creme de Cebola em Pó (68g)</t>
  </si>
  <si>
    <t>Fosforo (200un)</t>
  </si>
  <si>
    <t>Chá (10un)</t>
  </si>
  <si>
    <t>Cookie (400g)</t>
  </si>
  <si>
    <t>Farinha de Mandioca (1kg)</t>
  </si>
  <si>
    <t>Maria Mole (50g)</t>
  </si>
  <si>
    <t>Sazon (60g)</t>
  </si>
  <si>
    <t>Fósforo (40un)</t>
  </si>
  <si>
    <t>Fermento (100g)</t>
  </si>
  <si>
    <t>Mingau (230g)</t>
  </si>
  <si>
    <t>Yakissoba (500g)</t>
  </si>
  <si>
    <t>Canjica (500g)</t>
  </si>
  <si>
    <t>Azeite (200mL)</t>
  </si>
  <si>
    <t>Coco Ralado (100g)</t>
  </si>
  <si>
    <t>Maionese (400g)</t>
  </si>
  <si>
    <t>Achocolatado (300g)</t>
  </si>
  <si>
    <t>Leite em Pó (200g)</t>
  </si>
  <si>
    <t>Leite de Coco (200mL)</t>
  </si>
  <si>
    <t>Molho de Tomate (260g)</t>
  </si>
  <si>
    <t>Geleia de goiaba (100g)</t>
  </si>
  <si>
    <t>Sopa de Cebola (38g)</t>
  </si>
  <si>
    <t>Fosforo</t>
  </si>
  <si>
    <t>Multiuso (200ml)</t>
  </si>
  <si>
    <t>Tapioca (500g)</t>
  </si>
  <si>
    <t>SBP</t>
  </si>
  <si>
    <t>Azeitona (270g)</t>
  </si>
  <si>
    <t>Farofa (150g)</t>
  </si>
  <si>
    <t>Algodão (25g)</t>
  </si>
  <si>
    <t>Batata Palha (120g)</t>
  </si>
  <si>
    <t>Maionese (700g)</t>
  </si>
  <si>
    <t>Pão de Mel (240g)</t>
  </si>
  <si>
    <t>Sal Grosso (1kg)</t>
  </si>
  <si>
    <t>Azeitona (160g)</t>
  </si>
  <si>
    <t>Trigo pra Kibe</t>
  </si>
  <si>
    <t>Sabão Líquido (5L)</t>
  </si>
  <si>
    <t>Abacaxi em calda (820g)</t>
  </si>
  <si>
    <t>Abacaxi em calda (830g)</t>
  </si>
  <si>
    <t>Azeitona (120g)</t>
  </si>
  <si>
    <t>Azeitona (150g)</t>
  </si>
  <si>
    <t>Azeitona (1kg)</t>
  </si>
  <si>
    <t>Cappuccino (200g)</t>
  </si>
  <si>
    <t>Chá (100g)</t>
  </si>
  <si>
    <t>Chá (12g)</t>
  </si>
  <si>
    <t>Chá (22,5g)</t>
  </si>
  <si>
    <t>Coca-cola (3L)</t>
  </si>
  <si>
    <t>Doce de Abóbora (220g)</t>
  </si>
  <si>
    <t>Doces (bala - 150g)</t>
  </si>
  <si>
    <t>Doces (bala - 200g)</t>
  </si>
  <si>
    <t>Doces (bala - 600g)</t>
  </si>
  <si>
    <t>Farinha de Kibe (500g)</t>
  </si>
  <si>
    <t>Farinha de milho(500g)</t>
  </si>
  <si>
    <t>Farinha de trigo (1kg)</t>
  </si>
  <si>
    <t>Feijoada enlatada (830g)</t>
  </si>
  <si>
    <t>Gelatina (30g)</t>
  </si>
  <si>
    <t>Granulado (150g)</t>
  </si>
  <si>
    <t>Granulado (500g)</t>
  </si>
  <si>
    <t>Leite (caixa com 12)</t>
  </si>
  <si>
    <t>Leite em pó (300g)</t>
  </si>
  <si>
    <t>Leite em Pó (500g)</t>
  </si>
  <si>
    <t>Macarrão (200g)</t>
  </si>
  <si>
    <t>Maionese (1kg)</t>
  </si>
  <si>
    <t>Massa lasanha (200g)</t>
  </si>
  <si>
    <t>Massa lasanha (500g)</t>
  </si>
  <si>
    <t>Milho conserva (Lata)</t>
  </si>
  <si>
    <t>Milho de pipoca (500g)</t>
  </si>
  <si>
    <t>Molho de tomate (400g)</t>
  </si>
  <si>
    <t>Nozes (200g)</t>
  </si>
  <si>
    <t>Orégano (10g)</t>
  </si>
  <si>
    <t>Pacote de bala (200g)</t>
  </si>
  <si>
    <t>Pacote de bala (500g)</t>
  </si>
  <si>
    <t>Pacote de bala (600g)</t>
  </si>
  <si>
    <t>Palmito (300g)</t>
  </si>
  <si>
    <t>Palmito (500g)</t>
  </si>
  <si>
    <t>Palmito (530g)</t>
  </si>
  <si>
    <t>Panetone (80g)</t>
  </si>
  <si>
    <t>Pão de Mel (200g)</t>
  </si>
  <si>
    <t>Patê de sardinha (150g)</t>
  </si>
  <si>
    <t>Patê de sardinha (170g)</t>
  </si>
  <si>
    <t>Polenta (1kg)</t>
  </si>
  <si>
    <t>Polvilho (1kg)</t>
  </si>
  <si>
    <t>Refrigerante (1L)</t>
  </si>
  <si>
    <t>Refrigerante lata</t>
  </si>
  <si>
    <t>Sagu (150g)</t>
  </si>
  <si>
    <t>Sagu (250g)</t>
  </si>
  <si>
    <t>Sagu (500g)</t>
  </si>
  <si>
    <t>Sardinha (125g)</t>
  </si>
  <si>
    <t>Seleta de legumes (200g)</t>
  </si>
  <si>
    <t>Tempero pronto (500g)</t>
  </si>
  <si>
    <t>Tempero pronto(300g)</t>
  </si>
  <si>
    <t>Farinha de rosca (500g)</t>
  </si>
  <si>
    <t/>
  </si>
  <si>
    <t>Jaú Vila Nery</t>
  </si>
  <si>
    <t>Jaú Rodoviária</t>
  </si>
  <si>
    <t>Jaú Padre Teixeira</t>
  </si>
  <si>
    <t>Jaú Cidade Jardim</t>
  </si>
  <si>
    <t>Savegnago Passeio</t>
  </si>
  <si>
    <t>Savegnago Maffei</t>
  </si>
  <si>
    <t>Jaú Raimundo Correa</t>
  </si>
  <si>
    <t>Jaú Visconde</t>
  </si>
  <si>
    <t>Jaú Vila Prado</t>
  </si>
  <si>
    <t>Savegnago Praça Itália</t>
  </si>
  <si>
    <t>Jaú Redenção</t>
  </si>
  <si>
    <t>Abordagem contínua</t>
  </si>
  <si>
    <t>Outros</t>
  </si>
  <si>
    <t>Absorvente (80un)</t>
  </si>
  <si>
    <t>Alvejante (500mL)</t>
  </si>
  <si>
    <t>Amaciante(1L)</t>
  </si>
  <si>
    <t>Amaciante(2L)</t>
  </si>
  <si>
    <t>Amaciante (900ml)</t>
  </si>
  <si>
    <t>Antisséptico (440ml)</t>
  </si>
  <si>
    <t>Band Aid (10un)</t>
  </si>
  <si>
    <t>Band Aid (40un)</t>
  </si>
  <si>
    <t>Brilho Alumínio (500mL)</t>
  </si>
  <si>
    <t>Cloro ativo (5L)</t>
  </si>
  <si>
    <t>Condicionador (200mL)</t>
  </si>
  <si>
    <t>Condicionador (325 mL)</t>
  </si>
  <si>
    <t>Condicionador (350 mL)</t>
  </si>
  <si>
    <t>Condicionador (400mL)</t>
  </si>
  <si>
    <t>Creme de barbear</t>
  </si>
  <si>
    <t>Desengordurante (500ml)</t>
  </si>
  <si>
    <t>Desengordurante(500ml)</t>
  </si>
  <si>
    <t>Desinfetante(2L)</t>
  </si>
  <si>
    <t>Desodorante creme</t>
  </si>
  <si>
    <t>Desodorante rollon</t>
  </si>
  <si>
    <t>Desodorante spray</t>
  </si>
  <si>
    <t>Detergente (5L)</t>
  </si>
  <si>
    <t>Detergente (6un)</t>
  </si>
  <si>
    <t>Detergente(500ml)</t>
  </si>
  <si>
    <t>Enxaguante bucal (350mL)</t>
  </si>
  <si>
    <t>Fósforo (50un)</t>
  </si>
  <si>
    <t>Fraldas Infantis (28un)</t>
  </si>
  <si>
    <t>Fraldas Infantis (38un)</t>
  </si>
  <si>
    <t>Fraldas Infantis (44un)</t>
  </si>
  <si>
    <t>Fraldas Infantis (48un)</t>
  </si>
  <si>
    <t>Fraldas Infantis (52un)</t>
  </si>
  <si>
    <t>Fraldas Infantis (58un)</t>
  </si>
  <si>
    <t>Fraldas Infantis (60un)</t>
  </si>
  <si>
    <t>Fraldas Infantis (12un)</t>
  </si>
  <si>
    <t>Lâmina refil (4un)</t>
  </si>
  <si>
    <t>Lenços de papel (50un)</t>
  </si>
  <si>
    <t>lenços papel 100 un</t>
  </si>
  <si>
    <t>Limpador(1L)</t>
  </si>
  <si>
    <t>Limpador(2L)</t>
  </si>
  <si>
    <t>Limpador(500ml)</t>
  </si>
  <si>
    <t>Multiuso (1L)</t>
  </si>
  <si>
    <t>Multiuso (3un 500ml)</t>
  </si>
  <si>
    <t>Querosene (500ml)</t>
  </si>
  <si>
    <t>sabao em barra (5un)</t>
  </si>
  <si>
    <t>Sabão Líquido (2L)</t>
  </si>
  <si>
    <t>Sabão Líquido (3L)</t>
  </si>
  <si>
    <t>sabonete (150g)</t>
  </si>
  <si>
    <t>Sabonete (3un)</t>
  </si>
  <si>
    <t>sabonete (4un)</t>
  </si>
  <si>
    <t>sabonete (6un)</t>
  </si>
  <si>
    <t>Sabonete (85g)</t>
  </si>
  <si>
    <t>Saco de Lixo (10un) 30l/50l</t>
  </si>
  <si>
    <t>Saco de Lixo (20un) 15l</t>
  </si>
  <si>
    <t>Shampoo</t>
  </si>
  <si>
    <t xml:space="preserve">Shampoo (400mL) </t>
  </si>
  <si>
    <t xml:space="preserve">Shampoo ou condicinador (200mL) </t>
  </si>
  <si>
    <t xml:space="preserve">Shampoo ou condicinador (400mL) </t>
  </si>
  <si>
    <t xml:space="preserve">Shampoo ou condicionador (200mL) </t>
  </si>
  <si>
    <t xml:space="preserve">Shampoo ou condicionador (400mL) </t>
  </si>
  <si>
    <t>Tira manchas (450g)</t>
  </si>
  <si>
    <t>NOS ITENS DE HIGIENE, A COLUNA DE PRODUTOS TÁ ERRADA, MAS NÃO ESTÁ SENDO USADA PARA CÁLCULOS, REVISAR DEPOIS</t>
  </si>
  <si>
    <t>7896104996454</t>
  </si>
  <si>
    <t>llhj</t>
  </si>
  <si>
    <t>7896021623914</t>
  </si>
  <si>
    <t>ert</t>
  </si>
  <si>
    <t>7891037744257</t>
  </si>
  <si>
    <t>dfd</t>
  </si>
  <si>
    <t>7891024032732</t>
  </si>
  <si>
    <t>knihj</t>
  </si>
  <si>
    <t>7896012800829</t>
  </si>
  <si>
    <t>ss</t>
  </si>
  <si>
    <t>7896102502312</t>
  </si>
  <si>
    <t>rgg</t>
  </si>
  <si>
    <t>7894321711263</t>
  </si>
  <si>
    <t>toddy</t>
  </si>
  <si>
    <t>7896224836098</t>
  </si>
  <si>
    <t>kk</t>
  </si>
  <si>
    <t>7891000247785</t>
  </si>
  <si>
    <t>dd</t>
  </si>
  <si>
    <t>7896034610017</t>
  </si>
  <si>
    <t>7896061990069</t>
  </si>
  <si>
    <t>ee</t>
  </si>
  <si>
    <t>7891000053508</t>
  </si>
  <si>
    <t>7896007548514</t>
  </si>
  <si>
    <t>k</t>
  </si>
  <si>
    <t>7896104994313</t>
  </si>
  <si>
    <t>a</t>
  </si>
  <si>
    <t>7896277400055</t>
  </si>
  <si>
    <t>7896071001656</t>
  </si>
  <si>
    <t>7896490500013</t>
  </si>
  <si>
    <t>7896104994306</t>
  </si>
  <si>
    <t>7894321811789</t>
  </si>
  <si>
    <t>7891150049925</t>
  </si>
  <si>
    <t>7896022205164</t>
  </si>
  <si>
    <t>7896022205195</t>
  </si>
  <si>
    <t>7896071024716</t>
  </si>
  <si>
    <t>7896058257670</t>
  </si>
  <si>
    <t>7896003703863</t>
  </si>
  <si>
    <t>7891000023808</t>
  </si>
  <si>
    <t>7891040198726</t>
  </si>
  <si>
    <t>7896314707697</t>
  </si>
  <si>
    <t>7891024184509</t>
  </si>
  <si>
    <t>7622300741136</t>
  </si>
  <si>
    <t>7891000018750</t>
  </si>
  <si>
    <t>7891150060241</t>
  </si>
  <si>
    <t>7896239300478</t>
  </si>
  <si>
    <t>7896200031172</t>
  </si>
  <si>
    <t>7896090400010</t>
  </si>
  <si>
    <t>7896110002255</t>
  </si>
  <si>
    <t>aq</t>
  </si>
  <si>
    <t>7896007545094</t>
  </si>
  <si>
    <t>7896280400394</t>
  </si>
  <si>
    <t>7896110008653</t>
  </si>
  <si>
    <t>7896072093636</t>
  </si>
  <si>
    <t>7896098900741</t>
  </si>
  <si>
    <t>7891035285158</t>
  </si>
  <si>
    <t>7891000066607</t>
  </si>
  <si>
    <t>7891203059345</t>
  </si>
  <si>
    <t>7896098902042</t>
  </si>
  <si>
    <t>7891024038536</t>
  </si>
  <si>
    <t>7891000241370</t>
  </si>
  <si>
    <t>7896000594198</t>
  </si>
  <si>
    <t>7896534400200</t>
  </si>
  <si>
    <t>7893500020158</t>
  </si>
  <si>
    <t>7898288820044</t>
  </si>
  <si>
    <t>7894650004463</t>
  </si>
  <si>
    <t>7896040706889</t>
  </si>
  <si>
    <t>7896102502299</t>
  </si>
  <si>
    <t>f</t>
  </si>
  <si>
    <t>7891150060272</t>
  </si>
  <si>
    <t>7891079000427</t>
  </si>
  <si>
    <t>g</t>
  </si>
  <si>
    <t>7702018874729</t>
  </si>
  <si>
    <t>7891528016498</t>
  </si>
  <si>
    <t>7896003700992</t>
  </si>
  <si>
    <t>17896569405000</t>
  </si>
  <si>
    <t>7892020200095</t>
  </si>
  <si>
    <t>7896036094976</t>
  </si>
  <si>
    <t>7896036097335</t>
  </si>
  <si>
    <t>7891000066560</t>
  </si>
  <si>
    <t>7891000086193</t>
  </si>
  <si>
    <t>bono</t>
  </si>
  <si>
    <t>7896098906866</t>
  </si>
  <si>
    <t>7896110007700</t>
  </si>
  <si>
    <t>7896058251197</t>
  </si>
  <si>
    <t>q</t>
  </si>
  <si>
    <t>7896022205232</t>
  </si>
  <si>
    <t>7891168100014</t>
  </si>
  <si>
    <t>7891962037028</t>
  </si>
  <si>
    <t>7891000919705</t>
  </si>
  <si>
    <t>ll</t>
  </si>
  <si>
    <t>7896098900802</t>
  </si>
  <si>
    <t>7896001004504</t>
  </si>
  <si>
    <t>7897380000767</t>
  </si>
  <si>
    <t>7891024037393</t>
  </si>
  <si>
    <t>Sabonete 85g</t>
  </si>
  <si>
    <t>3un</t>
  </si>
  <si>
    <t>4005900521897</t>
  </si>
  <si>
    <t>7891051026773</t>
  </si>
  <si>
    <t>natori</t>
  </si>
  <si>
    <t>7898116880028</t>
  </si>
  <si>
    <t>7896110003221</t>
  </si>
  <si>
    <t>070330709485</t>
  </si>
  <si>
    <t>4005900380982</t>
  </si>
  <si>
    <t>7891095007165</t>
  </si>
  <si>
    <t>7896056401549</t>
  </si>
  <si>
    <t>xurca</t>
  </si>
  <si>
    <t>7891203010605</t>
  </si>
  <si>
    <t>Bisnaguinha (300g)</t>
  </si>
  <si>
    <t>7897140100010</t>
  </si>
  <si>
    <t>7896005286555</t>
  </si>
  <si>
    <t>7891965120154</t>
  </si>
  <si>
    <t>7896283800429</t>
  </si>
  <si>
    <t>7896230400443</t>
  </si>
  <si>
    <t>7891079001561</t>
  </si>
  <si>
    <t>7891038009300</t>
  </si>
  <si>
    <t>ww</t>
  </si>
  <si>
    <t>7891962037011</t>
  </si>
  <si>
    <t>7896094906471</t>
  </si>
  <si>
    <t>7891150043084</t>
  </si>
  <si>
    <t>Shampoo e Condicionador 325ml</t>
  </si>
  <si>
    <t>tht</t>
  </si>
  <si>
    <t>7898405750049</t>
  </si>
  <si>
    <t>Saco de Lixo (5un) 100l</t>
  </si>
  <si>
    <t>7898016970300</t>
  </si>
  <si>
    <t>ffgh</t>
  </si>
  <si>
    <t>7891172421174</t>
  </si>
  <si>
    <t>eet</t>
  </si>
  <si>
    <t>7896022200121</t>
  </si>
  <si>
    <t>u6ruy</t>
  </si>
  <si>
    <t>7897190306462</t>
  </si>
  <si>
    <t>ysrjtudk</t>
  </si>
  <si>
    <t>7891000100103</t>
  </si>
  <si>
    <t>3rg</t>
  </si>
  <si>
    <t>7896102589122</t>
  </si>
  <si>
    <t>ryj</t>
  </si>
  <si>
    <t>7896090403141</t>
  </si>
  <si>
    <t>sryj</t>
  </si>
  <si>
    <t>7896005281710</t>
  </si>
  <si>
    <t>rv</t>
  </si>
  <si>
    <t>7891962014999</t>
  </si>
  <si>
    <t>6k</t>
  </si>
  <si>
    <t>7896003706536</t>
  </si>
  <si>
    <t>gu</t>
  </si>
  <si>
    <t>7622300989446</t>
  </si>
  <si>
    <t>oreo</t>
  </si>
  <si>
    <t>7891000241295</t>
  </si>
  <si>
    <t>gfy</t>
  </si>
  <si>
    <t>7896384801196</t>
  </si>
  <si>
    <t>etw</t>
  </si>
  <si>
    <t>7896022201852</t>
  </si>
  <si>
    <t>7897217400142</t>
  </si>
  <si>
    <t>7891528112534</t>
  </si>
  <si>
    <t>7891528038810</t>
  </si>
  <si>
    <t>7891024034965</t>
  </si>
  <si>
    <t>7898919412006</t>
  </si>
  <si>
    <t>7896098900604</t>
  </si>
  <si>
    <t>7891024111444</t>
  </si>
  <si>
    <t>Pasta de dente 4 un</t>
  </si>
  <si>
    <t>7891150046368</t>
  </si>
  <si>
    <t>Sabonete (3 in)</t>
  </si>
  <si>
    <t>7894321711478</t>
  </si>
  <si>
    <t>7896089010916</t>
  </si>
  <si>
    <t>Caboclo</t>
  </si>
  <si>
    <t>7891095200207</t>
  </si>
  <si>
    <t>Yoki</t>
  </si>
  <si>
    <t>7898949924197</t>
  </si>
  <si>
    <t>Vasconcelos</t>
  </si>
  <si>
    <t>Pasta de dente (4un)</t>
  </si>
  <si>
    <t>Bolacha (170g)</t>
  </si>
  <si>
    <t>Molho de tomate(390g)</t>
  </si>
  <si>
    <t>Saco de lixo (5un - 100L)</t>
  </si>
  <si>
    <t>Suco (1,5L)</t>
  </si>
  <si>
    <t>Pipoca doce (100g)</t>
  </si>
  <si>
    <t>achocolatado (1kg)</t>
  </si>
  <si>
    <t>Barra de Cereal (4un)</t>
  </si>
  <si>
    <t>Bolacha (145g)</t>
  </si>
  <si>
    <t>Jaú Raimundo Corres</t>
  </si>
  <si>
    <t>Pão de Mel (300g)</t>
  </si>
  <si>
    <t>Pasta de dente (3un)</t>
  </si>
  <si>
    <t>farofa de mandioca (250g)</t>
  </si>
  <si>
    <t>bebida láctea chocolate (1l)</t>
  </si>
  <si>
    <t>Sabão em pó (2kg)</t>
  </si>
  <si>
    <t>Pasta de dente (70g)</t>
  </si>
  <si>
    <t>Caixa de Bombons</t>
  </si>
  <si>
    <t>Escova de Dentes (4un)</t>
  </si>
  <si>
    <t>Papel Toalha (12un)</t>
  </si>
  <si>
    <t>Cereal (120g)</t>
  </si>
  <si>
    <t>Pão de Forma (500g)</t>
  </si>
  <si>
    <t>Saco de Lixo (100un) 15L</t>
  </si>
  <si>
    <t>Sabonete (8un)</t>
  </si>
  <si>
    <t>Fraldas Infantis (36un)</t>
  </si>
  <si>
    <t>multiuso</t>
  </si>
  <si>
    <t>bolo</t>
  </si>
  <si>
    <t>7891024039243</t>
  </si>
  <si>
    <t>7896098900482</t>
  </si>
  <si>
    <t>7896417000077</t>
  </si>
  <si>
    <t>7891035285189</t>
  </si>
  <si>
    <t>7896098902912</t>
  </si>
  <si>
    <t>7891150049949</t>
  </si>
  <si>
    <t>7896098900451</t>
  </si>
  <si>
    <t>7896079431127</t>
  </si>
  <si>
    <t>7896022201890</t>
  </si>
  <si>
    <t>7896056405868</t>
  </si>
  <si>
    <t>7896527701642</t>
  </si>
  <si>
    <t>7898080640673</t>
  </si>
  <si>
    <t>7898949924333</t>
  </si>
  <si>
    <t>7897721410095</t>
  </si>
  <si>
    <t>7896036098288</t>
  </si>
  <si>
    <t>7892020200231</t>
  </si>
  <si>
    <t>7891150044623</t>
  </si>
  <si>
    <t>7891024110409</t>
  </si>
  <si>
    <t>7897664171718</t>
  </si>
  <si>
    <t>7896061915307</t>
  </si>
  <si>
    <t>7896098904664</t>
  </si>
  <si>
    <t>7896183302429</t>
  </si>
  <si>
    <t>7891150058552</t>
  </si>
  <si>
    <t>7898949924081</t>
  </si>
  <si>
    <t>7896085000607</t>
  </si>
  <si>
    <t>7896627935336</t>
  </si>
  <si>
    <t>7896622713021</t>
  </si>
  <si>
    <t>7896080900148</t>
  </si>
  <si>
    <t>7899567245220</t>
  </si>
  <si>
    <t>7898080640185</t>
  </si>
  <si>
    <t>7896012800362</t>
  </si>
  <si>
    <t>7891000251904</t>
  </si>
  <si>
    <t>7509546060835</t>
  </si>
  <si>
    <t>7500435000840</t>
  </si>
  <si>
    <t>7891024024485</t>
  </si>
  <si>
    <t>7891150046375</t>
  </si>
  <si>
    <t>7896235353171</t>
  </si>
  <si>
    <t>7898919411962</t>
  </si>
  <si>
    <t>7897664172234</t>
  </si>
  <si>
    <t>7896098905401</t>
  </si>
  <si>
    <t>7896058251203</t>
  </si>
  <si>
    <t>7896292308077</t>
  </si>
  <si>
    <t>7896006748830</t>
  </si>
  <si>
    <t>7896002360326</t>
  </si>
  <si>
    <t>7891000067178</t>
  </si>
  <si>
    <t>7500435106627</t>
  </si>
  <si>
    <t>7896069511877</t>
  </si>
  <si>
    <t>7891024127605</t>
  </si>
  <si>
    <t>7891528012582</t>
  </si>
  <si>
    <t>7896090400317</t>
  </si>
  <si>
    <t>7896401100325</t>
  </si>
  <si>
    <t>7898187830014</t>
  </si>
  <si>
    <t>7892300026629</t>
  </si>
  <si>
    <t>7896292311091</t>
  </si>
  <si>
    <t>7896022204914</t>
  </si>
  <si>
    <t>7896401100042</t>
  </si>
  <si>
    <t>7896674700017</t>
  </si>
  <si>
    <t>7896300300369</t>
  </si>
  <si>
    <t>7891022080025</t>
  </si>
  <si>
    <t>7891150060463</t>
  </si>
  <si>
    <t>7896005801826</t>
  </si>
  <si>
    <t>7896205755349</t>
  </si>
  <si>
    <t>7891024026434</t>
  </si>
  <si>
    <t>7896098901137</t>
  </si>
  <si>
    <t>7896001045446</t>
  </si>
  <si>
    <t>7896098900499</t>
  </si>
  <si>
    <t>7891150061880</t>
  </si>
  <si>
    <t>7896104995778</t>
  </si>
  <si>
    <t>Mili Vita</t>
  </si>
  <si>
    <t>7896012800843</t>
  </si>
  <si>
    <t>Bigfral</t>
  </si>
  <si>
    <t>7896534400064</t>
  </si>
  <si>
    <t>Globo</t>
  </si>
  <si>
    <t>7500435117845</t>
  </si>
  <si>
    <t>Pampers</t>
  </si>
  <si>
    <t>7793940463006</t>
  </si>
  <si>
    <t>fyjf</t>
  </si>
  <si>
    <t>7891962036991</t>
  </si>
  <si>
    <t>bkhthshdf</t>
  </si>
  <si>
    <t>7896327514114</t>
  </si>
  <si>
    <t>fcdfghijhgh</t>
  </si>
  <si>
    <t>7896058204537</t>
  </si>
  <si>
    <t>trunfo</t>
  </si>
  <si>
    <t>7896024720467</t>
  </si>
  <si>
    <t>piraque</t>
  </si>
  <si>
    <t>7896327501275</t>
  </si>
  <si>
    <t>apti</t>
  </si>
  <si>
    <t>7896327512646</t>
  </si>
  <si>
    <t>aohjgf</t>
  </si>
  <si>
    <t>7896327512622</t>
  </si>
  <si>
    <t>dfegrfdc</t>
  </si>
  <si>
    <t>7896117100350</t>
  </si>
  <si>
    <t>nfchghjk</t>
  </si>
  <si>
    <t>7896012801826</t>
  </si>
  <si>
    <t>7896007546787</t>
  </si>
  <si>
    <t>7896007548415</t>
  </si>
  <si>
    <t>7898080640833</t>
  </si>
  <si>
    <t>7891010560737</t>
  </si>
  <si>
    <t>7891010087722</t>
  </si>
  <si>
    <t>7891962014982</t>
  </si>
  <si>
    <t>7891024110201</t>
  </si>
  <si>
    <t>7896022200961</t>
  </si>
  <si>
    <t>7891022854244</t>
  </si>
  <si>
    <t>7891035249433</t>
  </si>
  <si>
    <t>7898341250887</t>
  </si>
  <si>
    <t>7891150057630</t>
  </si>
  <si>
    <t>7896022201913</t>
  </si>
  <si>
    <t>7891962051338</t>
  </si>
  <si>
    <t>7891962000268</t>
  </si>
  <si>
    <t>7892222300500</t>
  </si>
  <si>
    <t>7898957777020</t>
  </si>
  <si>
    <t>7896104993736</t>
  </si>
  <si>
    <t>7897664171701</t>
  </si>
  <si>
    <t>7506339363883</t>
  </si>
  <si>
    <t>7898904855139</t>
  </si>
  <si>
    <t>7898341250856</t>
  </si>
  <si>
    <t>7896048200051</t>
  </si>
  <si>
    <t>7891150049871</t>
  </si>
  <si>
    <t>7500435127370</t>
  </si>
  <si>
    <t>7891528038001</t>
  </si>
  <si>
    <t>7891010925543</t>
  </si>
  <si>
    <t>7896005232705</t>
  </si>
  <si>
    <t>7891024035245</t>
  </si>
  <si>
    <t>7891150060456</t>
  </si>
  <si>
    <t>7898341250832</t>
  </si>
  <si>
    <t>7891024008799</t>
  </si>
  <si>
    <t>7891024035825</t>
  </si>
  <si>
    <t>7501009222743</t>
  </si>
  <si>
    <t>7896006716112</t>
  </si>
  <si>
    <t>7896205756377</t>
  </si>
  <si>
    <t>7891150057388</t>
  </si>
  <si>
    <t>7891024035511</t>
  </si>
  <si>
    <t>7896058253917</t>
  </si>
  <si>
    <t>7891000379103</t>
  </si>
  <si>
    <t xml:space="preserve">      7891051026773</t>
  </si>
  <si>
    <t>070330709003</t>
  </si>
  <si>
    <t>7896066317595</t>
  </si>
  <si>
    <t>7896022201906</t>
  </si>
  <si>
    <t>7894650004265</t>
  </si>
  <si>
    <t>7894650013908</t>
  </si>
  <si>
    <t>7891177816869</t>
  </si>
  <si>
    <t>7891024194249</t>
  </si>
  <si>
    <t>7896098904671</t>
  </si>
  <si>
    <t>7896183300180</t>
  </si>
  <si>
    <t>7891035800344</t>
  </si>
  <si>
    <t>7896527700355</t>
  </si>
  <si>
    <t>7896098900628</t>
  </si>
  <si>
    <t>7896022202996</t>
  </si>
  <si>
    <t>7891000070673</t>
  </si>
  <si>
    <t>7896104995693</t>
  </si>
  <si>
    <t>7891172145124</t>
  </si>
  <si>
    <t>7891150025301</t>
  </si>
  <si>
    <t>7891010035976</t>
  </si>
  <si>
    <t>7896090100026</t>
  </si>
  <si>
    <t>7500435011266</t>
  </si>
  <si>
    <t>7897664171770</t>
  </si>
  <si>
    <t>7891024035139</t>
  </si>
  <si>
    <t>7896098900475</t>
  </si>
  <si>
    <t>7898919411955</t>
  </si>
  <si>
    <t>7896527700768</t>
  </si>
  <si>
    <t>7622300992330</t>
  </si>
  <si>
    <t>7891024186244</t>
  </si>
  <si>
    <t>7509546067858</t>
  </si>
  <si>
    <t>7898327431286</t>
  </si>
  <si>
    <t>7896110007427</t>
  </si>
  <si>
    <t>7898080640413</t>
  </si>
  <si>
    <t>7891528038568</t>
  </si>
  <si>
    <t>7896527700898</t>
  </si>
  <si>
    <t>7896104995761</t>
  </si>
  <si>
    <t>7896085052002</t>
  </si>
  <si>
    <t>7891150059870</t>
  </si>
  <si>
    <t>7891150060296</t>
  </si>
  <si>
    <t>7896006701118</t>
  </si>
  <si>
    <t>7891528008592</t>
  </si>
  <si>
    <t>070330727878</t>
  </si>
  <si>
    <t>070330732339</t>
  </si>
  <si>
    <t>7891035215339</t>
  </si>
  <si>
    <t>7891024194607</t>
  </si>
  <si>
    <t>7896007540617</t>
  </si>
  <si>
    <t>9</t>
  </si>
  <si>
    <t>7894321811819</t>
  </si>
  <si>
    <t>7891000113608</t>
  </si>
  <si>
    <t>7506195132043</t>
  </si>
  <si>
    <t>pasta de dente (70g)</t>
  </si>
  <si>
    <t>7898009350317</t>
  </si>
  <si>
    <t>7896056401044</t>
  </si>
  <si>
    <t>7897664171732</t>
  </si>
  <si>
    <t>sabonete (85g)</t>
  </si>
  <si>
    <t>7896005208182</t>
  </si>
  <si>
    <t>7896205744046</t>
  </si>
  <si>
    <t>7891024028995</t>
  </si>
  <si>
    <t>7897664172067</t>
  </si>
  <si>
    <t>sabao em pó (2kg)</t>
  </si>
  <si>
    <t>7897721410071</t>
  </si>
  <si>
    <t>7896256050158</t>
  </si>
  <si>
    <t>7898931019023</t>
  </si>
  <si>
    <t>7891010793463</t>
  </si>
  <si>
    <t>7891010704780</t>
  </si>
  <si>
    <t>7898247780266</t>
  </si>
  <si>
    <t>7896102593051</t>
  </si>
  <si>
    <t>7898080640925</t>
  </si>
  <si>
    <t>7896003702682</t>
  </si>
  <si>
    <t>7898285310524</t>
  </si>
  <si>
    <t>7896056402485</t>
  </si>
  <si>
    <t>7894650002698</t>
  </si>
  <si>
    <t>7891150055582</t>
  </si>
  <si>
    <t>7897664171725</t>
  </si>
  <si>
    <t>7891150060302</t>
  </si>
  <si>
    <t>7501009224174</t>
  </si>
  <si>
    <t>7896117600195</t>
  </si>
  <si>
    <t>7891024037157</t>
  </si>
  <si>
    <t>7896021622009</t>
  </si>
  <si>
    <t>7898016971000</t>
  </si>
  <si>
    <t>7896372400554</t>
  </si>
  <si>
    <t>7896071024860</t>
  </si>
  <si>
    <t>7896048284785</t>
  </si>
  <si>
    <t>7896085053832</t>
  </si>
  <si>
    <t>7898176550312</t>
  </si>
  <si>
    <t>7896500100011</t>
  </si>
  <si>
    <t>7891035285257</t>
  </si>
  <si>
    <t>7896075300625</t>
  </si>
  <si>
    <t>7896110004648</t>
  </si>
  <si>
    <t>7897217400500</t>
  </si>
  <si>
    <t>7896460400237</t>
  </si>
  <si>
    <t>7896327514138</t>
  </si>
  <si>
    <t>7896102589146</t>
  </si>
  <si>
    <t>7896733610646</t>
  </si>
  <si>
    <t>7896003706581</t>
  </si>
  <si>
    <t>7896372400110</t>
  </si>
  <si>
    <t>7896036095041</t>
  </si>
  <si>
    <t>7894321811758</t>
  </si>
  <si>
    <t>7891037006324</t>
  </si>
  <si>
    <t>7622300741235</t>
  </si>
  <si>
    <t>7898176550343</t>
  </si>
  <si>
    <t>7896622711911</t>
  </si>
  <si>
    <t>7891150058903</t>
  </si>
  <si>
    <t>7896036095119</t>
  </si>
  <si>
    <t>7896003702200</t>
  </si>
  <si>
    <t>7891203021601</t>
  </si>
  <si>
    <t>7896098900949</t>
  </si>
  <si>
    <t>7896490290587</t>
  </si>
  <si>
    <t>7896183302436</t>
  </si>
  <si>
    <t>7891024038246</t>
  </si>
  <si>
    <t>7898342050240</t>
  </si>
  <si>
    <t>7891024034200</t>
  </si>
  <si>
    <t>7896085075551</t>
  </si>
  <si>
    <t>7896140600018</t>
  </si>
  <si>
    <t>7896102592993</t>
  </si>
  <si>
    <t>7896622711898</t>
  </si>
  <si>
    <t>7891962035536</t>
  </si>
  <si>
    <t>7897900314008</t>
  </si>
  <si>
    <t>7891150035539</t>
  </si>
  <si>
    <t>7501009222729</t>
  </si>
  <si>
    <t>7896080870243</t>
  </si>
  <si>
    <t>7891150060289</t>
  </si>
  <si>
    <t>aa</t>
  </si>
  <si>
    <t>7891040001187</t>
  </si>
  <si>
    <t>7896098900369</t>
  </si>
  <si>
    <t>ojh</t>
  </si>
  <si>
    <t>7891150021235</t>
  </si>
  <si>
    <t>zz</t>
  </si>
  <si>
    <t>7791293034997</t>
  </si>
  <si>
    <t>7891150014138</t>
  </si>
  <si>
    <t>7896002369787</t>
  </si>
  <si>
    <t>yfhg</t>
  </si>
  <si>
    <t>7898341430777</t>
  </si>
  <si>
    <t>hhy</t>
  </si>
  <si>
    <t>7897645100140</t>
  </si>
  <si>
    <t>7894900558029</t>
  </si>
  <si>
    <t>7896733600746</t>
  </si>
  <si>
    <t>7896075300946</t>
  </si>
  <si>
    <t>7896005218013</t>
  </si>
  <si>
    <t>7891962037004</t>
  </si>
  <si>
    <t>7891203057525</t>
  </si>
  <si>
    <t>7896622711904</t>
  </si>
  <si>
    <t>7897664171756</t>
  </si>
  <si>
    <t>sabonete albany</t>
  </si>
  <si>
    <t>7891032015222</t>
  </si>
  <si>
    <t>Olé</t>
  </si>
  <si>
    <t>7891000060421</t>
  </si>
  <si>
    <t>7894650004494</t>
  </si>
  <si>
    <t>Voa logistica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</si>
</sst>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13" x14ac:knownFonts="1">
    <font>
      <sz val="11"/>
      <color theme="1"/>
      <name val="Calibri"/>
      <family val="2"/>
      <scheme val="minor"/>
    </font>
    <font>
      <b/>
      <sz val="11"/>
      <color theme="0"/>
      <name val="Calibri"/>
      <family val="2"/>
      <scheme val="minor"/>
    </font>
    <font>
      <u/>
      <sz val="11"/>
      <color theme="10"/>
      <name val="Calibri"/>
      <family val="2"/>
      <scheme val="minor"/>
    </font>
    <font>
      <b/>
      <u/>
      <sz val="11"/>
      <color theme="0"/>
      <name val="Calibri"/>
      <family val="2"/>
      <scheme val="minor"/>
    </font>
    <font>
      <b/>
      <sz val="11"/>
      <name val="Calibri"/>
      <family val="2"/>
      <scheme val="minor"/>
    </font>
    <font>
      <b/>
      <sz val="16"/>
      <color theme="0"/>
      <name val="Calibri"/>
      <family val="2"/>
      <scheme val="minor"/>
    </font>
    <font>
      <sz val="11"/>
      <color rgb="FF000000"/>
      <name val="Calibri"/>
      <family val="2"/>
    </font>
    <font>
      <sz val="11"/>
      <name val="Calibri"/>
      <family val="2"/>
      <scheme val="minor"/>
    </font>
    <font>
      <u/>
      <sz val="11"/>
      <color theme="1"/>
      <name val="Calibri"/>
      <family val="2"/>
      <scheme val="minor"/>
    </font>
    <font>
      <b/>
      <u/>
      <sz val="11"/>
      <color theme="1"/>
      <name val="Calibri"/>
      <family val="2"/>
      <scheme val="minor"/>
    </font>
    <font>
      <sz val="10"/>
      <color rgb="FF000000"/>
      <name val="Arial"/>
      <family val="2"/>
    </font>
    <font>
      <b/>
      <sz val="11"/>
      <color theme="1"/>
      <name val="Calibri"/>
      <family val="2"/>
      <scheme val="minor"/>
    </font>
    <font>
      <sz val="11"/>
      <color theme="1"/>
      <name val="Calibri"/>
      <family val="2"/>
      <scheme val="minor"/>
    </font>
  </fonts>
  <fills count="8">
    <fill>
      <patternFill patternType="none"/>
    </fill>
    <fill>
      <patternFill patternType="gray125"/>
    </fill>
    <fill>
      <patternFill patternType="solid">
        <fgColor theme="4" tint="-0.249977111117893"/>
        <bgColor indexed="64"/>
      </patternFill>
    </fill>
    <fill>
      <patternFill patternType="solid">
        <fgColor rgb="FFC00000"/>
        <bgColor indexed="64"/>
      </patternFill>
    </fill>
    <fill>
      <patternFill patternType="solid">
        <fgColor rgb="FFE600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FF00"/>
        <bgColor indexed="64"/>
      </patternFill>
    </fill>
  </fills>
  <borders count="25">
    <border>
      <left/>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s>
  <cellStyleXfs count="2">
    <xf numFmtId="0" fontId="0" fillId="0" borderId="0"/>
    <xf numFmtId="0" fontId="2" fillId="0" borderId="0" applyNumberFormat="0" applyFill="0" applyBorder="0" applyAlignment="0" applyProtection="0"/>
  </cellStyleXfs>
  <cellXfs count="107">
    <xf numFmtId="0" fontId="0" fillId="0" borderId="0" xfId="0"/>
    <xf numFmtId="0" fontId="0" fillId="0" borderId="2" xfId="0" applyBorder="1" applyAlignment="1">
      <alignment horizontal="center"/>
    </xf>
    <xf numFmtId="0" fontId="0" fillId="0" borderId="4" xfId="0" applyFill="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2" xfId="0" applyBorder="1" applyAlignment="1">
      <alignment horizontal="right"/>
    </xf>
    <xf numFmtId="0" fontId="1" fillId="3" borderId="2" xfId="0" applyFont="1" applyFill="1" applyBorder="1" applyAlignment="1">
      <alignment horizontal="center"/>
    </xf>
    <xf numFmtId="0" fontId="0" fillId="0" borderId="11" xfId="0"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0" fontId="2" fillId="0" borderId="0" xfId="1"/>
    <xf numFmtId="0" fontId="4" fillId="0" borderId="0" xfId="0" applyFont="1" applyFill="1" applyBorder="1"/>
    <xf numFmtId="0" fontId="2" fillId="0" borderId="0" xfId="1" applyFill="1" applyBorder="1"/>
    <xf numFmtId="0" fontId="0" fillId="0" borderId="12" xfId="0" applyBorder="1" applyAlignment="1">
      <alignment horizontal="center"/>
    </xf>
    <xf numFmtId="0" fontId="1" fillId="2" borderId="0" xfId="0" applyFont="1" applyFill="1" applyBorder="1" applyAlignment="1">
      <alignment horizontal="center" vertical="center"/>
    </xf>
    <xf numFmtId="0" fontId="0" fillId="0" borderId="4" xfId="0" applyBorder="1" applyAlignment="1">
      <alignment horizontal="center"/>
    </xf>
    <xf numFmtId="0" fontId="0" fillId="0" borderId="2" xfId="0" applyNumberFormat="1" applyBorder="1" applyAlignment="1">
      <alignment horizontal="center"/>
    </xf>
    <xf numFmtId="0" fontId="0" fillId="0" borderId="0" xfId="0" applyFill="1"/>
    <xf numFmtId="0" fontId="0" fillId="0" borderId="5" xfId="0" applyBorder="1" applyAlignment="1">
      <alignment horizontal="right"/>
    </xf>
    <xf numFmtId="0" fontId="0" fillId="0" borderId="6" xfId="0" applyBorder="1"/>
    <xf numFmtId="0" fontId="0" fillId="0" borderId="0" xfId="0" applyBorder="1"/>
    <xf numFmtId="0" fontId="0" fillId="0" borderId="14" xfId="0" applyBorder="1" applyAlignment="1">
      <alignment horizontal="center"/>
    </xf>
    <xf numFmtId="0" fontId="0" fillId="0" borderId="0" xfId="0"/>
    <xf numFmtId="0" fontId="0" fillId="0" borderId="6" xfId="0" applyBorder="1" applyAlignment="1">
      <alignment horizontal="center"/>
    </xf>
    <xf numFmtId="0" fontId="0" fillId="0" borderId="5" xfId="0" applyBorder="1" applyAlignment="1">
      <alignment horizontal="center"/>
    </xf>
    <xf numFmtId="0" fontId="2" fillId="0" borderId="0" xfId="1"/>
    <xf numFmtId="0" fontId="1" fillId="3" borderId="0" xfId="0" applyFont="1" applyFill="1" applyAlignment="1">
      <alignment horizontal="center"/>
    </xf>
    <xf numFmtId="2" fontId="7" fillId="0" borderId="0" xfId="1" applyNumberFormat="1" applyFont="1"/>
    <xf numFmtId="0" fontId="1" fillId="4" borderId="7" xfId="0" applyFont="1" applyFill="1" applyBorder="1" applyAlignment="1">
      <alignment horizontal="center"/>
    </xf>
    <xf numFmtId="0" fontId="1" fillId="4" borderId="4" xfId="0" applyFont="1" applyFill="1" applyBorder="1" applyAlignment="1">
      <alignment horizontal="center"/>
    </xf>
    <xf numFmtId="0" fontId="1" fillId="4" borderId="8" xfId="0" applyFont="1" applyFill="1" applyBorder="1" applyAlignment="1">
      <alignment horizontal="center"/>
    </xf>
    <xf numFmtId="0" fontId="0" fillId="0" borderId="2" xfId="0" applyBorder="1" applyAlignment="1">
      <alignment horizontal="center" vertical="center"/>
    </xf>
    <xf numFmtId="0" fontId="0" fillId="0" borderId="2" xfId="0" applyNumberFormat="1" applyBorder="1" applyAlignment="1">
      <alignment horizontal="center" vertical="center"/>
    </xf>
    <xf numFmtId="0" fontId="0" fillId="0" borderId="2" xfId="0" applyBorder="1" applyAlignment="1">
      <alignment horizontal="center" vertical="center"/>
    </xf>
    <xf numFmtId="0" fontId="8" fillId="0" borderId="0" xfId="0" applyFont="1"/>
    <xf numFmtId="0" fontId="0" fillId="0" borderId="2" xfId="0" applyBorder="1"/>
    <xf numFmtId="49" fontId="0" fillId="0" borderId="0" xfId="0" applyNumberFormat="1"/>
    <xf numFmtId="0" fontId="3" fillId="3" borderId="2" xfId="1" applyFont="1" applyFill="1" applyBorder="1" applyAlignment="1"/>
    <xf numFmtId="0" fontId="0" fillId="0" borderId="0" xfId="0" applyFont="1"/>
    <xf numFmtId="0" fontId="9" fillId="0" borderId="0" xfId="0" applyFont="1"/>
    <xf numFmtId="49" fontId="0" fillId="0" borderId="0" xfId="0" applyNumberFormat="1" applyFont="1"/>
    <xf numFmtId="0" fontId="2" fillId="0" borderId="0" xfId="1" applyFont="1"/>
    <xf numFmtId="0" fontId="0" fillId="0" borderId="2" xfId="0" applyFont="1" applyBorder="1" applyAlignment="1">
      <alignment wrapText="1"/>
    </xf>
    <xf numFmtId="49" fontId="0" fillId="5" borderId="21" xfId="0" applyNumberFormat="1" applyFont="1" applyFill="1" applyBorder="1"/>
    <xf numFmtId="22" fontId="0" fillId="0" borderId="0" xfId="0" applyNumberFormat="1"/>
    <xf numFmtId="49" fontId="0" fillId="0" borderId="0" xfId="0" applyNumberFormat="1" applyFont="1" applyFill="1"/>
    <xf numFmtId="0" fontId="10" fillId="0" borderId="0" xfId="0" applyFont="1"/>
    <xf numFmtId="0" fontId="11" fillId="0" borderId="0" xfId="0" applyFont="1"/>
    <xf numFmtId="0" fontId="0" fillId="0" borderId="5" xfId="0" applyFont="1" applyBorder="1" applyAlignment="1">
      <alignment horizontal="right"/>
    </xf>
    <xf numFmtId="0" fontId="0" fillId="0" borderId="22" xfId="0" applyBorder="1" applyAlignment="1">
      <alignment horizontal="center"/>
    </xf>
    <xf numFmtId="0" fontId="0" fillId="0" borderId="1" xfId="0" applyFont="1" applyFill="1" applyBorder="1" applyAlignment="1">
      <alignment horizontal="center" vertical="center"/>
    </xf>
    <xf numFmtId="0" fontId="0" fillId="0" borderId="6" xfId="0" applyFont="1" applyFill="1" applyBorder="1" applyAlignment="1">
      <alignment horizontal="center"/>
    </xf>
    <xf numFmtId="0" fontId="0" fillId="0" borderId="6" xfId="0" applyFill="1" applyBorder="1" applyAlignment="1">
      <alignment horizontal="center"/>
    </xf>
    <xf numFmtId="0" fontId="0" fillId="0" borderId="5" xfId="0" applyFill="1" applyBorder="1" applyAlignment="1">
      <alignment horizontal="center"/>
    </xf>
    <xf numFmtId="0" fontId="0" fillId="0" borderId="9" xfId="0" applyFill="1" applyBorder="1" applyAlignment="1">
      <alignment horizontal="center"/>
    </xf>
    <xf numFmtId="0" fontId="0" fillId="0" borderId="2" xfId="0" applyFill="1" applyBorder="1" applyAlignment="1">
      <alignment horizontal="center"/>
    </xf>
    <xf numFmtId="0" fontId="0" fillId="0" borderId="2" xfId="0" applyNumberFormat="1" applyFill="1" applyBorder="1" applyAlignment="1">
      <alignment horizontal="center"/>
    </xf>
    <xf numFmtId="0" fontId="0" fillId="0" borderId="10" xfId="0" applyFill="1" applyBorder="1" applyAlignment="1">
      <alignment horizontal="center"/>
    </xf>
    <xf numFmtId="0" fontId="0" fillId="0" borderId="0" xfId="0" applyFill="1"/>
    <xf numFmtId="0" fontId="0" fillId="0" borderId="2" xfId="0" applyBorder="1" applyAlignment="1">
      <alignment horizontal="center"/>
    </xf>
    <xf numFmtId="0" fontId="0" fillId="0" borderId="5" xfId="0" applyBorder="1" applyAlignment="1">
      <alignment horizontal="center"/>
    </xf>
    <xf numFmtId="0" fontId="0" fillId="0" borderId="2" xfId="0" applyBorder="1" applyAlignment="1">
      <alignment horizontal="right"/>
    </xf>
    <xf numFmtId="0" fontId="0" fillId="0" borderId="2" xfId="0" applyNumberFormat="1" applyBorder="1" applyAlignment="1">
      <alignment horizontal="center"/>
    </xf>
    <xf numFmtId="0" fontId="0" fillId="0" borderId="6" xfId="0" applyBorder="1" applyAlignment="1">
      <alignment horizontal="center"/>
    </xf>
    <xf numFmtId="164" fontId="0" fillId="0" borderId="0" xfId="0" applyNumberFormat="1" applyFill="1"/>
    <xf numFmtId="0" fontId="0" fillId="0" borderId="0" xfId="0" applyFont="1" applyFill="1"/>
    <xf numFmtId="0" fontId="0" fillId="0" borderId="3" xfId="0" applyFont="1" applyFill="1" applyBorder="1" applyAlignment="1">
      <alignment horizontal="center" vertical="center"/>
    </xf>
    <xf numFmtId="0" fontId="0" fillId="0" borderId="23" xfId="0" applyFont="1" applyFill="1" applyBorder="1" applyAlignment="1">
      <alignment horizontal="center" vertical="center"/>
    </xf>
    <xf numFmtId="0" fontId="0" fillId="0" borderId="24" xfId="0" applyFont="1" applyFill="1" applyBorder="1" applyAlignment="1">
      <alignment horizontal="center" vertical="center"/>
    </xf>
    <xf numFmtId="0" fontId="0" fillId="0" borderId="2" xfId="0" applyFont="1" applyBorder="1" applyAlignment="1">
      <alignment horizontal="center" vertical="center"/>
    </xf>
    <xf numFmtId="0" fontId="6" fillId="0" borderId="2" xfId="0" applyFont="1" applyBorder="1" applyAlignment="1">
      <alignment horizontal="center" vertical="center"/>
    </xf>
    <xf numFmtId="0" fontId="0" fillId="0" borderId="1" xfId="0" applyFont="1" applyBorder="1" applyAlignment="1">
      <alignment horizontal="center" vertical="center"/>
    </xf>
    <xf numFmtId="0" fontId="0" fillId="6" borderId="0" xfId="0" applyFill="1"/>
    <xf numFmtId="49" fontId="0" fillId="6" borderId="0" xfId="0" applyNumberFormat="1" applyFont="1" applyFill="1"/>
    <xf numFmtId="0" fontId="0" fillId="6" borderId="6" xfId="0" applyFill="1" applyBorder="1" applyAlignment="1">
      <alignment horizontal="center"/>
    </xf>
    <xf numFmtId="0" fontId="0" fillId="6" borderId="5" xfId="0" applyFill="1" applyBorder="1" applyAlignment="1">
      <alignment horizontal="center"/>
    </xf>
    <xf numFmtId="0" fontId="0" fillId="6" borderId="2" xfId="0" applyNumberFormat="1" applyFill="1" applyBorder="1" applyAlignment="1">
      <alignment horizontal="center"/>
    </xf>
    <xf numFmtId="0" fontId="0" fillId="6" borderId="1" xfId="0" applyFont="1" applyFill="1" applyBorder="1" applyAlignment="1">
      <alignment horizontal="center" vertical="center"/>
    </xf>
    <xf numFmtId="0" fontId="0" fillId="6" borderId="2" xfId="0" applyFont="1" applyFill="1" applyBorder="1" applyAlignment="1"/>
    <xf numFmtId="0" fontId="0" fillId="6" borderId="23" xfId="0" applyFont="1" applyFill="1" applyBorder="1" applyAlignment="1">
      <alignment horizontal="center" vertical="center"/>
    </xf>
    <xf numFmtId="0" fontId="5" fillId="3" borderId="5" xfId="0" applyFont="1" applyFill="1" applyBorder="1" applyAlignment="1">
      <alignment horizontal="center"/>
    </xf>
    <xf numFmtId="0" fontId="5" fillId="3" borderId="6" xfId="0" applyFont="1" applyFill="1" applyBorder="1" applyAlignment="1">
      <alignment horizontal="center"/>
    </xf>
    <xf numFmtId="0" fontId="3" fillId="3" borderId="13" xfId="1" applyFont="1" applyFill="1" applyBorder="1" applyAlignment="1">
      <alignment horizontal="left"/>
    </xf>
    <xf numFmtId="0" fontId="1" fillId="3" borderId="13" xfId="1" applyFont="1" applyFill="1" applyBorder="1" applyAlignment="1">
      <alignment horizontal="left"/>
    </xf>
    <xf numFmtId="0" fontId="0" fillId="0" borderId="0" xfId="0" applyBorder="1" applyAlignment="1">
      <alignment horizontal="center" vertical="center"/>
    </xf>
    <xf numFmtId="0" fontId="1" fillId="3" borderId="0" xfId="0" applyFont="1" applyFill="1" applyAlignment="1">
      <alignment horizontal="center"/>
    </xf>
    <xf numFmtId="0" fontId="0" fillId="0" borderId="0" xfId="0" applyAlignment="1">
      <alignment horizontal="center" vertical="center"/>
    </xf>
    <xf numFmtId="0" fontId="0" fillId="0" borderId="2" xfId="0" applyBorder="1" applyAlignment="1">
      <alignment horizontal="center" vertical="center"/>
    </xf>
    <xf numFmtId="0" fontId="3" fillId="3" borderId="0" xfId="1" applyFont="1" applyFill="1" applyAlignment="1">
      <alignment horizontal="center"/>
    </xf>
    <xf numFmtId="0" fontId="1" fillId="3" borderId="0" xfId="0" applyFont="1" applyFill="1" applyAlignment="1">
      <alignment horizontal="center" vertical="center"/>
    </xf>
    <xf numFmtId="0" fontId="1" fillId="3" borderId="18" xfId="0" applyFont="1" applyFill="1" applyBorder="1" applyAlignment="1">
      <alignment horizontal="center"/>
    </xf>
    <xf numFmtId="0" fontId="1" fillId="3" borderId="19" xfId="0" applyFont="1" applyFill="1" applyBorder="1" applyAlignment="1">
      <alignment horizontal="center"/>
    </xf>
    <xf numFmtId="0" fontId="1" fillId="3" borderId="20" xfId="0" applyFont="1" applyFill="1" applyBorder="1" applyAlignment="1">
      <alignment horizontal="center"/>
    </xf>
    <xf numFmtId="0" fontId="1" fillId="3" borderId="15"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3" fillId="3" borderId="0" xfId="1" applyFont="1" applyFill="1" applyAlignment="1">
      <alignment horizontal="left"/>
    </xf>
    <xf numFmtId="0" fontId="12" fillId="6" borderId="2" xfId="0" applyFont="1" applyFill="1" applyBorder="1" applyAlignment="1"/>
    <xf numFmtId="0" fontId="12" fillId="6" borderId="23" xfId="0" applyFont="1" applyFill="1" applyBorder="1" applyAlignment="1">
      <alignment horizontal="center" vertical="center"/>
    </xf>
    <xf numFmtId="0" fontId="0" fillId="0" borderId="2" xfId="0" applyFont="1" applyFill="1" applyBorder="1" applyAlignment="1"/>
    <xf numFmtId="0" fontId="0" fillId="7" borderId="1" xfId="0" applyFont="1" applyFill="1" applyBorder="1" applyAlignment="1">
      <alignment horizontal="center" vertical="center"/>
    </xf>
    <xf numFmtId="0" fontId="12" fillId="7" borderId="1" xfId="0" applyFont="1" applyFill="1" applyBorder="1" applyAlignment="1">
      <alignment horizontal="center" vertical="center"/>
    </xf>
    <xf numFmtId="0" fontId="0" fillId="7" borderId="5" xfId="0" applyFill="1" applyBorder="1" applyAlignment="1">
      <alignment horizontal="center"/>
    </xf>
  </cellXfs>
  <cellStyles count="2">
    <cellStyle name="Hiperlink" xfId="1" builtinId="8"/>
    <cellStyle name="Normal" xfId="0" builtinId="0"/>
  </cellStyles>
  <dxfs count="97">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bottom style="thin">
          <color indexed="64"/>
        </bottom>
      </border>
    </dxf>
    <dxf>
      <border outline="0">
        <top style="thin">
          <color indexed="64"/>
        </top>
        <bottom style="thin">
          <color rgb="FF000000"/>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FF0000"/>
        </patternFill>
      </fill>
    </dxf>
    <dxf>
      <fill>
        <patternFill>
          <bgColor rgb="FFFF0000"/>
        </patternFill>
      </fill>
    </dxf>
    <dxf>
      <font>
        <strike val="0"/>
        <outline val="0"/>
        <shadow val="0"/>
        <u val="none"/>
        <vertAlign val="baseline"/>
        <sz val="11"/>
        <color theme="1"/>
        <name val="Calibri"/>
        <scheme val="minor"/>
      </font>
      <numFmt numFmtId="30" formatCode="@"/>
    </dxf>
    <dxf>
      <fill>
        <patternFill>
          <bgColor rgb="FFFF0000"/>
        </patternFill>
      </fill>
    </dxf>
    <dxf>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right style="medium">
          <color indexed="64"/>
        </right>
        <top style="thin">
          <color indexed="64"/>
        </top>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E600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medium">
          <color indexed="64"/>
        </left>
        <right style="medium">
          <color indexed="64"/>
        </right>
        <top style="thin">
          <color indexed="64"/>
        </top>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E600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val="0"/>
        <outline val="0"/>
        <shadow val="0"/>
        <u val="none"/>
        <vertAlign val="baseline"/>
        <sz val="11"/>
        <color theme="1"/>
        <name val="Calibri"/>
        <scheme val="minor"/>
      </font>
    </dxf>
    <dxf>
      <font>
        <b/>
        <i val="0"/>
        <strike val="0"/>
        <color theme="0"/>
      </font>
      <fill>
        <patternFill>
          <bgColor rgb="FFC00000"/>
        </patternFill>
      </fill>
    </dxf>
    <dxf>
      <fill>
        <patternFill>
          <bgColor rgb="FFFF0000"/>
        </patternFill>
      </fill>
    </dxf>
    <dxf>
      <numFmt numFmtId="164" formatCode="dd/mm/yyyy\ hh:mm:ss"/>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trike val="0"/>
        <outline val="0"/>
        <shadow val="0"/>
        <u val="none"/>
        <vertAlign val="baseline"/>
        <sz val="11"/>
        <color theme="1"/>
        <name val="Calibri"/>
        <scheme val="minor"/>
      </font>
      <fill>
        <patternFill patternType="none">
          <fgColor indexed="64"/>
          <bgColor indexed="65"/>
        </patternFill>
      </fill>
    </dxf>
    <dxf>
      <fill>
        <patternFill>
          <bgColor rgb="FFFF0000"/>
        </patternFill>
      </fill>
    </dxf>
    <dxf>
      <font>
        <b/>
        <i val="0"/>
        <strike val="0"/>
        <color theme="0"/>
      </font>
      <fill>
        <patternFill>
          <bgColor rgb="FFC00000"/>
        </patternFill>
      </fill>
    </dxf>
    <dxf>
      <font>
        <b/>
        <i val="0"/>
        <strike val="0"/>
        <color theme="0"/>
      </font>
      <fill>
        <patternFill>
          <bgColor rgb="FFC00000"/>
        </patternFill>
      </fill>
    </dxf>
    <dxf>
      <font>
        <b/>
        <i val="0"/>
        <strike val="0"/>
        <color theme="0"/>
      </font>
      <fill>
        <patternFill>
          <bgColor rgb="FFC00000"/>
        </patternFill>
      </fill>
    </dxf>
  </dxfs>
  <tableStyles count="0" defaultTableStyle="TableStyleMedium2" defaultPivotStyle="PivotStyleLight16"/>
  <colors>
    <mruColors>
      <color rgb="FFE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[Planilha_Primeiro_Dia_de_MercadoFinal.xlsm]Pivot tables e charts!PivotTable2</c:name>
    <c:fmtId val="0"/>
  </c:pivotSource>
  <c:chart>
    <c:title>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s>
    <c:plotArea>
      <c:layout/>
      <c:barChart>
        <c:barDir val="bar"/>
        <c:grouping val="clustered"/>
        <c:varyColors val="0"/>
        <c:ser>
          <c:idx val="0"/>
          <c:order val="0"/>
          <c:tx>
            <c:strRef>
              <c:f>'Pivot tables e charts'!$J$3</c:f>
              <c:strCache>
                <c:ptCount val="1"/>
                <c:pt idx="0">
                  <c:v>Total</c:v>
                </c:pt>
              </c:strCache>
            </c:strRef>
          </c:tx>
          <c:spPr>
            <a:solidFill>
              <a:schemeClr val="accent1"/>
            </a:solidFill>
            <a:ln>
              <a:noFill/>
            </a:ln>
            <a:effectLst/>
          </c:spPr>
          <c:invertIfNegative val="0"/>
          <c:dLbls>
            <c:delete val="1"/>
          </c:dLbls>
          <c:cat>
            <c:strRef>
              <c:f>'Pivot tables e charts'!$I$4:$I$6</c:f>
              <c:strCache>
                <c:ptCount val="2"/>
                <c:pt idx="0">
                  <c:v>Água Sanitária (5L)</c:v>
                </c:pt>
                <c:pt idx="1">
                  <c:v>Cera</c:v>
                </c:pt>
              </c:strCache>
            </c:strRef>
          </c:cat>
          <c:val>
            <c:numRef>
              <c:f>'Pivot tables e charts'!$J$4:$J$6</c:f>
              <c:numCache>
                <c:formatCode>General</c:formatCode>
                <c:ptCount val="2"/>
                <c:pt idx="0">
                  <c:v>1</c:v>
                </c:pt>
                <c:pt idx="1">
                  <c:v>2</c:v>
                </c:pt>
              </c:numCache>
            </c:numRef>
          </c:val>
          <c:extLst>
            <c:ext xmlns:c16="http://schemas.microsoft.com/office/drawing/2014/chart" uri="{C3380CC4-5D6E-409C-BE32-E72D297353CC}">
              <c16:uniqueId val="{00000000-2444-49A5-BB1D-9EC35118858A}"/>
            </c:ext>
          </c:extLst>
        </c:ser>
        <c:dLbls>
          <c:showLegendKey val="0"/>
          <c:showVal val="1"/>
          <c:showCatName val="0"/>
          <c:showSerName val="0"/>
          <c:showPercent val="0"/>
          <c:showBubbleSize val="0"/>
        </c:dLbls>
        <c:gapWidth val="150"/>
        <c:overlap val="-25"/>
        <c:axId val="207030784"/>
        <c:axId val="178879232"/>
      </c:barChart>
      <c:catAx>
        <c:axId val="2070307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pt-PT"/>
          </a:p>
        </c:txPr>
        <c:crossAx val="178879232"/>
        <c:crosses val="autoZero"/>
        <c:auto val="1"/>
        <c:lblAlgn val="ctr"/>
        <c:lblOffset val="100"/>
        <c:noMultiLvlLbl val="0"/>
      </c:catAx>
      <c:valAx>
        <c:axId val="178879232"/>
        <c:scaling>
          <c:orientation val="minMax"/>
        </c:scaling>
        <c:delete val="1"/>
        <c:axPos val="b"/>
        <c:numFmt formatCode="General" sourceLinked="1"/>
        <c:majorTickMark val="none"/>
        <c:minorTickMark val="none"/>
        <c:tickLblPos val="nextTo"/>
        <c:crossAx val="207030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PT"/>
    </a:p>
  </c:txPr>
  <c:printSettings>
    <c:headerFooter/>
    <c:pageMargins b="0.75000000000000044" l="0.7000000000000004" r="0.7000000000000004" t="0.75000000000000044" header="0.30000000000000021" footer="0.30000000000000021"/>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[Planilha_Primeiro_Dia_de_MercadoFinal.xlsm]Pivot tables e charts!PivotTable1</c:name>
    <c:fmtId val="4"/>
  </c:pivotSource>
  <c:chart>
    <c:title>
      <c:overlay val="0"/>
      <c:spPr>
        <a:noFill/>
        <a:ln>
          <a:noFill/>
        </a:ln>
        <a:effectLst/>
      </c:spPr>
      <c:txPr>
        <a:bodyPr rot="0" spcFirstLastPara="1" vertOverflow="ellipsis" vert="horz" wrap="square" anchor="ctr" anchorCtr="1"/>
        <a:lstStyle/>
        <a:p>
          <a:pPr>
            <a:defRPr lang="en-US" sz="1400" b="0" i="0" u="none" strike="noStrike" kern="1200" spc="0" baseline="0">
              <a:solidFill>
                <a:schemeClr val="tx1">
                  <a:lumMod val="65000"/>
                  <a:lumOff val="35000"/>
                </a:schemeClr>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pt-PT"/>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 e charts'!$B$3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pt-PT"/>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 tables e charts'!$A$4:$A$12</c:f>
              <c:strCache>
                <c:ptCount val="8"/>
                <c:pt idx="0">
                  <c:v>Açucar (2kg)</c:v>
                </c:pt>
                <c:pt idx="1">
                  <c:v>Arroz (5kg)</c:v>
                </c:pt>
                <c:pt idx="2">
                  <c:v>Arroz Integral</c:v>
                </c:pt>
                <c:pt idx="3">
                  <c:v>Atum</c:v>
                </c:pt>
                <c:pt idx="4">
                  <c:v>Biscoito (120g)</c:v>
                </c:pt>
                <c:pt idx="5">
                  <c:v>Café (0,25kg)</c:v>
                </c:pt>
                <c:pt idx="6">
                  <c:v>Leite (Caixa)</c:v>
                </c:pt>
                <c:pt idx="7">
                  <c:v>Leite Condensado</c:v>
                </c:pt>
              </c:strCache>
            </c:strRef>
          </c:cat>
          <c:val>
            <c:numRef>
              <c:f>'Pivot tables e charts'!$B$4:$B$12</c:f>
              <c:numCache>
                <c:formatCode>General</c:formatCode>
                <c:ptCount val="8"/>
                <c:pt idx="0">
                  <c:v>1</c:v>
                </c:pt>
                <c:pt idx="1">
                  <c:v>6</c:v>
                </c:pt>
                <c:pt idx="2">
                  <c:v>7</c:v>
                </c:pt>
                <c:pt idx="3">
                  <c:v>5</c:v>
                </c:pt>
                <c:pt idx="4">
                  <c:v>3</c:v>
                </c:pt>
                <c:pt idx="5">
                  <c:v>7</c:v>
                </c:pt>
                <c:pt idx="6">
                  <c:v>1</c:v>
                </c:pt>
                <c:pt idx="7">
                  <c:v>7</c:v>
                </c:pt>
              </c:numCache>
            </c:numRef>
          </c:val>
          <c:extLst>
            <c:ext xmlns:c16="http://schemas.microsoft.com/office/drawing/2014/chart" uri="{C3380CC4-5D6E-409C-BE32-E72D297353CC}">
              <c16:uniqueId val="{00000000-86C8-48A0-9CC6-05AD5473E283}"/>
            </c:ext>
          </c:extLst>
        </c:ser>
        <c:dLbls>
          <c:showLegendKey val="0"/>
          <c:showVal val="1"/>
          <c:showCatName val="0"/>
          <c:showSerName val="0"/>
          <c:showPercent val="0"/>
          <c:showBubbleSize val="0"/>
        </c:dLbls>
        <c:gapWidth val="150"/>
        <c:overlap val="-25"/>
        <c:axId val="183625216"/>
        <c:axId val="183632448"/>
      </c:barChart>
      <c:catAx>
        <c:axId val="183625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pt-PT"/>
          </a:p>
        </c:txPr>
        <c:crossAx val="183632448"/>
        <c:crosses val="autoZero"/>
        <c:auto val="1"/>
        <c:lblAlgn val="ctr"/>
        <c:lblOffset val="100"/>
        <c:noMultiLvlLbl val="0"/>
      </c:catAx>
      <c:valAx>
        <c:axId val="183632448"/>
        <c:scaling>
          <c:orientation val="minMax"/>
        </c:scaling>
        <c:delete val="1"/>
        <c:axPos val="b"/>
        <c:numFmt formatCode="General" sourceLinked="1"/>
        <c:majorTickMark val="none"/>
        <c:minorTickMark val="none"/>
        <c:tickLblPos val="nextTo"/>
        <c:crossAx val="183625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PT"/>
    </a:p>
  </c:txPr>
  <c:printSettings>
    <c:headerFooter/>
    <c:pageMargins b="0.75000000000000044" l="0.7000000000000004" r="0.7000000000000004" t="0.75000000000000044" header="0.30000000000000021" footer="0.30000000000000021"/>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1182721</xdr:colOff>
      <xdr:row>2</xdr:row>
      <xdr:rowOff>476</xdr:rowOff>
    </xdr:to>
    <xdr:pic macro="[0]!VaiNatal">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81100" cy="457676"/>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4</xdr:row>
          <xdr:rowOff>9525</xdr:rowOff>
        </xdr:from>
        <xdr:to>
          <xdr:col>4</xdr:col>
          <xdr:colOff>219075</xdr:colOff>
          <xdr:row>4</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6</xdr:row>
          <xdr:rowOff>9525</xdr:rowOff>
        </xdr:from>
        <xdr:to>
          <xdr:col>4</xdr:col>
          <xdr:colOff>219075</xdr:colOff>
          <xdr:row>6</xdr:row>
          <xdr:rowOff>171450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7</xdr:row>
          <xdr:rowOff>9525</xdr:rowOff>
        </xdr:from>
        <xdr:to>
          <xdr:col>4</xdr:col>
          <xdr:colOff>219075</xdr:colOff>
          <xdr:row>7</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8</xdr:row>
          <xdr:rowOff>9525</xdr:rowOff>
        </xdr:from>
        <xdr:to>
          <xdr:col>4</xdr:col>
          <xdr:colOff>219075</xdr:colOff>
          <xdr:row>8</xdr:row>
          <xdr:rowOff>171450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9</xdr:row>
          <xdr:rowOff>9525</xdr:rowOff>
        </xdr:from>
        <xdr:to>
          <xdr:col>4</xdr:col>
          <xdr:colOff>219075</xdr:colOff>
          <xdr:row>9</xdr:row>
          <xdr:rowOff>171450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9525</xdr:rowOff>
        </xdr:from>
        <xdr:to>
          <xdr:col>4</xdr:col>
          <xdr:colOff>219075</xdr:colOff>
          <xdr:row>5</xdr:row>
          <xdr:rowOff>171450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10</xdr:row>
          <xdr:rowOff>9525</xdr:rowOff>
        </xdr:from>
        <xdr:to>
          <xdr:col>4</xdr:col>
          <xdr:colOff>219075</xdr:colOff>
          <xdr:row>10</xdr:row>
          <xdr:rowOff>171450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11</xdr:row>
          <xdr:rowOff>9525</xdr:rowOff>
        </xdr:from>
        <xdr:to>
          <xdr:col>4</xdr:col>
          <xdr:colOff>219075</xdr:colOff>
          <xdr:row>11</xdr:row>
          <xdr:rowOff>171450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12</xdr:row>
          <xdr:rowOff>9525</xdr:rowOff>
        </xdr:from>
        <xdr:to>
          <xdr:col>4</xdr:col>
          <xdr:colOff>219075</xdr:colOff>
          <xdr:row>12</xdr:row>
          <xdr:rowOff>171450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13</xdr:row>
          <xdr:rowOff>9525</xdr:rowOff>
        </xdr:from>
        <xdr:to>
          <xdr:col>4</xdr:col>
          <xdr:colOff>219075</xdr:colOff>
          <xdr:row>13</xdr:row>
          <xdr:rowOff>171450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14</xdr:row>
          <xdr:rowOff>9525</xdr:rowOff>
        </xdr:from>
        <xdr:to>
          <xdr:col>4</xdr:col>
          <xdr:colOff>219075</xdr:colOff>
          <xdr:row>14</xdr:row>
          <xdr:rowOff>171450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15</xdr:row>
          <xdr:rowOff>9525</xdr:rowOff>
        </xdr:from>
        <xdr:to>
          <xdr:col>4</xdr:col>
          <xdr:colOff>219075</xdr:colOff>
          <xdr:row>15</xdr:row>
          <xdr:rowOff>171450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16</xdr:row>
          <xdr:rowOff>9525</xdr:rowOff>
        </xdr:from>
        <xdr:to>
          <xdr:col>4</xdr:col>
          <xdr:colOff>219075</xdr:colOff>
          <xdr:row>16</xdr:row>
          <xdr:rowOff>171450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17</xdr:row>
          <xdr:rowOff>9525</xdr:rowOff>
        </xdr:from>
        <xdr:to>
          <xdr:col>4</xdr:col>
          <xdr:colOff>219075</xdr:colOff>
          <xdr:row>17</xdr:row>
          <xdr:rowOff>171450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18</xdr:row>
          <xdr:rowOff>9525</xdr:rowOff>
        </xdr:from>
        <xdr:to>
          <xdr:col>4</xdr:col>
          <xdr:colOff>219075</xdr:colOff>
          <xdr:row>18</xdr:row>
          <xdr:rowOff>171450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19</xdr:row>
          <xdr:rowOff>9525</xdr:rowOff>
        </xdr:from>
        <xdr:to>
          <xdr:col>4</xdr:col>
          <xdr:colOff>219075</xdr:colOff>
          <xdr:row>19</xdr:row>
          <xdr:rowOff>171450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20</xdr:row>
          <xdr:rowOff>9525</xdr:rowOff>
        </xdr:from>
        <xdr:to>
          <xdr:col>4</xdr:col>
          <xdr:colOff>219075</xdr:colOff>
          <xdr:row>20</xdr:row>
          <xdr:rowOff>171450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21</xdr:row>
          <xdr:rowOff>9525</xdr:rowOff>
        </xdr:from>
        <xdr:to>
          <xdr:col>4</xdr:col>
          <xdr:colOff>219075</xdr:colOff>
          <xdr:row>21</xdr:row>
          <xdr:rowOff>171450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22</xdr:row>
          <xdr:rowOff>9525</xdr:rowOff>
        </xdr:from>
        <xdr:to>
          <xdr:col>4</xdr:col>
          <xdr:colOff>219075</xdr:colOff>
          <xdr:row>22</xdr:row>
          <xdr:rowOff>171450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23</xdr:row>
          <xdr:rowOff>9525</xdr:rowOff>
        </xdr:from>
        <xdr:to>
          <xdr:col>4</xdr:col>
          <xdr:colOff>219075</xdr:colOff>
          <xdr:row>23</xdr:row>
          <xdr:rowOff>171450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24</xdr:row>
          <xdr:rowOff>9525</xdr:rowOff>
        </xdr:from>
        <xdr:to>
          <xdr:col>4</xdr:col>
          <xdr:colOff>219075</xdr:colOff>
          <xdr:row>24</xdr:row>
          <xdr:rowOff>171450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xdr:row>
          <xdr:rowOff>9525</xdr:rowOff>
        </xdr:from>
        <xdr:to>
          <xdr:col>4</xdr:col>
          <xdr:colOff>219075</xdr:colOff>
          <xdr:row>25</xdr:row>
          <xdr:rowOff>171450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27</xdr:row>
          <xdr:rowOff>9525</xdr:rowOff>
        </xdr:from>
        <xdr:to>
          <xdr:col>4</xdr:col>
          <xdr:colOff>219075</xdr:colOff>
          <xdr:row>27</xdr:row>
          <xdr:rowOff>171450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26</xdr:row>
          <xdr:rowOff>9525</xdr:rowOff>
        </xdr:from>
        <xdr:to>
          <xdr:col>4</xdr:col>
          <xdr:colOff>219075</xdr:colOff>
          <xdr:row>26</xdr:row>
          <xdr:rowOff>171450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28</xdr:row>
          <xdr:rowOff>9525</xdr:rowOff>
        </xdr:from>
        <xdr:to>
          <xdr:col>4</xdr:col>
          <xdr:colOff>219075</xdr:colOff>
          <xdr:row>28</xdr:row>
          <xdr:rowOff>171450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29</xdr:row>
          <xdr:rowOff>9525</xdr:rowOff>
        </xdr:from>
        <xdr:to>
          <xdr:col>4</xdr:col>
          <xdr:colOff>219075</xdr:colOff>
          <xdr:row>29</xdr:row>
          <xdr:rowOff>171450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30</xdr:row>
          <xdr:rowOff>9525</xdr:rowOff>
        </xdr:from>
        <xdr:to>
          <xdr:col>4</xdr:col>
          <xdr:colOff>219075</xdr:colOff>
          <xdr:row>30</xdr:row>
          <xdr:rowOff>171450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31</xdr:row>
          <xdr:rowOff>9525</xdr:rowOff>
        </xdr:from>
        <xdr:to>
          <xdr:col>4</xdr:col>
          <xdr:colOff>219075</xdr:colOff>
          <xdr:row>31</xdr:row>
          <xdr:rowOff>171450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32</xdr:row>
          <xdr:rowOff>9525</xdr:rowOff>
        </xdr:from>
        <xdr:to>
          <xdr:col>4</xdr:col>
          <xdr:colOff>219075</xdr:colOff>
          <xdr:row>32</xdr:row>
          <xdr:rowOff>171450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33</xdr:row>
          <xdr:rowOff>9525</xdr:rowOff>
        </xdr:from>
        <xdr:to>
          <xdr:col>4</xdr:col>
          <xdr:colOff>219075</xdr:colOff>
          <xdr:row>33</xdr:row>
          <xdr:rowOff>171450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34</xdr:row>
          <xdr:rowOff>9525</xdr:rowOff>
        </xdr:from>
        <xdr:to>
          <xdr:col>4</xdr:col>
          <xdr:colOff>219075</xdr:colOff>
          <xdr:row>34</xdr:row>
          <xdr:rowOff>171450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35</xdr:row>
          <xdr:rowOff>9525</xdr:rowOff>
        </xdr:from>
        <xdr:to>
          <xdr:col>4</xdr:col>
          <xdr:colOff>219075</xdr:colOff>
          <xdr:row>35</xdr:row>
          <xdr:rowOff>171450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000-00002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36</xdr:row>
          <xdr:rowOff>9525</xdr:rowOff>
        </xdr:from>
        <xdr:to>
          <xdr:col>4</xdr:col>
          <xdr:colOff>219075</xdr:colOff>
          <xdr:row>36</xdr:row>
          <xdr:rowOff>171450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37</xdr:row>
          <xdr:rowOff>9525</xdr:rowOff>
        </xdr:from>
        <xdr:to>
          <xdr:col>4</xdr:col>
          <xdr:colOff>219075</xdr:colOff>
          <xdr:row>37</xdr:row>
          <xdr:rowOff>171450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000-00002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38</xdr:row>
          <xdr:rowOff>9525</xdr:rowOff>
        </xdr:from>
        <xdr:to>
          <xdr:col>4</xdr:col>
          <xdr:colOff>219075</xdr:colOff>
          <xdr:row>38</xdr:row>
          <xdr:rowOff>171450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000-00002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39</xdr:row>
          <xdr:rowOff>9525</xdr:rowOff>
        </xdr:from>
        <xdr:to>
          <xdr:col>4</xdr:col>
          <xdr:colOff>219075</xdr:colOff>
          <xdr:row>39</xdr:row>
          <xdr:rowOff>171450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000-00002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40</xdr:row>
          <xdr:rowOff>9525</xdr:rowOff>
        </xdr:from>
        <xdr:to>
          <xdr:col>4</xdr:col>
          <xdr:colOff>219075</xdr:colOff>
          <xdr:row>40</xdr:row>
          <xdr:rowOff>171450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000-00002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41</xdr:row>
          <xdr:rowOff>9525</xdr:rowOff>
        </xdr:from>
        <xdr:to>
          <xdr:col>4</xdr:col>
          <xdr:colOff>219075</xdr:colOff>
          <xdr:row>41</xdr:row>
          <xdr:rowOff>171450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42</xdr:row>
          <xdr:rowOff>9525</xdr:rowOff>
        </xdr:from>
        <xdr:to>
          <xdr:col>4</xdr:col>
          <xdr:colOff>219075</xdr:colOff>
          <xdr:row>42</xdr:row>
          <xdr:rowOff>171450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000-00002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43</xdr:row>
          <xdr:rowOff>9525</xdr:rowOff>
        </xdr:from>
        <xdr:to>
          <xdr:col>4</xdr:col>
          <xdr:colOff>219075</xdr:colOff>
          <xdr:row>43</xdr:row>
          <xdr:rowOff>171450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44</xdr:row>
          <xdr:rowOff>9525</xdr:rowOff>
        </xdr:from>
        <xdr:to>
          <xdr:col>4</xdr:col>
          <xdr:colOff>219075</xdr:colOff>
          <xdr:row>44</xdr:row>
          <xdr:rowOff>171450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000-00002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45</xdr:row>
          <xdr:rowOff>9525</xdr:rowOff>
        </xdr:from>
        <xdr:to>
          <xdr:col>4</xdr:col>
          <xdr:colOff>219075</xdr:colOff>
          <xdr:row>45</xdr:row>
          <xdr:rowOff>171450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000-00002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46</xdr:row>
          <xdr:rowOff>9525</xdr:rowOff>
        </xdr:from>
        <xdr:to>
          <xdr:col>4</xdr:col>
          <xdr:colOff>219075</xdr:colOff>
          <xdr:row>46</xdr:row>
          <xdr:rowOff>171450</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000-00002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47</xdr:row>
          <xdr:rowOff>9525</xdr:rowOff>
        </xdr:from>
        <xdr:to>
          <xdr:col>4</xdr:col>
          <xdr:colOff>219075</xdr:colOff>
          <xdr:row>47</xdr:row>
          <xdr:rowOff>171450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000-00002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48</xdr:row>
          <xdr:rowOff>9525</xdr:rowOff>
        </xdr:from>
        <xdr:to>
          <xdr:col>4</xdr:col>
          <xdr:colOff>219075</xdr:colOff>
          <xdr:row>48</xdr:row>
          <xdr:rowOff>171450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000-00002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49</xdr:row>
          <xdr:rowOff>9525</xdr:rowOff>
        </xdr:from>
        <xdr:to>
          <xdr:col>4</xdr:col>
          <xdr:colOff>219075</xdr:colOff>
          <xdr:row>49</xdr:row>
          <xdr:rowOff>171450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000-00003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50</xdr:row>
          <xdr:rowOff>9525</xdr:rowOff>
        </xdr:from>
        <xdr:to>
          <xdr:col>4</xdr:col>
          <xdr:colOff>219075</xdr:colOff>
          <xdr:row>50</xdr:row>
          <xdr:rowOff>171450</xdr:rowOff>
        </xdr:to>
        <xdr:sp macro="" textlink="">
          <xdr:nvSpPr>
            <xdr:cNvPr id="2097" name="Button 49" hidden="1">
              <a:extLst>
                <a:ext uri="{63B3BB69-23CF-44E3-9099-C40C66FF867C}">
                  <a14:compatExt spid="_x0000_s2097"/>
                </a:ext>
                <a:ext uri="{FF2B5EF4-FFF2-40B4-BE49-F238E27FC236}">
                  <a16:creationId xmlns:a16="http://schemas.microsoft.com/office/drawing/2014/main" id="{00000000-0008-0000-0000-00003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4</xdr:col>
          <xdr:colOff>219075</xdr:colOff>
          <xdr:row>51</xdr:row>
          <xdr:rowOff>171450</xdr:rowOff>
        </xdr:to>
        <xdr:sp macro="" textlink="">
          <xdr:nvSpPr>
            <xdr:cNvPr id="2098" name="Button 50" hidden="1">
              <a:extLst>
                <a:ext uri="{63B3BB69-23CF-44E3-9099-C40C66FF867C}">
                  <a14:compatExt spid="_x0000_s2098"/>
                </a:ext>
                <a:ext uri="{FF2B5EF4-FFF2-40B4-BE49-F238E27FC236}">
                  <a16:creationId xmlns:a16="http://schemas.microsoft.com/office/drawing/2014/main" id="{00000000-0008-0000-0000-00003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52</xdr:row>
          <xdr:rowOff>9525</xdr:rowOff>
        </xdr:from>
        <xdr:to>
          <xdr:col>4</xdr:col>
          <xdr:colOff>219075</xdr:colOff>
          <xdr:row>52</xdr:row>
          <xdr:rowOff>171450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53</xdr:row>
          <xdr:rowOff>9525</xdr:rowOff>
        </xdr:from>
        <xdr:to>
          <xdr:col>4</xdr:col>
          <xdr:colOff>219075</xdr:colOff>
          <xdr:row>53</xdr:row>
          <xdr:rowOff>171450</xdr:rowOff>
        </xdr:to>
        <xdr:sp macro="" textlink="">
          <xdr:nvSpPr>
            <xdr:cNvPr id="2100" name="Button 52" hidden="1">
              <a:extLst>
                <a:ext uri="{63B3BB69-23CF-44E3-9099-C40C66FF867C}">
                  <a14:compatExt spid="_x0000_s2100"/>
                </a:ext>
                <a:ext uri="{FF2B5EF4-FFF2-40B4-BE49-F238E27FC236}">
                  <a16:creationId xmlns:a16="http://schemas.microsoft.com/office/drawing/2014/main" id="{00000000-0008-0000-0000-00003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54</xdr:row>
          <xdr:rowOff>9525</xdr:rowOff>
        </xdr:from>
        <xdr:to>
          <xdr:col>4</xdr:col>
          <xdr:colOff>219075</xdr:colOff>
          <xdr:row>54</xdr:row>
          <xdr:rowOff>171450</xdr:rowOff>
        </xdr:to>
        <xdr:sp macro="" textlink="">
          <xdr:nvSpPr>
            <xdr:cNvPr id="2101" name="Button 53" hidden="1">
              <a:extLst>
                <a:ext uri="{63B3BB69-23CF-44E3-9099-C40C66FF867C}">
                  <a14:compatExt spid="_x0000_s2101"/>
                </a:ext>
                <a:ext uri="{FF2B5EF4-FFF2-40B4-BE49-F238E27FC236}">
                  <a16:creationId xmlns:a16="http://schemas.microsoft.com/office/drawing/2014/main" id="{00000000-0008-0000-0000-00003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55</xdr:row>
          <xdr:rowOff>9525</xdr:rowOff>
        </xdr:from>
        <xdr:to>
          <xdr:col>4</xdr:col>
          <xdr:colOff>219075</xdr:colOff>
          <xdr:row>55</xdr:row>
          <xdr:rowOff>171450</xdr:rowOff>
        </xdr:to>
        <xdr:sp macro="" textlink="">
          <xdr:nvSpPr>
            <xdr:cNvPr id="2102" name="Button 54" hidden="1">
              <a:extLst>
                <a:ext uri="{63B3BB69-23CF-44E3-9099-C40C66FF867C}">
                  <a14:compatExt spid="_x0000_s2102"/>
                </a:ext>
                <a:ext uri="{FF2B5EF4-FFF2-40B4-BE49-F238E27FC236}">
                  <a16:creationId xmlns:a16="http://schemas.microsoft.com/office/drawing/2014/main" id="{00000000-0008-0000-0000-00003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56</xdr:row>
          <xdr:rowOff>9525</xdr:rowOff>
        </xdr:from>
        <xdr:to>
          <xdr:col>4</xdr:col>
          <xdr:colOff>219075</xdr:colOff>
          <xdr:row>56</xdr:row>
          <xdr:rowOff>171450</xdr:rowOff>
        </xdr:to>
        <xdr:sp macro="" textlink="">
          <xdr:nvSpPr>
            <xdr:cNvPr id="2103" name="Button 55" hidden="1">
              <a:extLst>
                <a:ext uri="{63B3BB69-23CF-44E3-9099-C40C66FF867C}">
                  <a14:compatExt spid="_x0000_s2103"/>
                </a:ext>
                <a:ext uri="{FF2B5EF4-FFF2-40B4-BE49-F238E27FC236}">
                  <a16:creationId xmlns:a16="http://schemas.microsoft.com/office/drawing/2014/main" id="{00000000-0008-0000-0000-00003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57</xdr:row>
          <xdr:rowOff>9525</xdr:rowOff>
        </xdr:from>
        <xdr:to>
          <xdr:col>4</xdr:col>
          <xdr:colOff>219075</xdr:colOff>
          <xdr:row>57</xdr:row>
          <xdr:rowOff>171450</xdr:rowOff>
        </xdr:to>
        <xdr:sp macro="" textlink="">
          <xdr:nvSpPr>
            <xdr:cNvPr id="2104" name="Button 56" hidden="1">
              <a:extLst>
                <a:ext uri="{63B3BB69-23CF-44E3-9099-C40C66FF867C}">
                  <a14:compatExt spid="_x0000_s2104"/>
                </a:ext>
                <a:ext uri="{FF2B5EF4-FFF2-40B4-BE49-F238E27FC236}">
                  <a16:creationId xmlns:a16="http://schemas.microsoft.com/office/drawing/2014/main" id="{00000000-0008-0000-0000-00003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59</xdr:row>
          <xdr:rowOff>9525</xdr:rowOff>
        </xdr:from>
        <xdr:to>
          <xdr:col>4</xdr:col>
          <xdr:colOff>219075</xdr:colOff>
          <xdr:row>59</xdr:row>
          <xdr:rowOff>171450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000-00003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58</xdr:row>
          <xdr:rowOff>9525</xdr:rowOff>
        </xdr:from>
        <xdr:to>
          <xdr:col>4</xdr:col>
          <xdr:colOff>219075</xdr:colOff>
          <xdr:row>58</xdr:row>
          <xdr:rowOff>171450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000-00003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60</xdr:row>
          <xdr:rowOff>9525</xdr:rowOff>
        </xdr:from>
        <xdr:to>
          <xdr:col>4</xdr:col>
          <xdr:colOff>219075</xdr:colOff>
          <xdr:row>60</xdr:row>
          <xdr:rowOff>171450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000-00003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61</xdr:row>
          <xdr:rowOff>9525</xdr:rowOff>
        </xdr:from>
        <xdr:to>
          <xdr:col>4</xdr:col>
          <xdr:colOff>219075</xdr:colOff>
          <xdr:row>61</xdr:row>
          <xdr:rowOff>171450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62</xdr:row>
          <xdr:rowOff>9525</xdr:rowOff>
        </xdr:from>
        <xdr:to>
          <xdr:col>4</xdr:col>
          <xdr:colOff>219075</xdr:colOff>
          <xdr:row>62</xdr:row>
          <xdr:rowOff>171450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000-00003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63</xdr:row>
          <xdr:rowOff>9525</xdr:rowOff>
        </xdr:from>
        <xdr:to>
          <xdr:col>4</xdr:col>
          <xdr:colOff>219075</xdr:colOff>
          <xdr:row>63</xdr:row>
          <xdr:rowOff>171450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64</xdr:row>
          <xdr:rowOff>9525</xdr:rowOff>
        </xdr:from>
        <xdr:to>
          <xdr:col>4</xdr:col>
          <xdr:colOff>219075</xdr:colOff>
          <xdr:row>64</xdr:row>
          <xdr:rowOff>171450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65</xdr:row>
          <xdr:rowOff>9525</xdr:rowOff>
        </xdr:from>
        <xdr:to>
          <xdr:col>4</xdr:col>
          <xdr:colOff>219075</xdr:colOff>
          <xdr:row>65</xdr:row>
          <xdr:rowOff>171450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66</xdr:row>
          <xdr:rowOff>9525</xdr:rowOff>
        </xdr:from>
        <xdr:to>
          <xdr:col>4</xdr:col>
          <xdr:colOff>219075</xdr:colOff>
          <xdr:row>66</xdr:row>
          <xdr:rowOff>171450</xdr:rowOff>
        </xdr:to>
        <xdr:sp macro="" textlink="">
          <xdr:nvSpPr>
            <xdr:cNvPr id="2113" name="Button 65" hidden="1">
              <a:extLst>
                <a:ext uri="{63B3BB69-23CF-44E3-9099-C40C66FF867C}">
                  <a14:compatExt spid="_x0000_s2113"/>
                </a:ext>
                <a:ext uri="{FF2B5EF4-FFF2-40B4-BE49-F238E27FC236}">
                  <a16:creationId xmlns:a16="http://schemas.microsoft.com/office/drawing/2014/main" id="{00000000-0008-0000-0000-00004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67</xdr:row>
          <xdr:rowOff>9525</xdr:rowOff>
        </xdr:from>
        <xdr:to>
          <xdr:col>4</xdr:col>
          <xdr:colOff>219075</xdr:colOff>
          <xdr:row>67</xdr:row>
          <xdr:rowOff>171450</xdr:rowOff>
        </xdr:to>
        <xdr:sp macro="" textlink="">
          <xdr:nvSpPr>
            <xdr:cNvPr id="2114" name="Button 66" hidden="1">
              <a:extLst>
                <a:ext uri="{63B3BB69-23CF-44E3-9099-C40C66FF867C}">
                  <a14:compatExt spid="_x0000_s2114"/>
                </a:ext>
                <a:ext uri="{FF2B5EF4-FFF2-40B4-BE49-F238E27FC236}">
                  <a16:creationId xmlns:a16="http://schemas.microsoft.com/office/drawing/2014/main" id="{00000000-0008-0000-0000-00004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68</xdr:row>
          <xdr:rowOff>9525</xdr:rowOff>
        </xdr:from>
        <xdr:to>
          <xdr:col>4</xdr:col>
          <xdr:colOff>219075</xdr:colOff>
          <xdr:row>68</xdr:row>
          <xdr:rowOff>171450</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69</xdr:row>
          <xdr:rowOff>9525</xdr:rowOff>
        </xdr:from>
        <xdr:to>
          <xdr:col>4</xdr:col>
          <xdr:colOff>219075</xdr:colOff>
          <xdr:row>69</xdr:row>
          <xdr:rowOff>171450</xdr:rowOff>
        </xdr:to>
        <xdr:sp macro="" textlink="">
          <xdr:nvSpPr>
            <xdr:cNvPr id="2116" name="Button 68"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70</xdr:row>
          <xdr:rowOff>9525</xdr:rowOff>
        </xdr:from>
        <xdr:to>
          <xdr:col>4</xdr:col>
          <xdr:colOff>219075</xdr:colOff>
          <xdr:row>70</xdr:row>
          <xdr:rowOff>171450</xdr:rowOff>
        </xdr:to>
        <xdr:sp macro="" textlink="">
          <xdr:nvSpPr>
            <xdr:cNvPr id="2117" name="Button 69" hidden="1">
              <a:extLst>
                <a:ext uri="{63B3BB69-23CF-44E3-9099-C40C66FF867C}">
                  <a14:compatExt spid="_x0000_s2117"/>
                </a:ext>
                <a:ext uri="{FF2B5EF4-FFF2-40B4-BE49-F238E27FC236}">
                  <a16:creationId xmlns:a16="http://schemas.microsoft.com/office/drawing/2014/main" id="{00000000-0008-0000-0000-00004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71</xdr:row>
          <xdr:rowOff>9525</xdr:rowOff>
        </xdr:from>
        <xdr:to>
          <xdr:col>4</xdr:col>
          <xdr:colOff>219075</xdr:colOff>
          <xdr:row>71</xdr:row>
          <xdr:rowOff>171450</xdr:rowOff>
        </xdr:to>
        <xdr:sp macro="" textlink="">
          <xdr:nvSpPr>
            <xdr:cNvPr id="2118" name="Button 70" hidden="1">
              <a:extLst>
                <a:ext uri="{63B3BB69-23CF-44E3-9099-C40C66FF867C}">
                  <a14:compatExt spid="_x0000_s2118"/>
                </a:ext>
                <a:ext uri="{FF2B5EF4-FFF2-40B4-BE49-F238E27FC236}">
                  <a16:creationId xmlns:a16="http://schemas.microsoft.com/office/drawing/2014/main" id="{00000000-0008-0000-0000-00004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72</xdr:row>
          <xdr:rowOff>9525</xdr:rowOff>
        </xdr:from>
        <xdr:to>
          <xdr:col>4</xdr:col>
          <xdr:colOff>219075</xdr:colOff>
          <xdr:row>72</xdr:row>
          <xdr:rowOff>171450</xdr:rowOff>
        </xdr:to>
        <xdr:sp macro="" textlink="">
          <xdr:nvSpPr>
            <xdr:cNvPr id="2119" name="Button 71" hidden="1">
              <a:extLst>
                <a:ext uri="{63B3BB69-23CF-44E3-9099-C40C66FF867C}">
                  <a14:compatExt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73</xdr:row>
          <xdr:rowOff>9525</xdr:rowOff>
        </xdr:from>
        <xdr:to>
          <xdr:col>4</xdr:col>
          <xdr:colOff>219075</xdr:colOff>
          <xdr:row>73</xdr:row>
          <xdr:rowOff>171450</xdr:rowOff>
        </xdr:to>
        <xdr:sp macro="" textlink="">
          <xdr:nvSpPr>
            <xdr:cNvPr id="2120" name="Button 72"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74</xdr:row>
          <xdr:rowOff>9525</xdr:rowOff>
        </xdr:from>
        <xdr:to>
          <xdr:col>4</xdr:col>
          <xdr:colOff>219075</xdr:colOff>
          <xdr:row>74</xdr:row>
          <xdr:rowOff>171450</xdr:rowOff>
        </xdr:to>
        <xdr:sp macro="" textlink="">
          <xdr:nvSpPr>
            <xdr:cNvPr id="2121" name="Button 73"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75</xdr:row>
          <xdr:rowOff>9525</xdr:rowOff>
        </xdr:from>
        <xdr:to>
          <xdr:col>4</xdr:col>
          <xdr:colOff>219075</xdr:colOff>
          <xdr:row>75</xdr:row>
          <xdr:rowOff>171450</xdr:rowOff>
        </xdr:to>
        <xdr:sp macro="" textlink="">
          <xdr:nvSpPr>
            <xdr:cNvPr id="2122" name="Button 74"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76</xdr:row>
          <xdr:rowOff>9525</xdr:rowOff>
        </xdr:from>
        <xdr:to>
          <xdr:col>4</xdr:col>
          <xdr:colOff>219075</xdr:colOff>
          <xdr:row>76</xdr:row>
          <xdr:rowOff>171450</xdr:rowOff>
        </xdr:to>
        <xdr:sp macro="" textlink="">
          <xdr:nvSpPr>
            <xdr:cNvPr id="2123" name="Button 75" hidden="1">
              <a:extLst>
                <a:ext uri="{63B3BB69-23CF-44E3-9099-C40C66FF867C}">
                  <a14:compatExt spid="_x0000_s2123"/>
                </a:ext>
                <a:ext uri="{FF2B5EF4-FFF2-40B4-BE49-F238E27FC236}">
                  <a16:creationId xmlns:a16="http://schemas.microsoft.com/office/drawing/2014/main" id="{00000000-0008-0000-0000-00004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77</xdr:row>
          <xdr:rowOff>9525</xdr:rowOff>
        </xdr:from>
        <xdr:to>
          <xdr:col>4</xdr:col>
          <xdr:colOff>219075</xdr:colOff>
          <xdr:row>77</xdr:row>
          <xdr:rowOff>171450</xdr:rowOff>
        </xdr:to>
        <xdr:sp macro="" textlink="">
          <xdr:nvSpPr>
            <xdr:cNvPr id="2124" name="Button 76" hidden="1">
              <a:extLst>
                <a:ext uri="{63B3BB69-23CF-44E3-9099-C40C66FF867C}">
                  <a14:compatExt spid="_x0000_s2124"/>
                </a:ext>
                <a:ext uri="{FF2B5EF4-FFF2-40B4-BE49-F238E27FC236}">
                  <a16:creationId xmlns:a16="http://schemas.microsoft.com/office/drawing/2014/main" id="{00000000-0008-0000-0000-00004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78</xdr:row>
          <xdr:rowOff>9525</xdr:rowOff>
        </xdr:from>
        <xdr:to>
          <xdr:col>4</xdr:col>
          <xdr:colOff>219075</xdr:colOff>
          <xdr:row>78</xdr:row>
          <xdr:rowOff>171450</xdr:rowOff>
        </xdr:to>
        <xdr:sp macro="" textlink="">
          <xdr:nvSpPr>
            <xdr:cNvPr id="2125" name="Button 77" hidden="1">
              <a:extLst>
                <a:ext uri="{63B3BB69-23CF-44E3-9099-C40C66FF867C}">
                  <a14:compatExt spid="_x0000_s2125"/>
                </a:ext>
                <a:ext uri="{FF2B5EF4-FFF2-40B4-BE49-F238E27FC236}">
                  <a16:creationId xmlns:a16="http://schemas.microsoft.com/office/drawing/2014/main" id="{00000000-0008-0000-0000-00004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79</xdr:row>
          <xdr:rowOff>9525</xdr:rowOff>
        </xdr:from>
        <xdr:to>
          <xdr:col>4</xdr:col>
          <xdr:colOff>219075</xdr:colOff>
          <xdr:row>79</xdr:row>
          <xdr:rowOff>171450</xdr:rowOff>
        </xdr:to>
        <xdr:sp macro="" textlink="">
          <xdr:nvSpPr>
            <xdr:cNvPr id="2126" name="Button 78" hidden="1">
              <a:extLst>
                <a:ext uri="{63B3BB69-23CF-44E3-9099-C40C66FF867C}">
                  <a14:compatExt spid="_x0000_s2126"/>
                </a:ext>
                <a:ext uri="{FF2B5EF4-FFF2-40B4-BE49-F238E27FC236}">
                  <a16:creationId xmlns:a16="http://schemas.microsoft.com/office/drawing/2014/main" id="{00000000-0008-0000-0000-00004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80</xdr:row>
          <xdr:rowOff>9525</xdr:rowOff>
        </xdr:from>
        <xdr:to>
          <xdr:col>4</xdr:col>
          <xdr:colOff>219075</xdr:colOff>
          <xdr:row>80</xdr:row>
          <xdr:rowOff>171450</xdr:rowOff>
        </xdr:to>
        <xdr:sp macro="" textlink="">
          <xdr:nvSpPr>
            <xdr:cNvPr id="2127" name="Button 79" hidden="1">
              <a:extLst>
                <a:ext uri="{63B3BB69-23CF-44E3-9099-C40C66FF867C}">
                  <a14:compatExt spid="_x0000_s2127"/>
                </a:ext>
                <a:ext uri="{FF2B5EF4-FFF2-40B4-BE49-F238E27FC236}">
                  <a16:creationId xmlns:a16="http://schemas.microsoft.com/office/drawing/2014/main" id="{00000000-0008-0000-0000-00004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81</xdr:row>
          <xdr:rowOff>9525</xdr:rowOff>
        </xdr:from>
        <xdr:to>
          <xdr:col>4</xdr:col>
          <xdr:colOff>219075</xdr:colOff>
          <xdr:row>81</xdr:row>
          <xdr:rowOff>171450</xdr:rowOff>
        </xdr:to>
        <xdr:sp macro="" textlink="">
          <xdr:nvSpPr>
            <xdr:cNvPr id="2128" name="Button 80" hidden="1">
              <a:extLst>
                <a:ext uri="{63B3BB69-23CF-44E3-9099-C40C66FF867C}">
                  <a14:compatExt spid="_x0000_s2128"/>
                </a:ext>
                <a:ext uri="{FF2B5EF4-FFF2-40B4-BE49-F238E27FC236}">
                  <a16:creationId xmlns:a16="http://schemas.microsoft.com/office/drawing/2014/main" id="{00000000-0008-0000-0000-00005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82</xdr:row>
          <xdr:rowOff>9525</xdr:rowOff>
        </xdr:from>
        <xdr:to>
          <xdr:col>4</xdr:col>
          <xdr:colOff>219075</xdr:colOff>
          <xdr:row>82</xdr:row>
          <xdr:rowOff>171450</xdr:rowOff>
        </xdr:to>
        <xdr:sp macro="" textlink="">
          <xdr:nvSpPr>
            <xdr:cNvPr id="2129" name="Button 81" hidden="1">
              <a:extLst>
                <a:ext uri="{63B3BB69-23CF-44E3-9099-C40C66FF867C}">
                  <a14:compatExt spid="_x0000_s2129"/>
                </a:ext>
                <a:ext uri="{FF2B5EF4-FFF2-40B4-BE49-F238E27FC236}">
                  <a16:creationId xmlns:a16="http://schemas.microsoft.com/office/drawing/2014/main" id="{00000000-0008-0000-0000-00005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83</xdr:row>
          <xdr:rowOff>9525</xdr:rowOff>
        </xdr:from>
        <xdr:to>
          <xdr:col>4</xdr:col>
          <xdr:colOff>219075</xdr:colOff>
          <xdr:row>83</xdr:row>
          <xdr:rowOff>171450</xdr:rowOff>
        </xdr:to>
        <xdr:sp macro="" textlink="">
          <xdr:nvSpPr>
            <xdr:cNvPr id="2130" name="Button 82" hidden="1">
              <a:extLst>
                <a:ext uri="{63B3BB69-23CF-44E3-9099-C40C66FF867C}">
                  <a14:compatExt spid="_x0000_s2130"/>
                </a:ext>
                <a:ext uri="{FF2B5EF4-FFF2-40B4-BE49-F238E27FC236}">
                  <a16:creationId xmlns:a16="http://schemas.microsoft.com/office/drawing/2014/main" id="{00000000-0008-0000-0000-00005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84</xdr:row>
          <xdr:rowOff>9525</xdr:rowOff>
        </xdr:from>
        <xdr:to>
          <xdr:col>4</xdr:col>
          <xdr:colOff>219075</xdr:colOff>
          <xdr:row>84</xdr:row>
          <xdr:rowOff>171450</xdr:rowOff>
        </xdr:to>
        <xdr:sp macro="" textlink="">
          <xdr:nvSpPr>
            <xdr:cNvPr id="2131" name="Button 83" hidden="1">
              <a:extLst>
                <a:ext uri="{63B3BB69-23CF-44E3-9099-C40C66FF867C}">
                  <a14:compatExt spid="_x0000_s2131"/>
                </a:ext>
                <a:ext uri="{FF2B5EF4-FFF2-40B4-BE49-F238E27FC236}">
                  <a16:creationId xmlns:a16="http://schemas.microsoft.com/office/drawing/2014/main" id="{00000000-0008-0000-0000-00005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85</xdr:row>
          <xdr:rowOff>9525</xdr:rowOff>
        </xdr:from>
        <xdr:to>
          <xdr:col>4</xdr:col>
          <xdr:colOff>219075</xdr:colOff>
          <xdr:row>85</xdr:row>
          <xdr:rowOff>171450</xdr:rowOff>
        </xdr:to>
        <xdr:sp macro="" textlink="">
          <xdr:nvSpPr>
            <xdr:cNvPr id="2132" name="Button 84" hidden="1">
              <a:extLst>
                <a:ext uri="{63B3BB69-23CF-44E3-9099-C40C66FF867C}">
                  <a14:compatExt spid="_x0000_s2132"/>
                </a:ext>
                <a:ext uri="{FF2B5EF4-FFF2-40B4-BE49-F238E27FC236}">
                  <a16:creationId xmlns:a16="http://schemas.microsoft.com/office/drawing/2014/main" id="{00000000-0008-0000-0000-00005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86</xdr:row>
          <xdr:rowOff>9525</xdr:rowOff>
        </xdr:from>
        <xdr:to>
          <xdr:col>4</xdr:col>
          <xdr:colOff>219075</xdr:colOff>
          <xdr:row>86</xdr:row>
          <xdr:rowOff>171450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000-00005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xdr:row>
          <xdr:rowOff>9525</xdr:rowOff>
        </xdr:from>
        <xdr:to>
          <xdr:col>6</xdr:col>
          <xdr:colOff>219075</xdr:colOff>
          <xdr:row>4</xdr:row>
          <xdr:rowOff>171450</xdr:rowOff>
        </xdr:to>
        <xdr:sp macro="" textlink="">
          <xdr:nvSpPr>
            <xdr:cNvPr id="2134" name="Button 86" hidden="1">
              <a:extLst>
                <a:ext uri="{63B3BB69-23CF-44E3-9099-C40C66FF867C}">
                  <a14:compatExt spid="_x0000_s2134"/>
                </a:ext>
                <a:ext uri="{FF2B5EF4-FFF2-40B4-BE49-F238E27FC236}">
                  <a16:creationId xmlns:a16="http://schemas.microsoft.com/office/drawing/2014/main" id="{00000000-0008-0000-0000-00005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5</xdr:row>
          <xdr:rowOff>9525</xdr:rowOff>
        </xdr:from>
        <xdr:to>
          <xdr:col>6</xdr:col>
          <xdr:colOff>219075</xdr:colOff>
          <xdr:row>5</xdr:row>
          <xdr:rowOff>171450</xdr:rowOff>
        </xdr:to>
        <xdr:sp macro="" textlink="">
          <xdr:nvSpPr>
            <xdr:cNvPr id="2135" name="Button 87" hidden="1">
              <a:extLst>
                <a:ext uri="{63B3BB69-23CF-44E3-9099-C40C66FF867C}">
                  <a14:compatExt spid="_x0000_s2135"/>
                </a:ext>
                <a:ext uri="{FF2B5EF4-FFF2-40B4-BE49-F238E27FC236}">
                  <a16:creationId xmlns:a16="http://schemas.microsoft.com/office/drawing/2014/main" id="{00000000-0008-0000-0000-00005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xdr:row>
          <xdr:rowOff>9525</xdr:rowOff>
        </xdr:from>
        <xdr:to>
          <xdr:col>6</xdr:col>
          <xdr:colOff>219075</xdr:colOff>
          <xdr:row>6</xdr:row>
          <xdr:rowOff>171450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000-00005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7</xdr:row>
          <xdr:rowOff>9525</xdr:rowOff>
        </xdr:from>
        <xdr:to>
          <xdr:col>6</xdr:col>
          <xdr:colOff>219075</xdr:colOff>
          <xdr:row>7</xdr:row>
          <xdr:rowOff>171450</xdr:rowOff>
        </xdr:to>
        <xdr:sp macro="" textlink="">
          <xdr:nvSpPr>
            <xdr:cNvPr id="2137" name="Button 89" hidden="1">
              <a:extLst>
                <a:ext uri="{63B3BB69-23CF-44E3-9099-C40C66FF867C}">
                  <a14:compatExt spid="_x0000_s2137"/>
                </a:ext>
                <a:ext uri="{FF2B5EF4-FFF2-40B4-BE49-F238E27FC236}">
                  <a16:creationId xmlns:a16="http://schemas.microsoft.com/office/drawing/2014/main" id="{00000000-0008-0000-0000-00005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xdr:row>
          <xdr:rowOff>9525</xdr:rowOff>
        </xdr:from>
        <xdr:to>
          <xdr:col>6</xdr:col>
          <xdr:colOff>219075</xdr:colOff>
          <xdr:row>8</xdr:row>
          <xdr:rowOff>171450</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000-00005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xdr:row>
          <xdr:rowOff>9525</xdr:rowOff>
        </xdr:from>
        <xdr:to>
          <xdr:col>6</xdr:col>
          <xdr:colOff>219075</xdr:colOff>
          <xdr:row>9</xdr:row>
          <xdr:rowOff>171450</xdr:rowOff>
        </xdr:to>
        <xdr:sp macro="" textlink="">
          <xdr:nvSpPr>
            <xdr:cNvPr id="2139" name="Button 91" hidden="1">
              <a:extLst>
                <a:ext uri="{63B3BB69-23CF-44E3-9099-C40C66FF867C}">
                  <a14:compatExt spid="_x0000_s2139"/>
                </a:ext>
                <a:ext uri="{FF2B5EF4-FFF2-40B4-BE49-F238E27FC236}">
                  <a16:creationId xmlns:a16="http://schemas.microsoft.com/office/drawing/2014/main" id="{00000000-0008-0000-0000-00005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xdr:row>
          <xdr:rowOff>9525</xdr:rowOff>
        </xdr:from>
        <xdr:to>
          <xdr:col>6</xdr:col>
          <xdr:colOff>219075</xdr:colOff>
          <xdr:row>11</xdr:row>
          <xdr:rowOff>171450</xdr:rowOff>
        </xdr:to>
        <xdr:sp macro="" textlink="">
          <xdr:nvSpPr>
            <xdr:cNvPr id="2140" name="Button 92" hidden="1">
              <a:extLst>
                <a:ext uri="{63B3BB69-23CF-44E3-9099-C40C66FF867C}">
                  <a14:compatExt spid="_x0000_s2140"/>
                </a:ext>
                <a:ext uri="{FF2B5EF4-FFF2-40B4-BE49-F238E27FC236}">
                  <a16:creationId xmlns:a16="http://schemas.microsoft.com/office/drawing/2014/main" id="{00000000-0008-0000-0000-00005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10</xdr:row>
          <xdr:rowOff>9525</xdr:rowOff>
        </xdr:from>
        <xdr:to>
          <xdr:col>6</xdr:col>
          <xdr:colOff>219075</xdr:colOff>
          <xdr:row>10</xdr:row>
          <xdr:rowOff>171450</xdr:rowOff>
        </xdr:to>
        <xdr:sp macro="" textlink="">
          <xdr:nvSpPr>
            <xdr:cNvPr id="2141" name="Button 93" hidden="1">
              <a:extLst>
                <a:ext uri="{63B3BB69-23CF-44E3-9099-C40C66FF867C}">
                  <a14:compatExt spid="_x0000_s2141"/>
                </a:ext>
                <a:ext uri="{FF2B5EF4-FFF2-40B4-BE49-F238E27FC236}">
                  <a16:creationId xmlns:a16="http://schemas.microsoft.com/office/drawing/2014/main" id="{00000000-0008-0000-0000-00005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12</xdr:row>
          <xdr:rowOff>9525</xdr:rowOff>
        </xdr:from>
        <xdr:to>
          <xdr:col>6</xdr:col>
          <xdr:colOff>219075</xdr:colOff>
          <xdr:row>12</xdr:row>
          <xdr:rowOff>171450</xdr:rowOff>
        </xdr:to>
        <xdr:sp macro="" textlink="">
          <xdr:nvSpPr>
            <xdr:cNvPr id="2142" name="Button 94" hidden="1">
              <a:extLst>
                <a:ext uri="{63B3BB69-23CF-44E3-9099-C40C66FF867C}">
                  <a14:compatExt spid="_x0000_s2142"/>
                </a:ext>
                <a:ext uri="{FF2B5EF4-FFF2-40B4-BE49-F238E27FC236}">
                  <a16:creationId xmlns:a16="http://schemas.microsoft.com/office/drawing/2014/main" id="{00000000-0008-0000-0000-00005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13</xdr:row>
          <xdr:rowOff>9525</xdr:rowOff>
        </xdr:from>
        <xdr:to>
          <xdr:col>6</xdr:col>
          <xdr:colOff>219075</xdr:colOff>
          <xdr:row>13</xdr:row>
          <xdr:rowOff>171450</xdr:rowOff>
        </xdr:to>
        <xdr:sp macro="" textlink="">
          <xdr:nvSpPr>
            <xdr:cNvPr id="2143" name="Button 95" hidden="1">
              <a:extLst>
                <a:ext uri="{63B3BB69-23CF-44E3-9099-C40C66FF867C}">
                  <a14:compatExt spid="_x0000_s2143"/>
                </a:ext>
                <a:ext uri="{FF2B5EF4-FFF2-40B4-BE49-F238E27FC236}">
                  <a16:creationId xmlns:a16="http://schemas.microsoft.com/office/drawing/2014/main" id="{00000000-0008-0000-0000-00005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xdr:row>
          <xdr:rowOff>9525</xdr:rowOff>
        </xdr:from>
        <xdr:to>
          <xdr:col>6</xdr:col>
          <xdr:colOff>219075</xdr:colOff>
          <xdr:row>15</xdr:row>
          <xdr:rowOff>171450</xdr:rowOff>
        </xdr:to>
        <xdr:sp macro="" textlink="">
          <xdr:nvSpPr>
            <xdr:cNvPr id="2144" name="Button 96" hidden="1">
              <a:extLst>
                <a:ext uri="{63B3BB69-23CF-44E3-9099-C40C66FF867C}">
                  <a14:compatExt spid="_x0000_s2144"/>
                </a:ext>
                <a:ext uri="{FF2B5EF4-FFF2-40B4-BE49-F238E27FC236}">
                  <a16:creationId xmlns:a16="http://schemas.microsoft.com/office/drawing/2014/main" id="{00000000-0008-0000-0000-00006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14</xdr:row>
          <xdr:rowOff>9525</xdr:rowOff>
        </xdr:from>
        <xdr:to>
          <xdr:col>6</xdr:col>
          <xdr:colOff>219075</xdr:colOff>
          <xdr:row>14</xdr:row>
          <xdr:rowOff>171450</xdr:rowOff>
        </xdr:to>
        <xdr:sp macro="" textlink="">
          <xdr:nvSpPr>
            <xdr:cNvPr id="2145" name="Button 97" hidden="1">
              <a:extLst>
                <a:ext uri="{63B3BB69-23CF-44E3-9099-C40C66FF867C}">
                  <a14:compatExt spid="_x0000_s2145"/>
                </a:ext>
                <a:ext uri="{FF2B5EF4-FFF2-40B4-BE49-F238E27FC236}">
                  <a16:creationId xmlns:a16="http://schemas.microsoft.com/office/drawing/2014/main" id="{00000000-0008-0000-0000-00006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17</xdr:row>
          <xdr:rowOff>9525</xdr:rowOff>
        </xdr:from>
        <xdr:to>
          <xdr:col>6</xdr:col>
          <xdr:colOff>219075</xdr:colOff>
          <xdr:row>17</xdr:row>
          <xdr:rowOff>171450</xdr:rowOff>
        </xdr:to>
        <xdr:sp macro="" textlink="">
          <xdr:nvSpPr>
            <xdr:cNvPr id="2146" name="Button 98"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xdr:row>
          <xdr:rowOff>9525</xdr:rowOff>
        </xdr:from>
        <xdr:to>
          <xdr:col>6</xdr:col>
          <xdr:colOff>219075</xdr:colOff>
          <xdr:row>16</xdr:row>
          <xdr:rowOff>171450</xdr:rowOff>
        </xdr:to>
        <xdr:sp macro="" textlink="">
          <xdr:nvSpPr>
            <xdr:cNvPr id="2147" name="Button 99"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19</xdr:row>
          <xdr:rowOff>9525</xdr:rowOff>
        </xdr:from>
        <xdr:to>
          <xdr:col>6</xdr:col>
          <xdr:colOff>219075</xdr:colOff>
          <xdr:row>19</xdr:row>
          <xdr:rowOff>171450</xdr:rowOff>
        </xdr:to>
        <xdr:sp macro="" textlink="">
          <xdr:nvSpPr>
            <xdr:cNvPr id="2148" name="Button 100"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18</xdr:row>
          <xdr:rowOff>9525</xdr:rowOff>
        </xdr:from>
        <xdr:to>
          <xdr:col>6</xdr:col>
          <xdr:colOff>219075</xdr:colOff>
          <xdr:row>18</xdr:row>
          <xdr:rowOff>171450</xdr:rowOff>
        </xdr:to>
        <xdr:sp macro="" textlink="">
          <xdr:nvSpPr>
            <xdr:cNvPr id="2149" name="Button 101" hidden="1">
              <a:extLst>
                <a:ext uri="{63B3BB69-23CF-44E3-9099-C40C66FF867C}">
                  <a14:compatExt spid="_x0000_s2149"/>
                </a:ext>
                <a:ext uri="{FF2B5EF4-FFF2-40B4-BE49-F238E27FC236}">
                  <a16:creationId xmlns:a16="http://schemas.microsoft.com/office/drawing/2014/main" id="{00000000-0008-0000-0000-00006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20</xdr:row>
          <xdr:rowOff>9525</xdr:rowOff>
        </xdr:from>
        <xdr:to>
          <xdr:col>6</xdr:col>
          <xdr:colOff>219075</xdr:colOff>
          <xdr:row>20</xdr:row>
          <xdr:rowOff>171450</xdr:rowOff>
        </xdr:to>
        <xdr:sp macro="" textlink="">
          <xdr:nvSpPr>
            <xdr:cNvPr id="2150" name="Button 102" hidden="1">
              <a:extLst>
                <a:ext uri="{63B3BB69-23CF-44E3-9099-C40C66FF867C}">
                  <a14:compatExt spid="_x0000_s2150"/>
                </a:ext>
                <a:ext uri="{FF2B5EF4-FFF2-40B4-BE49-F238E27FC236}">
                  <a16:creationId xmlns:a16="http://schemas.microsoft.com/office/drawing/2014/main" id="{00000000-0008-0000-0000-00006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22</xdr:row>
          <xdr:rowOff>9525</xdr:rowOff>
        </xdr:from>
        <xdr:to>
          <xdr:col>6</xdr:col>
          <xdr:colOff>219075</xdr:colOff>
          <xdr:row>22</xdr:row>
          <xdr:rowOff>171450</xdr:rowOff>
        </xdr:to>
        <xdr:sp macro="" textlink="">
          <xdr:nvSpPr>
            <xdr:cNvPr id="2151" name="Button 103"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21</xdr:row>
          <xdr:rowOff>9525</xdr:rowOff>
        </xdr:from>
        <xdr:to>
          <xdr:col>6</xdr:col>
          <xdr:colOff>219075</xdr:colOff>
          <xdr:row>21</xdr:row>
          <xdr:rowOff>171450</xdr:rowOff>
        </xdr:to>
        <xdr:sp macro="" textlink="">
          <xdr:nvSpPr>
            <xdr:cNvPr id="2152" name="Button 104" hidden="1">
              <a:extLst>
                <a:ext uri="{63B3BB69-23CF-44E3-9099-C40C66FF867C}">
                  <a14:compatExt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23</xdr:row>
          <xdr:rowOff>9525</xdr:rowOff>
        </xdr:from>
        <xdr:to>
          <xdr:col>6</xdr:col>
          <xdr:colOff>219075</xdr:colOff>
          <xdr:row>23</xdr:row>
          <xdr:rowOff>171450</xdr:rowOff>
        </xdr:to>
        <xdr:sp macro="" textlink="">
          <xdr:nvSpPr>
            <xdr:cNvPr id="2153" name="Button 105" hidden="1">
              <a:extLst>
                <a:ext uri="{63B3BB69-23CF-44E3-9099-C40C66FF867C}">
                  <a14:compatExt spid="_x0000_s2153"/>
                </a:ext>
                <a:ext uri="{FF2B5EF4-FFF2-40B4-BE49-F238E27FC236}">
                  <a16:creationId xmlns:a16="http://schemas.microsoft.com/office/drawing/2014/main" id="{00000000-0008-0000-0000-00006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24</xdr:row>
          <xdr:rowOff>9525</xdr:rowOff>
        </xdr:from>
        <xdr:to>
          <xdr:col>6</xdr:col>
          <xdr:colOff>219075</xdr:colOff>
          <xdr:row>24</xdr:row>
          <xdr:rowOff>171450</xdr:rowOff>
        </xdr:to>
        <xdr:sp macro="" textlink="">
          <xdr:nvSpPr>
            <xdr:cNvPr id="2154" name="Button 106" hidden="1">
              <a:extLst>
                <a:ext uri="{63B3BB69-23CF-44E3-9099-C40C66FF867C}">
                  <a14:compatExt spid="_x0000_s2154"/>
                </a:ext>
                <a:ext uri="{FF2B5EF4-FFF2-40B4-BE49-F238E27FC236}">
                  <a16:creationId xmlns:a16="http://schemas.microsoft.com/office/drawing/2014/main" id="{00000000-0008-0000-0000-00006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25</xdr:row>
          <xdr:rowOff>9525</xdr:rowOff>
        </xdr:from>
        <xdr:to>
          <xdr:col>6</xdr:col>
          <xdr:colOff>219075</xdr:colOff>
          <xdr:row>25</xdr:row>
          <xdr:rowOff>171450</xdr:rowOff>
        </xdr:to>
        <xdr:sp macro="" textlink="">
          <xdr:nvSpPr>
            <xdr:cNvPr id="2155" name="Button 107"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26</xdr:row>
          <xdr:rowOff>9525</xdr:rowOff>
        </xdr:from>
        <xdr:to>
          <xdr:col>6</xdr:col>
          <xdr:colOff>219075</xdr:colOff>
          <xdr:row>26</xdr:row>
          <xdr:rowOff>171450</xdr:rowOff>
        </xdr:to>
        <xdr:sp macro="" textlink="">
          <xdr:nvSpPr>
            <xdr:cNvPr id="2156" name="Button 108"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27</xdr:row>
          <xdr:rowOff>9525</xdr:rowOff>
        </xdr:from>
        <xdr:to>
          <xdr:col>6</xdr:col>
          <xdr:colOff>219075</xdr:colOff>
          <xdr:row>27</xdr:row>
          <xdr:rowOff>171450</xdr:rowOff>
        </xdr:to>
        <xdr:sp macro="" textlink="">
          <xdr:nvSpPr>
            <xdr:cNvPr id="2157" name="Button 109" hidden="1">
              <a:extLst>
                <a:ext uri="{63B3BB69-23CF-44E3-9099-C40C66FF867C}">
                  <a14:compatExt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28</xdr:row>
          <xdr:rowOff>9525</xdr:rowOff>
        </xdr:from>
        <xdr:to>
          <xdr:col>6</xdr:col>
          <xdr:colOff>219075</xdr:colOff>
          <xdr:row>28</xdr:row>
          <xdr:rowOff>171450</xdr:rowOff>
        </xdr:to>
        <xdr:sp macro="" textlink="">
          <xdr:nvSpPr>
            <xdr:cNvPr id="2158" name="Button 110" hidden="1">
              <a:extLst>
                <a:ext uri="{63B3BB69-23CF-44E3-9099-C40C66FF867C}">
                  <a14:compatExt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29</xdr:row>
          <xdr:rowOff>9525</xdr:rowOff>
        </xdr:from>
        <xdr:to>
          <xdr:col>6</xdr:col>
          <xdr:colOff>219075</xdr:colOff>
          <xdr:row>29</xdr:row>
          <xdr:rowOff>171450</xdr:rowOff>
        </xdr:to>
        <xdr:sp macro="" textlink="">
          <xdr:nvSpPr>
            <xdr:cNvPr id="2159" name="Button 111" hidden="1">
              <a:extLst>
                <a:ext uri="{63B3BB69-23CF-44E3-9099-C40C66FF867C}">
                  <a14:compatExt spid="_x0000_s2159"/>
                </a:ext>
                <a:ext uri="{FF2B5EF4-FFF2-40B4-BE49-F238E27FC236}">
                  <a16:creationId xmlns:a16="http://schemas.microsoft.com/office/drawing/2014/main" id="{00000000-0008-0000-0000-00006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31</xdr:row>
          <xdr:rowOff>9525</xdr:rowOff>
        </xdr:from>
        <xdr:to>
          <xdr:col>6</xdr:col>
          <xdr:colOff>219075</xdr:colOff>
          <xdr:row>31</xdr:row>
          <xdr:rowOff>171450</xdr:rowOff>
        </xdr:to>
        <xdr:sp macro="" textlink="">
          <xdr:nvSpPr>
            <xdr:cNvPr id="2160" name="Button 112" hidden="1">
              <a:extLst>
                <a:ext uri="{63B3BB69-23CF-44E3-9099-C40C66FF867C}">
                  <a14:compatExt spid="_x0000_s2160"/>
                </a:ext>
                <a:ext uri="{FF2B5EF4-FFF2-40B4-BE49-F238E27FC236}">
                  <a16:creationId xmlns:a16="http://schemas.microsoft.com/office/drawing/2014/main" id="{00000000-0008-0000-0000-00007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30</xdr:row>
          <xdr:rowOff>9525</xdr:rowOff>
        </xdr:from>
        <xdr:to>
          <xdr:col>6</xdr:col>
          <xdr:colOff>219075</xdr:colOff>
          <xdr:row>30</xdr:row>
          <xdr:rowOff>171450</xdr:rowOff>
        </xdr:to>
        <xdr:sp macro="" textlink="">
          <xdr:nvSpPr>
            <xdr:cNvPr id="2161" name="Button 113" hidden="1">
              <a:extLst>
                <a:ext uri="{63B3BB69-23CF-44E3-9099-C40C66FF867C}">
                  <a14:compatExt spid="_x0000_s2161"/>
                </a:ext>
                <a:ext uri="{FF2B5EF4-FFF2-40B4-BE49-F238E27FC236}">
                  <a16:creationId xmlns:a16="http://schemas.microsoft.com/office/drawing/2014/main" id="{00000000-0008-0000-0000-00007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32</xdr:row>
          <xdr:rowOff>9525</xdr:rowOff>
        </xdr:from>
        <xdr:to>
          <xdr:col>6</xdr:col>
          <xdr:colOff>219075</xdr:colOff>
          <xdr:row>32</xdr:row>
          <xdr:rowOff>171450</xdr:rowOff>
        </xdr:to>
        <xdr:sp macro="" textlink="">
          <xdr:nvSpPr>
            <xdr:cNvPr id="2162" name="Button 114" hidden="1">
              <a:extLst>
                <a:ext uri="{63B3BB69-23CF-44E3-9099-C40C66FF867C}">
                  <a14:compatExt spid="_x0000_s2162"/>
                </a:ext>
                <a:ext uri="{FF2B5EF4-FFF2-40B4-BE49-F238E27FC236}">
                  <a16:creationId xmlns:a16="http://schemas.microsoft.com/office/drawing/2014/main" id="{00000000-0008-0000-0000-00007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33</xdr:row>
          <xdr:rowOff>9525</xdr:rowOff>
        </xdr:from>
        <xdr:to>
          <xdr:col>6</xdr:col>
          <xdr:colOff>219075</xdr:colOff>
          <xdr:row>33</xdr:row>
          <xdr:rowOff>171450</xdr:rowOff>
        </xdr:to>
        <xdr:sp macro="" textlink="">
          <xdr:nvSpPr>
            <xdr:cNvPr id="2163" name="Button 115" hidden="1">
              <a:extLst>
                <a:ext uri="{63B3BB69-23CF-44E3-9099-C40C66FF867C}">
                  <a14:compatExt spid="_x0000_s2163"/>
                </a:ext>
                <a:ext uri="{FF2B5EF4-FFF2-40B4-BE49-F238E27FC236}">
                  <a16:creationId xmlns:a16="http://schemas.microsoft.com/office/drawing/2014/main" id="{00000000-0008-0000-0000-00007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34</xdr:row>
          <xdr:rowOff>9525</xdr:rowOff>
        </xdr:from>
        <xdr:to>
          <xdr:col>6</xdr:col>
          <xdr:colOff>219075</xdr:colOff>
          <xdr:row>34</xdr:row>
          <xdr:rowOff>171450</xdr:rowOff>
        </xdr:to>
        <xdr:sp macro="" textlink="">
          <xdr:nvSpPr>
            <xdr:cNvPr id="2164" name="Button 116" hidden="1">
              <a:extLst>
                <a:ext uri="{63B3BB69-23CF-44E3-9099-C40C66FF867C}">
                  <a14:compatExt spid="_x0000_s2164"/>
                </a:ext>
                <a:ext uri="{FF2B5EF4-FFF2-40B4-BE49-F238E27FC236}">
                  <a16:creationId xmlns:a16="http://schemas.microsoft.com/office/drawing/2014/main" id="{00000000-0008-0000-0000-00007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35</xdr:row>
          <xdr:rowOff>9525</xdr:rowOff>
        </xdr:from>
        <xdr:to>
          <xdr:col>6</xdr:col>
          <xdr:colOff>219075</xdr:colOff>
          <xdr:row>35</xdr:row>
          <xdr:rowOff>171450</xdr:rowOff>
        </xdr:to>
        <xdr:sp macro="" textlink="">
          <xdr:nvSpPr>
            <xdr:cNvPr id="2165" name="Button 117" hidden="1">
              <a:extLst>
                <a:ext uri="{63B3BB69-23CF-44E3-9099-C40C66FF867C}">
                  <a14:compatExt spid="_x0000_s2165"/>
                </a:ext>
                <a:ext uri="{FF2B5EF4-FFF2-40B4-BE49-F238E27FC236}">
                  <a16:creationId xmlns:a16="http://schemas.microsoft.com/office/drawing/2014/main" id="{00000000-0008-0000-0000-00007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36</xdr:row>
          <xdr:rowOff>9525</xdr:rowOff>
        </xdr:from>
        <xdr:to>
          <xdr:col>6</xdr:col>
          <xdr:colOff>219075</xdr:colOff>
          <xdr:row>36</xdr:row>
          <xdr:rowOff>171450</xdr:rowOff>
        </xdr:to>
        <xdr:sp macro="" textlink="">
          <xdr:nvSpPr>
            <xdr:cNvPr id="2166" name="Button 118" hidden="1">
              <a:extLst>
                <a:ext uri="{63B3BB69-23CF-44E3-9099-C40C66FF867C}">
                  <a14:compatExt spid="_x0000_s2166"/>
                </a:ext>
                <a:ext uri="{FF2B5EF4-FFF2-40B4-BE49-F238E27FC236}">
                  <a16:creationId xmlns:a16="http://schemas.microsoft.com/office/drawing/2014/main" id="{00000000-0008-0000-0000-00007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37</xdr:row>
          <xdr:rowOff>9525</xdr:rowOff>
        </xdr:from>
        <xdr:to>
          <xdr:col>6</xdr:col>
          <xdr:colOff>219075</xdr:colOff>
          <xdr:row>37</xdr:row>
          <xdr:rowOff>171450</xdr:rowOff>
        </xdr:to>
        <xdr:sp macro="" textlink="">
          <xdr:nvSpPr>
            <xdr:cNvPr id="2167" name="Button 119" hidden="1">
              <a:extLst>
                <a:ext uri="{63B3BB69-23CF-44E3-9099-C40C66FF867C}">
                  <a14:compatExt spid="_x0000_s2167"/>
                </a:ext>
                <a:ext uri="{FF2B5EF4-FFF2-40B4-BE49-F238E27FC236}">
                  <a16:creationId xmlns:a16="http://schemas.microsoft.com/office/drawing/2014/main" id="{00000000-0008-0000-0000-00007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38</xdr:row>
          <xdr:rowOff>9525</xdr:rowOff>
        </xdr:from>
        <xdr:to>
          <xdr:col>6</xdr:col>
          <xdr:colOff>219075</xdr:colOff>
          <xdr:row>38</xdr:row>
          <xdr:rowOff>171450</xdr:rowOff>
        </xdr:to>
        <xdr:sp macro="" textlink="">
          <xdr:nvSpPr>
            <xdr:cNvPr id="2168" name="Button 120" hidden="1">
              <a:extLst>
                <a:ext uri="{63B3BB69-23CF-44E3-9099-C40C66FF867C}">
                  <a14:compatExt spid="_x0000_s2168"/>
                </a:ext>
                <a:ext uri="{FF2B5EF4-FFF2-40B4-BE49-F238E27FC236}">
                  <a16:creationId xmlns:a16="http://schemas.microsoft.com/office/drawing/2014/main" id="{00000000-0008-0000-0000-00007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39</xdr:row>
          <xdr:rowOff>9525</xdr:rowOff>
        </xdr:from>
        <xdr:to>
          <xdr:col>6</xdr:col>
          <xdr:colOff>219075</xdr:colOff>
          <xdr:row>39</xdr:row>
          <xdr:rowOff>171450</xdr:rowOff>
        </xdr:to>
        <xdr:sp macro="" textlink="">
          <xdr:nvSpPr>
            <xdr:cNvPr id="2169" name="Button 121" hidden="1">
              <a:extLst>
                <a:ext uri="{63B3BB69-23CF-44E3-9099-C40C66FF867C}">
                  <a14:compatExt spid="_x0000_s2169"/>
                </a:ext>
                <a:ext uri="{FF2B5EF4-FFF2-40B4-BE49-F238E27FC236}">
                  <a16:creationId xmlns:a16="http://schemas.microsoft.com/office/drawing/2014/main" id="{00000000-0008-0000-0000-00007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40</xdr:row>
          <xdr:rowOff>9525</xdr:rowOff>
        </xdr:from>
        <xdr:to>
          <xdr:col>6</xdr:col>
          <xdr:colOff>219075</xdr:colOff>
          <xdr:row>40</xdr:row>
          <xdr:rowOff>171450</xdr:rowOff>
        </xdr:to>
        <xdr:sp macro="" textlink="">
          <xdr:nvSpPr>
            <xdr:cNvPr id="2170" name="Button 122" hidden="1">
              <a:extLst>
                <a:ext uri="{63B3BB69-23CF-44E3-9099-C40C66FF867C}">
                  <a14:compatExt spid="_x0000_s2170"/>
                </a:ext>
                <a:ext uri="{FF2B5EF4-FFF2-40B4-BE49-F238E27FC236}">
                  <a16:creationId xmlns:a16="http://schemas.microsoft.com/office/drawing/2014/main" id="{00000000-0008-0000-0000-00007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41</xdr:row>
          <xdr:rowOff>9525</xdr:rowOff>
        </xdr:from>
        <xdr:to>
          <xdr:col>6</xdr:col>
          <xdr:colOff>219075</xdr:colOff>
          <xdr:row>41</xdr:row>
          <xdr:rowOff>171450</xdr:rowOff>
        </xdr:to>
        <xdr:sp macro="" textlink="">
          <xdr:nvSpPr>
            <xdr:cNvPr id="2171" name="Button 123" hidden="1">
              <a:extLst>
                <a:ext uri="{63B3BB69-23CF-44E3-9099-C40C66FF867C}">
                  <a14:compatExt spid="_x0000_s2171"/>
                </a:ext>
                <a:ext uri="{FF2B5EF4-FFF2-40B4-BE49-F238E27FC236}">
                  <a16:creationId xmlns:a16="http://schemas.microsoft.com/office/drawing/2014/main" id="{00000000-0008-0000-0000-00007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42</xdr:row>
          <xdr:rowOff>9525</xdr:rowOff>
        </xdr:from>
        <xdr:to>
          <xdr:col>6</xdr:col>
          <xdr:colOff>219075</xdr:colOff>
          <xdr:row>42</xdr:row>
          <xdr:rowOff>171450</xdr:rowOff>
        </xdr:to>
        <xdr:sp macro="" textlink="">
          <xdr:nvSpPr>
            <xdr:cNvPr id="2172" name="Button 124" hidden="1">
              <a:extLst>
                <a:ext uri="{63B3BB69-23CF-44E3-9099-C40C66FF867C}">
                  <a14:compatExt spid="_x0000_s2172"/>
                </a:ext>
                <a:ext uri="{FF2B5EF4-FFF2-40B4-BE49-F238E27FC236}">
                  <a16:creationId xmlns:a16="http://schemas.microsoft.com/office/drawing/2014/main" id="{00000000-0008-0000-0000-00007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43</xdr:row>
          <xdr:rowOff>9525</xdr:rowOff>
        </xdr:from>
        <xdr:to>
          <xdr:col>6</xdr:col>
          <xdr:colOff>219075</xdr:colOff>
          <xdr:row>43</xdr:row>
          <xdr:rowOff>171450</xdr:rowOff>
        </xdr:to>
        <xdr:sp macro="" textlink="">
          <xdr:nvSpPr>
            <xdr:cNvPr id="2173" name="Button 125" hidden="1">
              <a:extLst>
                <a:ext uri="{63B3BB69-23CF-44E3-9099-C40C66FF867C}">
                  <a14:compatExt spid="_x0000_s2173"/>
                </a:ext>
                <a:ext uri="{FF2B5EF4-FFF2-40B4-BE49-F238E27FC236}">
                  <a16:creationId xmlns:a16="http://schemas.microsoft.com/office/drawing/2014/main" id="{00000000-0008-0000-0000-00007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44</xdr:row>
          <xdr:rowOff>9525</xdr:rowOff>
        </xdr:from>
        <xdr:to>
          <xdr:col>6</xdr:col>
          <xdr:colOff>219075</xdr:colOff>
          <xdr:row>44</xdr:row>
          <xdr:rowOff>171450</xdr:rowOff>
        </xdr:to>
        <xdr:sp macro="" textlink="">
          <xdr:nvSpPr>
            <xdr:cNvPr id="2174" name="Button 126" hidden="1">
              <a:extLst>
                <a:ext uri="{63B3BB69-23CF-44E3-9099-C40C66FF867C}">
                  <a14:compatExt spid="_x0000_s2174"/>
                </a:ext>
                <a:ext uri="{FF2B5EF4-FFF2-40B4-BE49-F238E27FC236}">
                  <a16:creationId xmlns:a16="http://schemas.microsoft.com/office/drawing/2014/main" id="{00000000-0008-0000-0000-00007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45</xdr:row>
          <xdr:rowOff>9525</xdr:rowOff>
        </xdr:from>
        <xdr:to>
          <xdr:col>6</xdr:col>
          <xdr:colOff>219075</xdr:colOff>
          <xdr:row>45</xdr:row>
          <xdr:rowOff>171450</xdr:rowOff>
        </xdr:to>
        <xdr:sp macro="" textlink="">
          <xdr:nvSpPr>
            <xdr:cNvPr id="2175" name="Button 127" hidden="1">
              <a:extLst>
                <a:ext uri="{63B3BB69-23CF-44E3-9099-C40C66FF867C}">
                  <a14:compatExt spid="_x0000_s2175"/>
                </a:ext>
                <a:ext uri="{FF2B5EF4-FFF2-40B4-BE49-F238E27FC236}">
                  <a16:creationId xmlns:a16="http://schemas.microsoft.com/office/drawing/2014/main" id="{00000000-0008-0000-0000-00007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46</xdr:row>
          <xdr:rowOff>9525</xdr:rowOff>
        </xdr:from>
        <xdr:to>
          <xdr:col>6</xdr:col>
          <xdr:colOff>219075</xdr:colOff>
          <xdr:row>46</xdr:row>
          <xdr:rowOff>171450</xdr:rowOff>
        </xdr:to>
        <xdr:sp macro="" textlink="">
          <xdr:nvSpPr>
            <xdr:cNvPr id="2176" name="Button 128" hidden="1">
              <a:extLst>
                <a:ext uri="{63B3BB69-23CF-44E3-9099-C40C66FF867C}">
                  <a14:compatExt spid="_x0000_s2176"/>
                </a:ext>
                <a:ext uri="{FF2B5EF4-FFF2-40B4-BE49-F238E27FC236}">
                  <a16:creationId xmlns:a16="http://schemas.microsoft.com/office/drawing/2014/main" id="{00000000-0008-0000-0000-00008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47</xdr:row>
          <xdr:rowOff>9525</xdr:rowOff>
        </xdr:from>
        <xdr:to>
          <xdr:col>6</xdr:col>
          <xdr:colOff>219075</xdr:colOff>
          <xdr:row>47</xdr:row>
          <xdr:rowOff>171450</xdr:rowOff>
        </xdr:to>
        <xdr:sp macro="" textlink="">
          <xdr:nvSpPr>
            <xdr:cNvPr id="2177" name="Button 129" hidden="1">
              <a:extLst>
                <a:ext uri="{63B3BB69-23CF-44E3-9099-C40C66FF867C}">
                  <a14:compatExt spid="_x0000_s2177"/>
                </a:ext>
                <a:ext uri="{FF2B5EF4-FFF2-40B4-BE49-F238E27FC236}">
                  <a16:creationId xmlns:a16="http://schemas.microsoft.com/office/drawing/2014/main" id="{00000000-0008-0000-0000-00008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48</xdr:row>
          <xdr:rowOff>9525</xdr:rowOff>
        </xdr:from>
        <xdr:to>
          <xdr:col>6</xdr:col>
          <xdr:colOff>219075</xdr:colOff>
          <xdr:row>48</xdr:row>
          <xdr:rowOff>171450</xdr:rowOff>
        </xdr:to>
        <xdr:sp macro="" textlink="">
          <xdr:nvSpPr>
            <xdr:cNvPr id="2178" name="Button 130" hidden="1">
              <a:extLst>
                <a:ext uri="{63B3BB69-23CF-44E3-9099-C40C66FF867C}">
                  <a14:compatExt spid="_x0000_s2178"/>
                </a:ext>
                <a:ext uri="{FF2B5EF4-FFF2-40B4-BE49-F238E27FC236}">
                  <a16:creationId xmlns:a16="http://schemas.microsoft.com/office/drawing/2014/main" id="{00000000-0008-0000-0000-00008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49</xdr:row>
          <xdr:rowOff>9525</xdr:rowOff>
        </xdr:from>
        <xdr:to>
          <xdr:col>6</xdr:col>
          <xdr:colOff>219075</xdr:colOff>
          <xdr:row>49</xdr:row>
          <xdr:rowOff>171450</xdr:rowOff>
        </xdr:to>
        <xdr:sp macro="" textlink="">
          <xdr:nvSpPr>
            <xdr:cNvPr id="2179" name="Button 131" hidden="1">
              <a:extLst>
                <a:ext uri="{63B3BB69-23CF-44E3-9099-C40C66FF867C}">
                  <a14:compatExt spid="_x0000_s2179"/>
                </a:ext>
                <a:ext uri="{FF2B5EF4-FFF2-40B4-BE49-F238E27FC236}">
                  <a16:creationId xmlns:a16="http://schemas.microsoft.com/office/drawing/2014/main" id="{00000000-0008-0000-0000-00008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50</xdr:row>
          <xdr:rowOff>9525</xdr:rowOff>
        </xdr:from>
        <xdr:to>
          <xdr:col>6</xdr:col>
          <xdr:colOff>219075</xdr:colOff>
          <xdr:row>50</xdr:row>
          <xdr:rowOff>171450</xdr:rowOff>
        </xdr:to>
        <xdr:sp macro="" textlink="">
          <xdr:nvSpPr>
            <xdr:cNvPr id="2180" name="Button 132" hidden="1">
              <a:extLst>
                <a:ext uri="{63B3BB69-23CF-44E3-9099-C40C66FF867C}">
                  <a14:compatExt spid="_x0000_s2180"/>
                </a:ext>
                <a:ext uri="{FF2B5EF4-FFF2-40B4-BE49-F238E27FC236}">
                  <a16:creationId xmlns:a16="http://schemas.microsoft.com/office/drawing/2014/main" id="{00000000-0008-0000-0000-00008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51</xdr:row>
          <xdr:rowOff>9525</xdr:rowOff>
        </xdr:from>
        <xdr:to>
          <xdr:col>6</xdr:col>
          <xdr:colOff>219075</xdr:colOff>
          <xdr:row>51</xdr:row>
          <xdr:rowOff>171450</xdr:rowOff>
        </xdr:to>
        <xdr:sp macro="" textlink="">
          <xdr:nvSpPr>
            <xdr:cNvPr id="2181" name="Button 133" hidden="1">
              <a:extLst>
                <a:ext uri="{63B3BB69-23CF-44E3-9099-C40C66FF867C}">
                  <a14:compatExt spid="_x0000_s2181"/>
                </a:ext>
                <a:ext uri="{FF2B5EF4-FFF2-40B4-BE49-F238E27FC236}">
                  <a16:creationId xmlns:a16="http://schemas.microsoft.com/office/drawing/2014/main" id="{00000000-0008-0000-0000-00008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52</xdr:row>
          <xdr:rowOff>9525</xdr:rowOff>
        </xdr:from>
        <xdr:to>
          <xdr:col>6</xdr:col>
          <xdr:colOff>219075</xdr:colOff>
          <xdr:row>52</xdr:row>
          <xdr:rowOff>171450</xdr:rowOff>
        </xdr:to>
        <xdr:sp macro="" textlink="">
          <xdr:nvSpPr>
            <xdr:cNvPr id="2182" name="Button 134" hidden="1">
              <a:extLst>
                <a:ext uri="{63B3BB69-23CF-44E3-9099-C40C66FF867C}">
                  <a14:compatExt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53</xdr:row>
          <xdr:rowOff>9525</xdr:rowOff>
        </xdr:from>
        <xdr:to>
          <xdr:col>6</xdr:col>
          <xdr:colOff>219075</xdr:colOff>
          <xdr:row>53</xdr:row>
          <xdr:rowOff>171450</xdr:rowOff>
        </xdr:to>
        <xdr:sp macro="" textlink="">
          <xdr:nvSpPr>
            <xdr:cNvPr id="2183" name="Button 135" hidden="1">
              <a:extLst>
                <a:ext uri="{63B3BB69-23CF-44E3-9099-C40C66FF867C}">
                  <a14:compatExt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54</xdr:row>
          <xdr:rowOff>9525</xdr:rowOff>
        </xdr:from>
        <xdr:to>
          <xdr:col>6</xdr:col>
          <xdr:colOff>219075</xdr:colOff>
          <xdr:row>54</xdr:row>
          <xdr:rowOff>171450</xdr:rowOff>
        </xdr:to>
        <xdr:sp macro="" textlink="">
          <xdr:nvSpPr>
            <xdr:cNvPr id="2184" name="Button 136" hidden="1">
              <a:extLst>
                <a:ext uri="{63B3BB69-23CF-44E3-9099-C40C66FF867C}">
                  <a14:compatExt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55</xdr:row>
          <xdr:rowOff>9525</xdr:rowOff>
        </xdr:from>
        <xdr:to>
          <xdr:col>6</xdr:col>
          <xdr:colOff>219075</xdr:colOff>
          <xdr:row>55</xdr:row>
          <xdr:rowOff>171450</xdr:rowOff>
        </xdr:to>
        <xdr:sp macro="" textlink="">
          <xdr:nvSpPr>
            <xdr:cNvPr id="2185" name="Button 137" hidden="1">
              <a:extLst>
                <a:ext uri="{63B3BB69-23CF-44E3-9099-C40C66FF867C}">
                  <a14:compatExt spid="_x0000_s2185"/>
                </a:ext>
                <a:ext uri="{FF2B5EF4-FFF2-40B4-BE49-F238E27FC236}">
                  <a16:creationId xmlns:a16="http://schemas.microsoft.com/office/drawing/2014/main" id="{00000000-0008-0000-0000-00008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56</xdr:row>
          <xdr:rowOff>9525</xdr:rowOff>
        </xdr:from>
        <xdr:to>
          <xdr:col>6</xdr:col>
          <xdr:colOff>219075</xdr:colOff>
          <xdr:row>56</xdr:row>
          <xdr:rowOff>171450</xdr:rowOff>
        </xdr:to>
        <xdr:sp macro="" textlink="">
          <xdr:nvSpPr>
            <xdr:cNvPr id="2186" name="Button 138" hidden="1">
              <a:extLst>
                <a:ext uri="{63B3BB69-23CF-44E3-9099-C40C66FF867C}">
                  <a14:compatExt spid="_x0000_s2186"/>
                </a:ext>
                <a:ext uri="{FF2B5EF4-FFF2-40B4-BE49-F238E27FC236}">
                  <a16:creationId xmlns:a16="http://schemas.microsoft.com/office/drawing/2014/main" id="{00000000-0008-0000-0000-00008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57</xdr:row>
          <xdr:rowOff>9525</xdr:rowOff>
        </xdr:from>
        <xdr:to>
          <xdr:col>6</xdr:col>
          <xdr:colOff>219075</xdr:colOff>
          <xdr:row>57</xdr:row>
          <xdr:rowOff>171450</xdr:rowOff>
        </xdr:to>
        <xdr:sp macro="" textlink="">
          <xdr:nvSpPr>
            <xdr:cNvPr id="2187" name="Button 139"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58</xdr:row>
          <xdr:rowOff>9525</xdr:rowOff>
        </xdr:from>
        <xdr:to>
          <xdr:col>6</xdr:col>
          <xdr:colOff>219075</xdr:colOff>
          <xdr:row>58</xdr:row>
          <xdr:rowOff>171450</xdr:rowOff>
        </xdr:to>
        <xdr:sp macro="" textlink="">
          <xdr:nvSpPr>
            <xdr:cNvPr id="2188" name="Button 140"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59</xdr:row>
          <xdr:rowOff>9525</xdr:rowOff>
        </xdr:from>
        <xdr:to>
          <xdr:col>6</xdr:col>
          <xdr:colOff>219075</xdr:colOff>
          <xdr:row>59</xdr:row>
          <xdr:rowOff>171450</xdr:rowOff>
        </xdr:to>
        <xdr:sp macro="" textlink="">
          <xdr:nvSpPr>
            <xdr:cNvPr id="2189" name="Button 141" hidden="1">
              <a:extLst>
                <a:ext uri="{63B3BB69-23CF-44E3-9099-C40C66FF867C}">
                  <a14:compatExt spid="_x0000_s2189"/>
                </a:ext>
                <a:ext uri="{FF2B5EF4-FFF2-40B4-BE49-F238E27FC236}">
                  <a16:creationId xmlns:a16="http://schemas.microsoft.com/office/drawing/2014/main" id="{00000000-0008-0000-0000-00008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60</xdr:row>
          <xdr:rowOff>9525</xdr:rowOff>
        </xdr:from>
        <xdr:to>
          <xdr:col>6</xdr:col>
          <xdr:colOff>219075</xdr:colOff>
          <xdr:row>60</xdr:row>
          <xdr:rowOff>171450</xdr:rowOff>
        </xdr:to>
        <xdr:sp macro="" textlink="">
          <xdr:nvSpPr>
            <xdr:cNvPr id="2190" name="Button 142" hidden="1">
              <a:extLst>
                <a:ext uri="{63B3BB69-23CF-44E3-9099-C40C66FF867C}">
                  <a14:compatExt spid="_x0000_s2190"/>
                </a:ext>
                <a:ext uri="{FF2B5EF4-FFF2-40B4-BE49-F238E27FC236}">
                  <a16:creationId xmlns:a16="http://schemas.microsoft.com/office/drawing/2014/main" id="{00000000-0008-0000-0000-00008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61</xdr:row>
          <xdr:rowOff>9525</xdr:rowOff>
        </xdr:from>
        <xdr:to>
          <xdr:col>6</xdr:col>
          <xdr:colOff>219075</xdr:colOff>
          <xdr:row>61</xdr:row>
          <xdr:rowOff>171450</xdr:rowOff>
        </xdr:to>
        <xdr:sp macro="" textlink="">
          <xdr:nvSpPr>
            <xdr:cNvPr id="2191" name="Button 143"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62</xdr:row>
          <xdr:rowOff>9525</xdr:rowOff>
        </xdr:from>
        <xdr:to>
          <xdr:col>6</xdr:col>
          <xdr:colOff>219075</xdr:colOff>
          <xdr:row>62</xdr:row>
          <xdr:rowOff>171450</xdr:rowOff>
        </xdr:to>
        <xdr:sp macro="" textlink="">
          <xdr:nvSpPr>
            <xdr:cNvPr id="2192" name="Button 144"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63</xdr:row>
          <xdr:rowOff>9525</xdr:rowOff>
        </xdr:from>
        <xdr:to>
          <xdr:col>6</xdr:col>
          <xdr:colOff>219075</xdr:colOff>
          <xdr:row>63</xdr:row>
          <xdr:rowOff>171450</xdr:rowOff>
        </xdr:to>
        <xdr:sp macro="" textlink="">
          <xdr:nvSpPr>
            <xdr:cNvPr id="2193" name="Button 145"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64</xdr:row>
          <xdr:rowOff>9525</xdr:rowOff>
        </xdr:from>
        <xdr:to>
          <xdr:col>6</xdr:col>
          <xdr:colOff>219075</xdr:colOff>
          <xdr:row>64</xdr:row>
          <xdr:rowOff>171450</xdr:rowOff>
        </xdr:to>
        <xdr:sp macro="" textlink="">
          <xdr:nvSpPr>
            <xdr:cNvPr id="2194" name="Button 146"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66</xdr:row>
          <xdr:rowOff>9525</xdr:rowOff>
        </xdr:from>
        <xdr:to>
          <xdr:col>6</xdr:col>
          <xdr:colOff>219075</xdr:colOff>
          <xdr:row>66</xdr:row>
          <xdr:rowOff>171450</xdr:rowOff>
        </xdr:to>
        <xdr:sp macro="" textlink="">
          <xdr:nvSpPr>
            <xdr:cNvPr id="2195" name="Button 147" hidden="1">
              <a:extLst>
                <a:ext uri="{63B3BB69-23CF-44E3-9099-C40C66FF867C}">
                  <a14:compatExt spid="_x0000_s2195"/>
                </a:ext>
                <a:ext uri="{FF2B5EF4-FFF2-40B4-BE49-F238E27FC236}">
                  <a16:creationId xmlns:a16="http://schemas.microsoft.com/office/drawing/2014/main" id="{00000000-0008-0000-0000-00009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65</xdr:row>
          <xdr:rowOff>9525</xdr:rowOff>
        </xdr:from>
        <xdr:to>
          <xdr:col>6</xdr:col>
          <xdr:colOff>219075</xdr:colOff>
          <xdr:row>65</xdr:row>
          <xdr:rowOff>171450</xdr:rowOff>
        </xdr:to>
        <xdr:sp macro="" textlink="">
          <xdr:nvSpPr>
            <xdr:cNvPr id="2196" name="Button 148" hidden="1">
              <a:extLst>
                <a:ext uri="{63B3BB69-23CF-44E3-9099-C40C66FF867C}">
                  <a14:compatExt spid="_x0000_s2196"/>
                </a:ext>
                <a:ext uri="{FF2B5EF4-FFF2-40B4-BE49-F238E27FC236}">
                  <a16:creationId xmlns:a16="http://schemas.microsoft.com/office/drawing/2014/main" id="{00000000-0008-0000-0000-00009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67</xdr:row>
          <xdr:rowOff>9525</xdr:rowOff>
        </xdr:from>
        <xdr:to>
          <xdr:col>6</xdr:col>
          <xdr:colOff>219075</xdr:colOff>
          <xdr:row>67</xdr:row>
          <xdr:rowOff>171450</xdr:rowOff>
        </xdr:to>
        <xdr:sp macro="" textlink="">
          <xdr:nvSpPr>
            <xdr:cNvPr id="2197" name="Button 149" hidden="1">
              <a:extLst>
                <a:ext uri="{63B3BB69-23CF-44E3-9099-C40C66FF867C}">
                  <a14:compatExt spid="_x0000_s2197"/>
                </a:ext>
                <a:ext uri="{FF2B5EF4-FFF2-40B4-BE49-F238E27FC236}">
                  <a16:creationId xmlns:a16="http://schemas.microsoft.com/office/drawing/2014/main" id="{00000000-0008-0000-0000-00009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68</xdr:row>
          <xdr:rowOff>9525</xdr:rowOff>
        </xdr:from>
        <xdr:to>
          <xdr:col>6</xdr:col>
          <xdr:colOff>219075</xdr:colOff>
          <xdr:row>68</xdr:row>
          <xdr:rowOff>171450</xdr:rowOff>
        </xdr:to>
        <xdr:sp macro="" textlink="">
          <xdr:nvSpPr>
            <xdr:cNvPr id="2198" name="Button 150" hidden="1">
              <a:extLst>
                <a:ext uri="{63B3BB69-23CF-44E3-9099-C40C66FF867C}">
                  <a14:compatExt spid="_x0000_s2198"/>
                </a:ext>
                <a:ext uri="{FF2B5EF4-FFF2-40B4-BE49-F238E27FC236}">
                  <a16:creationId xmlns:a16="http://schemas.microsoft.com/office/drawing/2014/main" id="{00000000-0008-0000-0000-00009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69</xdr:row>
          <xdr:rowOff>9525</xdr:rowOff>
        </xdr:from>
        <xdr:to>
          <xdr:col>6</xdr:col>
          <xdr:colOff>219075</xdr:colOff>
          <xdr:row>69</xdr:row>
          <xdr:rowOff>171450</xdr:rowOff>
        </xdr:to>
        <xdr:sp macro="" textlink="">
          <xdr:nvSpPr>
            <xdr:cNvPr id="2199" name="Button 151" hidden="1">
              <a:extLst>
                <a:ext uri="{63B3BB69-23CF-44E3-9099-C40C66FF867C}">
                  <a14:compatExt spid="_x0000_s2199"/>
                </a:ext>
                <a:ext uri="{FF2B5EF4-FFF2-40B4-BE49-F238E27FC236}">
                  <a16:creationId xmlns:a16="http://schemas.microsoft.com/office/drawing/2014/main" id="{00000000-0008-0000-0000-00009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70</xdr:row>
          <xdr:rowOff>9525</xdr:rowOff>
        </xdr:from>
        <xdr:to>
          <xdr:col>6</xdr:col>
          <xdr:colOff>219075</xdr:colOff>
          <xdr:row>70</xdr:row>
          <xdr:rowOff>171450</xdr:rowOff>
        </xdr:to>
        <xdr:sp macro="" textlink="">
          <xdr:nvSpPr>
            <xdr:cNvPr id="2200" name="Button 152" hidden="1">
              <a:extLst>
                <a:ext uri="{63B3BB69-23CF-44E3-9099-C40C66FF867C}">
                  <a14:compatExt spid="_x0000_s2200"/>
                </a:ext>
                <a:ext uri="{FF2B5EF4-FFF2-40B4-BE49-F238E27FC236}">
                  <a16:creationId xmlns:a16="http://schemas.microsoft.com/office/drawing/2014/main" id="{00000000-0008-0000-0000-00009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71</xdr:row>
          <xdr:rowOff>9525</xdr:rowOff>
        </xdr:from>
        <xdr:to>
          <xdr:col>6</xdr:col>
          <xdr:colOff>219075</xdr:colOff>
          <xdr:row>71</xdr:row>
          <xdr:rowOff>171450</xdr:rowOff>
        </xdr:to>
        <xdr:sp macro="" textlink="">
          <xdr:nvSpPr>
            <xdr:cNvPr id="2201" name="Button 153" hidden="1">
              <a:extLst>
                <a:ext uri="{63B3BB69-23CF-44E3-9099-C40C66FF867C}">
                  <a14:compatExt spid="_x0000_s2201"/>
                </a:ext>
                <a:ext uri="{FF2B5EF4-FFF2-40B4-BE49-F238E27FC236}">
                  <a16:creationId xmlns:a16="http://schemas.microsoft.com/office/drawing/2014/main" id="{00000000-0008-0000-0000-00009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72</xdr:row>
          <xdr:rowOff>9525</xdr:rowOff>
        </xdr:from>
        <xdr:to>
          <xdr:col>6</xdr:col>
          <xdr:colOff>219075</xdr:colOff>
          <xdr:row>72</xdr:row>
          <xdr:rowOff>171450</xdr:rowOff>
        </xdr:to>
        <xdr:sp macro="" textlink="">
          <xdr:nvSpPr>
            <xdr:cNvPr id="2202" name="Button 154" hidden="1">
              <a:extLst>
                <a:ext uri="{63B3BB69-23CF-44E3-9099-C40C66FF867C}">
                  <a14:compatExt spid="_x0000_s2202"/>
                </a:ext>
                <a:ext uri="{FF2B5EF4-FFF2-40B4-BE49-F238E27FC236}">
                  <a16:creationId xmlns:a16="http://schemas.microsoft.com/office/drawing/2014/main" id="{00000000-0008-0000-0000-00009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73</xdr:row>
          <xdr:rowOff>9525</xdr:rowOff>
        </xdr:from>
        <xdr:to>
          <xdr:col>6</xdr:col>
          <xdr:colOff>219075</xdr:colOff>
          <xdr:row>73</xdr:row>
          <xdr:rowOff>171450</xdr:rowOff>
        </xdr:to>
        <xdr:sp macro="" textlink="">
          <xdr:nvSpPr>
            <xdr:cNvPr id="2203" name="Button 155" hidden="1">
              <a:extLst>
                <a:ext uri="{63B3BB69-23CF-44E3-9099-C40C66FF867C}">
                  <a14:compatExt spid="_x0000_s2203"/>
                </a:ext>
                <a:ext uri="{FF2B5EF4-FFF2-40B4-BE49-F238E27FC236}">
                  <a16:creationId xmlns:a16="http://schemas.microsoft.com/office/drawing/2014/main" id="{00000000-0008-0000-0000-00009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74</xdr:row>
          <xdr:rowOff>9525</xdr:rowOff>
        </xdr:from>
        <xdr:to>
          <xdr:col>6</xdr:col>
          <xdr:colOff>219075</xdr:colOff>
          <xdr:row>74</xdr:row>
          <xdr:rowOff>171450</xdr:rowOff>
        </xdr:to>
        <xdr:sp macro="" textlink="">
          <xdr:nvSpPr>
            <xdr:cNvPr id="2204" name="Button 156" hidden="1">
              <a:extLst>
                <a:ext uri="{63B3BB69-23CF-44E3-9099-C40C66FF867C}">
                  <a14:compatExt spid="_x0000_s2204"/>
                </a:ext>
                <a:ext uri="{FF2B5EF4-FFF2-40B4-BE49-F238E27FC236}">
                  <a16:creationId xmlns:a16="http://schemas.microsoft.com/office/drawing/2014/main" id="{00000000-0008-0000-0000-00009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75</xdr:row>
          <xdr:rowOff>9525</xdr:rowOff>
        </xdr:from>
        <xdr:to>
          <xdr:col>6</xdr:col>
          <xdr:colOff>219075</xdr:colOff>
          <xdr:row>75</xdr:row>
          <xdr:rowOff>171450</xdr:rowOff>
        </xdr:to>
        <xdr:sp macro="" textlink="">
          <xdr:nvSpPr>
            <xdr:cNvPr id="2205" name="Button 157" hidden="1">
              <a:extLst>
                <a:ext uri="{63B3BB69-23CF-44E3-9099-C40C66FF867C}">
                  <a14:compatExt spid="_x0000_s2205"/>
                </a:ext>
                <a:ext uri="{FF2B5EF4-FFF2-40B4-BE49-F238E27FC236}">
                  <a16:creationId xmlns:a16="http://schemas.microsoft.com/office/drawing/2014/main" id="{00000000-0008-0000-0000-00009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76</xdr:row>
          <xdr:rowOff>9525</xdr:rowOff>
        </xdr:from>
        <xdr:to>
          <xdr:col>6</xdr:col>
          <xdr:colOff>219075</xdr:colOff>
          <xdr:row>76</xdr:row>
          <xdr:rowOff>171450</xdr:rowOff>
        </xdr:to>
        <xdr:sp macro="" textlink="">
          <xdr:nvSpPr>
            <xdr:cNvPr id="2206" name="Button 158" hidden="1">
              <a:extLst>
                <a:ext uri="{63B3BB69-23CF-44E3-9099-C40C66FF867C}">
                  <a14:compatExt spid="_x0000_s2206"/>
                </a:ext>
                <a:ext uri="{FF2B5EF4-FFF2-40B4-BE49-F238E27FC236}">
                  <a16:creationId xmlns:a16="http://schemas.microsoft.com/office/drawing/2014/main" id="{00000000-0008-0000-0000-00009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77</xdr:row>
          <xdr:rowOff>9525</xdr:rowOff>
        </xdr:from>
        <xdr:to>
          <xdr:col>6</xdr:col>
          <xdr:colOff>219075</xdr:colOff>
          <xdr:row>77</xdr:row>
          <xdr:rowOff>171450</xdr:rowOff>
        </xdr:to>
        <xdr:sp macro="" textlink="">
          <xdr:nvSpPr>
            <xdr:cNvPr id="2207" name="Button 159" hidden="1">
              <a:extLst>
                <a:ext uri="{63B3BB69-23CF-44E3-9099-C40C66FF867C}">
                  <a14:compatExt spid="_x0000_s2207"/>
                </a:ext>
                <a:ext uri="{FF2B5EF4-FFF2-40B4-BE49-F238E27FC236}">
                  <a16:creationId xmlns:a16="http://schemas.microsoft.com/office/drawing/2014/main" id="{00000000-0008-0000-0000-00009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78</xdr:row>
          <xdr:rowOff>9525</xdr:rowOff>
        </xdr:from>
        <xdr:to>
          <xdr:col>6</xdr:col>
          <xdr:colOff>219075</xdr:colOff>
          <xdr:row>78</xdr:row>
          <xdr:rowOff>171450</xdr:rowOff>
        </xdr:to>
        <xdr:sp macro="" textlink="">
          <xdr:nvSpPr>
            <xdr:cNvPr id="2208" name="Button 160" hidden="1">
              <a:extLst>
                <a:ext uri="{63B3BB69-23CF-44E3-9099-C40C66FF867C}">
                  <a14:compatExt spid="_x0000_s2208"/>
                </a:ext>
                <a:ext uri="{FF2B5EF4-FFF2-40B4-BE49-F238E27FC236}">
                  <a16:creationId xmlns:a16="http://schemas.microsoft.com/office/drawing/2014/main" id="{00000000-0008-0000-0000-0000A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79</xdr:row>
          <xdr:rowOff>9525</xdr:rowOff>
        </xdr:from>
        <xdr:to>
          <xdr:col>6</xdr:col>
          <xdr:colOff>219075</xdr:colOff>
          <xdr:row>79</xdr:row>
          <xdr:rowOff>171450</xdr:rowOff>
        </xdr:to>
        <xdr:sp macro="" textlink="">
          <xdr:nvSpPr>
            <xdr:cNvPr id="2209" name="Button 161" hidden="1">
              <a:extLst>
                <a:ext uri="{63B3BB69-23CF-44E3-9099-C40C66FF867C}">
                  <a14:compatExt spid="_x0000_s2209"/>
                </a:ext>
                <a:ext uri="{FF2B5EF4-FFF2-40B4-BE49-F238E27FC236}">
                  <a16:creationId xmlns:a16="http://schemas.microsoft.com/office/drawing/2014/main" id="{00000000-0008-0000-0000-0000A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80</xdr:row>
          <xdr:rowOff>9525</xdr:rowOff>
        </xdr:from>
        <xdr:to>
          <xdr:col>6</xdr:col>
          <xdr:colOff>219075</xdr:colOff>
          <xdr:row>80</xdr:row>
          <xdr:rowOff>171450</xdr:rowOff>
        </xdr:to>
        <xdr:sp macro="" textlink="">
          <xdr:nvSpPr>
            <xdr:cNvPr id="2210" name="Button 162" hidden="1">
              <a:extLst>
                <a:ext uri="{63B3BB69-23CF-44E3-9099-C40C66FF867C}">
                  <a14:compatExt spid="_x0000_s2210"/>
                </a:ext>
                <a:ext uri="{FF2B5EF4-FFF2-40B4-BE49-F238E27FC236}">
                  <a16:creationId xmlns:a16="http://schemas.microsoft.com/office/drawing/2014/main" id="{00000000-0008-0000-0000-0000A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82</xdr:row>
          <xdr:rowOff>9525</xdr:rowOff>
        </xdr:from>
        <xdr:to>
          <xdr:col>6</xdr:col>
          <xdr:colOff>219075</xdr:colOff>
          <xdr:row>82</xdr:row>
          <xdr:rowOff>171450</xdr:rowOff>
        </xdr:to>
        <xdr:sp macro="" textlink="">
          <xdr:nvSpPr>
            <xdr:cNvPr id="2211" name="Button 163" hidden="1">
              <a:extLst>
                <a:ext uri="{63B3BB69-23CF-44E3-9099-C40C66FF867C}">
                  <a14:compatExt spid="_x0000_s2211"/>
                </a:ext>
                <a:ext uri="{FF2B5EF4-FFF2-40B4-BE49-F238E27FC236}">
                  <a16:creationId xmlns:a16="http://schemas.microsoft.com/office/drawing/2014/main" id="{00000000-0008-0000-0000-0000A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81</xdr:row>
          <xdr:rowOff>9525</xdr:rowOff>
        </xdr:from>
        <xdr:to>
          <xdr:col>6</xdr:col>
          <xdr:colOff>219075</xdr:colOff>
          <xdr:row>81</xdr:row>
          <xdr:rowOff>171450</xdr:rowOff>
        </xdr:to>
        <xdr:sp macro="" textlink="">
          <xdr:nvSpPr>
            <xdr:cNvPr id="2212" name="Button 164" hidden="1">
              <a:extLst>
                <a:ext uri="{63B3BB69-23CF-44E3-9099-C40C66FF867C}">
                  <a14:compatExt spid="_x0000_s2212"/>
                </a:ext>
                <a:ext uri="{FF2B5EF4-FFF2-40B4-BE49-F238E27FC236}">
                  <a16:creationId xmlns:a16="http://schemas.microsoft.com/office/drawing/2014/main" id="{00000000-0008-0000-0000-0000A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83</xdr:row>
          <xdr:rowOff>9525</xdr:rowOff>
        </xdr:from>
        <xdr:to>
          <xdr:col>6</xdr:col>
          <xdr:colOff>219075</xdr:colOff>
          <xdr:row>83</xdr:row>
          <xdr:rowOff>171450</xdr:rowOff>
        </xdr:to>
        <xdr:sp macro="" textlink="">
          <xdr:nvSpPr>
            <xdr:cNvPr id="2213" name="Button 165" hidden="1">
              <a:extLst>
                <a:ext uri="{63B3BB69-23CF-44E3-9099-C40C66FF867C}">
                  <a14:compatExt spid="_x0000_s2213"/>
                </a:ext>
                <a:ext uri="{FF2B5EF4-FFF2-40B4-BE49-F238E27FC236}">
                  <a16:creationId xmlns:a16="http://schemas.microsoft.com/office/drawing/2014/main" id="{00000000-0008-0000-0000-0000A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84</xdr:row>
          <xdr:rowOff>9525</xdr:rowOff>
        </xdr:from>
        <xdr:to>
          <xdr:col>6</xdr:col>
          <xdr:colOff>219075</xdr:colOff>
          <xdr:row>84</xdr:row>
          <xdr:rowOff>171450</xdr:rowOff>
        </xdr:to>
        <xdr:sp macro="" textlink="">
          <xdr:nvSpPr>
            <xdr:cNvPr id="2214" name="Button 166" hidden="1">
              <a:extLst>
                <a:ext uri="{63B3BB69-23CF-44E3-9099-C40C66FF867C}">
                  <a14:compatExt spid="_x0000_s2214"/>
                </a:ext>
                <a:ext uri="{FF2B5EF4-FFF2-40B4-BE49-F238E27FC236}">
                  <a16:creationId xmlns:a16="http://schemas.microsoft.com/office/drawing/2014/main" id="{00000000-0008-0000-0000-0000A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85</xdr:row>
          <xdr:rowOff>9525</xdr:rowOff>
        </xdr:from>
        <xdr:to>
          <xdr:col>6</xdr:col>
          <xdr:colOff>219075</xdr:colOff>
          <xdr:row>85</xdr:row>
          <xdr:rowOff>171450</xdr:rowOff>
        </xdr:to>
        <xdr:sp macro="" textlink="">
          <xdr:nvSpPr>
            <xdr:cNvPr id="2215" name="Button 167" hidden="1">
              <a:extLst>
                <a:ext uri="{63B3BB69-23CF-44E3-9099-C40C66FF867C}">
                  <a14:compatExt spid="_x0000_s2215"/>
                </a:ext>
                <a:ext uri="{FF2B5EF4-FFF2-40B4-BE49-F238E27FC236}">
                  <a16:creationId xmlns:a16="http://schemas.microsoft.com/office/drawing/2014/main" id="{00000000-0008-0000-0000-0000A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86</xdr:row>
          <xdr:rowOff>9525</xdr:rowOff>
        </xdr:from>
        <xdr:to>
          <xdr:col>6</xdr:col>
          <xdr:colOff>219075</xdr:colOff>
          <xdr:row>86</xdr:row>
          <xdr:rowOff>171450</xdr:rowOff>
        </xdr:to>
        <xdr:sp macro="" textlink="">
          <xdr:nvSpPr>
            <xdr:cNvPr id="2216" name="Button 168" hidden="1">
              <a:extLst>
                <a:ext uri="{63B3BB69-23CF-44E3-9099-C40C66FF867C}">
                  <a14:compatExt spid="_x0000_s2216"/>
                </a:ext>
                <a:ext uri="{FF2B5EF4-FFF2-40B4-BE49-F238E27FC236}">
                  <a16:creationId xmlns:a16="http://schemas.microsoft.com/office/drawing/2014/main" id="{00000000-0008-0000-0000-0000A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87</xdr:row>
          <xdr:rowOff>9525</xdr:rowOff>
        </xdr:from>
        <xdr:to>
          <xdr:col>4</xdr:col>
          <xdr:colOff>219075</xdr:colOff>
          <xdr:row>87</xdr:row>
          <xdr:rowOff>171450</xdr:rowOff>
        </xdr:to>
        <xdr:sp macro="" textlink="">
          <xdr:nvSpPr>
            <xdr:cNvPr id="2217" name="Button 169" hidden="1">
              <a:extLst>
                <a:ext uri="{63B3BB69-23CF-44E3-9099-C40C66FF867C}">
                  <a14:compatExt spid="_x0000_s2217"/>
                </a:ext>
                <a:ext uri="{FF2B5EF4-FFF2-40B4-BE49-F238E27FC236}">
                  <a16:creationId xmlns:a16="http://schemas.microsoft.com/office/drawing/2014/main" id="{00000000-0008-0000-0000-0000A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88</xdr:row>
          <xdr:rowOff>9525</xdr:rowOff>
        </xdr:from>
        <xdr:to>
          <xdr:col>4</xdr:col>
          <xdr:colOff>219075</xdr:colOff>
          <xdr:row>88</xdr:row>
          <xdr:rowOff>171450</xdr:rowOff>
        </xdr:to>
        <xdr:sp macro="" textlink="">
          <xdr:nvSpPr>
            <xdr:cNvPr id="2218" name="Button 170"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89</xdr:row>
          <xdr:rowOff>9525</xdr:rowOff>
        </xdr:from>
        <xdr:to>
          <xdr:col>4</xdr:col>
          <xdr:colOff>219075</xdr:colOff>
          <xdr:row>89</xdr:row>
          <xdr:rowOff>171450</xdr:rowOff>
        </xdr:to>
        <xdr:sp macro="" textlink="">
          <xdr:nvSpPr>
            <xdr:cNvPr id="2219" name="Button 171"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90</xdr:row>
          <xdr:rowOff>9525</xdr:rowOff>
        </xdr:from>
        <xdr:to>
          <xdr:col>4</xdr:col>
          <xdr:colOff>219075</xdr:colOff>
          <xdr:row>90</xdr:row>
          <xdr:rowOff>171450</xdr:rowOff>
        </xdr:to>
        <xdr:sp macro="" textlink="">
          <xdr:nvSpPr>
            <xdr:cNvPr id="2220" name="Button 172" hidden="1">
              <a:extLst>
                <a:ext uri="{63B3BB69-23CF-44E3-9099-C40C66FF867C}">
                  <a14:compatExt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91</xdr:row>
          <xdr:rowOff>9525</xdr:rowOff>
        </xdr:from>
        <xdr:to>
          <xdr:col>4</xdr:col>
          <xdr:colOff>219075</xdr:colOff>
          <xdr:row>91</xdr:row>
          <xdr:rowOff>171450</xdr:rowOff>
        </xdr:to>
        <xdr:sp macro="" textlink="">
          <xdr:nvSpPr>
            <xdr:cNvPr id="2221" name="Button 173" hidden="1">
              <a:extLst>
                <a:ext uri="{63B3BB69-23CF-44E3-9099-C40C66FF867C}">
                  <a14:compatExt spid="_x0000_s2221"/>
                </a:ext>
                <a:ext uri="{FF2B5EF4-FFF2-40B4-BE49-F238E27FC236}">
                  <a16:creationId xmlns:a16="http://schemas.microsoft.com/office/drawing/2014/main" id="{00000000-0008-0000-0000-0000A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92</xdr:row>
          <xdr:rowOff>9525</xdr:rowOff>
        </xdr:from>
        <xdr:to>
          <xdr:col>4</xdr:col>
          <xdr:colOff>219075</xdr:colOff>
          <xdr:row>92</xdr:row>
          <xdr:rowOff>171450</xdr:rowOff>
        </xdr:to>
        <xdr:sp macro="" textlink="">
          <xdr:nvSpPr>
            <xdr:cNvPr id="2222" name="Button 174" hidden="1">
              <a:extLst>
                <a:ext uri="{63B3BB69-23CF-44E3-9099-C40C66FF867C}">
                  <a14:compatExt spid="_x0000_s2222"/>
                </a:ext>
                <a:ext uri="{FF2B5EF4-FFF2-40B4-BE49-F238E27FC236}">
                  <a16:creationId xmlns:a16="http://schemas.microsoft.com/office/drawing/2014/main" id="{00000000-0008-0000-0000-0000A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93</xdr:row>
          <xdr:rowOff>9525</xdr:rowOff>
        </xdr:from>
        <xdr:to>
          <xdr:col>4</xdr:col>
          <xdr:colOff>219075</xdr:colOff>
          <xdr:row>93</xdr:row>
          <xdr:rowOff>171450</xdr:rowOff>
        </xdr:to>
        <xdr:sp macro="" textlink="">
          <xdr:nvSpPr>
            <xdr:cNvPr id="2223" name="Button 175"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94</xdr:row>
          <xdr:rowOff>9525</xdr:rowOff>
        </xdr:from>
        <xdr:to>
          <xdr:col>4</xdr:col>
          <xdr:colOff>219075</xdr:colOff>
          <xdr:row>94</xdr:row>
          <xdr:rowOff>171450</xdr:rowOff>
        </xdr:to>
        <xdr:sp macro="" textlink="">
          <xdr:nvSpPr>
            <xdr:cNvPr id="2224" name="Button 176" hidden="1">
              <a:extLst>
                <a:ext uri="{63B3BB69-23CF-44E3-9099-C40C66FF867C}">
                  <a14:compatExt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95</xdr:row>
          <xdr:rowOff>9525</xdr:rowOff>
        </xdr:from>
        <xdr:to>
          <xdr:col>4</xdr:col>
          <xdr:colOff>219075</xdr:colOff>
          <xdr:row>95</xdr:row>
          <xdr:rowOff>171450</xdr:rowOff>
        </xdr:to>
        <xdr:sp macro="" textlink="">
          <xdr:nvSpPr>
            <xdr:cNvPr id="2225" name="Button 177" hidden="1">
              <a:extLst>
                <a:ext uri="{63B3BB69-23CF-44E3-9099-C40C66FF867C}">
                  <a14:compatExt spid="_x0000_s2225"/>
                </a:ext>
                <a:ext uri="{FF2B5EF4-FFF2-40B4-BE49-F238E27FC236}">
                  <a16:creationId xmlns:a16="http://schemas.microsoft.com/office/drawing/2014/main" id="{00000000-0008-0000-0000-0000B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96</xdr:row>
          <xdr:rowOff>9525</xdr:rowOff>
        </xdr:from>
        <xdr:to>
          <xdr:col>4</xdr:col>
          <xdr:colOff>219075</xdr:colOff>
          <xdr:row>96</xdr:row>
          <xdr:rowOff>171450</xdr:rowOff>
        </xdr:to>
        <xdr:sp macro="" textlink="">
          <xdr:nvSpPr>
            <xdr:cNvPr id="2226" name="Button 178" hidden="1">
              <a:extLst>
                <a:ext uri="{63B3BB69-23CF-44E3-9099-C40C66FF867C}">
                  <a14:compatExt spid="_x0000_s2226"/>
                </a:ext>
                <a:ext uri="{FF2B5EF4-FFF2-40B4-BE49-F238E27FC236}">
                  <a16:creationId xmlns:a16="http://schemas.microsoft.com/office/drawing/2014/main" id="{00000000-0008-0000-0000-0000B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97</xdr:row>
          <xdr:rowOff>9525</xdr:rowOff>
        </xdr:from>
        <xdr:to>
          <xdr:col>4</xdr:col>
          <xdr:colOff>219075</xdr:colOff>
          <xdr:row>97</xdr:row>
          <xdr:rowOff>171450</xdr:rowOff>
        </xdr:to>
        <xdr:sp macro="" textlink="">
          <xdr:nvSpPr>
            <xdr:cNvPr id="2227" name="Button 179"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98</xdr:row>
          <xdr:rowOff>9525</xdr:rowOff>
        </xdr:from>
        <xdr:to>
          <xdr:col>4</xdr:col>
          <xdr:colOff>219075</xdr:colOff>
          <xdr:row>98</xdr:row>
          <xdr:rowOff>171450</xdr:rowOff>
        </xdr:to>
        <xdr:sp macro="" textlink="">
          <xdr:nvSpPr>
            <xdr:cNvPr id="2228" name="Button 180" hidden="1">
              <a:extLst>
                <a:ext uri="{63B3BB69-23CF-44E3-9099-C40C66FF867C}">
                  <a14:compatExt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99</xdr:row>
          <xdr:rowOff>9525</xdr:rowOff>
        </xdr:from>
        <xdr:to>
          <xdr:col>4</xdr:col>
          <xdr:colOff>219075</xdr:colOff>
          <xdr:row>99</xdr:row>
          <xdr:rowOff>171450</xdr:rowOff>
        </xdr:to>
        <xdr:sp macro="" textlink="">
          <xdr:nvSpPr>
            <xdr:cNvPr id="2229" name="Button 181"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100</xdr:row>
          <xdr:rowOff>9525</xdr:rowOff>
        </xdr:from>
        <xdr:to>
          <xdr:col>4</xdr:col>
          <xdr:colOff>219075</xdr:colOff>
          <xdr:row>100</xdr:row>
          <xdr:rowOff>171450</xdr:rowOff>
        </xdr:to>
        <xdr:sp macro="" textlink="">
          <xdr:nvSpPr>
            <xdr:cNvPr id="2230" name="Button 182" hidden="1">
              <a:extLst>
                <a:ext uri="{63B3BB69-23CF-44E3-9099-C40C66FF867C}">
                  <a14:compatExt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101</xdr:row>
          <xdr:rowOff>9525</xdr:rowOff>
        </xdr:from>
        <xdr:to>
          <xdr:col>4</xdr:col>
          <xdr:colOff>219075</xdr:colOff>
          <xdr:row>101</xdr:row>
          <xdr:rowOff>171450</xdr:rowOff>
        </xdr:to>
        <xdr:sp macro="" textlink="">
          <xdr:nvSpPr>
            <xdr:cNvPr id="2231" name="Button 183" hidden="1">
              <a:extLst>
                <a:ext uri="{63B3BB69-23CF-44E3-9099-C40C66FF867C}">
                  <a14:compatExt spid="_x0000_s2231"/>
                </a:ext>
                <a:ext uri="{FF2B5EF4-FFF2-40B4-BE49-F238E27FC236}">
                  <a16:creationId xmlns:a16="http://schemas.microsoft.com/office/drawing/2014/main" id="{00000000-0008-0000-0000-0000B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102</xdr:row>
          <xdr:rowOff>9525</xdr:rowOff>
        </xdr:from>
        <xdr:to>
          <xdr:col>4</xdr:col>
          <xdr:colOff>219075</xdr:colOff>
          <xdr:row>102</xdr:row>
          <xdr:rowOff>171450</xdr:rowOff>
        </xdr:to>
        <xdr:sp macro="" textlink="">
          <xdr:nvSpPr>
            <xdr:cNvPr id="2232" name="Button 184" hidden="1">
              <a:extLst>
                <a:ext uri="{63B3BB69-23CF-44E3-9099-C40C66FF867C}">
                  <a14:compatExt spid="_x0000_s2232"/>
                </a:ext>
                <a:ext uri="{FF2B5EF4-FFF2-40B4-BE49-F238E27FC236}">
                  <a16:creationId xmlns:a16="http://schemas.microsoft.com/office/drawing/2014/main" id="{00000000-0008-0000-0000-0000B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103</xdr:row>
          <xdr:rowOff>9525</xdr:rowOff>
        </xdr:from>
        <xdr:to>
          <xdr:col>4</xdr:col>
          <xdr:colOff>219075</xdr:colOff>
          <xdr:row>103</xdr:row>
          <xdr:rowOff>171450</xdr:rowOff>
        </xdr:to>
        <xdr:sp macro="" textlink="">
          <xdr:nvSpPr>
            <xdr:cNvPr id="2233" name="Button 185" hidden="1">
              <a:extLst>
                <a:ext uri="{63B3BB69-23CF-44E3-9099-C40C66FF867C}">
                  <a14:compatExt spid="_x0000_s2233"/>
                </a:ext>
                <a:ext uri="{FF2B5EF4-FFF2-40B4-BE49-F238E27FC236}">
                  <a16:creationId xmlns:a16="http://schemas.microsoft.com/office/drawing/2014/main" id="{00000000-0008-0000-0000-0000B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104</xdr:row>
          <xdr:rowOff>9525</xdr:rowOff>
        </xdr:from>
        <xdr:to>
          <xdr:col>4</xdr:col>
          <xdr:colOff>219075</xdr:colOff>
          <xdr:row>104</xdr:row>
          <xdr:rowOff>171450</xdr:rowOff>
        </xdr:to>
        <xdr:sp macro="" textlink="">
          <xdr:nvSpPr>
            <xdr:cNvPr id="2234" name="Button 186" hidden="1">
              <a:extLst>
                <a:ext uri="{63B3BB69-23CF-44E3-9099-C40C66FF867C}">
                  <a14:compatExt spid="_x0000_s2234"/>
                </a:ext>
                <a:ext uri="{FF2B5EF4-FFF2-40B4-BE49-F238E27FC236}">
                  <a16:creationId xmlns:a16="http://schemas.microsoft.com/office/drawing/2014/main" id="{00000000-0008-0000-0000-0000B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105</xdr:row>
          <xdr:rowOff>9525</xdr:rowOff>
        </xdr:from>
        <xdr:to>
          <xdr:col>4</xdr:col>
          <xdr:colOff>219075</xdr:colOff>
          <xdr:row>105</xdr:row>
          <xdr:rowOff>171450</xdr:rowOff>
        </xdr:to>
        <xdr:sp macro="" textlink="">
          <xdr:nvSpPr>
            <xdr:cNvPr id="2235" name="Button 187" hidden="1">
              <a:extLst>
                <a:ext uri="{63B3BB69-23CF-44E3-9099-C40C66FF867C}">
                  <a14:compatExt spid="_x0000_s2235"/>
                </a:ext>
                <a:ext uri="{FF2B5EF4-FFF2-40B4-BE49-F238E27FC236}">
                  <a16:creationId xmlns:a16="http://schemas.microsoft.com/office/drawing/2014/main" id="{00000000-0008-0000-0000-0000B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106</xdr:row>
          <xdr:rowOff>9525</xdr:rowOff>
        </xdr:from>
        <xdr:to>
          <xdr:col>4</xdr:col>
          <xdr:colOff>219075</xdr:colOff>
          <xdr:row>106</xdr:row>
          <xdr:rowOff>171450</xdr:rowOff>
        </xdr:to>
        <xdr:sp macro="" textlink="">
          <xdr:nvSpPr>
            <xdr:cNvPr id="2236" name="Button 188" hidden="1">
              <a:extLst>
                <a:ext uri="{63B3BB69-23CF-44E3-9099-C40C66FF867C}">
                  <a14:compatExt spid="_x0000_s2236"/>
                </a:ext>
                <a:ext uri="{FF2B5EF4-FFF2-40B4-BE49-F238E27FC236}">
                  <a16:creationId xmlns:a16="http://schemas.microsoft.com/office/drawing/2014/main" id="{00000000-0008-0000-0000-0000B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107</xdr:row>
          <xdr:rowOff>9525</xdr:rowOff>
        </xdr:from>
        <xdr:to>
          <xdr:col>4</xdr:col>
          <xdr:colOff>219075</xdr:colOff>
          <xdr:row>107</xdr:row>
          <xdr:rowOff>171450</xdr:rowOff>
        </xdr:to>
        <xdr:sp macro="" textlink="">
          <xdr:nvSpPr>
            <xdr:cNvPr id="2237" name="Button 189" hidden="1">
              <a:extLst>
                <a:ext uri="{63B3BB69-23CF-44E3-9099-C40C66FF867C}">
                  <a14:compatExt spid="_x0000_s2237"/>
                </a:ext>
                <a:ext uri="{FF2B5EF4-FFF2-40B4-BE49-F238E27FC236}">
                  <a16:creationId xmlns:a16="http://schemas.microsoft.com/office/drawing/2014/main" id="{00000000-0008-0000-0000-0000B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108</xdr:row>
          <xdr:rowOff>9525</xdr:rowOff>
        </xdr:from>
        <xdr:to>
          <xdr:col>4</xdr:col>
          <xdr:colOff>219075</xdr:colOff>
          <xdr:row>108</xdr:row>
          <xdr:rowOff>171450</xdr:rowOff>
        </xdr:to>
        <xdr:sp macro="" textlink="">
          <xdr:nvSpPr>
            <xdr:cNvPr id="2238" name="Button 190" hidden="1">
              <a:extLst>
                <a:ext uri="{63B3BB69-23CF-44E3-9099-C40C66FF867C}">
                  <a14:compatExt spid="_x0000_s2238"/>
                </a:ext>
                <a:ext uri="{FF2B5EF4-FFF2-40B4-BE49-F238E27FC236}">
                  <a16:creationId xmlns:a16="http://schemas.microsoft.com/office/drawing/2014/main" id="{00000000-0008-0000-0000-0000B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109</xdr:row>
          <xdr:rowOff>9525</xdr:rowOff>
        </xdr:from>
        <xdr:to>
          <xdr:col>4</xdr:col>
          <xdr:colOff>219075</xdr:colOff>
          <xdr:row>109</xdr:row>
          <xdr:rowOff>171450</xdr:rowOff>
        </xdr:to>
        <xdr:sp macro="" textlink="">
          <xdr:nvSpPr>
            <xdr:cNvPr id="2239" name="Button 191" hidden="1">
              <a:extLst>
                <a:ext uri="{63B3BB69-23CF-44E3-9099-C40C66FF867C}">
                  <a14:compatExt spid="_x0000_s2239"/>
                </a:ext>
                <a:ext uri="{FF2B5EF4-FFF2-40B4-BE49-F238E27FC236}">
                  <a16:creationId xmlns:a16="http://schemas.microsoft.com/office/drawing/2014/main" id="{00000000-0008-0000-0000-0000B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110</xdr:row>
          <xdr:rowOff>9525</xdr:rowOff>
        </xdr:from>
        <xdr:to>
          <xdr:col>4</xdr:col>
          <xdr:colOff>219075</xdr:colOff>
          <xdr:row>110</xdr:row>
          <xdr:rowOff>171450</xdr:rowOff>
        </xdr:to>
        <xdr:sp macro="" textlink="">
          <xdr:nvSpPr>
            <xdr:cNvPr id="2240" name="Button 192" hidden="1">
              <a:extLst>
                <a:ext uri="{63B3BB69-23CF-44E3-9099-C40C66FF867C}">
                  <a14:compatExt spid="_x0000_s2240"/>
                </a:ext>
                <a:ext uri="{FF2B5EF4-FFF2-40B4-BE49-F238E27FC236}">
                  <a16:creationId xmlns:a16="http://schemas.microsoft.com/office/drawing/2014/main" id="{00000000-0008-0000-0000-0000C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111</xdr:row>
          <xdr:rowOff>9525</xdr:rowOff>
        </xdr:from>
        <xdr:to>
          <xdr:col>4</xdr:col>
          <xdr:colOff>219075</xdr:colOff>
          <xdr:row>111</xdr:row>
          <xdr:rowOff>171450</xdr:rowOff>
        </xdr:to>
        <xdr:sp macro="" textlink="">
          <xdr:nvSpPr>
            <xdr:cNvPr id="2241" name="Button 193" hidden="1">
              <a:extLst>
                <a:ext uri="{63B3BB69-23CF-44E3-9099-C40C66FF867C}">
                  <a14:compatExt spid="_x0000_s2241"/>
                </a:ext>
                <a:ext uri="{FF2B5EF4-FFF2-40B4-BE49-F238E27FC236}">
                  <a16:creationId xmlns:a16="http://schemas.microsoft.com/office/drawing/2014/main" id="{00000000-0008-0000-0000-0000C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112</xdr:row>
          <xdr:rowOff>9525</xdr:rowOff>
        </xdr:from>
        <xdr:to>
          <xdr:col>4</xdr:col>
          <xdr:colOff>219075</xdr:colOff>
          <xdr:row>112</xdr:row>
          <xdr:rowOff>171450</xdr:rowOff>
        </xdr:to>
        <xdr:sp macro="" textlink="">
          <xdr:nvSpPr>
            <xdr:cNvPr id="2242" name="Button 194" hidden="1">
              <a:extLst>
                <a:ext uri="{63B3BB69-23CF-44E3-9099-C40C66FF867C}">
                  <a14:compatExt spid="_x0000_s2242"/>
                </a:ext>
                <a:ext uri="{FF2B5EF4-FFF2-40B4-BE49-F238E27FC236}">
                  <a16:creationId xmlns:a16="http://schemas.microsoft.com/office/drawing/2014/main" id="{00000000-0008-0000-0000-0000C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113</xdr:row>
          <xdr:rowOff>9525</xdr:rowOff>
        </xdr:from>
        <xdr:to>
          <xdr:col>4</xdr:col>
          <xdr:colOff>219075</xdr:colOff>
          <xdr:row>113</xdr:row>
          <xdr:rowOff>171450</xdr:rowOff>
        </xdr:to>
        <xdr:sp macro="" textlink="">
          <xdr:nvSpPr>
            <xdr:cNvPr id="2243" name="Button 195" hidden="1">
              <a:extLst>
                <a:ext uri="{63B3BB69-23CF-44E3-9099-C40C66FF867C}">
                  <a14:compatExt spid="_x0000_s2243"/>
                </a:ext>
                <a:ext uri="{FF2B5EF4-FFF2-40B4-BE49-F238E27FC236}">
                  <a16:creationId xmlns:a16="http://schemas.microsoft.com/office/drawing/2014/main" id="{00000000-0008-0000-0000-0000C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114</xdr:row>
          <xdr:rowOff>9525</xdr:rowOff>
        </xdr:from>
        <xdr:to>
          <xdr:col>4</xdr:col>
          <xdr:colOff>219075</xdr:colOff>
          <xdr:row>114</xdr:row>
          <xdr:rowOff>171450</xdr:rowOff>
        </xdr:to>
        <xdr:sp macro="" textlink="">
          <xdr:nvSpPr>
            <xdr:cNvPr id="2244" name="Button 196" hidden="1">
              <a:extLst>
                <a:ext uri="{63B3BB69-23CF-44E3-9099-C40C66FF867C}">
                  <a14:compatExt spid="_x0000_s2244"/>
                </a:ext>
                <a:ext uri="{FF2B5EF4-FFF2-40B4-BE49-F238E27FC236}">
                  <a16:creationId xmlns:a16="http://schemas.microsoft.com/office/drawing/2014/main" id="{00000000-0008-0000-0000-0000C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115</xdr:row>
          <xdr:rowOff>9525</xdr:rowOff>
        </xdr:from>
        <xdr:to>
          <xdr:col>4</xdr:col>
          <xdr:colOff>219075</xdr:colOff>
          <xdr:row>115</xdr:row>
          <xdr:rowOff>171450</xdr:rowOff>
        </xdr:to>
        <xdr:sp macro="" textlink="">
          <xdr:nvSpPr>
            <xdr:cNvPr id="2245" name="Button 197" hidden="1">
              <a:extLst>
                <a:ext uri="{63B3BB69-23CF-44E3-9099-C40C66FF867C}">
                  <a14:compatExt spid="_x0000_s2245"/>
                </a:ext>
                <a:ext uri="{FF2B5EF4-FFF2-40B4-BE49-F238E27FC236}">
                  <a16:creationId xmlns:a16="http://schemas.microsoft.com/office/drawing/2014/main" id="{00000000-0008-0000-0000-0000C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116</xdr:row>
          <xdr:rowOff>9525</xdr:rowOff>
        </xdr:from>
        <xdr:to>
          <xdr:col>4</xdr:col>
          <xdr:colOff>219075</xdr:colOff>
          <xdr:row>116</xdr:row>
          <xdr:rowOff>171450</xdr:rowOff>
        </xdr:to>
        <xdr:sp macro="" textlink="">
          <xdr:nvSpPr>
            <xdr:cNvPr id="2246" name="Button 198" hidden="1">
              <a:extLst>
                <a:ext uri="{63B3BB69-23CF-44E3-9099-C40C66FF867C}">
                  <a14:compatExt spid="_x0000_s2246"/>
                </a:ext>
                <a:ext uri="{FF2B5EF4-FFF2-40B4-BE49-F238E27FC236}">
                  <a16:creationId xmlns:a16="http://schemas.microsoft.com/office/drawing/2014/main" id="{00000000-0008-0000-0000-0000C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117</xdr:row>
          <xdr:rowOff>9525</xdr:rowOff>
        </xdr:from>
        <xdr:to>
          <xdr:col>4</xdr:col>
          <xdr:colOff>219075</xdr:colOff>
          <xdr:row>117</xdr:row>
          <xdr:rowOff>171450</xdr:rowOff>
        </xdr:to>
        <xdr:sp macro="" textlink="">
          <xdr:nvSpPr>
            <xdr:cNvPr id="2247" name="Button 199" hidden="1">
              <a:extLst>
                <a:ext uri="{63B3BB69-23CF-44E3-9099-C40C66FF867C}">
                  <a14:compatExt spid="_x0000_s2247"/>
                </a:ext>
                <a:ext uri="{FF2B5EF4-FFF2-40B4-BE49-F238E27FC236}">
                  <a16:creationId xmlns:a16="http://schemas.microsoft.com/office/drawing/2014/main" id="{00000000-0008-0000-0000-0000C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118</xdr:row>
          <xdr:rowOff>9525</xdr:rowOff>
        </xdr:from>
        <xdr:to>
          <xdr:col>4</xdr:col>
          <xdr:colOff>219075</xdr:colOff>
          <xdr:row>118</xdr:row>
          <xdr:rowOff>171450</xdr:rowOff>
        </xdr:to>
        <xdr:sp macro="" textlink="">
          <xdr:nvSpPr>
            <xdr:cNvPr id="2248" name="Button 200" hidden="1">
              <a:extLst>
                <a:ext uri="{63B3BB69-23CF-44E3-9099-C40C66FF867C}">
                  <a14:compatExt spid="_x0000_s2248"/>
                </a:ext>
                <a:ext uri="{FF2B5EF4-FFF2-40B4-BE49-F238E27FC236}">
                  <a16:creationId xmlns:a16="http://schemas.microsoft.com/office/drawing/2014/main" id="{00000000-0008-0000-0000-0000C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119</xdr:row>
          <xdr:rowOff>9525</xdr:rowOff>
        </xdr:from>
        <xdr:to>
          <xdr:col>4</xdr:col>
          <xdr:colOff>219075</xdr:colOff>
          <xdr:row>119</xdr:row>
          <xdr:rowOff>171450</xdr:rowOff>
        </xdr:to>
        <xdr:sp macro="" textlink="">
          <xdr:nvSpPr>
            <xdr:cNvPr id="2249" name="Button 201" hidden="1">
              <a:extLst>
                <a:ext uri="{63B3BB69-23CF-44E3-9099-C40C66FF867C}">
                  <a14:compatExt spid="_x0000_s2249"/>
                </a:ext>
                <a:ext uri="{FF2B5EF4-FFF2-40B4-BE49-F238E27FC236}">
                  <a16:creationId xmlns:a16="http://schemas.microsoft.com/office/drawing/2014/main" id="{00000000-0008-0000-0000-0000C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120</xdr:row>
          <xdr:rowOff>9525</xdr:rowOff>
        </xdr:from>
        <xdr:to>
          <xdr:col>4</xdr:col>
          <xdr:colOff>219075</xdr:colOff>
          <xdr:row>120</xdr:row>
          <xdr:rowOff>171450</xdr:rowOff>
        </xdr:to>
        <xdr:sp macro="" textlink="">
          <xdr:nvSpPr>
            <xdr:cNvPr id="2250" name="Button 202" hidden="1">
              <a:extLst>
                <a:ext uri="{63B3BB69-23CF-44E3-9099-C40C66FF867C}">
                  <a14:compatExt spid="_x0000_s2250"/>
                </a:ext>
                <a:ext uri="{FF2B5EF4-FFF2-40B4-BE49-F238E27FC236}">
                  <a16:creationId xmlns:a16="http://schemas.microsoft.com/office/drawing/2014/main" id="{00000000-0008-0000-0000-0000C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121</xdr:row>
          <xdr:rowOff>9525</xdr:rowOff>
        </xdr:from>
        <xdr:to>
          <xdr:col>4</xdr:col>
          <xdr:colOff>219075</xdr:colOff>
          <xdr:row>121</xdr:row>
          <xdr:rowOff>171450</xdr:rowOff>
        </xdr:to>
        <xdr:sp macro="" textlink="">
          <xdr:nvSpPr>
            <xdr:cNvPr id="2251" name="Button 203" hidden="1">
              <a:extLst>
                <a:ext uri="{63B3BB69-23CF-44E3-9099-C40C66FF867C}">
                  <a14:compatExt spid="_x0000_s2251"/>
                </a:ext>
                <a:ext uri="{FF2B5EF4-FFF2-40B4-BE49-F238E27FC236}">
                  <a16:creationId xmlns:a16="http://schemas.microsoft.com/office/drawing/2014/main" id="{00000000-0008-0000-0000-0000C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122</xdr:row>
          <xdr:rowOff>9525</xdr:rowOff>
        </xdr:from>
        <xdr:to>
          <xdr:col>4</xdr:col>
          <xdr:colOff>219075</xdr:colOff>
          <xdr:row>122</xdr:row>
          <xdr:rowOff>171450</xdr:rowOff>
        </xdr:to>
        <xdr:sp macro="" textlink="">
          <xdr:nvSpPr>
            <xdr:cNvPr id="2252" name="Button 204" hidden="1">
              <a:extLst>
                <a:ext uri="{63B3BB69-23CF-44E3-9099-C40C66FF867C}">
                  <a14:compatExt spid="_x0000_s2252"/>
                </a:ext>
                <a:ext uri="{FF2B5EF4-FFF2-40B4-BE49-F238E27FC236}">
                  <a16:creationId xmlns:a16="http://schemas.microsoft.com/office/drawing/2014/main" id="{00000000-0008-0000-0000-0000C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123</xdr:row>
          <xdr:rowOff>9525</xdr:rowOff>
        </xdr:from>
        <xdr:to>
          <xdr:col>4</xdr:col>
          <xdr:colOff>219075</xdr:colOff>
          <xdr:row>123</xdr:row>
          <xdr:rowOff>171450</xdr:rowOff>
        </xdr:to>
        <xdr:sp macro="" textlink="">
          <xdr:nvSpPr>
            <xdr:cNvPr id="2253" name="Button 205" hidden="1">
              <a:extLst>
                <a:ext uri="{63B3BB69-23CF-44E3-9099-C40C66FF867C}">
                  <a14:compatExt spid="_x0000_s2253"/>
                </a:ext>
                <a:ext uri="{FF2B5EF4-FFF2-40B4-BE49-F238E27FC236}">
                  <a16:creationId xmlns:a16="http://schemas.microsoft.com/office/drawing/2014/main" id="{00000000-0008-0000-0000-0000C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124</xdr:row>
          <xdr:rowOff>9525</xdr:rowOff>
        </xdr:from>
        <xdr:to>
          <xdr:col>4</xdr:col>
          <xdr:colOff>219075</xdr:colOff>
          <xdr:row>124</xdr:row>
          <xdr:rowOff>171450</xdr:rowOff>
        </xdr:to>
        <xdr:sp macro="" textlink="">
          <xdr:nvSpPr>
            <xdr:cNvPr id="2254" name="Button 206"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125</xdr:row>
          <xdr:rowOff>9525</xdr:rowOff>
        </xdr:from>
        <xdr:to>
          <xdr:col>4</xdr:col>
          <xdr:colOff>219075</xdr:colOff>
          <xdr:row>125</xdr:row>
          <xdr:rowOff>171450</xdr:rowOff>
        </xdr:to>
        <xdr:sp macro="" textlink="">
          <xdr:nvSpPr>
            <xdr:cNvPr id="2255" name="Button 207"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126</xdr:row>
          <xdr:rowOff>9525</xdr:rowOff>
        </xdr:from>
        <xdr:to>
          <xdr:col>4</xdr:col>
          <xdr:colOff>219075</xdr:colOff>
          <xdr:row>126</xdr:row>
          <xdr:rowOff>171450</xdr:rowOff>
        </xdr:to>
        <xdr:sp macro="" textlink="">
          <xdr:nvSpPr>
            <xdr:cNvPr id="2256" name="Button 208"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127</xdr:row>
          <xdr:rowOff>9525</xdr:rowOff>
        </xdr:from>
        <xdr:to>
          <xdr:col>4</xdr:col>
          <xdr:colOff>219075</xdr:colOff>
          <xdr:row>127</xdr:row>
          <xdr:rowOff>171450</xdr:rowOff>
        </xdr:to>
        <xdr:sp macro="" textlink="">
          <xdr:nvSpPr>
            <xdr:cNvPr id="2257" name="Button 209" hidden="1">
              <a:extLst>
                <a:ext uri="{63B3BB69-23CF-44E3-9099-C40C66FF867C}">
                  <a14:compatExt spid="_x0000_s2257"/>
                </a:ext>
                <a:ext uri="{FF2B5EF4-FFF2-40B4-BE49-F238E27FC236}">
                  <a16:creationId xmlns:a16="http://schemas.microsoft.com/office/drawing/2014/main" id="{00000000-0008-0000-0000-0000D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128</xdr:row>
          <xdr:rowOff>9525</xdr:rowOff>
        </xdr:from>
        <xdr:to>
          <xdr:col>4</xdr:col>
          <xdr:colOff>219075</xdr:colOff>
          <xdr:row>128</xdr:row>
          <xdr:rowOff>171450</xdr:rowOff>
        </xdr:to>
        <xdr:sp macro="" textlink="">
          <xdr:nvSpPr>
            <xdr:cNvPr id="2258" name="Button 210" hidden="1">
              <a:extLst>
                <a:ext uri="{63B3BB69-23CF-44E3-9099-C40C66FF867C}">
                  <a14:compatExt spid="_x0000_s2258"/>
                </a:ext>
                <a:ext uri="{FF2B5EF4-FFF2-40B4-BE49-F238E27FC236}">
                  <a16:creationId xmlns:a16="http://schemas.microsoft.com/office/drawing/2014/main" id="{00000000-0008-0000-0000-0000D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129</xdr:row>
          <xdr:rowOff>9525</xdr:rowOff>
        </xdr:from>
        <xdr:to>
          <xdr:col>4</xdr:col>
          <xdr:colOff>219075</xdr:colOff>
          <xdr:row>129</xdr:row>
          <xdr:rowOff>171450</xdr:rowOff>
        </xdr:to>
        <xdr:sp macro="" textlink="">
          <xdr:nvSpPr>
            <xdr:cNvPr id="2259" name="Button 211"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130</xdr:row>
          <xdr:rowOff>9525</xdr:rowOff>
        </xdr:from>
        <xdr:to>
          <xdr:col>4</xdr:col>
          <xdr:colOff>219075</xdr:colOff>
          <xdr:row>130</xdr:row>
          <xdr:rowOff>171450</xdr:rowOff>
        </xdr:to>
        <xdr:sp macro="" textlink="">
          <xdr:nvSpPr>
            <xdr:cNvPr id="2260" name="Button 212"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131</xdr:row>
          <xdr:rowOff>9525</xdr:rowOff>
        </xdr:from>
        <xdr:to>
          <xdr:col>4</xdr:col>
          <xdr:colOff>219075</xdr:colOff>
          <xdr:row>131</xdr:row>
          <xdr:rowOff>171450</xdr:rowOff>
        </xdr:to>
        <xdr:sp macro="" textlink="">
          <xdr:nvSpPr>
            <xdr:cNvPr id="2261" name="Button 213" hidden="1">
              <a:extLst>
                <a:ext uri="{63B3BB69-23CF-44E3-9099-C40C66FF867C}">
                  <a14:compatExt spid="_x0000_s2261"/>
                </a:ext>
                <a:ext uri="{FF2B5EF4-FFF2-40B4-BE49-F238E27FC236}">
                  <a16:creationId xmlns:a16="http://schemas.microsoft.com/office/drawing/2014/main" id="{00000000-0008-0000-0000-0000D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132</xdr:row>
          <xdr:rowOff>9525</xdr:rowOff>
        </xdr:from>
        <xdr:to>
          <xdr:col>4</xdr:col>
          <xdr:colOff>219075</xdr:colOff>
          <xdr:row>132</xdr:row>
          <xdr:rowOff>171450</xdr:rowOff>
        </xdr:to>
        <xdr:sp macro="" textlink="">
          <xdr:nvSpPr>
            <xdr:cNvPr id="2262" name="Button 214" hidden="1">
              <a:extLst>
                <a:ext uri="{63B3BB69-23CF-44E3-9099-C40C66FF867C}">
                  <a14:compatExt spid="_x0000_s2262"/>
                </a:ext>
                <a:ext uri="{FF2B5EF4-FFF2-40B4-BE49-F238E27FC236}">
                  <a16:creationId xmlns:a16="http://schemas.microsoft.com/office/drawing/2014/main" id="{00000000-0008-0000-0000-0000D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133</xdr:row>
          <xdr:rowOff>9525</xdr:rowOff>
        </xdr:from>
        <xdr:to>
          <xdr:col>4</xdr:col>
          <xdr:colOff>219075</xdr:colOff>
          <xdr:row>133</xdr:row>
          <xdr:rowOff>171450</xdr:rowOff>
        </xdr:to>
        <xdr:sp macro="" textlink="">
          <xdr:nvSpPr>
            <xdr:cNvPr id="2263" name="Button 215"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134</xdr:row>
          <xdr:rowOff>9525</xdr:rowOff>
        </xdr:from>
        <xdr:to>
          <xdr:col>4</xdr:col>
          <xdr:colOff>219075</xdr:colOff>
          <xdr:row>134</xdr:row>
          <xdr:rowOff>171450</xdr:rowOff>
        </xdr:to>
        <xdr:sp macro="" textlink="">
          <xdr:nvSpPr>
            <xdr:cNvPr id="2264" name="Button 216"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135</xdr:row>
          <xdr:rowOff>9525</xdr:rowOff>
        </xdr:from>
        <xdr:to>
          <xdr:col>4</xdr:col>
          <xdr:colOff>219075</xdr:colOff>
          <xdr:row>135</xdr:row>
          <xdr:rowOff>171450</xdr:rowOff>
        </xdr:to>
        <xdr:sp macro="" textlink="">
          <xdr:nvSpPr>
            <xdr:cNvPr id="2265" name="Button 217" hidden="1">
              <a:extLst>
                <a:ext uri="{63B3BB69-23CF-44E3-9099-C40C66FF867C}">
                  <a14:compatExt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136</xdr:row>
          <xdr:rowOff>9525</xdr:rowOff>
        </xdr:from>
        <xdr:to>
          <xdr:col>4</xdr:col>
          <xdr:colOff>219075</xdr:colOff>
          <xdr:row>136</xdr:row>
          <xdr:rowOff>171450</xdr:rowOff>
        </xdr:to>
        <xdr:sp macro="" textlink="">
          <xdr:nvSpPr>
            <xdr:cNvPr id="2266" name="Button 218"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137</xdr:row>
          <xdr:rowOff>9525</xdr:rowOff>
        </xdr:from>
        <xdr:to>
          <xdr:col>4</xdr:col>
          <xdr:colOff>219075</xdr:colOff>
          <xdr:row>137</xdr:row>
          <xdr:rowOff>171450</xdr:rowOff>
        </xdr:to>
        <xdr:sp macro="" textlink="">
          <xdr:nvSpPr>
            <xdr:cNvPr id="2267" name="Button 219" hidden="1">
              <a:extLst>
                <a:ext uri="{63B3BB69-23CF-44E3-9099-C40C66FF867C}">
                  <a14:compatExt spid="_x0000_s2267"/>
                </a:ext>
                <a:ext uri="{FF2B5EF4-FFF2-40B4-BE49-F238E27FC236}">
                  <a16:creationId xmlns:a16="http://schemas.microsoft.com/office/drawing/2014/main" id="{00000000-0008-0000-0000-0000D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138</xdr:row>
          <xdr:rowOff>9525</xdr:rowOff>
        </xdr:from>
        <xdr:to>
          <xdr:col>4</xdr:col>
          <xdr:colOff>219075</xdr:colOff>
          <xdr:row>138</xdr:row>
          <xdr:rowOff>171450</xdr:rowOff>
        </xdr:to>
        <xdr:sp macro="" textlink="">
          <xdr:nvSpPr>
            <xdr:cNvPr id="2268" name="Button 220" hidden="1">
              <a:extLst>
                <a:ext uri="{63B3BB69-23CF-44E3-9099-C40C66FF867C}">
                  <a14:compatExt spid="_x0000_s2268"/>
                </a:ext>
                <a:ext uri="{FF2B5EF4-FFF2-40B4-BE49-F238E27FC236}">
                  <a16:creationId xmlns:a16="http://schemas.microsoft.com/office/drawing/2014/main" id="{00000000-0008-0000-0000-0000D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139</xdr:row>
          <xdr:rowOff>9525</xdr:rowOff>
        </xdr:from>
        <xdr:to>
          <xdr:col>4</xdr:col>
          <xdr:colOff>219075</xdr:colOff>
          <xdr:row>139</xdr:row>
          <xdr:rowOff>171450</xdr:rowOff>
        </xdr:to>
        <xdr:sp macro="" textlink="">
          <xdr:nvSpPr>
            <xdr:cNvPr id="2269" name="Button 221" hidden="1">
              <a:extLst>
                <a:ext uri="{63B3BB69-23CF-44E3-9099-C40C66FF867C}">
                  <a14:compatExt spid="_x0000_s2269"/>
                </a:ext>
                <a:ext uri="{FF2B5EF4-FFF2-40B4-BE49-F238E27FC236}">
                  <a16:creationId xmlns:a16="http://schemas.microsoft.com/office/drawing/2014/main" id="{00000000-0008-0000-0000-0000D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140</xdr:row>
          <xdr:rowOff>9525</xdr:rowOff>
        </xdr:from>
        <xdr:to>
          <xdr:col>4</xdr:col>
          <xdr:colOff>219075</xdr:colOff>
          <xdr:row>140</xdr:row>
          <xdr:rowOff>171450</xdr:rowOff>
        </xdr:to>
        <xdr:sp macro="" textlink="">
          <xdr:nvSpPr>
            <xdr:cNvPr id="2270" name="Button 222" hidden="1">
              <a:extLst>
                <a:ext uri="{63B3BB69-23CF-44E3-9099-C40C66FF867C}">
                  <a14:compatExt spid="_x0000_s2270"/>
                </a:ext>
                <a:ext uri="{FF2B5EF4-FFF2-40B4-BE49-F238E27FC236}">
                  <a16:creationId xmlns:a16="http://schemas.microsoft.com/office/drawing/2014/main" id="{00000000-0008-0000-0000-0000D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141</xdr:row>
          <xdr:rowOff>9525</xdr:rowOff>
        </xdr:from>
        <xdr:to>
          <xdr:col>4</xdr:col>
          <xdr:colOff>219075</xdr:colOff>
          <xdr:row>141</xdr:row>
          <xdr:rowOff>171450</xdr:rowOff>
        </xdr:to>
        <xdr:sp macro="" textlink="">
          <xdr:nvSpPr>
            <xdr:cNvPr id="2271" name="Button 223" hidden="1">
              <a:extLst>
                <a:ext uri="{63B3BB69-23CF-44E3-9099-C40C66FF867C}">
                  <a14:compatExt spid="_x0000_s2271"/>
                </a:ext>
                <a:ext uri="{FF2B5EF4-FFF2-40B4-BE49-F238E27FC236}">
                  <a16:creationId xmlns:a16="http://schemas.microsoft.com/office/drawing/2014/main" id="{00000000-0008-0000-0000-0000D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142</xdr:row>
          <xdr:rowOff>9525</xdr:rowOff>
        </xdr:from>
        <xdr:to>
          <xdr:col>4</xdr:col>
          <xdr:colOff>219075</xdr:colOff>
          <xdr:row>142</xdr:row>
          <xdr:rowOff>171450</xdr:rowOff>
        </xdr:to>
        <xdr:sp macro="" textlink="">
          <xdr:nvSpPr>
            <xdr:cNvPr id="2272" name="Button 224" hidden="1">
              <a:extLst>
                <a:ext uri="{63B3BB69-23CF-44E3-9099-C40C66FF867C}">
                  <a14:compatExt spid="_x0000_s2272"/>
                </a:ext>
                <a:ext uri="{FF2B5EF4-FFF2-40B4-BE49-F238E27FC236}">
                  <a16:creationId xmlns:a16="http://schemas.microsoft.com/office/drawing/2014/main" id="{00000000-0008-0000-0000-0000E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143</xdr:row>
          <xdr:rowOff>9525</xdr:rowOff>
        </xdr:from>
        <xdr:to>
          <xdr:col>4</xdr:col>
          <xdr:colOff>219075</xdr:colOff>
          <xdr:row>143</xdr:row>
          <xdr:rowOff>171450</xdr:rowOff>
        </xdr:to>
        <xdr:sp macro="" textlink="">
          <xdr:nvSpPr>
            <xdr:cNvPr id="2273" name="Button 225" hidden="1">
              <a:extLst>
                <a:ext uri="{63B3BB69-23CF-44E3-9099-C40C66FF867C}">
                  <a14:compatExt spid="_x0000_s2273"/>
                </a:ext>
                <a:ext uri="{FF2B5EF4-FFF2-40B4-BE49-F238E27FC236}">
                  <a16:creationId xmlns:a16="http://schemas.microsoft.com/office/drawing/2014/main" id="{00000000-0008-0000-0000-0000E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144</xdr:row>
          <xdr:rowOff>9525</xdr:rowOff>
        </xdr:from>
        <xdr:to>
          <xdr:col>4</xdr:col>
          <xdr:colOff>219075</xdr:colOff>
          <xdr:row>144</xdr:row>
          <xdr:rowOff>171450</xdr:rowOff>
        </xdr:to>
        <xdr:sp macro="" textlink="">
          <xdr:nvSpPr>
            <xdr:cNvPr id="2274" name="Button 226" hidden="1">
              <a:extLst>
                <a:ext uri="{63B3BB69-23CF-44E3-9099-C40C66FF867C}">
                  <a14:compatExt spid="_x0000_s2274"/>
                </a:ext>
                <a:ext uri="{FF2B5EF4-FFF2-40B4-BE49-F238E27FC236}">
                  <a16:creationId xmlns:a16="http://schemas.microsoft.com/office/drawing/2014/main" id="{00000000-0008-0000-0000-0000E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145</xdr:row>
          <xdr:rowOff>9525</xdr:rowOff>
        </xdr:from>
        <xdr:to>
          <xdr:col>4</xdr:col>
          <xdr:colOff>219075</xdr:colOff>
          <xdr:row>145</xdr:row>
          <xdr:rowOff>171450</xdr:rowOff>
        </xdr:to>
        <xdr:sp macro="" textlink="">
          <xdr:nvSpPr>
            <xdr:cNvPr id="2275" name="Button 227" hidden="1">
              <a:extLst>
                <a:ext uri="{63B3BB69-23CF-44E3-9099-C40C66FF867C}">
                  <a14:compatExt spid="_x0000_s2275"/>
                </a:ext>
                <a:ext uri="{FF2B5EF4-FFF2-40B4-BE49-F238E27FC236}">
                  <a16:creationId xmlns:a16="http://schemas.microsoft.com/office/drawing/2014/main" id="{00000000-0008-0000-0000-0000E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146</xdr:row>
          <xdr:rowOff>9525</xdr:rowOff>
        </xdr:from>
        <xdr:to>
          <xdr:col>4</xdr:col>
          <xdr:colOff>219075</xdr:colOff>
          <xdr:row>146</xdr:row>
          <xdr:rowOff>171450</xdr:rowOff>
        </xdr:to>
        <xdr:sp macro="" textlink="">
          <xdr:nvSpPr>
            <xdr:cNvPr id="2276" name="Button 228" hidden="1">
              <a:extLst>
                <a:ext uri="{63B3BB69-23CF-44E3-9099-C40C66FF867C}">
                  <a14:compatExt spid="_x0000_s2276"/>
                </a:ext>
                <a:ext uri="{FF2B5EF4-FFF2-40B4-BE49-F238E27FC236}">
                  <a16:creationId xmlns:a16="http://schemas.microsoft.com/office/drawing/2014/main" id="{00000000-0008-0000-0000-0000E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147</xdr:row>
          <xdr:rowOff>9525</xdr:rowOff>
        </xdr:from>
        <xdr:to>
          <xdr:col>4</xdr:col>
          <xdr:colOff>219075</xdr:colOff>
          <xdr:row>147</xdr:row>
          <xdr:rowOff>171450</xdr:rowOff>
        </xdr:to>
        <xdr:sp macro="" textlink="">
          <xdr:nvSpPr>
            <xdr:cNvPr id="2277" name="Button 229" hidden="1">
              <a:extLst>
                <a:ext uri="{63B3BB69-23CF-44E3-9099-C40C66FF867C}">
                  <a14:compatExt spid="_x0000_s2277"/>
                </a:ext>
                <a:ext uri="{FF2B5EF4-FFF2-40B4-BE49-F238E27FC236}">
                  <a16:creationId xmlns:a16="http://schemas.microsoft.com/office/drawing/2014/main" id="{00000000-0008-0000-0000-0000E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148</xdr:row>
          <xdr:rowOff>9525</xdr:rowOff>
        </xdr:from>
        <xdr:to>
          <xdr:col>4</xdr:col>
          <xdr:colOff>219075</xdr:colOff>
          <xdr:row>148</xdr:row>
          <xdr:rowOff>171450</xdr:rowOff>
        </xdr:to>
        <xdr:sp macro="" textlink="">
          <xdr:nvSpPr>
            <xdr:cNvPr id="2278" name="Button 230" hidden="1">
              <a:extLst>
                <a:ext uri="{63B3BB69-23CF-44E3-9099-C40C66FF867C}">
                  <a14:compatExt spid="_x0000_s2278"/>
                </a:ext>
                <a:ext uri="{FF2B5EF4-FFF2-40B4-BE49-F238E27FC236}">
                  <a16:creationId xmlns:a16="http://schemas.microsoft.com/office/drawing/2014/main" id="{00000000-0008-0000-0000-0000E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149</xdr:row>
          <xdr:rowOff>9525</xdr:rowOff>
        </xdr:from>
        <xdr:to>
          <xdr:col>4</xdr:col>
          <xdr:colOff>219075</xdr:colOff>
          <xdr:row>149</xdr:row>
          <xdr:rowOff>171450</xdr:rowOff>
        </xdr:to>
        <xdr:sp macro="" textlink="">
          <xdr:nvSpPr>
            <xdr:cNvPr id="2279" name="Button 231" hidden="1">
              <a:extLst>
                <a:ext uri="{63B3BB69-23CF-44E3-9099-C40C66FF867C}">
                  <a14:compatExt spid="_x0000_s2279"/>
                </a:ext>
                <a:ext uri="{FF2B5EF4-FFF2-40B4-BE49-F238E27FC236}">
                  <a16:creationId xmlns:a16="http://schemas.microsoft.com/office/drawing/2014/main" id="{00000000-0008-0000-0000-0000E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150</xdr:row>
          <xdr:rowOff>9525</xdr:rowOff>
        </xdr:from>
        <xdr:to>
          <xdr:col>4</xdr:col>
          <xdr:colOff>219075</xdr:colOff>
          <xdr:row>150</xdr:row>
          <xdr:rowOff>171450</xdr:rowOff>
        </xdr:to>
        <xdr:sp macro="" textlink="">
          <xdr:nvSpPr>
            <xdr:cNvPr id="2280" name="Button 232" hidden="1">
              <a:extLst>
                <a:ext uri="{63B3BB69-23CF-44E3-9099-C40C66FF867C}">
                  <a14:compatExt spid="_x0000_s2280"/>
                </a:ext>
                <a:ext uri="{FF2B5EF4-FFF2-40B4-BE49-F238E27FC236}">
                  <a16:creationId xmlns:a16="http://schemas.microsoft.com/office/drawing/2014/main" id="{00000000-0008-0000-0000-0000E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87</xdr:row>
          <xdr:rowOff>9525</xdr:rowOff>
        </xdr:from>
        <xdr:to>
          <xdr:col>6</xdr:col>
          <xdr:colOff>219075</xdr:colOff>
          <xdr:row>87</xdr:row>
          <xdr:rowOff>171450</xdr:rowOff>
        </xdr:to>
        <xdr:sp macro="" textlink="">
          <xdr:nvSpPr>
            <xdr:cNvPr id="2331" name="Button 283" hidden="1">
              <a:extLst>
                <a:ext uri="{63B3BB69-23CF-44E3-9099-C40C66FF867C}">
                  <a14:compatExt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88</xdr:row>
          <xdr:rowOff>9525</xdr:rowOff>
        </xdr:from>
        <xdr:to>
          <xdr:col>6</xdr:col>
          <xdr:colOff>219075</xdr:colOff>
          <xdr:row>88</xdr:row>
          <xdr:rowOff>171450</xdr:rowOff>
        </xdr:to>
        <xdr:sp macro="" textlink="">
          <xdr:nvSpPr>
            <xdr:cNvPr id="2332" name="Button 284" hidden="1">
              <a:extLst>
                <a:ext uri="{63B3BB69-23CF-44E3-9099-C40C66FF867C}">
                  <a14:compatExt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89</xdr:row>
          <xdr:rowOff>9525</xdr:rowOff>
        </xdr:from>
        <xdr:to>
          <xdr:col>6</xdr:col>
          <xdr:colOff>219075</xdr:colOff>
          <xdr:row>89</xdr:row>
          <xdr:rowOff>171450</xdr:rowOff>
        </xdr:to>
        <xdr:sp macro="" textlink="">
          <xdr:nvSpPr>
            <xdr:cNvPr id="2333" name="Button 285" hidden="1">
              <a:extLst>
                <a:ext uri="{63B3BB69-23CF-44E3-9099-C40C66FF867C}">
                  <a14:compatExt spid="_x0000_s2333"/>
                </a:ext>
                <a:ext uri="{FF2B5EF4-FFF2-40B4-BE49-F238E27FC236}">
                  <a16:creationId xmlns:a16="http://schemas.microsoft.com/office/drawing/2014/main" id="{00000000-0008-0000-0000-00001D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90</xdr:row>
          <xdr:rowOff>9525</xdr:rowOff>
        </xdr:from>
        <xdr:to>
          <xdr:col>6</xdr:col>
          <xdr:colOff>219075</xdr:colOff>
          <xdr:row>90</xdr:row>
          <xdr:rowOff>171450</xdr:rowOff>
        </xdr:to>
        <xdr:sp macro="" textlink="">
          <xdr:nvSpPr>
            <xdr:cNvPr id="2334" name="Button 286" hidden="1">
              <a:extLst>
                <a:ext uri="{63B3BB69-23CF-44E3-9099-C40C66FF867C}">
                  <a14:compatExt spid="_x0000_s2334"/>
                </a:ext>
                <a:ext uri="{FF2B5EF4-FFF2-40B4-BE49-F238E27FC236}">
                  <a16:creationId xmlns:a16="http://schemas.microsoft.com/office/drawing/2014/main" id="{00000000-0008-0000-0000-00001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91</xdr:row>
          <xdr:rowOff>9525</xdr:rowOff>
        </xdr:from>
        <xdr:to>
          <xdr:col>6</xdr:col>
          <xdr:colOff>219075</xdr:colOff>
          <xdr:row>91</xdr:row>
          <xdr:rowOff>171450</xdr:rowOff>
        </xdr:to>
        <xdr:sp macro="" textlink="">
          <xdr:nvSpPr>
            <xdr:cNvPr id="2335" name="Button 287"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92</xdr:row>
          <xdr:rowOff>9525</xdr:rowOff>
        </xdr:from>
        <xdr:to>
          <xdr:col>6</xdr:col>
          <xdr:colOff>219075</xdr:colOff>
          <xdr:row>92</xdr:row>
          <xdr:rowOff>171450</xdr:rowOff>
        </xdr:to>
        <xdr:sp macro="" textlink="">
          <xdr:nvSpPr>
            <xdr:cNvPr id="2336" name="Button 288"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93</xdr:row>
          <xdr:rowOff>9525</xdr:rowOff>
        </xdr:from>
        <xdr:to>
          <xdr:col>6</xdr:col>
          <xdr:colOff>219075</xdr:colOff>
          <xdr:row>93</xdr:row>
          <xdr:rowOff>171450</xdr:rowOff>
        </xdr:to>
        <xdr:sp macro="" textlink="">
          <xdr:nvSpPr>
            <xdr:cNvPr id="2337" name="Button 289"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94</xdr:row>
          <xdr:rowOff>9525</xdr:rowOff>
        </xdr:from>
        <xdr:to>
          <xdr:col>6</xdr:col>
          <xdr:colOff>219075</xdr:colOff>
          <xdr:row>94</xdr:row>
          <xdr:rowOff>171450</xdr:rowOff>
        </xdr:to>
        <xdr:sp macro="" textlink="">
          <xdr:nvSpPr>
            <xdr:cNvPr id="2338" name="Button 290" hidden="1">
              <a:extLst>
                <a:ext uri="{63B3BB69-23CF-44E3-9099-C40C66FF867C}">
                  <a14:compatExt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95</xdr:row>
          <xdr:rowOff>9525</xdr:rowOff>
        </xdr:from>
        <xdr:to>
          <xdr:col>6</xdr:col>
          <xdr:colOff>219075</xdr:colOff>
          <xdr:row>95</xdr:row>
          <xdr:rowOff>171450</xdr:rowOff>
        </xdr:to>
        <xdr:sp macro="" textlink="">
          <xdr:nvSpPr>
            <xdr:cNvPr id="2339" name="Button 291" hidden="1">
              <a:extLst>
                <a:ext uri="{63B3BB69-23CF-44E3-9099-C40C66FF867C}">
                  <a14:compatExt spid="_x0000_s2339"/>
                </a:ext>
                <a:ext uri="{FF2B5EF4-FFF2-40B4-BE49-F238E27FC236}">
                  <a16:creationId xmlns:a16="http://schemas.microsoft.com/office/drawing/2014/main" id="{00000000-0008-0000-0000-00002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96</xdr:row>
          <xdr:rowOff>9525</xdr:rowOff>
        </xdr:from>
        <xdr:to>
          <xdr:col>6</xdr:col>
          <xdr:colOff>219075</xdr:colOff>
          <xdr:row>96</xdr:row>
          <xdr:rowOff>171450</xdr:rowOff>
        </xdr:to>
        <xdr:sp macro="" textlink="">
          <xdr:nvSpPr>
            <xdr:cNvPr id="2340" name="Button 292" hidden="1">
              <a:extLst>
                <a:ext uri="{63B3BB69-23CF-44E3-9099-C40C66FF867C}">
                  <a14:compatExt spid="_x0000_s2340"/>
                </a:ext>
                <a:ext uri="{FF2B5EF4-FFF2-40B4-BE49-F238E27FC236}">
                  <a16:creationId xmlns:a16="http://schemas.microsoft.com/office/drawing/2014/main" id="{00000000-0008-0000-0000-00002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97</xdr:row>
          <xdr:rowOff>9525</xdr:rowOff>
        </xdr:from>
        <xdr:to>
          <xdr:col>6</xdr:col>
          <xdr:colOff>219075</xdr:colOff>
          <xdr:row>97</xdr:row>
          <xdr:rowOff>171450</xdr:rowOff>
        </xdr:to>
        <xdr:sp macro="" textlink="">
          <xdr:nvSpPr>
            <xdr:cNvPr id="2341" name="Button 293" hidden="1">
              <a:extLst>
                <a:ext uri="{63B3BB69-23CF-44E3-9099-C40C66FF867C}">
                  <a14:compatExt spid="_x0000_s2341"/>
                </a:ext>
                <a:ext uri="{FF2B5EF4-FFF2-40B4-BE49-F238E27FC236}">
                  <a16:creationId xmlns:a16="http://schemas.microsoft.com/office/drawing/2014/main" id="{00000000-0008-0000-0000-00002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98</xdr:row>
          <xdr:rowOff>9525</xdr:rowOff>
        </xdr:from>
        <xdr:to>
          <xdr:col>6</xdr:col>
          <xdr:colOff>219075</xdr:colOff>
          <xdr:row>98</xdr:row>
          <xdr:rowOff>171450</xdr:rowOff>
        </xdr:to>
        <xdr:sp macro="" textlink="">
          <xdr:nvSpPr>
            <xdr:cNvPr id="2342" name="Button 294" hidden="1">
              <a:extLst>
                <a:ext uri="{63B3BB69-23CF-44E3-9099-C40C66FF867C}">
                  <a14:compatExt spid="_x0000_s2342"/>
                </a:ext>
                <a:ext uri="{FF2B5EF4-FFF2-40B4-BE49-F238E27FC236}">
                  <a16:creationId xmlns:a16="http://schemas.microsoft.com/office/drawing/2014/main" id="{00000000-0008-0000-0000-000026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99</xdr:row>
          <xdr:rowOff>9525</xdr:rowOff>
        </xdr:from>
        <xdr:to>
          <xdr:col>6</xdr:col>
          <xdr:colOff>219075</xdr:colOff>
          <xdr:row>99</xdr:row>
          <xdr:rowOff>171450</xdr:rowOff>
        </xdr:to>
        <xdr:sp macro="" textlink="">
          <xdr:nvSpPr>
            <xdr:cNvPr id="2343" name="Button 295" hidden="1">
              <a:extLst>
                <a:ext uri="{63B3BB69-23CF-44E3-9099-C40C66FF867C}">
                  <a14:compatExt spid="_x0000_s2343"/>
                </a:ext>
                <a:ext uri="{FF2B5EF4-FFF2-40B4-BE49-F238E27FC236}">
                  <a16:creationId xmlns:a16="http://schemas.microsoft.com/office/drawing/2014/main" id="{00000000-0008-0000-0000-00002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100</xdr:row>
          <xdr:rowOff>9525</xdr:rowOff>
        </xdr:from>
        <xdr:to>
          <xdr:col>6</xdr:col>
          <xdr:colOff>219075</xdr:colOff>
          <xdr:row>100</xdr:row>
          <xdr:rowOff>171450</xdr:rowOff>
        </xdr:to>
        <xdr:sp macro="" textlink="">
          <xdr:nvSpPr>
            <xdr:cNvPr id="2344" name="Button 296" hidden="1">
              <a:extLst>
                <a:ext uri="{63B3BB69-23CF-44E3-9099-C40C66FF867C}">
                  <a14:compatExt spid="_x0000_s2344"/>
                </a:ext>
                <a:ext uri="{FF2B5EF4-FFF2-40B4-BE49-F238E27FC236}">
                  <a16:creationId xmlns:a16="http://schemas.microsoft.com/office/drawing/2014/main" id="{00000000-0008-0000-0000-00002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101</xdr:row>
          <xdr:rowOff>9525</xdr:rowOff>
        </xdr:from>
        <xdr:to>
          <xdr:col>6</xdr:col>
          <xdr:colOff>219075</xdr:colOff>
          <xdr:row>101</xdr:row>
          <xdr:rowOff>171450</xdr:rowOff>
        </xdr:to>
        <xdr:sp macro="" textlink="">
          <xdr:nvSpPr>
            <xdr:cNvPr id="2345" name="Button 297" hidden="1">
              <a:extLst>
                <a:ext uri="{63B3BB69-23CF-44E3-9099-C40C66FF867C}">
                  <a14:compatExt spid="_x0000_s2345"/>
                </a:ext>
                <a:ext uri="{FF2B5EF4-FFF2-40B4-BE49-F238E27FC236}">
                  <a16:creationId xmlns:a16="http://schemas.microsoft.com/office/drawing/2014/main" id="{00000000-0008-0000-0000-00002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102</xdr:row>
          <xdr:rowOff>9525</xdr:rowOff>
        </xdr:from>
        <xdr:to>
          <xdr:col>6</xdr:col>
          <xdr:colOff>219075</xdr:colOff>
          <xdr:row>102</xdr:row>
          <xdr:rowOff>171450</xdr:rowOff>
        </xdr:to>
        <xdr:sp macro="" textlink="">
          <xdr:nvSpPr>
            <xdr:cNvPr id="2346" name="Button 298" hidden="1">
              <a:extLst>
                <a:ext uri="{63B3BB69-23CF-44E3-9099-C40C66FF867C}">
                  <a14:compatExt spid="_x0000_s2346"/>
                </a:ext>
                <a:ext uri="{FF2B5EF4-FFF2-40B4-BE49-F238E27FC236}">
                  <a16:creationId xmlns:a16="http://schemas.microsoft.com/office/drawing/2014/main" id="{00000000-0008-0000-0000-00002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103</xdr:row>
          <xdr:rowOff>9525</xdr:rowOff>
        </xdr:from>
        <xdr:to>
          <xdr:col>6</xdr:col>
          <xdr:colOff>219075</xdr:colOff>
          <xdr:row>103</xdr:row>
          <xdr:rowOff>171450</xdr:rowOff>
        </xdr:to>
        <xdr:sp macro="" textlink="">
          <xdr:nvSpPr>
            <xdr:cNvPr id="2347" name="Button 299" hidden="1">
              <a:extLst>
                <a:ext uri="{63B3BB69-23CF-44E3-9099-C40C66FF867C}">
                  <a14:compatExt spid="_x0000_s2347"/>
                </a:ext>
                <a:ext uri="{FF2B5EF4-FFF2-40B4-BE49-F238E27FC236}">
                  <a16:creationId xmlns:a16="http://schemas.microsoft.com/office/drawing/2014/main" id="{00000000-0008-0000-0000-00002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104</xdr:row>
          <xdr:rowOff>9525</xdr:rowOff>
        </xdr:from>
        <xdr:to>
          <xdr:col>6</xdr:col>
          <xdr:colOff>219075</xdr:colOff>
          <xdr:row>104</xdr:row>
          <xdr:rowOff>171450</xdr:rowOff>
        </xdr:to>
        <xdr:sp macro="" textlink="">
          <xdr:nvSpPr>
            <xdr:cNvPr id="2348" name="Button 300" hidden="1">
              <a:extLst>
                <a:ext uri="{63B3BB69-23CF-44E3-9099-C40C66FF867C}">
                  <a14:compatExt spid="_x0000_s2348"/>
                </a:ext>
                <a:ext uri="{FF2B5EF4-FFF2-40B4-BE49-F238E27FC236}">
                  <a16:creationId xmlns:a16="http://schemas.microsoft.com/office/drawing/2014/main" id="{00000000-0008-0000-0000-00002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105</xdr:row>
          <xdr:rowOff>9525</xdr:rowOff>
        </xdr:from>
        <xdr:to>
          <xdr:col>6</xdr:col>
          <xdr:colOff>219075</xdr:colOff>
          <xdr:row>105</xdr:row>
          <xdr:rowOff>171450</xdr:rowOff>
        </xdr:to>
        <xdr:sp macro="" textlink="">
          <xdr:nvSpPr>
            <xdr:cNvPr id="2349" name="Button 301" hidden="1">
              <a:extLst>
                <a:ext uri="{63B3BB69-23CF-44E3-9099-C40C66FF867C}">
                  <a14:compatExt spid="_x0000_s2349"/>
                </a:ext>
                <a:ext uri="{FF2B5EF4-FFF2-40B4-BE49-F238E27FC236}">
                  <a16:creationId xmlns:a16="http://schemas.microsoft.com/office/drawing/2014/main" id="{00000000-0008-0000-0000-00002D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106</xdr:row>
          <xdr:rowOff>9525</xdr:rowOff>
        </xdr:from>
        <xdr:to>
          <xdr:col>6</xdr:col>
          <xdr:colOff>219075</xdr:colOff>
          <xdr:row>106</xdr:row>
          <xdr:rowOff>171450</xdr:rowOff>
        </xdr:to>
        <xdr:sp macro="" textlink="">
          <xdr:nvSpPr>
            <xdr:cNvPr id="2350" name="Button 302" hidden="1">
              <a:extLst>
                <a:ext uri="{63B3BB69-23CF-44E3-9099-C40C66FF867C}">
                  <a14:compatExt spid="_x0000_s2350"/>
                </a:ext>
                <a:ext uri="{FF2B5EF4-FFF2-40B4-BE49-F238E27FC236}">
                  <a16:creationId xmlns:a16="http://schemas.microsoft.com/office/drawing/2014/main" id="{00000000-0008-0000-0000-00002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107</xdr:row>
          <xdr:rowOff>9525</xdr:rowOff>
        </xdr:from>
        <xdr:to>
          <xdr:col>6</xdr:col>
          <xdr:colOff>219075</xdr:colOff>
          <xdr:row>107</xdr:row>
          <xdr:rowOff>171450</xdr:rowOff>
        </xdr:to>
        <xdr:sp macro="" textlink="">
          <xdr:nvSpPr>
            <xdr:cNvPr id="2351" name="Button 303" hidden="1">
              <a:extLst>
                <a:ext uri="{63B3BB69-23CF-44E3-9099-C40C66FF867C}">
                  <a14:compatExt spid="_x0000_s2351"/>
                </a:ext>
                <a:ext uri="{FF2B5EF4-FFF2-40B4-BE49-F238E27FC236}">
                  <a16:creationId xmlns:a16="http://schemas.microsoft.com/office/drawing/2014/main" id="{00000000-0008-0000-0000-00002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108</xdr:row>
          <xdr:rowOff>9525</xdr:rowOff>
        </xdr:from>
        <xdr:to>
          <xdr:col>6</xdr:col>
          <xdr:colOff>219075</xdr:colOff>
          <xdr:row>108</xdr:row>
          <xdr:rowOff>171450</xdr:rowOff>
        </xdr:to>
        <xdr:sp macro="" textlink="">
          <xdr:nvSpPr>
            <xdr:cNvPr id="2352" name="Button 304" hidden="1">
              <a:extLst>
                <a:ext uri="{63B3BB69-23CF-44E3-9099-C40C66FF867C}">
                  <a14:compatExt spid="_x0000_s2352"/>
                </a:ext>
                <a:ext uri="{FF2B5EF4-FFF2-40B4-BE49-F238E27FC236}">
                  <a16:creationId xmlns:a16="http://schemas.microsoft.com/office/drawing/2014/main" id="{00000000-0008-0000-0000-00003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109</xdr:row>
          <xdr:rowOff>9525</xdr:rowOff>
        </xdr:from>
        <xdr:to>
          <xdr:col>6</xdr:col>
          <xdr:colOff>219075</xdr:colOff>
          <xdr:row>109</xdr:row>
          <xdr:rowOff>171450</xdr:rowOff>
        </xdr:to>
        <xdr:sp macro="" textlink="">
          <xdr:nvSpPr>
            <xdr:cNvPr id="2353" name="Button 305" hidden="1">
              <a:extLst>
                <a:ext uri="{63B3BB69-23CF-44E3-9099-C40C66FF867C}">
                  <a14:compatExt spid="_x0000_s2353"/>
                </a:ext>
                <a:ext uri="{FF2B5EF4-FFF2-40B4-BE49-F238E27FC236}">
                  <a16:creationId xmlns:a16="http://schemas.microsoft.com/office/drawing/2014/main" id="{00000000-0008-0000-0000-00003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110</xdr:row>
          <xdr:rowOff>9525</xdr:rowOff>
        </xdr:from>
        <xdr:to>
          <xdr:col>6</xdr:col>
          <xdr:colOff>219075</xdr:colOff>
          <xdr:row>110</xdr:row>
          <xdr:rowOff>171450</xdr:rowOff>
        </xdr:to>
        <xdr:sp macro="" textlink="">
          <xdr:nvSpPr>
            <xdr:cNvPr id="2354" name="Button 306" hidden="1">
              <a:extLst>
                <a:ext uri="{63B3BB69-23CF-44E3-9099-C40C66FF867C}">
                  <a14:compatExt spid="_x0000_s2354"/>
                </a:ext>
                <a:ext uri="{FF2B5EF4-FFF2-40B4-BE49-F238E27FC236}">
                  <a16:creationId xmlns:a16="http://schemas.microsoft.com/office/drawing/2014/main" id="{00000000-0008-0000-0000-00003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111</xdr:row>
          <xdr:rowOff>9525</xdr:rowOff>
        </xdr:from>
        <xdr:to>
          <xdr:col>6</xdr:col>
          <xdr:colOff>219075</xdr:colOff>
          <xdr:row>111</xdr:row>
          <xdr:rowOff>171450</xdr:rowOff>
        </xdr:to>
        <xdr:sp macro="" textlink="">
          <xdr:nvSpPr>
            <xdr:cNvPr id="2355" name="Button 307" hidden="1">
              <a:extLst>
                <a:ext uri="{63B3BB69-23CF-44E3-9099-C40C66FF867C}">
                  <a14:compatExt spid="_x0000_s2355"/>
                </a:ext>
                <a:ext uri="{FF2B5EF4-FFF2-40B4-BE49-F238E27FC236}">
                  <a16:creationId xmlns:a16="http://schemas.microsoft.com/office/drawing/2014/main" id="{00000000-0008-0000-0000-00003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112</xdr:row>
          <xdr:rowOff>9525</xdr:rowOff>
        </xdr:from>
        <xdr:to>
          <xdr:col>6</xdr:col>
          <xdr:colOff>219075</xdr:colOff>
          <xdr:row>112</xdr:row>
          <xdr:rowOff>171450</xdr:rowOff>
        </xdr:to>
        <xdr:sp macro="" textlink="">
          <xdr:nvSpPr>
            <xdr:cNvPr id="2356" name="Button 308" hidden="1">
              <a:extLst>
                <a:ext uri="{63B3BB69-23CF-44E3-9099-C40C66FF867C}">
                  <a14:compatExt spid="_x0000_s2356"/>
                </a:ext>
                <a:ext uri="{FF2B5EF4-FFF2-40B4-BE49-F238E27FC236}">
                  <a16:creationId xmlns:a16="http://schemas.microsoft.com/office/drawing/2014/main" id="{00000000-0008-0000-0000-00003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113</xdr:row>
          <xdr:rowOff>9525</xdr:rowOff>
        </xdr:from>
        <xdr:to>
          <xdr:col>6</xdr:col>
          <xdr:colOff>219075</xdr:colOff>
          <xdr:row>113</xdr:row>
          <xdr:rowOff>171450</xdr:rowOff>
        </xdr:to>
        <xdr:sp macro="" textlink="">
          <xdr:nvSpPr>
            <xdr:cNvPr id="2357" name="Button 309" hidden="1">
              <a:extLst>
                <a:ext uri="{63B3BB69-23CF-44E3-9099-C40C66FF867C}">
                  <a14:compatExt spid="_x0000_s2357"/>
                </a:ext>
                <a:ext uri="{FF2B5EF4-FFF2-40B4-BE49-F238E27FC236}">
                  <a16:creationId xmlns:a16="http://schemas.microsoft.com/office/drawing/2014/main" id="{00000000-0008-0000-0000-00003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114</xdr:row>
          <xdr:rowOff>9525</xdr:rowOff>
        </xdr:from>
        <xdr:to>
          <xdr:col>6</xdr:col>
          <xdr:colOff>219075</xdr:colOff>
          <xdr:row>114</xdr:row>
          <xdr:rowOff>171450</xdr:rowOff>
        </xdr:to>
        <xdr:sp macro="" textlink="">
          <xdr:nvSpPr>
            <xdr:cNvPr id="2358" name="Button 310" hidden="1">
              <a:extLst>
                <a:ext uri="{63B3BB69-23CF-44E3-9099-C40C66FF867C}">
                  <a14:compatExt spid="_x0000_s2358"/>
                </a:ext>
                <a:ext uri="{FF2B5EF4-FFF2-40B4-BE49-F238E27FC236}">
                  <a16:creationId xmlns:a16="http://schemas.microsoft.com/office/drawing/2014/main" id="{00000000-0008-0000-0000-000036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115</xdr:row>
          <xdr:rowOff>9525</xdr:rowOff>
        </xdr:from>
        <xdr:to>
          <xdr:col>6</xdr:col>
          <xdr:colOff>219075</xdr:colOff>
          <xdr:row>115</xdr:row>
          <xdr:rowOff>171450</xdr:rowOff>
        </xdr:to>
        <xdr:sp macro="" textlink="">
          <xdr:nvSpPr>
            <xdr:cNvPr id="2359" name="Button 311" hidden="1">
              <a:extLst>
                <a:ext uri="{63B3BB69-23CF-44E3-9099-C40C66FF867C}">
                  <a14:compatExt spid="_x0000_s2359"/>
                </a:ext>
                <a:ext uri="{FF2B5EF4-FFF2-40B4-BE49-F238E27FC236}">
                  <a16:creationId xmlns:a16="http://schemas.microsoft.com/office/drawing/2014/main" id="{00000000-0008-0000-0000-00003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116</xdr:row>
          <xdr:rowOff>9525</xdr:rowOff>
        </xdr:from>
        <xdr:to>
          <xdr:col>6</xdr:col>
          <xdr:colOff>219075</xdr:colOff>
          <xdr:row>116</xdr:row>
          <xdr:rowOff>171450</xdr:rowOff>
        </xdr:to>
        <xdr:sp macro="" textlink="">
          <xdr:nvSpPr>
            <xdr:cNvPr id="2360" name="Button 312" hidden="1">
              <a:extLst>
                <a:ext uri="{63B3BB69-23CF-44E3-9099-C40C66FF867C}">
                  <a14:compatExt spid="_x0000_s2360"/>
                </a:ext>
                <a:ext uri="{FF2B5EF4-FFF2-40B4-BE49-F238E27FC236}">
                  <a16:creationId xmlns:a16="http://schemas.microsoft.com/office/drawing/2014/main" id="{00000000-0008-0000-0000-00003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117</xdr:row>
          <xdr:rowOff>9525</xdr:rowOff>
        </xdr:from>
        <xdr:to>
          <xdr:col>6</xdr:col>
          <xdr:colOff>219075</xdr:colOff>
          <xdr:row>117</xdr:row>
          <xdr:rowOff>171450</xdr:rowOff>
        </xdr:to>
        <xdr:sp macro="" textlink="">
          <xdr:nvSpPr>
            <xdr:cNvPr id="2361" name="Button 313" hidden="1">
              <a:extLst>
                <a:ext uri="{63B3BB69-23CF-44E3-9099-C40C66FF867C}">
                  <a14:compatExt spid="_x0000_s2361"/>
                </a:ext>
                <a:ext uri="{FF2B5EF4-FFF2-40B4-BE49-F238E27FC236}">
                  <a16:creationId xmlns:a16="http://schemas.microsoft.com/office/drawing/2014/main" id="{00000000-0008-0000-0000-00003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118</xdr:row>
          <xdr:rowOff>9525</xdr:rowOff>
        </xdr:from>
        <xdr:to>
          <xdr:col>6</xdr:col>
          <xdr:colOff>219075</xdr:colOff>
          <xdr:row>118</xdr:row>
          <xdr:rowOff>171450</xdr:rowOff>
        </xdr:to>
        <xdr:sp macro="" textlink="">
          <xdr:nvSpPr>
            <xdr:cNvPr id="2362" name="Button 314" hidden="1">
              <a:extLst>
                <a:ext uri="{63B3BB69-23CF-44E3-9099-C40C66FF867C}">
                  <a14:compatExt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119</xdr:row>
          <xdr:rowOff>9525</xdr:rowOff>
        </xdr:from>
        <xdr:to>
          <xdr:col>6</xdr:col>
          <xdr:colOff>219075</xdr:colOff>
          <xdr:row>119</xdr:row>
          <xdr:rowOff>171450</xdr:rowOff>
        </xdr:to>
        <xdr:sp macro="" textlink="">
          <xdr:nvSpPr>
            <xdr:cNvPr id="2363" name="Button 315" hidden="1">
              <a:extLst>
                <a:ext uri="{63B3BB69-23CF-44E3-9099-C40C66FF867C}">
                  <a14:compatExt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120</xdr:row>
          <xdr:rowOff>9525</xdr:rowOff>
        </xdr:from>
        <xdr:to>
          <xdr:col>6</xdr:col>
          <xdr:colOff>219075</xdr:colOff>
          <xdr:row>120</xdr:row>
          <xdr:rowOff>171450</xdr:rowOff>
        </xdr:to>
        <xdr:sp macro="" textlink="">
          <xdr:nvSpPr>
            <xdr:cNvPr id="2364" name="Button 316"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121</xdr:row>
          <xdr:rowOff>9525</xdr:rowOff>
        </xdr:from>
        <xdr:to>
          <xdr:col>6</xdr:col>
          <xdr:colOff>219075</xdr:colOff>
          <xdr:row>121</xdr:row>
          <xdr:rowOff>171450</xdr:rowOff>
        </xdr:to>
        <xdr:sp macro="" textlink="">
          <xdr:nvSpPr>
            <xdr:cNvPr id="2365" name="Button 317" hidden="1">
              <a:extLst>
                <a:ext uri="{63B3BB69-23CF-44E3-9099-C40C66FF867C}">
                  <a14:compatExt spid="_x0000_s2365"/>
                </a:ext>
                <a:ext uri="{FF2B5EF4-FFF2-40B4-BE49-F238E27FC236}">
                  <a16:creationId xmlns:a16="http://schemas.microsoft.com/office/drawing/2014/main" id="{00000000-0008-0000-0000-00003D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122</xdr:row>
          <xdr:rowOff>9525</xdr:rowOff>
        </xdr:from>
        <xdr:to>
          <xdr:col>6</xdr:col>
          <xdr:colOff>219075</xdr:colOff>
          <xdr:row>122</xdr:row>
          <xdr:rowOff>171450</xdr:rowOff>
        </xdr:to>
        <xdr:sp macro="" textlink="">
          <xdr:nvSpPr>
            <xdr:cNvPr id="2366" name="Button 318" hidden="1">
              <a:extLst>
                <a:ext uri="{63B3BB69-23CF-44E3-9099-C40C66FF867C}">
                  <a14:compatExt spid="_x0000_s2366"/>
                </a:ext>
                <a:ext uri="{FF2B5EF4-FFF2-40B4-BE49-F238E27FC236}">
                  <a16:creationId xmlns:a16="http://schemas.microsoft.com/office/drawing/2014/main" id="{00000000-0008-0000-0000-00003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123</xdr:row>
          <xdr:rowOff>9525</xdr:rowOff>
        </xdr:from>
        <xdr:to>
          <xdr:col>6</xdr:col>
          <xdr:colOff>219075</xdr:colOff>
          <xdr:row>123</xdr:row>
          <xdr:rowOff>171450</xdr:rowOff>
        </xdr:to>
        <xdr:sp macro="" textlink="">
          <xdr:nvSpPr>
            <xdr:cNvPr id="2367" name="Button 319"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124</xdr:row>
          <xdr:rowOff>9525</xdr:rowOff>
        </xdr:from>
        <xdr:to>
          <xdr:col>6</xdr:col>
          <xdr:colOff>219075</xdr:colOff>
          <xdr:row>124</xdr:row>
          <xdr:rowOff>171450</xdr:rowOff>
        </xdr:to>
        <xdr:sp macro="" textlink="">
          <xdr:nvSpPr>
            <xdr:cNvPr id="2368" name="Button 320"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125</xdr:row>
          <xdr:rowOff>9525</xdr:rowOff>
        </xdr:from>
        <xdr:to>
          <xdr:col>6</xdr:col>
          <xdr:colOff>219075</xdr:colOff>
          <xdr:row>125</xdr:row>
          <xdr:rowOff>171450</xdr:rowOff>
        </xdr:to>
        <xdr:sp macro="" textlink="">
          <xdr:nvSpPr>
            <xdr:cNvPr id="2369" name="Button 321" hidden="1">
              <a:extLst>
                <a:ext uri="{63B3BB69-23CF-44E3-9099-C40C66FF867C}">
                  <a14:compatExt spid="_x0000_s2369"/>
                </a:ext>
                <a:ext uri="{FF2B5EF4-FFF2-40B4-BE49-F238E27FC236}">
                  <a16:creationId xmlns:a16="http://schemas.microsoft.com/office/drawing/2014/main" id="{00000000-0008-0000-0000-00004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126</xdr:row>
          <xdr:rowOff>9525</xdr:rowOff>
        </xdr:from>
        <xdr:to>
          <xdr:col>6</xdr:col>
          <xdr:colOff>219075</xdr:colOff>
          <xdr:row>126</xdr:row>
          <xdr:rowOff>171450</xdr:rowOff>
        </xdr:to>
        <xdr:sp macro="" textlink="">
          <xdr:nvSpPr>
            <xdr:cNvPr id="2370" name="Button 322" hidden="1">
              <a:extLst>
                <a:ext uri="{63B3BB69-23CF-44E3-9099-C40C66FF867C}">
                  <a14:compatExt spid="_x0000_s2370"/>
                </a:ext>
                <a:ext uri="{FF2B5EF4-FFF2-40B4-BE49-F238E27FC236}">
                  <a16:creationId xmlns:a16="http://schemas.microsoft.com/office/drawing/2014/main" id="{00000000-0008-0000-0000-00004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127</xdr:row>
          <xdr:rowOff>9525</xdr:rowOff>
        </xdr:from>
        <xdr:to>
          <xdr:col>6</xdr:col>
          <xdr:colOff>219075</xdr:colOff>
          <xdr:row>127</xdr:row>
          <xdr:rowOff>171450</xdr:rowOff>
        </xdr:to>
        <xdr:sp macro="" textlink="">
          <xdr:nvSpPr>
            <xdr:cNvPr id="2371" name="Button 323"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128</xdr:row>
          <xdr:rowOff>9525</xdr:rowOff>
        </xdr:from>
        <xdr:to>
          <xdr:col>6</xdr:col>
          <xdr:colOff>219075</xdr:colOff>
          <xdr:row>128</xdr:row>
          <xdr:rowOff>171450</xdr:rowOff>
        </xdr:to>
        <xdr:sp macro="" textlink="">
          <xdr:nvSpPr>
            <xdr:cNvPr id="2372" name="Button 324" hidden="1">
              <a:extLst>
                <a:ext uri="{63B3BB69-23CF-44E3-9099-C40C66FF867C}">
                  <a14:compatExt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129</xdr:row>
          <xdr:rowOff>9525</xdr:rowOff>
        </xdr:from>
        <xdr:to>
          <xdr:col>6</xdr:col>
          <xdr:colOff>219075</xdr:colOff>
          <xdr:row>129</xdr:row>
          <xdr:rowOff>171450</xdr:rowOff>
        </xdr:to>
        <xdr:sp macro="" textlink="">
          <xdr:nvSpPr>
            <xdr:cNvPr id="2373" name="Button 325"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130</xdr:row>
          <xdr:rowOff>9525</xdr:rowOff>
        </xdr:from>
        <xdr:to>
          <xdr:col>6</xdr:col>
          <xdr:colOff>219075</xdr:colOff>
          <xdr:row>130</xdr:row>
          <xdr:rowOff>171450</xdr:rowOff>
        </xdr:to>
        <xdr:sp macro="" textlink="">
          <xdr:nvSpPr>
            <xdr:cNvPr id="2374" name="Button 326" hidden="1">
              <a:extLst>
                <a:ext uri="{63B3BB69-23CF-44E3-9099-C40C66FF867C}">
                  <a14:compatExt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131</xdr:row>
          <xdr:rowOff>9525</xdr:rowOff>
        </xdr:from>
        <xdr:to>
          <xdr:col>6</xdr:col>
          <xdr:colOff>219075</xdr:colOff>
          <xdr:row>131</xdr:row>
          <xdr:rowOff>171450</xdr:rowOff>
        </xdr:to>
        <xdr:sp macro="" textlink="">
          <xdr:nvSpPr>
            <xdr:cNvPr id="2375" name="Button 327" hidden="1">
              <a:extLst>
                <a:ext uri="{63B3BB69-23CF-44E3-9099-C40C66FF867C}">
                  <a14:compatExt spid="_x0000_s2375"/>
                </a:ext>
                <a:ext uri="{FF2B5EF4-FFF2-40B4-BE49-F238E27FC236}">
                  <a16:creationId xmlns:a16="http://schemas.microsoft.com/office/drawing/2014/main" id="{00000000-0008-0000-0000-00004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132</xdr:row>
          <xdr:rowOff>9525</xdr:rowOff>
        </xdr:from>
        <xdr:to>
          <xdr:col>6</xdr:col>
          <xdr:colOff>219075</xdr:colOff>
          <xdr:row>132</xdr:row>
          <xdr:rowOff>171450</xdr:rowOff>
        </xdr:to>
        <xdr:sp macro="" textlink="">
          <xdr:nvSpPr>
            <xdr:cNvPr id="2376" name="Button 328" hidden="1">
              <a:extLst>
                <a:ext uri="{63B3BB69-23CF-44E3-9099-C40C66FF867C}">
                  <a14:compatExt spid="_x0000_s2376"/>
                </a:ext>
                <a:ext uri="{FF2B5EF4-FFF2-40B4-BE49-F238E27FC236}">
                  <a16:creationId xmlns:a16="http://schemas.microsoft.com/office/drawing/2014/main" id="{00000000-0008-0000-0000-00004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133</xdr:row>
          <xdr:rowOff>9525</xdr:rowOff>
        </xdr:from>
        <xdr:to>
          <xdr:col>6</xdr:col>
          <xdr:colOff>219075</xdr:colOff>
          <xdr:row>133</xdr:row>
          <xdr:rowOff>171450</xdr:rowOff>
        </xdr:to>
        <xdr:sp macro="" textlink="">
          <xdr:nvSpPr>
            <xdr:cNvPr id="2377" name="Button 329" hidden="1">
              <a:extLst>
                <a:ext uri="{63B3BB69-23CF-44E3-9099-C40C66FF867C}">
                  <a14:compatExt spid="_x0000_s2377"/>
                </a:ext>
                <a:ext uri="{FF2B5EF4-FFF2-40B4-BE49-F238E27FC236}">
                  <a16:creationId xmlns:a16="http://schemas.microsoft.com/office/drawing/2014/main" id="{00000000-0008-0000-0000-00004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134</xdr:row>
          <xdr:rowOff>9525</xdr:rowOff>
        </xdr:from>
        <xdr:to>
          <xdr:col>6</xdr:col>
          <xdr:colOff>219075</xdr:colOff>
          <xdr:row>134</xdr:row>
          <xdr:rowOff>171450</xdr:rowOff>
        </xdr:to>
        <xdr:sp macro="" textlink="">
          <xdr:nvSpPr>
            <xdr:cNvPr id="2378" name="Button 330" hidden="1">
              <a:extLst>
                <a:ext uri="{63B3BB69-23CF-44E3-9099-C40C66FF867C}">
                  <a14:compatExt spid="_x0000_s2378"/>
                </a:ext>
                <a:ext uri="{FF2B5EF4-FFF2-40B4-BE49-F238E27FC236}">
                  <a16:creationId xmlns:a16="http://schemas.microsoft.com/office/drawing/2014/main" id="{00000000-0008-0000-0000-00004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135</xdr:row>
          <xdr:rowOff>9525</xdr:rowOff>
        </xdr:from>
        <xdr:to>
          <xdr:col>6</xdr:col>
          <xdr:colOff>219075</xdr:colOff>
          <xdr:row>135</xdr:row>
          <xdr:rowOff>171450</xdr:rowOff>
        </xdr:to>
        <xdr:sp macro="" textlink="">
          <xdr:nvSpPr>
            <xdr:cNvPr id="2379" name="Button 331" hidden="1">
              <a:extLst>
                <a:ext uri="{63B3BB69-23CF-44E3-9099-C40C66FF867C}">
                  <a14:compatExt spid="_x0000_s2379"/>
                </a:ext>
                <a:ext uri="{FF2B5EF4-FFF2-40B4-BE49-F238E27FC236}">
                  <a16:creationId xmlns:a16="http://schemas.microsoft.com/office/drawing/2014/main" id="{00000000-0008-0000-0000-00004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136</xdr:row>
          <xdr:rowOff>9525</xdr:rowOff>
        </xdr:from>
        <xdr:to>
          <xdr:col>6</xdr:col>
          <xdr:colOff>219075</xdr:colOff>
          <xdr:row>136</xdr:row>
          <xdr:rowOff>171450</xdr:rowOff>
        </xdr:to>
        <xdr:sp macro="" textlink="">
          <xdr:nvSpPr>
            <xdr:cNvPr id="2380" name="Button 332" hidden="1">
              <a:extLst>
                <a:ext uri="{63B3BB69-23CF-44E3-9099-C40C66FF867C}">
                  <a14:compatExt spid="_x0000_s2380"/>
                </a:ext>
                <a:ext uri="{FF2B5EF4-FFF2-40B4-BE49-F238E27FC236}">
                  <a16:creationId xmlns:a16="http://schemas.microsoft.com/office/drawing/2014/main" id="{00000000-0008-0000-0000-00004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137</xdr:row>
          <xdr:rowOff>9525</xdr:rowOff>
        </xdr:from>
        <xdr:to>
          <xdr:col>6</xdr:col>
          <xdr:colOff>219075</xdr:colOff>
          <xdr:row>137</xdr:row>
          <xdr:rowOff>171450</xdr:rowOff>
        </xdr:to>
        <xdr:sp macro="" textlink="">
          <xdr:nvSpPr>
            <xdr:cNvPr id="2381" name="Button 333" hidden="1">
              <a:extLst>
                <a:ext uri="{63B3BB69-23CF-44E3-9099-C40C66FF867C}">
                  <a14:compatExt spid="_x0000_s2381"/>
                </a:ext>
                <a:ext uri="{FF2B5EF4-FFF2-40B4-BE49-F238E27FC236}">
                  <a16:creationId xmlns:a16="http://schemas.microsoft.com/office/drawing/2014/main" id="{00000000-0008-0000-0000-00004D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138</xdr:row>
          <xdr:rowOff>9525</xdr:rowOff>
        </xdr:from>
        <xdr:to>
          <xdr:col>6</xdr:col>
          <xdr:colOff>219075</xdr:colOff>
          <xdr:row>138</xdr:row>
          <xdr:rowOff>171450</xdr:rowOff>
        </xdr:to>
        <xdr:sp macro="" textlink="">
          <xdr:nvSpPr>
            <xdr:cNvPr id="2382" name="Button 334" hidden="1">
              <a:extLst>
                <a:ext uri="{63B3BB69-23CF-44E3-9099-C40C66FF867C}">
                  <a14:compatExt spid="_x0000_s2382"/>
                </a:ext>
                <a:ext uri="{FF2B5EF4-FFF2-40B4-BE49-F238E27FC236}">
                  <a16:creationId xmlns:a16="http://schemas.microsoft.com/office/drawing/2014/main" id="{00000000-0008-0000-0000-00004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139</xdr:row>
          <xdr:rowOff>9525</xdr:rowOff>
        </xdr:from>
        <xdr:to>
          <xdr:col>6</xdr:col>
          <xdr:colOff>219075</xdr:colOff>
          <xdr:row>139</xdr:row>
          <xdr:rowOff>171450</xdr:rowOff>
        </xdr:to>
        <xdr:sp macro="" textlink="">
          <xdr:nvSpPr>
            <xdr:cNvPr id="2383" name="Button 335" hidden="1">
              <a:extLst>
                <a:ext uri="{63B3BB69-23CF-44E3-9099-C40C66FF867C}">
                  <a14:compatExt spid="_x0000_s2383"/>
                </a:ext>
                <a:ext uri="{FF2B5EF4-FFF2-40B4-BE49-F238E27FC236}">
                  <a16:creationId xmlns:a16="http://schemas.microsoft.com/office/drawing/2014/main" id="{00000000-0008-0000-0000-00004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140</xdr:row>
          <xdr:rowOff>9525</xdr:rowOff>
        </xdr:from>
        <xdr:to>
          <xdr:col>6</xdr:col>
          <xdr:colOff>219075</xdr:colOff>
          <xdr:row>140</xdr:row>
          <xdr:rowOff>171450</xdr:rowOff>
        </xdr:to>
        <xdr:sp macro="" textlink="">
          <xdr:nvSpPr>
            <xdr:cNvPr id="2384" name="Button 336" hidden="1">
              <a:extLst>
                <a:ext uri="{63B3BB69-23CF-44E3-9099-C40C66FF867C}">
                  <a14:compatExt spid="_x0000_s2384"/>
                </a:ext>
                <a:ext uri="{FF2B5EF4-FFF2-40B4-BE49-F238E27FC236}">
                  <a16:creationId xmlns:a16="http://schemas.microsoft.com/office/drawing/2014/main" id="{00000000-0008-0000-0000-00005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141</xdr:row>
          <xdr:rowOff>9525</xdr:rowOff>
        </xdr:from>
        <xdr:to>
          <xdr:col>6</xdr:col>
          <xdr:colOff>219075</xdr:colOff>
          <xdr:row>141</xdr:row>
          <xdr:rowOff>171450</xdr:rowOff>
        </xdr:to>
        <xdr:sp macro="" textlink="">
          <xdr:nvSpPr>
            <xdr:cNvPr id="2385" name="Button 337" hidden="1">
              <a:extLst>
                <a:ext uri="{63B3BB69-23CF-44E3-9099-C40C66FF867C}">
                  <a14:compatExt spid="_x0000_s2385"/>
                </a:ext>
                <a:ext uri="{FF2B5EF4-FFF2-40B4-BE49-F238E27FC236}">
                  <a16:creationId xmlns:a16="http://schemas.microsoft.com/office/drawing/2014/main" id="{00000000-0008-0000-0000-00005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142</xdr:row>
          <xdr:rowOff>9525</xdr:rowOff>
        </xdr:from>
        <xdr:to>
          <xdr:col>6</xdr:col>
          <xdr:colOff>219075</xdr:colOff>
          <xdr:row>142</xdr:row>
          <xdr:rowOff>171450</xdr:rowOff>
        </xdr:to>
        <xdr:sp macro="" textlink="">
          <xdr:nvSpPr>
            <xdr:cNvPr id="2386" name="Button 338" hidden="1">
              <a:extLst>
                <a:ext uri="{63B3BB69-23CF-44E3-9099-C40C66FF867C}">
                  <a14:compatExt spid="_x0000_s2386"/>
                </a:ext>
                <a:ext uri="{FF2B5EF4-FFF2-40B4-BE49-F238E27FC236}">
                  <a16:creationId xmlns:a16="http://schemas.microsoft.com/office/drawing/2014/main" id="{00000000-0008-0000-0000-00005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143</xdr:row>
          <xdr:rowOff>9525</xdr:rowOff>
        </xdr:from>
        <xdr:to>
          <xdr:col>6</xdr:col>
          <xdr:colOff>219075</xdr:colOff>
          <xdr:row>143</xdr:row>
          <xdr:rowOff>171450</xdr:rowOff>
        </xdr:to>
        <xdr:sp macro="" textlink="">
          <xdr:nvSpPr>
            <xdr:cNvPr id="2387" name="Button 339" hidden="1">
              <a:extLst>
                <a:ext uri="{63B3BB69-23CF-44E3-9099-C40C66FF867C}">
                  <a14:compatExt spid="_x0000_s2387"/>
                </a:ext>
                <a:ext uri="{FF2B5EF4-FFF2-40B4-BE49-F238E27FC236}">
                  <a16:creationId xmlns:a16="http://schemas.microsoft.com/office/drawing/2014/main" id="{00000000-0008-0000-0000-00005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144</xdr:row>
          <xdr:rowOff>9525</xdr:rowOff>
        </xdr:from>
        <xdr:to>
          <xdr:col>6</xdr:col>
          <xdr:colOff>219075</xdr:colOff>
          <xdr:row>144</xdr:row>
          <xdr:rowOff>171450</xdr:rowOff>
        </xdr:to>
        <xdr:sp macro="" textlink="">
          <xdr:nvSpPr>
            <xdr:cNvPr id="2388" name="Button 340" hidden="1">
              <a:extLst>
                <a:ext uri="{63B3BB69-23CF-44E3-9099-C40C66FF867C}">
                  <a14:compatExt spid="_x0000_s2388"/>
                </a:ext>
                <a:ext uri="{FF2B5EF4-FFF2-40B4-BE49-F238E27FC236}">
                  <a16:creationId xmlns:a16="http://schemas.microsoft.com/office/drawing/2014/main" id="{00000000-0008-0000-0000-00005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145</xdr:row>
          <xdr:rowOff>9525</xdr:rowOff>
        </xdr:from>
        <xdr:to>
          <xdr:col>6</xdr:col>
          <xdr:colOff>219075</xdr:colOff>
          <xdr:row>145</xdr:row>
          <xdr:rowOff>171450</xdr:rowOff>
        </xdr:to>
        <xdr:sp macro="" textlink="">
          <xdr:nvSpPr>
            <xdr:cNvPr id="2389" name="Button 341" hidden="1">
              <a:extLst>
                <a:ext uri="{63B3BB69-23CF-44E3-9099-C40C66FF867C}">
                  <a14:compatExt spid="_x0000_s2389"/>
                </a:ext>
                <a:ext uri="{FF2B5EF4-FFF2-40B4-BE49-F238E27FC236}">
                  <a16:creationId xmlns:a16="http://schemas.microsoft.com/office/drawing/2014/main" id="{00000000-0008-0000-0000-00005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146</xdr:row>
          <xdr:rowOff>9525</xdr:rowOff>
        </xdr:from>
        <xdr:to>
          <xdr:col>6</xdr:col>
          <xdr:colOff>219075</xdr:colOff>
          <xdr:row>146</xdr:row>
          <xdr:rowOff>171450</xdr:rowOff>
        </xdr:to>
        <xdr:sp macro="" textlink="">
          <xdr:nvSpPr>
            <xdr:cNvPr id="2390" name="Button 342" hidden="1">
              <a:extLst>
                <a:ext uri="{63B3BB69-23CF-44E3-9099-C40C66FF867C}">
                  <a14:compatExt spid="_x0000_s2390"/>
                </a:ext>
                <a:ext uri="{FF2B5EF4-FFF2-40B4-BE49-F238E27FC236}">
                  <a16:creationId xmlns:a16="http://schemas.microsoft.com/office/drawing/2014/main" id="{00000000-0008-0000-0000-000056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147</xdr:row>
          <xdr:rowOff>9525</xdr:rowOff>
        </xdr:from>
        <xdr:to>
          <xdr:col>6</xdr:col>
          <xdr:colOff>219075</xdr:colOff>
          <xdr:row>147</xdr:row>
          <xdr:rowOff>171450</xdr:rowOff>
        </xdr:to>
        <xdr:sp macro="" textlink="">
          <xdr:nvSpPr>
            <xdr:cNvPr id="2391" name="Button 343" hidden="1">
              <a:extLst>
                <a:ext uri="{63B3BB69-23CF-44E3-9099-C40C66FF867C}">
                  <a14:compatExt spid="_x0000_s2391"/>
                </a:ext>
                <a:ext uri="{FF2B5EF4-FFF2-40B4-BE49-F238E27FC236}">
                  <a16:creationId xmlns:a16="http://schemas.microsoft.com/office/drawing/2014/main" id="{00000000-0008-0000-0000-00005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148</xdr:row>
          <xdr:rowOff>9525</xdr:rowOff>
        </xdr:from>
        <xdr:to>
          <xdr:col>6</xdr:col>
          <xdr:colOff>219075</xdr:colOff>
          <xdr:row>148</xdr:row>
          <xdr:rowOff>171450</xdr:rowOff>
        </xdr:to>
        <xdr:sp macro="" textlink="">
          <xdr:nvSpPr>
            <xdr:cNvPr id="2392" name="Button 344" hidden="1">
              <a:extLst>
                <a:ext uri="{63B3BB69-23CF-44E3-9099-C40C66FF867C}">
                  <a14:compatExt spid="_x0000_s2392"/>
                </a:ext>
                <a:ext uri="{FF2B5EF4-FFF2-40B4-BE49-F238E27FC236}">
                  <a16:creationId xmlns:a16="http://schemas.microsoft.com/office/drawing/2014/main" id="{00000000-0008-0000-0000-00005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149</xdr:row>
          <xdr:rowOff>9525</xdr:rowOff>
        </xdr:from>
        <xdr:to>
          <xdr:col>6</xdr:col>
          <xdr:colOff>219075</xdr:colOff>
          <xdr:row>149</xdr:row>
          <xdr:rowOff>171450</xdr:rowOff>
        </xdr:to>
        <xdr:sp macro="" textlink="">
          <xdr:nvSpPr>
            <xdr:cNvPr id="2393" name="Button 345" hidden="1">
              <a:extLst>
                <a:ext uri="{63B3BB69-23CF-44E3-9099-C40C66FF867C}">
                  <a14:compatExt spid="_x0000_s2393"/>
                </a:ext>
                <a:ext uri="{FF2B5EF4-FFF2-40B4-BE49-F238E27FC236}">
                  <a16:creationId xmlns:a16="http://schemas.microsoft.com/office/drawing/2014/main" id="{00000000-0008-0000-0000-00005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150</xdr:row>
          <xdr:rowOff>9525</xdr:rowOff>
        </xdr:from>
        <xdr:to>
          <xdr:col>6</xdr:col>
          <xdr:colOff>219075</xdr:colOff>
          <xdr:row>150</xdr:row>
          <xdr:rowOff>171450</xdr:rowOff>
        </xdr:to>
        <xdr:sp macro="" textlink="">
          <xdr:nvSpPr>
            <xdr:cNvPr id="2394" name="Button 346" hidden="1">
              <a:extLst>
                <a:ext uri="{63B3BB69-23CF-44E3-9099-C40C66FF867C}">
                  <a14:compatExt spid="_x0000_s2394"/>
                </a:ext>
                <a:ext uri="{FF2B5EF4-FFF2-40B4-BE49-F238E27FC236}">
                  <a16:creationId xmlns:a16="http://schemas.microsoft.com/office/drawing/2014/main" id="{00000000-0008-0000-0000-00005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151</xdr:row>
          <xdr:rowOff>9525</xdr:rowOff>
        </xdr:from>
        <xdr:to>
          <xdr:col>4</xdr:col>
          <xdr:colOff>219075</xdr:colOff>
          <xdr:row>151</xdr:row>
          <xdr:rowOff>171450</xdr:rowOff>
        </xdr:to>
        <xdr:sp macro="" textlink="">
          <xdr:nvSpPr>
            <xdr:cNvPr id="2396" name="Button 232" hidden="1">
              <a:extLst>
                <a:ext uri="{63B3BB69-23CF-44E3-9099-C40C66FF867C}">
                  <a14:compatExt spid="_x0000_s2396"/>
                </a:ext>
                <a:ext uri="{FF2B5EF4-FFF2-40B4-BE49-F238E27FC236}">
                  <a16:creationId xmlns:a16="http://schemas.microsoft.com/office/drawing/2014/main" id="{00000000-0008-0000-0000-00005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152</xdr:row>
          <xdr:rowOff>9525</xdr:rowOff>
        </xdr:from>
        <xdr:to>
          <xdr:col>4</xdr:col>
          <xdr:colOff>219075</xdr:colOff>
          <xdr:row>152</xdr:row>
          <xdr:rowOff>171450</xdr:rowOff>
        </xdr:to>
        <xdr:sp macro="" textlink="">
          <xdr:nvSpPr>
            <xdr:cNvPr id="2397" name="Button 232" hidden="1">
              <a:extLst>
                <a:ext uri="{63B3BB69-23CF-44E3-9099-C40C66FF867C}">
                  <a14:compatExt spid="_x0000_s2397"/>
                </a:ext>
                <a:ext uri="{FF2B5EF4-FFF2-40B4-BE49-F238E27FC236}">
                  <a16:creationId xmlns:a16="http://schemas.microsoft.com/office/drawing/2014/main" id="{00000000-0008-0000-0000-00005D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153</xdr:row>
          <xdr:rowOff>9525</xdr:rowOff>
        </xdr:from>
        <xdr:to>
          <xdr:col>4</xdr:col>
          <xdr:colOff>219075</xdr:colOff>
          <xdr:row>153</xdr:row>
          <xdr:rowOff>171450</xdr:rowOff>
        </xdr:to>
        <xdr:sp macro="" textlink="">
          <xdr:nvSpPr>
            <xdr:cNvPr id="2398" name="Button 232" hidden="1">
              <a:extLst>
                <a:ext uri="{63B3BB69-23CF-44E3-9099-C40C66FF867C}">
                  <a14:compatExt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154</xdr:row>
          <xdr:rowOff>9525</xdr:rowOff>
        </xdr:from>
        <xdr:to>
          <xdr:col>4</xdr:col>
          <xdr:colOff>219075</xdr:colOff>
          <xdr:row>154</xdr:row>
          <xdr:rowOff>171450</xdr:rowOff>
        </xdr:to>
        <xdr:sp macro="" textlink="">
          <xdr:nvSpPr>
            <xdr:cNvPr id="2399" name="Button 232" hidden="1">
              <a:extLst>
                <a:ext uri="{63B3BB69-23CF-44E3-9099-C40C66FF867C}">
                  <a14:compatExt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155</xdr:row>
          <xdr:rowOff>9525</xdr:rowOff>
        </xdr:from>
        <xdr:to>
          <xdr:col>4</xdr:col>
          <xdr:colOff>219075</xdr:colOff>
          <xdr:row>155</xdr:row>
          <xdr:rowOff>171450</xdr:rowOff>
        </xdr:to>
        <xdr:sp macro="" textlink="">
          <xdr:nvSpPr>
            <xdr:cNvPr id="2400" name="Button 232" hidden="1">
              <a:extLst>
                <a:ext uri="{63B3BB69-23CF-44E3-9099-C40C66FF867C}">
                  <a14:compatExt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156</xdr:row>
          <xdr:rowOff>9525</xdr:rowOff>
        </xdr:from>
        <xdr:to>
          <xdr:col>4</xdr:col>
          <xdr:colOff>219075</xdr:colOff>
          <xdr:row>156</xdr:row>
          <xdr:rowOff>171450</xdr:rowOff>
        </xdr:to>
        <xdr:sp macro="" textlink="">
          <xdr:nvSpPr>
            <xdr:cNvPr id="2401" name="Button 232" hidden="1">
              <a:extLst>
                <a:ext uri="{63B3BB69-23CF-44E3-9099-C40C66FF867C}">
                  <a14:compatExt spid="_x0000_s2401"/>
                </a:ext>
                <a:ext uri="{FF2B5EF4-FFF2-40B4-BE49-F238E27FC236}">
                  <a16:creationId xmlns:a16="http://schemas.microsoft.com/office/drawing/2014/main" id="{00000000-0008-0000-0000-00006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157</xdr:row>
          <xdr:rowOff>9525</xdr:rowOff>
        </xdr:from>
        <xdr:to>
          <xdr:col>4</xdr:col>
          <xdr:colOff>219075</xdr:colOff>
          <xdr:row>157</xdr:row>
          <xdr:rowOff>171450</xdr:rowOff>
        </xdr:to>
        <xdr:sp macro="" textlink="">
          <xdr:nvSpPr>
            <xdr:cNvPr id="2402" name="Button 232" hidden="1">
              <a:extLst>
                <a:ext uri="{63B3BB69-23CF-44E3-9099-C40C66FF867C}">
                  <a14:compatExt spid="_x0000_s2402"/>
                </a:ext>
                <a:ext uri="{FF2B5EF4-FFF2-40B4-BE49-F238E27FC236}">
                  <a16:creationId xmlns:a16="http://schemas.microsoft.com/office/drawing/2014/main" id="{00000000-0008-0000-0000-00006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158</xdr:row>
          <xdr:rowOff>9525</xdr:rowOff>
        </xdr:from>
        <xdr:to>
          <xdr:col>4</xdr:col>
          <xdr:colOff>219075</xdr:colOff>
          <xdr:row>158</xdr:row>
          <xdr:rowOff>171450</xdr:rowOff>
        </xdr:to>
        <xdr:sp macro="" textlink="">
          <xdr:nvSpPr>
            <xdr:cNvPr id="2403" name="Button 232" hidden="1">
              <a:extLst>
                <a:ext uri="{63B3BB69-23CF-44E3-9099-C40C66FF867C}">
                  <a14:compatExt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159</xdr:row>
          <xdr:rowOff>9525</xdr:rowOff>
        </xdr:from>
        <xdr:to>
          <xdr:col>4</xdr:col>
          <xdr:colOff>219075</xdr:colOff>
          <xdr:row>159</xdr:row>
          <xdr:rowOff>171450</xdr:rowOff>
        </xdr:to>
        <xdr:sp macro="" textlink="">
          <xdr:nvSpPr>
            <xdr:cNvPr id="2404" name="Button 232" hidden="1">
              <a:extLst>
                <a:ext uri="{63B3BB69-23CF-44E3-9099-C40C66FF867C}">
                  <a14:compatExt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160</xdr:row>
          <xdr:rowOff>9525</xdr:rowOff>
        </xdr:from>
        <xdr:to>
          <xdr:col>4</xdr:col>
          <xdr:colOff>219075</xdr:colOff>
          <xdr:row>160</xdr:row>
          <xdr:rowOff>171450</xdr:rowOff>
        </xdr:to>
        <xdr:sp macro="" textlink="">
          <xdr:nvSpPr>
            <xdr:cNvPr id="2405" name="Button 232" hidden="1">
              <a:extLst>
                <a:ext uri="{63B3BB69-23CF-44E3-9099-C40C66FF867C}">
                  <a14:compatExt spid="_x0000_s2405"/>
                </a:ext>
                <a:ext uri="{FF2B5EF4-FFF2-40B4-BE49-F238E27FC236}">
                  <a16:creationId xmlns:a16="http://schemas.microsoft.com/office/drawing/2014/main" id="{00000000-0008-0000-0000-00006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161</xdr:row>
          <xdr:rowOff>9525</xdr:rowOff>
        </xdr:from>
        <xdr:to>
          <xdr:col>4</xdr:col>
          <xdr:colOff>219075</xdr:colOff>
          <xdr:row>161</xdr:row>
          <xdr:rowOff>171450</xdr:rowOff>
        </xdr:to>
        <xdr:sp macro="" textlink="">
          <xdr:nvSpPr>
            <xdr:cNvPr id="2406" name="Button 232" hidden="1">
              <a:extLst>
                <a:ext uri="{63B3BB69-23CF-44E3-9099-C40C66FF867C}">
                  <a14:compatExt spid="_x0000_s2406"/>
                </a:ext>
                <a:ext uri="{FF2B5EF4-FFF2-40B4-BE49-F238E27FC236}">
                  <a16:creationId xmlns:a16="http://schemas.microsoft.com/office/drawing/2014/main" id="{00000000-0008-0000-0000-000066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162</xdr:row>
          <xdr:rowOff>9525</xdr:rowOff>
        </xdr:from>
        <xdr:to>
          <xdr:col>4</xdr:col>
          <xdr:colOff>219075</xdr:colOff>
          <xdr:row>162</xdr:row>
          <xdr:rowOff>171450</xdr:rowOff>
        </xdr:to>
        <xdr:sp macro="" textlink="">
          <xdr:nvSpPr>
            <xdr:cNvPr id="2407" name="Button 232" hidden="1">
              <a:extLst>
                <a:ext uri="{63B3BB69-23CF-44E3-9099-C40C66FF867C}">
                  <a14:compatExt spid="_x0000_s2407"/>
                </a:ext>
                <a:ext uri="{FF2B5EF4-FFF2-40B4-BE49-F238E27FC236}">
                  <a16:creationId xmlns:a16="http://schemas.microsoft.com/office/drawing/2014/main" id="{00000000-0008-0000-0000-00006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163</xdr:row>
          <xdr:rowOff>9525</xdr:rowOff>
        </xdr:from>
        <xdr:to>
          <xdr:col>4</xdr:col>
          <xdr:colOff>219075</xdr:colOff>
          <xdr:row>163</xdr:row>
          <xdr:rowOff>171450</xdr:rowOff>
        </xdr:to>
        <xdr:sp macro="" textlink="">
          <xdr:nvSpPr>
            <xdr:cNvPr id="2408" name="Button 232" hidden="1">
              <a:extLst>
                <a:ext uri="{63B3BB69-23CF-44E3-9099-C40C66FF867C}">
                  <a14:compatExt spid="_x0000_s2408"/>
                </a:ext>
                <a:ext uri="{FF2B5EF4-FFF2-40B4-BE49-F238E27FC236}">
                  <a16:creationId xmlns:a16="http://schemas.microsoft.com/office/drawing/2014/main" id="{00000000-0008-0000-0000-00006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164</xdr:row>
          <xdr:rowOff>9525</xdr:rowOff>
        </xdr:from>
        <xdr:to>
          <xdr:col>4</xdr:col>
          <xdr:colOff>219075</xdr:colOff>
          <xdr:row>164</xdr:row>
          <xdr:rowOff>171450</xdr:rowOff>
        </xdr:to>
        <xdr:sp macro="" textlink="">
          <xdr:nvSpPr>
            <xdr:cNvPr id="2409" name="Button 232" hidden="1">
              <a:extLst>
                <a:ext uri="{63B3BB69-23CF-44E3-9099-C40C66FF867C}">
                  <a14:compatExt spid="_x0000_s2409"/>
                </a:ext>
                <a:ext uri="{FF2B5EF4-FFF2-40B4-BE49-F238E27FC236}">
                  <a16:creationId xmlns:a16="http://schemas.microsoft.com/office/drawing/2014/main" id="{00000000-0008-0000-0000-00006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165</xdr:row>
          <xdr:rowOff>9525</xdr:rowOff>
        </xdr:from>
        <xdr:to>
          <xdr:col>4</xdr:col>
          <xdr:colOff>219075</xdr:colOff>
          <xdr:row>165</xdr:row>
          <xdr:rowOff>171450</xdr:rowOff>
        </xdr:to>
        <xdr:sp macro="" textlink="">
          <xdr:nvSpPr>
            <xdr:cNvPr id="2410" name="Button 232" hidden="1">
              <a:extLst>
                <a:ext uri="{63B3BB69-23CF-44E3-9099-C40C66FF867C}">
                  <a14:compatExt spid="_x0000_s2410"/>
                </a:ext>
                <a:ext uri="{FF2B5EF4-FFF2-40B4-BE49-F238E27FC236}">
                  <a16:creationId xmlns:a16="http://schemas.microsoft.com/office/drawing/2014/main" id="{00000000-0008-0000-0000-00006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166</xdr:row>
          <xdr:rowOff>9525</xdr:rowOff>
        </xdr:from>
        <xdr:to>
          <xdr:col>4</xdr:col>
          <xdr:colOff>219075</xdr:colOff>
          <xdr:row>166</xdr:row>
          <xdr:rowOff>171450</xdr:rowOff>
        </xdr:to>
        <xdr:sp macro="" textlink="">
          <xdr:nvSpPr>
            <xdr:cNvPr id="2411" name="Button 232" hidden="1">
              <a:extLst>
                <a:ext uri="{63B3BB69-23CF-44E3-9099-C40C66FF867C}">
                  <a14:compatExt spid="_x0000_s2411"/>
                </a:ext>
                <a:ext uri="{FF2B5EF4-FFF2-40B4-BE49-F238E27FC236}">
                  <a16:creationId xmlns:a16="http://schemas.microsoft.com/office/drawing/2014/main" id="{00000000-0008-0000-0000-00006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167</xdr:row>
          <xdr:rowOff>9525</xdr:rowOff>
        </xdr:from>
        <xdr:to>
          <xdr:col>4</xdr:col>
          <xdr:colOff>219075</xdr:colOff>
          <xdr:row>167</xdr:row>
          <xdr:rowOff>171450</xdr:rowOff>
        </xdr:to>
        <xdr:sp macro="" textlink="">
          <xdr:nvSpPr>
            <xdr:cNvPr id="2412" name="Button 232" hidden="1">
              <a:extLst>
                <a:ext uri="{63B3BB69-23CF-44E3-9099-C40C66FF867C}">
                  <a14:compatExt spid="_x0000_s2412"/>
                </a:ext>
                <a:ext uri="{FF2B5EF4-FFF2-40B4-BE49-F238E27FC236}">
                  <a16:creationId xmlns:a16="http://schemas.microsoft.com/office/drawing/2014/main" id="{00000000-0008-0000-0000-00006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168</xdr:row>
          <xdr:rowOff>9525</xdr:rowOff>
        </xdr:from>
        <xdr:to>
          <xdr:col>4</xdr:col>
          <xdr:colOff>219075</xdr:colOff>
          <xdr:row>168</xdr:row>
          <xdr:rowOff>171450</xdr:rowOff>
        </xdr:to>
        <xdr:sp macro="" textlink="">
          <xdr:nvSpPr>
            <xdr:cNvPr id="2413" name="Button 232" hidden="1">
              <a:extLst>
                <a:ext uri="{63B3BB69-23CF-44E3-9099-C40C66FF867C}">
                  <a14:compatExt spid="_x0000_s2413"/>
                </a:ext>
                <a:ext uri="{FF2B5EF4-FFF2-40B4-BE49-F238E27FC236}">
                  <a16:creationId xmlns:a16="http://schemas.microsoft.com/office/drawing/2014/main" id="{00000000-0008-0000-0000-00006D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169</xdr:row>
          <xdr:rowOff>9525</xdr:rowOff>
        </xdr:from>
        <xdr:to>
          <xdr:col>4</xdr:col>
          <xdr:colOff>219075</xdr:colOff>
          <xdr:row>169</xdr:row>
          <xdr:rowOff>171450</xdr:rowOff>
        </xdr:to>
        <xdr:sp macro="" textlink="">
          <xdr:nvSpPr>
            <xdr:cNvPr id="2414" name="Button 232" hidden="1">
              <a:extLst>
                <a:ext uri="{63B3BB69-23CF-44E3-9099-C40C66FF867C}">
                  <a14:compatExt spid="_x0000_s2414"/>
                </a:ext>
                <a:ext uri="{FF2B5EF4-FFF2-40B4-BE49-F238E27FC236}">
                  <a16:creationId xmlns:a16="http://schemas.microsoft.com/office/drawing/2014/main" id="{00000000-0008-0000-0000-00006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170</xdr:row>
          <xdr:rowOff>9525</xdr:rowOff>
        </xdr:from>
        <xdr:to>
          <xdr:col>4</xdr:col>
          <xdr:colOff>219075</xdr:colOff>
          <xdr:row>170</xdr:row>
          <xdr:rowOff>171450</xdr:rowOff>
        </xdr:to>
        <xdr:sp macro="" textlink="">
          <xdr:nvSpPr>
            <xdr:cNvPr id="2415" name="Button 232" hidden="1">
              <a:extLst>
                <a:ext uri="{63B3BB69-23CF-44E3-9099-C40C66FF867C}">
                  <a14:compatExt spid="_x0000_s2415"/>
                </a:ext>
                <a:ext uri="{FF2B5EF4-FFF2-40B4-BE49-F238E27FC236}">
                  <a16:creationId xmlns:a16="http://schemas.microsoft.com/office/drawing/2014/main" id="{00000000-0008-0000-0000-00006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171</xdr:row>
          <xdr:rowOff>9525</xdr:rowOff>
        </xdr:from>
        <xdr:to>
          <xdr:col>4</xdr:col>
          <xdr:colOff>219075</xdr:colOff>
          <xdr:row>171</xdr:row>
          <xdr:rowOff>171450</xdr:rowOff>
        </xdr:to>
        <xdr:sp macro="" textlink="">
          <xdr:nvSpPr>
            <xdr:cNvPr id="2416" name="Button 232" hidden="1">
              <a:extLst>
                <a:ext uri="{63B3BB69-23CF-44E3-9099-C40C66FF867C}">
                  <a14:compatExt spid="_x0000_s2416"/>
                </a:ext>
                <a:ext uri="{FF2B5EF4-FFF2-40B4-BE49-F238E27FC236}">
                  <a16:creationId xmlns:a16="http://schemas.microsoft.com/office/drawing/2014/main" id="{00000000-0008-0000-0000-00007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172</xdr:row>
          <xdr:rowOff>9525</xdr:rowOff>
        </xdr:from>
        <xdr:to>
          <xdr:col>4</xdr:col>
          <xdr:colOff>219075</xdr:colOff>
          <xdr:row>172</xdr:row>
          <xdr:rowOff>171450</xdr:rowOff>
        </xdr:to>
        <xdr:sp macro="" textlink="">
          <xdr:nvSpPr>
            <xdr:cNvPr id="2417" name="Button 232" hidden="1">
              <a:extLst>
                <a:ext uri="{63B3BB69-23CF-44E3-9099-C40C66FF867C}">
                  <a14:compatExt spid="_x0000_s2417"/>
                </a:ext>
                <a:ext uri="{FF2B5EF4-FFF2-40B4-BE49-F238E27FC236}">
                  <a16:creationId xmlns:a16="http://schemas.microsoft.com/office/drawing/2014/main" id="{00000000-0008-0000-0000-00007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173</xdr:row>
          <xdr:rowOff>9525</xdr:rowOff>
        </xdr:from>
        <xdr:to>
          <xdr:col>4</xdr:col>
          <xdr:colOff>219075</xdr:colOff>
          <xdr:row>173</xdr:row>
          <xdr:rowOff>171450</xdr:rowOff>
        </xdr:to>
        <xdr:sp macro="" textlink="">
          <xdr:nvSpPr>
            <xdr:cNvPr id="2418" name="Button 232" hidden="1">
              <a:extLst>
                <a:ext uri="{63B3BB69-23CF-44E3-9099-C40C66FF867C}">
                  <a14:compatExt spid="_x0000_s2418"/>
                </a:ext>
                <a:ext uri="{FF2B5EF4-FFF2-40B4-BE49-F238E27FC236}">
                  <a16:creationId xmlns:a16="http://schemas.microsoft.com/office/drawing/2014/main" id="{00000000-0008-0000-0000-00007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174</xdr:row>
          <xdr:rowOff>9525</xdr:rowOff>
        </xdr:from>
        <xdr:to>
          <xdr:col>4</xdr:col>
          <xdr:colOff>219075</xdr:colOff>
          <xdr:row>174</xdr:row>
          <xdr:rowOff>171450</xdr:rowOff>
        </xdr:to>
        <xdr:sp macro="" textlink="">
          <xdr:nvSpPr>
            <xdr:cNvPr id="2419" name="Button 232" hidden="1">
              <a:extLst>
                <a:ext uri="{63B3BB69-23CF-44E3-9099-C40C66FF867C}">
                  <a14:compatExt spid="_x0000_s2419"/>
                </a:ext>
                <a:ext uri="{FF2B5EF4-FFF2-40B4-BE49-F238E27FC236}">
                  <a16:creationId xmlns:a16="http://schemas.microsoft.com/office/drawing/2014/main" id="{00000000-0008-0000-0000-00007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175</xdr:row>
          <xdr:rowOff>9525</xdr:rowOff>
        </xdr:from>
        <xdr:to>
          <xdr:col>4</xdr:col>
          <xdr:colOff>219075</xdr:colOff>
          <xdr:row>175</xdr:row>
          <xdr:rowOff>171450</xdr:rowOff>
        </xdr:to>
        <xdr:sp macro="" textlink="">
          <xdr:nvSpPr>
            <xdr:cNvPr id="2420" name="Button 232" hidden="1">
              <a:extLst>
                <a:ext uri="{63B3BB69-23CF-44E3-9099-C40C66FF867C}">
                  <a14:compatExt spid="_x0000_s2420"/>
                </a:ext>
                <a:ext uri="{FF2B5EF4-FFF2-40B4-BE49-F238E27FC236}">
                  <a16:creationId xmlns:a16="http://schemas.microsoft.com/office/drawing/2014/main" id="{00000000-0008-0000-0000-00007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176</xdr:row>
          <xdr:rowOff>9525</xdr:rowOff>
        </xdr:from>
        <xdr:to>
          <xdr:col>4</xdr:col>
          <xdr:colOff>219075</xdr:colOff>
          <xdr:row>176</xdr:row>
          <xdr:rowOff>171450</xdr:rowOff>
        </xdr:to>
        <xdr:sp macro="" textlink="">
          <xdr:nvSpPr>
            <xdr:cNvPr id="2421" name="Button 232" hidden="1">
              <a:extLst>
                <a:ext uri="{63B3BB69-23CF-44E3-9099-C40C66FF867C}">
                  <a14:compatExt spid="_x0000_s2421"/>
                </a:ext>
                <a:ext uri="{FF2B5EF4-FFF2-40B4-BE49-F238E27FC236}">
                  <a16:creationId xmlns:a16="http://schemas.microsoft.com/office/drawing/2014/main" id="{00000000-0008-0000-0000-00007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177</xdr:row>
          <xdr:rowOff>9525</xdr:rowOff>
        </xdr:from>
        <xdr:to>
          <xdr:col>4</xdr:col>
          <xdr:colOff>219075</xdr:colOff>
          <xdr:row>177</xdr:row>
          <xdr:rowOff>171450</xdr:rowOff>
        </xdr:to>
        <xdr:sp macro="" textlink="">
          <xdr:nvSpPr>
            <xdr:cNvPr id="2422" name="Button 232" hidden="1">
              <a:extLst>
                <a:ext uri="{63B3BB69-23CF-44E3-9099-C40C66FF867C}">
                  <a14:compatExt spid="_x0000_s2422"/>
                </a:ext>
                <a:ext uri="{FF2B5EF4-FFF2-40B4-BE49-F238E27FC236}">
                  <a16:creationId xmlns:a16="http://schemas.microsoft.com/office/drawing/2014/main" id="{00000000-0008-0000-0000-000076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178</xdr:row>
          <xdr:rowOff>9525</xdr:rowOff>
        </xdr:from>
        <xdr:to>
          <xdr:col>4</xdr:col>
          <xdr:colOff>219075</xdr:colOff>
          <xdr:row>178</xdr:row>
          <xdr:rowOff>171450</xdr:rowOff>
        </xdr:to>
        <xdr:sp macro="" textlink="">
          <xdr:nvSpPr>
            <xdr:cNvPr id="2423" name="Button 232" hidden="1">
              <a:extLst>
                <a:ext uri="{63B3BB69-23CF-44E3-9099-C40C66FF867C}">
                  <a14:compatExt spid="_x0000_s2423"/>
                </a:ext>
                <a:ext uri="{FF2B5EF4-FFF2-40B4-BE49-F238E27FC236}">
                  <a16:creationId xmlns:a16="http://schemas.microsoft.com/office/drawing/2014/main" id="{00000000-0008-0000-0000-00007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179</xdr:row>
          <xdr:rowOff>9525</xdr:rowOff>
        </xdr:from>
        <xdr:to>
          <xdr:col>4</xdr:col>
          <xdr:colOff>219075</xdr:colOff>
          <xdr:row>179</xdr:row>
          <xdr:rowOff>171450</xdr:rowOff>
        </xdr:to>
        <xdr:sp macro="" textlink="">
          <xdr:nvSpPr>
            <xdr:cNvPr id="2424" name="Button 232" hidden="1">
              <a:extLst>
                <a:ext uri="{63B3BB69-23CF-44E3-9099-C40C66FF867C}">
                  <a14:compatExt spid="_x0000_s2424"/>
                </a:ext>
                <a:ext uri="{FF2B5EF4-FFF2-40B4-BE49-F238E27FC236}">
                  <a16:creationId xmlns:a16="http://schemas.microsoft.com/office/drawing/2014/main" id="{00000000-0008-0000-0000-00007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180</xdr:row>
          <xdr:rowOff>9525</xdr:rowOff>
        </xdr:from>
        <xdr:to>
          <xdr:col>4</xdr:col>
          <xdr:colOff>219075</xdr:colOff>
          <xdr:row>180</xdr:row>
          <xdr:rowOff>171450</xdr:rowOff>
        </xdr:to>
        <xdr:sp macro="" textlink="">
          <xdr:nvSpPr>
            <xdr:cNvPr id="2425" name="Button 232" hidden="1">
              <a:extLst>
                <a:ext uri="{63B3BB69-23CF-44E3-9099-C40C66FF867C}">
                  <a14:compatExt spid="_x0000_s2425"/>
                </a:ext>
                <a:ext uri="{FF2B5EF4-FFF2-40B4-BE49-F238E27FC236}">
                  <a16:creationId xmlns:a16="http://schemas.microsoft.com/office/drawing/2014/main" id="{00000000-0008-0000-0000-00007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181</xdr:row>
          <xdr:rowOff>9525</xdr:rowOff>
        </xdr:from>
        <xdr:to>
          <xdr:col>4</xdr:col>
          <xdr:colOff>219075</xdr:colOff>
          <xdr:row>181</xdr:row>
          <xdr:rowOff>171450</xdr:rowOff>
        </xdr:to>
        <xdr:sp macro="" textlink="">
          <xdr:nvSpPr>
            <xdr:cNvPr id="2426" name="Button 232" hidden="1">
              <a:extLst>
                <a:ext uri="{63B3BB69-23CF-44E3-9099-C40C66FF867C}">
                  <a14:compatExt spid="_x0000_s2426"/>
                </a:ext>
                <a:ext uri="{FF2B5EF4-FFF2-40B4-BE49-F238E27FC236}">
                  <a16:creationId xmlns:a16="http://schemas.microsoft.com/office/drawing/2014/main" id="{00000000-0008-0000-0000-00007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182</xdr:row>
          <xdr:rowOff>9525</xdr:rowOff>
        </xdr:from>
        <xdr:to>
          <xdr:col>4</xdr:col>
          <xdr:colOff>219075</xdr:colOff>
          <xdr:row>182</xdr:row>
          <xdr:rowOff>171450</xdr:rowOff>
        </xdr:to>
        <xdr:sp macro="" textlink="">
          <xdr:nvSpPr>
            <xdr:cNvPr id="2427" name="Button 232" hidden="1">
              <a:extLst>
                <a:ext uri="{63B3BB69-23CF-44E3-9099-C40C66FF867C}">
                  <a14:compatExt spid="_x0000_s2427"/>
                </a:ext>
                <a:ext uri="{FF2B5EF4-FFF2-40B4-BE49-F238E27FC236}">
                  <a16:creationId xmlns:a16="http://schemas.microsoft.com/office/drawing/2014/main" id="{00000000-0008-0000-0000-00007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183</xdr:row>
          <xdr:rowOff>9525</xdr:rowOff>
        </xdr:from>
        <xdr:to>
          <xdr:col>4</xdr:col>
          <xdr:colOff>219075</xdr:colOff>
          <xdr:row>183</xdr:row>
          <xdr:rowOff>171450</xdr:rowOff>
        </xdr:to>
        <xdr:sp macro="" textlink="">
          <xdr:nvSpPr>
            <xdr:cNvPr id="2428" name="Button 232" hidden="1">
              <a:extLst>
                <a:ext uri="{63B3BB69-23CF-44E3-9099-C40C66FF867C}">
                  <a14:compatExt spid="_x0000_s2428"/>
                </a:ext>
                <a:ext uri="{FF2B5EF4-FFF2-40B4-BE49-F238E27FC236}">
                  <a16:creationId xmlns:a16="http://schemas.microsoft.com/office/drawing/2014/main" id="{00000000-0008-0000-0000-00007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184</xdr:row>
          <xdr:rowOff>9525</xdr:rowOff>
        </xdr:from>
        <xdr:to>
          <xdr:col>4</xdr:col>
          <xdr:colOff>219075</xdr:colOff>
          <xdr:row>184</xdr:row>
          <xdr:rowOff>171450</xdr:rowOff>
        </xdr:to>
        <xdr:sp macro="" textlink="">
          <xdr:nvSpPr>
            <xdr:cNvPr id="2429" name="Button 232" hidden="1">
              <a:extLst>
                <a:ext uri="{63B3BB69-23CF-44E3-9099-C40C66FF867C}">
                  <a14:compatExt spid="_x0000_s2429"/>
                </a:ext>
                <a:ext uri="{FF2B5EF4-FFF2-40B4-BE49-F238E27FC236}">
                  <a16:creationId xmlns:a16="http://schemas.microsoft.com/office/drawing/2014/main" id="{00000000-0008-0000-0000-00007D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185</xdr:row>
          <xdr:rowOff>9525</xdr:rowOff>
        </xdr:from>
        <xdr:to>
          <xdr:col>4</xdr:col>
          <xdr:colOff>219075</xdr:colOff>
          <xdr:row>185</xdr:row>
          <xdr:rowOff>171450</xdr:rowOff>
        </xdr:to>
        <xdr:sp macro="" textlink="">
          <xdr:nvSpPr>
            <xdr:cNvPr id="2430" name="Button 232" hidden="1">
              <a:extLst>
                <a:ext uri="{63B3BB69-23CF-44E3-9099-C40C66FF867C}">
                  <a14:compatExt spid="_x0000_s2430"/>
                </a:ext>
                <a:ext uri="{FF2B5EF4-FFF2-40B4-BE49-F238E27FC236}">
                  <a16:creationId xmlns:a16="http://schemas.microsoft.com/office/drawing/2014/main" id="{00000000-0008-0000-0000-00007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186</xdr:row>
          <xdr:rowOff>9525</xdr:rowOff>
        </xdr:from>
        <xdr:to>
          <xdr:col>4</xdr:col>
          <xdr:colOff>219075</xdr:colOff>
          <xdr:row>186</xdr:row>
          <xdr:rowOff>171450</xdr:rowOff>
        </xdr:to>
        <xdr:sp macro="" textlink="">
          <xdr:nvSpPr>
            <xdr:cNvPr id="2431" name="Button 232" hidden="1">
              <a:extLst>
                <a:ext uri="{63B3BB69-23CF-44E3-9099-C40C66FF867C}">
                  <a14:compatExt spid="_x0000_s2431"/>
                </a:ext>
                <a:ext uri="{FF2B5EF4-FFF2-40B4-BE49-F238E27FC236}">
                  <a16:creationId xmlns:a16="http://schemas.microsoft.com/office/drawing/2014/main" id="{00000000-0008-0000-0000-00007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187</xdr:row>
          <xdr:rowOff>9525</xdr:rowOff>
        </xdr:from>
        <xdr:to>
          <xdr:col>4</xdr:col>
          <xdr:colOff>219075</xdr:colOff>
          <xdr:row>187</xdr:row>
          <xdr:rowOff>171450</xdr:rowOff>
        </xdr:to>
        <xdr:sp macro="" textlink="">
          <xdr:nvSpPr>
            <xdr:cNvPr id="2432" name="Button 232" hidden="1">
              <a:extLst>
                <a:ext uri="{63B3BB69-23CF-44E3-9099-C40C66FF867C}">
                  <a14:compatExt spid="_x0000_s2432"/>
                </a:ext>
                <a:ext uri="{FF2B5EF4-FFF2-40B4-BE49-F238E27FC236}">
                  <a16:creationId xmlns:a16="http://schemas.microsoft.com/office/drawing/2014/main" id="{00000000-0008-0000-0000-00008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188</xdr:row>
          <xdr:rowOff>9525</xdr:rowOff>
        </xdr:from>
        <xdr:to>
          <xdr:col>4</xdr:col>
          <xdr:colOff>219075</xdr:colOff>
          <xdr:row>188</xdr:row>
          <xdr:rowOff>171450</xdr:rowOff>
        </xdr:to>
        <xdr:sp macro="" textlink="">
          <xdr:nvSpPr>
            <xdr:cNvPr id="2433" name="Button 232" hidden="1">
              <a:extLst>
                <a:ext uri="{63B3BB69-23CF-44E3-9099-C40C66FF867C}">
                  <a14:compatExt spid="_x0000_s2433"/>
                </a:ext>
                <a:ext uri="{FF2B5EF4-FFF2-40B4-BE49-F238E27FC236}">
                  <a16:creationId xmlns:a16="http://schemas.microsoft.com/office/drawing/2014/main" id="{00000000-0008-0000-0000-00008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189</xdr:row>
          <xdr:rowOff>9525</xdr:rowOff>
        </xdr:from>
        <xdr:to>
          <xdr:col>4</xdr:col>
          <xdr:colOff>219075</xdr:colOff>
          <xdr:row>189</xdr:row>
          <xdr:rowOff>171450</xdr:rowOff>
        </xdr:to>
        <xdr:sp macro="" textlink="">
          <xdr:nvSpPr>
            <xdr:cNvPr id="2434" name="Button 232" hidden="1">
              <a:extLst>
                <a:ext uri="{63B3BB69-23CF-44E3-9099-C40C66FF867C}">
                  <a14:compatExt spid="_x0000_s2434"/>
                </a:ext>
                <a:ext uri="{FF2B5EF4-FFF2-40B4-BE49-F238E27FC236}">
                  <a16:creationId xmlns:a16="http://schemas.microsoft.com/office/drawing/2014/main" id="{00000000-0008-0000-0000-00008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190</xdr:row>
          <xdr:rowOff>9525</xdr:rowOff>
        </xdr:from>
        <xdr:to>
          <xdr:col>4</xdr:col>
          <xdr:colOff>219075</xdr:colOff>
          <xdr:row>190</xdr:row>
          <xdr:rowOff>171450</xdr:rowOff>
        </xdr:to>
        <xdr:sp macro="" textlink="">
          <xdr:nvSpPr>
            <xdr:cNvPr id="2435" name="Button 232" hidden="1">
              <a:extLst>
                <a:ext uri="{63B3BB69-23CF-44E3-9099-C40C66FF867C}">
                  <a14:compatExt spid="_x0000_s2435"/>
                </a:ext>
                <a:ext uri="{FF2B5EF4-FFF2-40B4-BE49-F238E27FC236}">
                  <a16:creationId xmlns:a16="http://schemas.microsoft.com/office/drawing/2014/main" id="{00000000-0008-0000-0000-00008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191</xdr:row>
          <xdr:rowOff>9525</xdr:rowOff>
        </xdr:from>
        <xdr:to>
          <xdr:col>4</xdr:col>
          <xdr:colOff>219075</xdr:colOff>
          <xdr:row>191</xdr:row>
          <xdr:rowOff>171450</xdr:rowOff>
        </xdr:to>
        <xdr:sp macro="" textlink="">
          <xdr:nvSpPr>
            <xdr:cNvPr id="2436" name="Button 232" hidden="1">
              <a:extLst>
                <a:ext uri="{63B3BB69-23CF-44E3-9099-C40C66FF867C}">
                  <a14:compatExt spid="_x0000_s2436"/>
                </a:ext>
                <a:ext uri="{FF2B5EF4-FFF2-40B4-BE49-F238E27FC236}">
                  <a16:creationId xmlns:a16="http://schemas.microsoft.com/office/drawing/2014/main" id="{00000000-0008-0000-0000-00008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192</xdr:row>
          <xdr:rowOff>9525</xdr:rowOff>
        </xdr:from>
        <xdr:to>
          <xdr:col>4</xdr:col>
          <xdr:colOff>219075</xdr:colOff>
          <xdr:row>192</xdr:row>
          <xdr:rowOff>171450</xdr:rowOff>
        </xdr:to>
        <xdr:sp macro="" textlink="">
          <xdr:nvSpPr>
            <xdr:cNvPr id="2437" name="Button 232" hidden="1">
              <a:extLst>
                <a:ext uri="{63B3BB69-23CF-44E3-9099-C40C66FF867C}">
                  <a14:compatExt spid="_x0000_s2437"/>
                </a:ext>
                <a:ext uri="{FF2B5EF4-FFF2-40B4-BE49-F238E27FC236}">
                  <a16:creationId xmlns:a16="http://schemas.microsoft.com/office/drawing/2014/main" id="{00000000-0008-0000-0000-00008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193</xdr:row>
          <xdr:rowOff>9525</xdr:rowOff>
        </xdr:from>
        <xdr:to>
          <xdr:col>4</xdr:col>
          <xdr:colOff>219075</xdr:colOff>
          <xdr:row>193</xdr:row>
          <xdr:rowOff>171450</xdr:rowOff>
        </xdr:to>
        <xdr:sp macro="" textlink="">
          <xdr:nvSpPr>
            <xdr:cNvPr id="2438" name="Button 232" hidden="1">
              <a:extLst>
                <a:ext uri="{63B3BB69-23CF-44E3-9099-C40C66FF867C}">
                  <a14:compatExt spid="_x0000_s2438"/>
                </a:ext>
                <a:ext uri="{FF2B5EF4-FFF2-40B4-BE49-F238E27FC236}">
                  <a16:creationId xmlns:a16="http://schemas.microsoft.com/office/drawing/2014/main" id="{00000000-0008-0000-0000-000086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194</xdr:row>
          <xdr:rowOff>9525</xdr:rowOff>
        </xdr:from>
        <xdr:to>
          <xdr:col>4</xdr:col>
          <xdr:colOff>219075</xdr:colOff>
          <xdr:row>194</xdr:row>
          <xdr:rowOff>171450</xdr:rowOff>
        </xdr:to>
        <xdr:sp macro="" textlink="">
          <xdr:nvSpPr>
            <xdr:cNvPr id="2439" name="Button 232" hidden="1">
              <a:extLst>
                <a:ext uri="{63B3BB69-23CF-44E3-9099-C40C66FF867C}">
                  <a14:compatExt spid="_x0000_s2439"/>
                </a:ext>
                <a:ext uri="{FF2B5EF4-FFF2-40B4-BE49-F238E27FC236}">
                  <a16:creationId xmlns:a16="http://schemas.microsoft.com/office/drawing/2014/main" id="{00000000-0008-0000-0000-00008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151</xdr:row>
          <xdr:rowOff>9525</xdr:rowOff>
        </xdr:from>
        <xdr:to>
          <xdr:col>6</xdr:col>
          <xdr:colOff>219075</xdr:colOff>
          <xdr:row>151</xdr:row>
          <xdr:rowOff>171450</xdr:rowOff>
        </xdr:to>
        <xdr:sp macro="" textlink="">
          <xdr:nvSpPr>
            <xdr:cNvPr id="2440" name="Button 232" hidden="1">
              <a:extLst>
                <a:ext uri="{63B3BB69-23CF-44E3-9099-C40C66FF867C}">
                  <a14:compatExt spid="_x0000_s2440"/>
                </a:ext>
                <a:ext uri="{FF2B5EF4-FFF2-40B4-BE49-F238E27FC236}">
                  <a16:creationId xmlns:a16="http://schemas.microsoft.com/office/drawing/2014/main" id="{00000000-0008-0000-0000-00008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152</xdr:row>
          <xdr:rowOff>9525</xdr:rowOff>
        </xdr:from>
        <xdr:to>
          <xdr:col>6</xdr:col>
          <xdr:colOff>219075</xdr:colOff>
          <xdr:row>152</xdr:row>
          <xdr:rowOff>171450</xdr:rowOff>
        </xdr:to>
        <xdr:sp macro="" textlink="">
          <xdr:nvSpPr>
            <xdr:cNvPr id="2441" name="Button 232" hidden="1">
              <a:extLst>
                <a:ext uri="{63B3BB69-23CF-44E3-9099-C40C66FF867C}">
                  <a14:compatExt spid="_x0000_s2441"/>
                </a:ext>
                <a:ext uri="{FF2B5EF4-FFF2-40B4-BE49-F238E27FC236}">
                  <a16:creationId xmlns:a16="http://schemas.microsoft.com/office/drawing/2014/main" id="{00000000-0008-0000-0000-00008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153</xdr:row>
          <xdr:rowOff>9525</xdr:rowOff>
        </xdr:from>
        <xdr:to>
          <xdr:col>6</xdr:col>
          <xdr:colOff>219075</xdr:colOff>
          <xdr:row>153</xdr:row>
          <xdr:rowOff>171450</xdr:rowOff>
        </xdr:to>
        <xdr:sp macro="" textlink="">
          <xdr:nvSpPr>
            <xdr:cNvPr id="2442" name="Button 232" hidden="1">
              <a:extLst>
                <a:ext uri="{63B3BB69-23CF-44E3-9099-C40C66FF867C}">
                  <a14:compatExt spid="_x0000_s2442"/>
                </a:ext>
                <a:ext uri="{FF2B5EF4-FFF2-40B4-BE49-F238E27FC236}">
                  <a16:creationId xmlns:a16="http://schemas.microsoft.com/office/drawing/2014/main" id="{00000000-0008-0000-0000-00008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154</xdr:row>
          <xdr:rowOff>9525</xdr:rowOff>
        </xdr:from>
        <xdr:to>
          <xdr:col>6</xdr:col>
          <xdr:colOff>219075</xdr:colOff>
          <xdr:row>154</xdr:row>
          <xdr:rowOff>171450</xdr:rowOff>
        </xdr:to>
        <xdr:sp macro="" textlink="">
          <xdr:nvSpPr>
            <xdr:cNvPr id="2443" name="Button 232" hidden="1">
              <a:extLst>
                <a:ext uri="{63B3BB69-23CF-44E3-9099-C40C66FF867C}">
                  <a14:compatExt spid="_x0000_s2443"/>
                </a:ext>
                <a:ext uri="{FF2B5EF4-FFF2-40B4-BE49-F238E27FC236}">
                  <a16:creationId xmlns:a16="http://schemas.microsoft.com/office/drawing/2014/main" id="{00000000-0008-0000-0000-00008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155</xdr:row>
          <xdr:rowOff>9525</xdr:rowOff>
        </xdr:from>
        <xdr:to>
          <xdr:col>6</xdr:col>
          <xdr:colOff>219075</xdr:colOff>
          <xdr:row>155</xdr:row>
          <xdr:rowOff>171450</xdr:rowOff>
        </xdr:to>
        <xdr:sp macro="" textlink="">
          <xdr:nvSpPr>
            <xdr:cNvPr id="2444" name="Button 232" hidden="1">
              <a:extLst>
                <a:ext uri="{63B3BB69-23CF-44E3-9099-C40C66FF867C}">
                  <a14:compatExt spid="_x0000_s2444"/>
                </a:ext>
                <a:ext uri="{FF2B5EF4-FFF2-40B4-BE49-F238E27FC236}">
                  <a16:creationId xmlns:a16="http://schemas.microsoft.com/office/drawing/2014/main" id="{00000000-0008-0000-0000-00008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156</xdr:row>
          <xdr:rowOff>9525</xdr:rowOff>
        </xdr:from>
        <xdr:to>
          <xdr:col>6</xdr:col>
          <xdr:colOff>219075</xdr:colOff>
          <xdr:row>156</xdr:row>
          <xdr:rowOff>171450</xdr:rowOff>
        </xdr:to>
        <xdr:sp macro="" textlink="">
          <xdr:nvSpPr>
            <xdr:cNvPr id="2445" name="Button 232" hidden="1">
              <a:extLst>
                <a:ext uri="{63B3BB69-23CF-44E3-9099-C40C66FF867C}">
                  <a14:compatExt spid="_x0000_s2445"/>
                </a:ext>
                <a:ext uri="{FF2B5EF4-FFF2-40B4-BE49-F238E27FC236}">
                  <a16:creationId xmlns:a16="http://schemas.microsoft.com/office/drawing/2014/main" id="{00000000-0008-0000-0000-00008D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157</xdr:row>
          <xdr:rowOff>9525</xdr:rowOff>
        </xdr:from>
        <xdr:to>
          <xdr:col>6</xdr:col>
          <xdr:colOff>219075</xdr:colOff>
          <xdr:row>157</xdr:row>
          <xdr:rowOff>171450</xdr:rowOff>
        </xdr:to>
        <xdr:sp macro="" textlink="">
          <xdr:nvSpPr>
            <xdr:cNvPr id="2446" name="Button 232" hidden="1">
              <a:extLst>
                <a:ext uri="{63B3BB69-23CF-44E3-9099-C40C66FF867C}">
                  <a14:compatExt spid="_x0000_s2446"/>
                </a:ext>
                <a:ext uri="{FF2B5EF4-FFF2-40B4-BE49-F238E27FC236}">
                  <a16:creationId xmlns:a16="http://schemas.microsoft.com/office/drawing/2014/main" id="{00000000-0008-0000-0000-00008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158</xdr:row>
          <xdr:rowOff>9525</xdr:rowOff>
        </xdr:from>
        <xdr:to>
          <xdr:col>6</xdr:col>
          <xdr:colOff>219075</xdr:colOff>
          <xdr:row>158</xdr:row>
          <xdr:rowOff>171450</xdr:rowOff>
        </xdr:to>
        <xdr:sp macro="" textlink="">
          <xdr:nvSpPr>
            <xdr:cNvPr id="2447" name="Button 232" hidden="1">
              <a:extLst>
                <a:ext uri="{63B3BB69-23CF-44E3-9099-C40C66FF867C}">
                  <a14:compatExt spid="_x0000_s2447"/>
                </a:ext>
                <a:ext uri="{FF2B5EF4-FFF2-40B4-BE49-F238E27FC236}">
                  <a16:creationId xmlns:a16="http://schemas.microsoft.com/office/drawing/2014/main" id="{00000000-0008-0000-0000-00008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159</xdr:row>
          <xdr:rowOff>9525</xdr:rowOff>
        </xdr:from>
        <xdr:to>
          <xdr:col>6</xdr:col>
          <xdr:colOff>219075</xdr:colOff>
          <xdr:row>159</xdr:row>
          <xdr:rowOff>171450</xdr:rowOff>
        </xdr:to>
        <xdr:sp macro="" textlink="">
          <xdr:nvSpPr>
            <xdr:cNvPr id="2448" name="Button 232" hidden="1">
              <a:extLst>
                <a:ext uri="{63B3BB69-23CF-44E3-9099-C40C66FF867C}">
                  <a14:compatExt spid="_x0000_s2448"/>
                </a:ext>
                <a:ext uri="{FF2B5EF4-FFF2-40B4-BE49-F238E27FC236}">
                  <a16:creationId xmlns:a16="http://schemas.microsoft.com/office/drawing/2014/main" id="{00000000-0008-0000-0000-00009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160</xdr:row>
          <xdr:rowOff>9525</xdr:rowOff>
        </xdr:from>
        <xdr:to>
          <xdr:col>6</xdr:col>
          <xdr:colOff>219075</xdr:colOff>
          <xdr:row>160</xdr:row>
          <xdr:rowOff>171450</xdr:rowOff>
        </xdr:to>
        <xdr:sp macro="" textlink="">
          <xdr:nvSpPr>
            <xdr:cNvPr id="2449" name="Button 232" hidden="1">
              <a:extLst>
                <a:ext uri="{63B3BB69-23CF-44E3-9099-C40C66FF867C}">
                  <a14:compatExt spid="_x0000_s2449"/>
                </a:ext>
                <a:ext uri="{FF2B5EF4-FFF2-40B4-BE49-F238E27FC236}">
                  <a16:creationId xmlns:a16="http://schemas.microsoft.com/office/drawing/2014/main" id="{00000000-0008-0000-0000-00009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161</xdr:row>
          <xdr:rowOff>9525</xdr:rowOff>
        </xdr:from>
        <xdr:to>
          <xdr:col>6</xdr:col>
          <xdr:colOff>219075</xdr:colOff>
          <xdr:row>161</xdr:row>
          <xdr:rowOff>171450</xdr:rowOff>
        </xdr:to>
        <xdr:sp macro="" textlink="">
          <xdr:nvSpPr>
            <xdr:cNvPr id="2450" name="Button 232" hidden="1">
              <a:extLst>
                <a:ext uri="{63B3BB69-23CF-44E3-9099-C40C66FF867C}">
                  <a14:compatExt spid="_x0000_s2450"/>
                </a:ext>
                <a:ext uri="{FF2B5EF4-FFF2-40B4-BE49-F238E27FC236}">
                  <a16:creationId xmlns:a16="http://schemas.microsoft.com/office/drawing/2014/main" id="{00000000-0008-0000-0000-00009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162</xdr:row>
          <xdr:rowOff>9525</xdr:rowOff>
        </xdr:from>
        <xdr:to>
          <xdr:col>6</xdr:col>
          <xdr:colOff>219075</xdr:colOff>
          <xdr:row>162</xdr:row>
          <xdr:rowOff>171450</xdr:rowOff>
        </xdr:to>
        <xdr:sp macro="" textlink="">
          <xdr:nvSpPr>
            <xdr:cNvPr id="2451" name="Button 232" hidden="1">
              <a:extLst>
                <a:ext uri="{63B3BB69-23CF-44E3-9099-C40C66FF867C}">
                  <a14:compatExt spid="_x0000_s2451"/>
                </a:ext>
                <a:ext uri="{FF2B5EF4-FFF2-40B4-BE49-F238E27FC236}">
                  <a16:creationId xmlns:a16="http://schemas.microsoft.com/office/drawing/2014/main" id="{00000000-0008-0000-0000-00009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163</xdr:row>
          <xdr:rowOff>9525</xdr:rowOff>
        </xdr:from>
        <xdr:to>
          <xdr:col>6</xdr:col>
          <xdr:colOff>219075</xdr:colOff>
          <xdr:row>163</xdr:row>
          <xdr:rowOff>171450</xdr:rowOff>
        </xdr:to>
        <xdr:sp macro="" textlink="">
          <xdr:nvSpPr>
            <xdr:cNvPr id="2452" name="Button 232" hidden="1">
              <a:extLst>
                <a:ext uri="{63B3BB69-23CF-44E3-9099-C40C66FF867C}">
                  <a14:compatExt spid="_x0000_s2452"/>
                </a:ext>
                <a:ext uri="{FF2B5EF4-FFF2-40B4-BE49-F238E27FC236}">
                  <a16:creationId xmlns:a16="http://schemas.microsoft.com/office/drawing/2014/main" id="{00000000-0008-0000-0000-00009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164</xdr:row>
          <xdr:rowOff>9525</xdr:rowOff>
        </xdr:from>
        <xdr:to>
          <xdr:col>6</xdr:col>
          <xdr:colOff>219075</xdr:colOff>
          <xdr:row>164</xdr:row>
          <xdr:rowOff>171450</xdr:rowOff>
        </xdr:to>
        <xdr:sp macro="" textlink="">
          <xdr:nvSpPr>
            <xdr:cNvPr id="2453" name="Button 232" hidden="1">
              <a:extLst>
                <a:ext uri="{63B3BB69-23CF-44E3-9099-C40C66FF867C}">
                  <a14:compatExt spid="_x0000_s2453"/>
                </a:ext>
                <a:ext uri="{FF2B5EF4-FFF2-40B4-BE49-F238E27FC236}">
                  <a16:creationId xmlns:a16="http://schemas.microsoft.com/office/drawing/2014/main" id="{00000000-0008-0000-0000-00009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165</xdr:row>
          <xdr:rowOff>9525</xdr:rowOff>
        </xdr:from>
        <xdr:to>
          <xdr:col>6</xdr:col>
          <xdr:colOff>219075</xdr:colOff>
          <xdr:row>165</xdr:row>
          <xdr:rowOff>171450</xdr:rowOff>
        </xdr:to>
        <xdr:sp macro="" textlink="">
          <xdr:nvSpPr>
            <xdr:cNvPr id="2454" name="Button 232" hidden="1">
              <a:extLst>
                <a:ext uri="{63B3BB69-23CF-44E3-9099-C40C66FF867C}">
                  <a14:compatExt spid="_x0000_s2454"/>
                </a:ext>
                <a:ext uri="{FF2B5EF4-FFF2-40B4-BE49-F238E27FC236}">
                  <a16:creationId xmlns:a16="http://schemas.microsoft.com/office/drawing/2014/main" id="{00000000-0008-0000-0000-000096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166</xdr:row>
          <xdr:rowOff>9525</xdr:rowOff>
        </xdr:from>
        <xdr:to>
          <xdr:col>6</xdr:col>
          <xdr:colOff>219075</xdr:colOff>
          <xdr:row>166</xdr:row>
          <xdr:rowOff>171450</xdr:rowOff>
        </xdr:to>
        <xdr:sp macro="" textlink="">
          <xdr:nvSpPr>
            <xdr:cNvPr id="2455" name="Button 232" hidden="1">
              <a:extLst>
                <a:ext uri="{63B3BB69-23CF-44E3-9099-C40C66FF867C}">
                  <a14:compatExt spid="_x0000_s2455"/>
                </a:ext>
                <a:ext uri="{FF2B5EF4-FFF2-40B4-BE49-F238E27FC236}">
                  <a16:creationId xmlns:a16="http://schemas.microsoft.com/office/drawing/2014/main" id="{00000000-0008-0000-0000-00009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167</xdr:row>
          <xdr:rowOff>9525</xdr:rowOff>
        </xdr:from>
        <xdr:to>
          <xdr:col>6</xdr:col>
          <xdr:colOff>219075</xdr:colOff>
          <xdr:row>167</xdr:row>
          <xdr:rowOff>171450</xdr:rowOff>
        </xdr:to>
        <xdr:sp macro="" textlink="">
          <xdr:nvSpPr>
            <xdr:cNvPr id="2456" name="Button 232" hidden="1">
              <a:extLst>
                <a:ext uri="{63B3BB69-23CF-44E3-9099-C40C66FF867C}">
                  <a14:compatExt spid="_x0000_s2456"/>
                </a:ext>
                <a:ext uri="{FF2B5EF4-FFF2-40B4-BE49-F238E27FC236}">
                  <a16:creationId xmlns:a16="http://schemas.microsoft.com/office/drawing/2014/main" id="{00000000-0008-0000-0000-00009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168</xdr:row>
          <xdr:rowOff>9525</xdr:rowOff>
        </xdr:from>
        <xdr:to>
          <xdr:col>6</xdr:col>
          <xdr:colOff>219075</xdr:colOff>
          <xdr:row>168</xdr:row>
          <xdr:rowOff>171450</xdr:rowOff>
        </xdr:to>
        <xdr:sp macro="" textlink="">
          <xdr:nvSpPr>
            <xdr:cNvPr id="2457" name="Button 232" hidden="1">
              <a:extLst>
                <a:ext uri="{63B3BB69-23CF-44E3-9099-C40C66FF867C}">
                  <a14:compatExt spid="_x0000_s2457"/>
                </a:ext>
                <a:ext uri="{FF2B5EF4-FFF2-40B4-BE49-F238E27FC236}">
                  <a16:creationId xmlns:a16="http://schemas.microsoft.com/office/drawing/2014/main" id="{00000000-0008-0000-0000-00009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169</xdr:row>
          <xdr:rowOff>9525</xdr:rowOff>
        </xdr:from>
        <xdr:to>
          <xdr:col>6</xdr:col>
          <xdr:colOff>219075</xdr:colOff>
          <xdr:row>169</xdr:row>
          <xdr:rowOff>171450</xdr:rowOff>
        </xdr:to>
        <xdr:sp macro="" textlink="">
          <xdr:nvSpPr>
            <xdr:cNvPr id="2458" name="Button 232" hidden="1">
              <a:extLst>
                <a:ext uri="{63B3BB69-23CF-44E3-9099-C40C66FF867C}">
                  <a14:compatExt spid="_x0000_s2458"/>
                </a:ext>
                <a:ext uri="{FF2B5EF4-FFF2-40B4-BE49-F238E27FC236}">
                  <a16:creationId xmlns:a16="http://schemas.microsoft.com/office/drawing/2014/main" id="{00000000-0008-0000-0000-00009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170</xdr:row>
          <xdr:rowOff>9525</xdr:rowOff>
        </xdr:from>
        <xdr:to>
          <xdr:col>6</xdr:col>
          <xdr:colOff>219075</xdr:colOff>
          <xdr:row>170</xdr:row>
          <xdr:rowOff>171450</xdr:rowOff>
        </xdr:to>
        <xdr:sp macro="" textlink="">
          <xdr:nvSpPr>
            <xdr:cNvPr id="2459" name="Button 232" hidden="1">
              <a:extLst>
                <a:ext uri="{63B3BB69-23CF-44E3-9099-C40C66FF867C}">
                  <a14:compatExt spid="_x0000_s2459"/>
                </a:ext>
                <a:ext uri="{FF2B5EF4-FFF2-40B4-BE49-F238E27FC236}">
                  <a16:creationId xmlns:a16="http://schemas.microsoft.com/office/drawing/2014/main" id="{00000000-0008-0000-0000-00009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171</xdr:row>
          <xdr:rowOff>9525</xdr:rowOff>
        </xdr:from>
        <xdr:to>
          <xdr:col>6</xdr:col>
          <xdr:colOff>219075</xdr:colOff>
          <xdr:row>171</xdr:row>
          <xdr:rowOff>171450</xdr:rowOff>
        </xdr:to>
        <xdr:sp macro="" textlink="">
          <xdr:nvSpPr>
            <xdr:cNvPr id="2460" name="Button 232" hidden="1">
              <a:extLst>
                <a:ext uri="{63B3BB69-23CF-44E3-9099-C40C66FF867C}">
                  <a14:compatExt spid="_x0000_s2460"/>
                </a:ext>
                <a:ext uri="{FF2B5EF4-FFF2-40B4-BE49-F238E27FC236}">
                  <a16:creationId xmlns:a16="http://schemas.microsoft.com/office/drawing/2014/main" id="{00000000-0008-0000-0000-00009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195</xdr:row>
          <xdr:rowOff>9525</xdr:rowOff>
        </xdr:from>
        <xdr:to>
          <xdr:col>4</xdr:col>
          <xdr:colOff>219075</xdr:colOff>
          <xdr:row>195</xdr:row>
          <xdr:rowOff>171450</xdr:rowOff>
        </xdr:to>
        <xdr:sp macro="" textlink="">
          <xdr:nvSpPr>
            <xdr:cNvPr id="2471" name="Button 423" hidden="1">
              <a:extLst>
                <a:ext uri="{63B3BB69-23CF-44E3-9099-C40C66FF867C}">
                  <a14:compatExt spid="_x0000_s2471"/>
                </a:ext>
                <a:ext uri="{FF2B5EF4-FFF2-40B4-BE49-F238E27FC236}">
                  <a16:creationId xmlns:a16="http://schemas.microsoft.com/office/drawing/2014/main" id="{00000000-0008-0000-0000-0000A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196</xdr:row>
          <xdr:rowOff>9525</xdr:rowOff>
        </xdr:from>
        <xdr:to>
          <xdr:col>4</xdr:col>
          <xdr:colOff>219075</xdr:colOff>
          <xdr:row>196</xdr:row>
          <xdr:rowOff>171450</xdr:rowOff>
        </xdr:to>
        <xdr:sp macro="" textlink="">
          <xdr:nvSpPr>
            <xdr:cNvPr id="2472" name="Button 424" hidden="1">
              <a:extLst>
                <a:ext uri="{63B3BB69-23CF-44E3-9099-C40C66FF867C}">
                  <a14:compatExt spid="_x0000_s2472"/>
                </a:ext>
                <a:ext uri="{FF2B5EF4-FFF2-40B4-BE49-F238E27FC236}">
                  <a16:creationId xmlns:a16="http://schemas.microsoft.com/office/drawing/2014/main" id="{00000000-0008-0000-0000-0000A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197</xdr:row>
          <xdr:rowOff>9525</xdr:rowOff>
        </xdr:from>
        <xdr:to>
          <xdr:col>4</xdr:col>
          <xdr:colOff>219075</xdr:colOff>
          <xdr:row>197</xdr:row>
          <xdr:rowOff>171450</xdr:rowOff>
        </xdr:to>
        <xdr:sp macro="" textlink="">
          <xdr:nvSpPr>
            <xdr:cNvPr id="2473" name="Button 425" hidden="1">
              <a:extLst>
                <a:ext uri="{63B3BB69-23CF-44E3-9099-C40C66FF867C}">
                  <a14:compatExt spid="_x0000_s2473"/>
                </a:ext>
                <a:ext uri="{FF2B5EF4-FFF2-40B4-BE49-F238E27FC236}">
                  <a16:creationId xmlns:a16="http://schemas.microsoft.com/office/drawing/2014/main" id="{00000000-0008-0000-0000-0000A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198</xdr:row>
          <xdr:rowOff>9525</xdr:rowOff>
        </xdr:from>
        <xdr:to>
          <xdr:col>4</xdr:col>
          <xdr:colOff>219075</xdr:colOff>
          <xdr:row>198</xdr:row>
          <xdr:rowOff>171450</xdr:rowOff>
        </xdr:to>
        <xdr:sp macro="" textlink="">
          <xdr:nvSpPr>
            <xdr:cNvPr id="2474" name="Button 426" hidden="1">
              <a:extLst>
                <a:ext uri="{63B3BB69-23CF-44E3-9099-C40C66FF867C}">
                  <a14:compatExt spid="_x0000_s2474"/>
                </a:ext>
                <a:ext uri="{FF2B5EF4-FFF2-40B4-BE49-F238E27FC236}">
                  <a16:creationId xmlns:a16="http://schemas.microsoft.com/office/drawing/2014/main" id="{00000000-0008-0000-0000-0000A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200</xdr:row>
          <xdr:rowOff>9525</xdr:rowOff>
        </xdr:from>
        <xdr:to>
          <xdr:col>4</xdr:col>
          <xdr:colOff>219075</xdr:colOff>
          <xdr:row>200</xdr:row>
          <xdr:rowOff>171450</xdr:rowOff>
        </xdr:to>
        <xdr:sp macro="" textlink="">
          <xdr:nvSpPr>
            <xdr:cNvPr id="2475" name="Button 427" hidden="1">
              <a:extLst>
                <a:ext uri="{63B3BB69-23CF-44E3-9099-C40C66FF867C}">
                  <a14:compatExt spid="_x0000_s2475"/>
                </a:ext>
                <a:ext uri="{FF2B5EF4-FFF2-40B4-BE49-F238E27FC236}">
                  <a16:creationId xmlns:a16="http://schemas.microsoft.com/office/drawing/2014/main" id="{00000000-0008-0000-0000-0000A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199</xdr:row>
          <xdr:rowOff>9525</xdr:rowOff>
        </xdr:from>
        <xdr:to>
          <xdr:col>4</xdr:col>
          <xdr:colOff>219075</xdr:colOff>
          <xdr:row>199</xdr:row>
          <xdr:rowOff>171450</xdr:rowOff>
        </xdr:to>
        <xdr:sp macro="" textlink="">
          <xdr:nvSpPr>
            <xdr:cNvPr id="2476" name="Button 428" hidden="1">
              <a:extLst>
                <a:ext uri="{63B3BB69-23CF-44E3-9099-C40C66FF867C}">
                  <a14:compatExt spid="_x0000_s2476"/>
                </a:ext>
                <a:ext uri="{FF2B5EF4-FFF2-40B4-BE49-F238E27FC236}">
                  <a16:creationId xmlns:a16="http://schemas.microsoft.com/office/drawing/2014/main" id="{00000000-0008-0000-0000-0000A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201</xdr:row>
          <xdr:rowOff>9525</xdr:rowOff>
        </xdr:from>
        <xdr:to>
          <xdr:col>4</xdr:col>
          <xdr:colOff>219075</xdr:colOff>
          <xdr:row>201</xdr:row>
          <xdr:rowOff>171450</xdr:rowOff>
        </xdr:to>
        <xdr:sp macro="" textlink="">
          <xdr:nvSpPr>
            <xdr:cNvPr id="2478" name="Button 430" hidden="1">
              <a:extLst>
                <a:ext uri="{63B3BB69-23CF-44E3-9099-C40C66FF867C}">
                  <a14:compatExt spid="_x0000_s2478"/>
                </a:ext>
                <a:ext uri="{FF2B5EF4-FFF2-40B4-BE49-F238E27FC236}">
                  <a16:creationId xmlns:a16="http://schemas.microsoft.com/office/drawing/2014/main" id="{00000000-0008-0000-0000-0000A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202</xdr:row>
          <xdr:rowOff>9525</xdr:rowOff>
        </xdr:from>
        <xdr:to>
          <xdr:col>4</xdr:col>
          <xdr:colOff>219075</xdr:colOff>
          <xdr:row>202</xdr:row>
          <xdr:rowOff>171450</xdr:rowOff>
        </xdr:to>
        <xdr:sp macro="" textlink="">
          <xdr:nvSpPr>
            <xdr:cNvPr id="2479" name="Button 431"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203</xdr:row>
          <xdr:rowOff>9525</xdr:rowOff>
        </xdr:from>
        <xdr:to>
          <xdr:col>4</xdr:col>
          <xdr:colOff>219075</xdr:colOff>
          <xdr:row>203</xdr:row>
          <xdr:rowOff>171450</xdr:rowOff>
        </xdr:to>
        <xdr:sp macro="" textlink="">
          <xdr:nvSpPr>
            <xdr:cNvPr id="2480" name="Button 432" hidden="1">
              <a:extLst>
                <a:ext uri="{63B3BB69-23CF-44E3-9099-C40C66FF867C}">
                  <a14:compatExt spid="_x0000_s2480"/>
                </a:ext>
                <a:ext uri="{FF2B5EF4-FFF2-40B4-BE49-F238E27FC236}">
                  <a16:creationId xmlns:a16="http://schemas.microsoft.com/office/drawing/2014/main" id="{00000000-0008-0000-0000-0000B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204</xdr:row>
          <xdr:rowOff>9525</xdr:rowOff>
        </xdr:from>
        <xdr:to>
          <xdr:col>4</xdr:col>
          <xdr:colOff>219075</xdr:colOff>
          <xdr:row>204</xdr:row>
          <xdr:rowOff>171450</xdr:rowOff>
        </xdr:to>
        <xdr:sp macro="" textlink="">
          <xdr:nvSpPr>
            <xdr:cNvPr id="2481" name="Button 433" hidden="1">
              <a:extLst>
                <a:ext uri="{63B3BB69-23CF-44E3-9099-C40C66FF867C}">
                  <a14:compatExt spid="_x0000_s2481"/>
                </a:ext>
                <a:ext uri="{FF2B5EF4-FFF2-40B4-BE49-F238E27FC236}">
                  <a16:creationId xmlns:a16="http://schemas.microsoft.com/office/drawing/2014/main" id="{00000000-0008-0000-0000-0000B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205</xdr:row>
          <xdr:rowOff>9525</xdr:rowOff>
        </xdr:from>
        <xdr:to>
          <xdr:col>4</xdr:col>
          <xdr:colOff>219075</xdr:colOff>
          <xdr:row>205</xdr:row>
          <xdr:rowOff>171450</xdr:rowOff>
        </xdr:to>
        <xdr:sp macro="" textlink="">
          <xdr:nvSpPr>
            <xdr:cNvPr id="2482" name="Button 434" hidden="1">
              <a:extLst>
                <a:ext uri="{63B3BB69-23CF-44E3-9099-C40C66FF867C}">
                  <a14:compatExt spid="_x0000_s2482"/>
                </a:ext>
                <a:ext uri="{FF2B5EF4-FFF2-40B4-BE49-F238E27FC236}">
                  <a16:creationId xmlns:a16="http://schemas.microsoft.com/office/drawing/2014/main" id="{00000000-0008-0000-0000-0000B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206</xdr:row>
          <xdr:rowOff>9525</xdr:rowOff>
        </xdr:from>
        <xdr:to>
          <xdr:col>4</xdr:col>
          <xdr:colOff>219075</xdr:colOff>
          <xdr:row>206</xdr:row>
          <xdr:rowOff>171450</xdr:rowOff>
        </xdr:to>
        <xdr:sp macro="" textlink="">
          <xdr:nvSpPr>
            <xdr:cNvPr id="2483" name="Button 435" hidden="1">
              <a:extLst>
                <a:ext uri="{63B3BB69-23CF-44E3-9099-C40C66FF867C}">
                  <a14:compatExt spid="_x0000_s2483"/>
                </a:ext>
                <a:ext uri="{FF2B5EF4-FFF2-40B4-BE49-F238E27FC236}">
                  <a16:creationId xmlns:a16="http://schemas.microsoft.com/office/drawing/2014/main" id="{00000000-0008-0000-0000-0000B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207</xdr:row>
          <xdr:rowOff>9525</xdr:rowOff>
        </xdr:from>
        <xdr:to>
          <xdr:col>4</xdr:col>
          <xdr:colOff>219075</xdr:colOff>
          <xdr:row>207</xdr:row>
          <xdr:rowOff>171450</xdr:rowOff>
        </xdr:to>
        <xdr:sp macro="" textlink="">
          <xdr:nvSpPr>
            <xdr:cNvPr id="2484" name="Button 436" hidden="1">
              <a:extLst>
                <a:ext uri="{63B3BB69-23CF-44E3-9099-C40C66FF867C}">
                  <a14:compatExt spid="_x0000_s2484"/>
                </a:ext>
                <a:ext uri="{FF2B5EF4-FFF2-40B4-BE49-F238E27FC236}">
                  <a16:creationId xmlns:a16="http://schemas.microsoft.com/office/drawing/2014/main" id="{00000000-0008-0000-0000-0000B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208</xdr:row>
          <xdr:rowOff>9525</xdr:rowOff>
        </xdr:from>
        <xdr:to>
          <xdr:col>4</xdr:col>
          <xdr:colOff>219075</xdr:colOff>
          <xdr:row>208</xdr:row>
          <xdr:rowOff>171450</xdr:rowOff>
        </xdr:to>
        <xdr:sp macro="" textlink="">
          <xdr:nvSpPr>
            <xdr:cNvPr id="2485" name="Button 437" hidden="1">
              <a:extLst>
                <a:ext uri="{63B3BB69-23CF-44E3-9099-C40C66FF867C}">
                  <a14:compatExt spid="_x0000_s2485"/>
                </a:ext>
                <a:ext uri="{FF2B5EF4-FFF2-40B4-BE49-F238E27FC236}">
                  <a16:creationId xmlns:a16="http://schemas.microsoft.com/office/drawing/2014/main" id="{00000000-0008-0000-0000-0000B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209</xdr:row>
          <xdr:rowOff>9525</xdr:rowOff>
        </xdr:from>
        <xdr:to>
          <xdr:col>4</xdr:col>
          <xdr:colOff>219075</xdr:colOff>
          <xdr:row>209</xdr:row>
          <xdr:rowOff>171450</xdr:rowOff>
        </xdr:to>
        <xdr:sp macro="" textlink="">
          <xdr:nvSpPr>
            <xdr:cNvPr id="2487" name="Button 439" hidden="1">
              <a:extLst>
                <a:ext uri="{63B3BB69-23CF-44E3-9099-C40C66FF867C}">
                  <a14:compatExt spid="_x0000_s2487"/>
                </a:ext>
                <a:ext uri="{FF2B5EF4-FFF2-40B4-BE49-F238E27FC236}">
                  <a16:creationId xmlns:a16="http://schemas.microsoft.com/office/drawing/2014/main" id="{00000000-0008-0000-0000-0000B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210</xdr:row>
          <xdr:rowOff>9525</xdr:rowOff>
        </xdr:from>
        <xdr:to>
          <xdr:col>4</xdr:col>
          <xdr:colOff>219075</xdr:colOff>
          <xdr:row>210</xdr:row>
          <xdr:rowOff>171450</xdr:rowOff>
        </xdr:to>
        <xdr:sp macro="" textlink="">
          <xdr:nvSpPr>
            <xdr:cNvPr id="2488" name="Button 440" hidden="1">
              <a:extLst>
                <a:ext uri="{63B3BB69-23CF-44E3-9099-C40C66FF867C}">
                  <a14:compatExt spid="_x0000_s2488"/>
                </a:ext>
                <a:ext uri="{FF2B5EF4-FFF2-40B4-BE49-F238E27FC236}">
                  <a16:creationId xmlns:a16="http://schemas.microsoft.com/office/drawing/2014/main" id="{00000000-0008-0000-0000-0000B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211</xdr:row>
          <xdr:rowOff>9525</xdr:rowOff>
        </xdr:from>
        <xdr:to>
          <xdr:col>4</xdr:col>
          <xdr:colOff>219075</xdr:colOff>
          <xdr:row>211</xdr:row>
          <xdr:rowOff>171450</xdr:rowOff>
        </xdr:to>
        <xdr:sp macro="" textlink="">
          <xdr:nvSpPr>
            <xdr:cNvPr id="2489" name="Button 441" hidden="1">
              <a:extLst>
                <a:ext uri="{63B3BB69-23CF-44E3-9099-C40C66FF867C}">
                  <a14:compatExt spid="_x0000_s2489"/>
                </a:ext>
                <a:ext uri="{FF2B5EF4-FFF2-40B4-BE49-F238E27FC236}">
                  <a16:creationId xmlns:a16="http://schemas.microsoft.com/office/drawing/2014/main" id="{00000000-0008-0000-0000-0000B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212</xdr:row>
          <xdr:rowOff>9525</xdr:rowOff>
        </xdr:from>
        <xdr:to>
          <xdr:col>4</xdr:col>
          <xdr:colOff>219075</xdr:colOff>
          <xdr:row>212</xdr:row>
          <xdr:rowOff>171450</xdr:rowOff>
        </xdr:to>
        <xdr:sp macro="" textlink="">
          <xdr:nvSpPr>
            <xdr:cNvPr id="2490" name="Button 442" hidden="1">
              <a:extLst>
                <a:ext uri="{63B3BB69-23CF-44E3-9099-C40C66FF867C}">
                  <a14:compatExt spid="_x0000_s2490"/>
                </a:ext>
                <a:ext uri="{FF2B5EF4-FFF2-40B4-BE49-F238E27FC236}">
                  <a16:creationId xmlns:a16="http://schemas.microsoft.com/office/drawing/2014/main" id="{00000000-0008-0000-0000-0000B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213</xdr:row>
          <xdr:rowOff>9525</xdr:rowOff>
        </xdr:from>
        <xdr:to>
          <xdr:col>4</xdr:col>
          <xdr:colOff>219075</xdr:colOff>
          <xdr:row>213</xdr:row>
          <xdr:rowOff>171450</xdr:rowOff>
        </xdr:to>
        <xdr:sp macro="" textlink="">
          <xdr:nvSpPr>
            <xdr:cNvPr id="2493" name="Button 442" hidden="1">
              <a:extLst>
                <a:ext uri="{63B3BB69-23CF-44E3-9099-C40C66FF867C}">
                  <a14:compatExt spid="_x0000_s2493"/>
                </a:ext>
                <a:ext uri="{FF2B5EF4-FFF2-40B4-BE49-F238E27FC236}">
                  <a16:creationId xmlns:a16="http://schemas.microsoft.com/office/drawing/2014/main" id="{00000000-0008-0000-0000-0000BD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214</xdr:row>
          <xdr:rowOff>9525</xdr:rowOff>
        </xdr:from>
        <xdr:to>
          <xdr:col>4</xdr:col>
          <xdr:colOff>219075</xdr:colOff>
          <xdr:row>214</xdr:row>
          <xdr:rowOff>171450</xdr:rowOff>
        </xdr:to>
        <xdr:sp macro="" textlink="">
          <xdr:nvSpPr>
            <xdr:cNvPr id="2494" name="Button 442" hidden="1">
              <a:extLst>
                <a:ext uri="{63B3BB69-23CF-44E3-9099-C40C66FF867C}">
                  <a14:compatExt spid="_x0000_s2494"/>
                </a:ext>
                <a:ext uri="{FF2B5EF4-FFF2-40B4-BE49-F238E27FC236}">
                  <a16:creationId xmlns:a16="http://schemas.microsoft.com/office/drawing/2014/main" id="{00000000-0008-0000-0000-0000B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215</xdr:row>
          <xdr:rowOff>9525</xdr:rowOff>
        </xdr:from>
        <xdr:to>
          <xdr:col>4</xdr:col>
          <xdr:colOff>219075</xdr:colOff>
          <xdr:row>215</xdr:row>
          <xdr:rowOff>171450</xdr:rowOff>
        </xdr:to>
        <xdr:sp macro="" textlink="">
          <xdr:nvSpPr>
            <xdr:cNvPr id="2495" name="Button 442" hidden="1">
              <a:extLst>
                <a:ext uri="{63B3BB69-23CF-44E3-9099-C40C66FF867C}">
                  <a14:compatExt spid="_x0000_s2495"/>
                </a:ext>
                <a:ext uri="{FF2B5EF4-FFF2-40B4-BE49-F238E27FC236}">
                  <a16:creationId xmlns:a16="http://schemas.microsoft.com/office/drawing/2014/main" id="{00000000-0008-0000-0000-0000B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216</xdr:row>
          <xdr:rowOff>9525</xdr:rowOff>
        </xdr:from>
        <xdr:to>
          <xdr:col>4</xdr:col>
          <xdr:colOff>219075</xdr:colOff>
          <xdr:row>216</xdr:row>
          <xdr:rowOff>171450</xdr:rowOff>
        </xdr:to>
        <xdr:sp macro="" textlink="">
          <xdr:nvSpPr>
            <xdr:cNvPr id="2496" name="Button 442" hidden="1">
              <a:extLst>
                <a:ext uri="{63B3BB69-23CF-44E3-9099-C40C66FF867C}">
                  <a14:compatExt spid="_x0000_s2496"/>
                </a:ext>
                <a:ext uri="{FF2B5EF4-FFF2-40B4-BE49-F238E27FC236}">
                  <a16:creationId xmlns:a16="http://schemas.microsoft.com/office/drawing/2014/main" id="{00000000-0008-0000-0000-0000C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217</xdr:row>
          <xdr:rowOff>9525</xdr:rowOff>
        </xdr:from>
        <xdr:to>
          <xdr:col>4</xdr:col>
          <xdr:colOff>219075</xdr:colOff>
          <xdr:row>217</xdr:row>
          <xdr:rowOff>171450</xdr:rowOff>
        </xdr:to>
        <xdr:sp macro="" textlink="">
          <xdr:nvSpPr>
            <xdr:cNvPr id="2497" name="Button 442" hidden="1">
              <a:extLst>
                <a:ext uri="{63B3BB69-23CF-44E3-9099-C40C66FF867C}">
                  <a14:compatExt spid="_x0000_s2497"/>
                </a:ext>
                <a:ext uri="{FF2B5EF4-FFF2-40B4-BE49-F238E27FC236}">
                  <a16:creationId xmlns:a16="http://schemas.microsoft.com/office/drawing/2014/main" id="{00000000-0008-0000-0000-0000C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218</xdr:row>
          <xdr:rowOff>9525</xdr:rowOff>
        </xdr:from>
        <xdr:to>
          <xdr:col>4</xdr:col>
          <xdr:colOff>219075</xdr:colOff>
          <xdr:row>218</xdr:row>
          <xdr:rowOff>171450</xdr:rowOff>
        </xdr:to>
        <xdr:sp macro="" textlink="">
          <xdr:nvSpPr>
            <xdr:cNvPr id="2498" name="Button 442" hidden="1">
              <a:extLst>
                <a:ext uri="{63B3BB69-23CF-44E3-9099-C40C66FF867C}">
                  <a14:compatExt spid="_x0000_s2498"/>
                </a:ext>
                <a:ext uri="{FF2B5EF4-FFF2-40B4-BE49-F238E27FC236}">
                  <a16:creationId xmlns:a16="http://schemas.microsoft.com/office/drawing/2014/main" id="{00000000-0008-0000-0000-0000C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219</xdr:row>
          <xdr:rowOff>9525</xdr:rowOff>
        </xdr:from>
        <xdr:to>
          <xdr:col>4</xdr:col>
          <xdr:colOff>219075</xdr:colOff>
          <xdr:row>219</xdr:row>
          <xdr:rowOff>171450</xdr:rowOff>
        </xdr:to>
        <xdr:sp macro="" textlink="">
          <xdr:nvSpPr>
            <xdr:cNvPr id="2499" name="Button 442" hidden="1">
              <a:extLst>
                <a:ext uri="{63B3BB69-23CF-44E3-9099-C40C66FF867C}">
                  <a14:compatExt spid="_x0000_s2499"/>
                </a:ext>
                <a:ext uri="{FF2B5EF4-FFF2-40B4-BE49-F238E27FC236}">
                  <a16:creationId xmlns:a16="http://schemas.microsoft.com/office/drawing/2014/main" id="{00000000-0008-0000-0000-0000C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220</xdr:row>
          <xdr:rowOff>9525</xdr:rowOff>
        </xdr:from>
        <xdr:to>
          <xdr:col>4</xdr:col>
          <xdr:colOff>219075</xdr:colOff>
          <xdr:row>220</xdr:row>
          <xdr:rowOff>171450</xdr:rowOff>
        </xdr:to>
        <xdr:sp macro="" textlink="">
          <xdr:nvSpPr>
            <xdr:cNvPr id="2500" name="Button 442" hidden="1">
              <a:extLst>
                <a:ext uri="{63B3BB69-23CF-44E3-9099-C40C66FF867C}">
                  <a14:compatExt spid="_x0000_s2500"/>
                </a:ext>
                <a:ext uri="{FF2B5EF4-FFF2-40B4-BE49-F238E27FC236}">
                  <a16:creationId xmlns:a16="http://schemas.microsoft.com/office/drawing/2014/main" id="{00000000-0008-0000-0000-0000C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221</xdr:row>
          <xdr:rowOff>9525</xdr:rowOff>
        </xdr:from>
        <xdr:to>
          <xdr:col>4</xdr:col>
          <xdr:colOff>219075</xdr:colOff>
          <xdr:row>221</xdr:row>
          <xdr:rowOff>171450</xdr:rowOff>
        </xdr:to>
        <xdr:sp macro="" textlink="">
          <xdr:nvSpPr>
            <xdr:cNvPr id="2501" name="Button 442" hidden="1">
              <a:extLst>
                <a:ext uri="{63B3BB69-23CF-44E3-9099-C40C66FF867C}">
                  <a14:compatExt spid="_x0000_s2501"/>
                </a:ext>
                <a:ext uri="{FF2B5EF4-FFF2-40B4-BE49-F238E27FC236}">
                  <a16:creationId xmlns:a16="http://schemas.microsoft.com/office/drawing/2014/main" id="{00000000-0008-0000-0000-0000C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222</xdr:row>
          <xdr:rowOff>9525</xdr:rowOff>
        </xdr:from>
        <xdr:to>
          <xdr:col>4</xdr:col>
          <xdr:colOff>219075</xdr:colOff>
          <xdr:row>222</xdr:row>
          <xdr:rowOff>171450</xdr:rowOff>
        </xdr:to>
        <xdr:sp macro="" textlink="">
          <xdr:nvSpPr>
            <xdr:cNvPr id="2502" name="Button 442" hidden="1">
              <a:extLst>
                <a:ext uri="{63B3BB69-23CF-44E3-9099-C40C66FF867C}">
                  <a14:compatExt spid="_x0000_s2502"/>
                </a:ext>
                <a:ext uri="{FF2B5EF4-FFF2-40B4-BE49-F238E27FC236}">
                  <a16:creationId xmlns:a16="http://schemas.microsoft.com/office/drawing/2014/main" id="{00000000-0008-0000-0000-0000C6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223</xdr:row>
          <xdr:rowOff>9525</xdr:rowOff>
        </xdr:from>
        <xdr:to>
          <xdr:col>4</xdr:col>
          <xdr:colOff>219075</xdr:colOff>
          <xdr:row>223</xdr:row>
          <xdr:rowOff>171450</xdr:rowOff>
        </xdr:to>
        <xdr:sp macro="" textlink="">
          <xdr:nvSpPr>
            <xdr:cNvPr id="2503" name="Button 442" hidden="1">
              <a:extLst>
                <a:ext uri="{63B3BB69-23CF-44E3-9099-C40C66FF867C}">
                  <a14:compatExt spid="_x0000_s2503"/>
                </a:ext>
                <a:ext uri="{FF2B5EF4-FFF2-40B4-BE49-F238E27FC236}">
                  <a16:creationId xmlns:a16="http://schemas.microsoft.com/office/drawing/2014/main" id="{00000000-0008-0000-0000-0000C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224</xdr:row>
          <xdr:rowOff>9525</xdr:rowOff>
        </xdr:from>
        <xdr:to>
          <xdr:col>4</xdr:col>
          <xdr:colOff>219075</xdr:colOff>
          <xdr:row>224</xdr:row>
          <xdr:rowOff>171450</xdr:rowOff>
        </xdr:to>
        <xdr:sp macro="" textlink="">
          <xdr:nvSpPr>
            <xdr:cNvPr id="2504" name="Button 442" hidden="1">
              <a:extLst>
                <a:ext uri="{63B3BB69-23CF-44E3-9099-C40C66FF867C}">
                  <a14:compatExt spid="_x0000_s2504"/>
                </a:ext>
                <a:ext uri="{FF2B5EF4-FFF2-40B4-BE49-F238E27FC236}">
                  <a16:creationId xmlns:a16="http://schemas.microsoft.com/office/drawing/2014/main" id="{00000000-0008-0000-0000-0000C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225</xdr:row>
          <xdr:rowOff>9525</xdr:rowOff>
        </xdr:from>
        <xdr:to>
          <xdr:col>4</xdr:col>
          <xdr:colOff>219075</xdr:colOff>
          <xdr:row>225</xdr:row>
          <xdr:rowOff>171450</xdr:rowOff>
        </xdr:to>
        <xdr:sp macro="" textlink="">
          <xdr:nvSpPr>
            <xdr:cNvPr id="2505" name="Button 442" hidden="1">
              <a:extLst>
                <a:ext uri="{63B3BB69-23CF-44E3-9099-C40C66FF867C}">
                  <a14:compatExt spid="_x0000_s2505"/>
                </a:ext>
                <a:ext uri="{FF2B5EF4-FFF2-40B4-BE49-F238E27FC236}">
                  <a16:creationId xmlns:a16="http://schemas.microsoft.com/office/drawing/2014/main" id="{00000000-0008-0000-0000-0000C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226</xdr:row>
          <xdr:rowOff>9525</xdr:rowOff>
        </xdr:from>
        <xdr:to>
          <xdr:col>4</xdr:col>
          <xdr:colOff>219075</xdr:colOff>
          <xdr:row>226</xdr:row>
          <xdr:rowOff>171450</xdr:rowOff>
        </xdr:to>
        <xdr:sp macro="" textlink="">
          <xdr:nvSpPr>
            <xdr:cNvPr id="2506" name="Button 442" hidden="1">
              <a:extLst>
                <a:ext uri="{63B3BB69-23CF-44E3-9099-C40C66FF867C}">
                  <a14:compatExt spid="_x0000_s2506"/>
                </a:ext>
                <a:ext uri="{FF2B5EF4-FFF2-40B4-BE49-F238E27FC236}">
                  <a16:creationId xmlns:a16="http://schemas.microsoft.com/office/drawing/2014/main" id="{00000000-0008-0000-0000-0000C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227</xdr:row>
          <xdr:rowOff>9525</xdr:rowOff>
        </xdr:from>
        <xdr:to>
          <xdr:col>4</xdr:col>
          <xdr:colOff>219075</xdr:colOff>
          <xdr:row>227</xdr:row>
          <xdr:rowOff>171450</xdr:rowOff>
        </xdr:to>
        <xdr:sp macro="" textlink="">
          <xdr:nvSpPr>
            <xdr:cNvPr id="2507" name="Button 442" hidden="1">
              <a:extLst>
                <a:ext uri="{63B3BB69-23CF-44E3-9099-C40C66FF867C}">
                  <a14:compatExt spid="_x0000_s2507"/>
                </a:ext>
                <a:ext uri="{FF2B5EF4-FFF2-40B4-BE49-F238E27FC236}">
                  <a16:creationId xmlns:a16="http://schemas.microsoft.com/office/drawing/2014/main" id="{00000000-0008-0000-0000-0000C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229</xdr:row>
          <xdr:rowOff>9525</xdr:rowOff>
        </xdr:from>
        <xdr:to>
          <xdr:col>4</xdr:col>
          <xdr:colOff>219075</xdr:colOff>
          <xdr:row>229</xdr:row>
          <xdr:rowOff>171450</xdr:rowOff>
        </xdr:to>
        <xdr:sp macro="" textlink="">
          <xdr:nvSpPr>
            <xdr:cNvPr id="2508" name="Button 442" hidden="1">
              <a:extLst>
                <a:ext uri="{63B3BB69-23CF-44E3-9099-C40C66FF867C}">
                  <a14:compatExt spid="_x0000_s2508"/>
                </a:ext>
                <a:ext uri="{FF2B5EF4-FFF2-40B4-BE49-F238E27FC236}">
                  <a16:creationId xmlns:a16="http://schemas.microsoft.com/office/drawing/2014/main" id="{00000000-0008-0000-0000-0000C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230</xdr:row>
          <xdr:rowOff>9525</xdr:rowOff>
        </xdr:from>
        <xdr:to>
          <xdr:col>4</xdr:col>
          <xdr:colOff>219075</xdr:colOff>
          <xdr:row>230</xdr:row>
          <xdr:rowOff>171450</xdr:rowOff>
        </xdr:to>
        <xdr:sp macro="" textlink="">
          <xdr:nvSpPr>
            <xdr:cNvPr id="2509" name="Button 442" hidden="1">
              <a:extLst>
                <a:ext uri="{63B3BB69-23CF-44E3-9099-C40C66FF867C}">
                  <a14:compatExt spid="_x0000_s2509"/>
                </a:ext>
                <a:ext uri="{FF2B5EF4-FFF2-40B4-BE49-F238E27FC236}">
                  <a16:creationId xmlns:a16="http://schemas.microsoft.com/office/drawing/2014/main" id="{00000000-0008-0000-0000-0000CD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231</xdr:row>
          <xdr:rowOff>9525</xdr:rowOff>
        </xdr:from>
        <xdr:to>
          <xdr:col>4</xdr:col>
          <xdr:colOff>219075</xdr:colOff>
          <xdr:row>231</xdr:row>
          <xdr:rowOff>171450</xdr:rowOff>
        </xdr:to>
        <xdr:sp macro="" textlink="">
          <xdr:nvSpPr>
            <xdr:cNvPr id="2510" name="Button 442" hidden="1">
              <a:extLst>
                <a:ext uri="{63B3BB69-23CF-44E3-9099-C40C66FF867C}">
                  <a14:compatExt spid="_x0000_s2510"/>
                </a:ext>
                <a:ext uri="{FF2B5EF4-FFF2-40B4-BE49-F238E27FC236}">
                  <a16:creationId xmlns:a16="http://schemas.microsoft.com/office/drawing/2014/main" id="{00000000-0008-0000-0000-0000C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232</xdr:row>
          <xdr:rowOff>9525</xdr:rowOff>
        </xdr:from>
        <xdr:to>
          <xdr:col>4</xdr:col>
          <xdr:colOff>219075</xdr:colOff>
          <xdr:row>232</xdr:row>
          <xdr:rowOff>171450</xdr:rowOff>
        </xdr:to>
        <xdr:sp macro="" textlink="">
          <xdr:nvSpPr>
            <xdr:cNvPr id="2511" name="Button 442" hidden="1">
              <a:extLst>
                <a:ext uri="{63B3BB69-23CF-44E3-9099-C40C66FF867C}">
                  <a14:compatExt spid="_x0000_s2511"/>
                </a:ext>
                <a:ext uri="{FF2B5EF4-FFF2-40B4-BE49-F238E27FC236}">
                  <a16:creationId xmlns:a16="http://schemas.microsoft.com/office/drawing/2014/main" id="{00000000-0008-0000-0000-0000C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233</xdr:row>
          <xdr:rowOff>9525</xdr:rowOff>
        </xdr:from>
        <xdr:to>
          <xdr:col>4</xdr:col>
          <xdr:colOff>219075</xdr:colOff>
          <xdr:row>233</xdr:row>
          <xdr:rowOff>171450</xdr:rowOff>
        </xdr:to>
        <xdr:sp macro="" textlink="">
          <xdr:nvSpPr>
            <xdr:cNvPr id="2512" name="Button 442" hidden="1">
              <a:extLst>
                <a:ext uri="{63B3BB69-23CF-44E3-9099-C40C66FF867C}">
                  <a14:compatExt spid="_x0000_s2512"/>
                </a:ext>
                <a:ext uri="{FF2B5EF4-FFF2-40B4-BE49-F238E27FC236}">
                  <a16:creationId xmlns:a16="http://schemas.microsoft.com/office/drawing/2014/main" id="{00000000-0008-0000-0000-0000D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234</xdr:row>
          <xdr:rowOff>9525</xdr:rowOff>
        </xdr:from>
        <xdr:to>
          <xdr:col>4</xdr:col>
          <xdr:colOff>219075</xdr:colOff>
          <xdr:row>234</xdr:row>
          <xdr:rowOff>171450</xdr:rowOff>
        </xdr:to>
        <xdr:sp macro="" textlink="">
          <xdr:nvSpPr>
            <xdr:cNvPr id="2513" name="Button 442" hidden="1">
              <a:extLst>
                <a:ext uri="{63B3BB69-23CF-44E3-9099-C40C66FF867C}">
                  <a14:compatExt spid="_x0000_s2513"/>
                </a:ext>
                <a:ext uri="{FF2B5EF4-FFF2-40B4-BE49-F238E27FC236}">
                  <a16:creationId xmlns:a16="http://schemas.microsoft.com/office/drawing/2014/main" id="{00000000-0008-0000-0000-0000D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235</xdr:row>
          <xdr:rowOff>9525</xdr:rowOff>
        </xdr:from>
        <xdr:to>
          <xdr:col>4</xdr:col>
          <xdr:colOff>219075</xdr:colOff>
          <xdr:row>235</xdr:row>
          <xdr:rowOff>171450</xdr:rowOff>
        </xdr:to>
        <xdr:sp macro="" textlink="">
          <xdr:nvSpPr>
            <xdr:cNvPr id="2514" name="Button 442" hidden="1">
              <a:extLst>
                <a:ext uri="{63B3BB69-23CF-44E3-9099-C40C66FF867C}">
                  <a14:compatExt spid="_x0000_s2514"/>
                </a:ext>
                <a:ext uri="{FF2B5EF4-FFF2-40B4-BE49-F238E27FC236}">
                  <a16:creationId xmlns:a16="http://schemas.microsoft.com/office/drawing/2014/main" id="{00000000-0008-0000-0000-0000D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236</xdr:row>
          <xdr:rowOff>9525</xdr:rowOff>
        </xdr:from>
        <xdr:to>
          <xdr:col>4</xdr:col>
          <xdr:colOff>219075</xdr:colOff>
          <xdr:row>236</xdr:row>
          <xdr:rowOff>171450</xdr:rowOff>
        </xdr:to>
        <xdr:sp macro="" textlink="">
          <xdr:nvSpPr>
            <xdr:cNvPr id="2515" name="Button 442" hidden="1">
              <a:extLst>
                <a:ext uri="{63B3BB69-23CF-44E3-9099-C40C66FF867C}">
                  <a14:compatExt spid="_x0000_s2515"/>
                </a:ext>
                <a:ext uri="{FF2B5EF4-FFF2-40B4-BE49-F238E27FC236}">
                  <a16:creationId xmlns:a16="http://schemas.microsoft.com/office/drawing/2014/main" id="{00000000-0008-0000-0000-0000D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237</xdr:row>
          <xdr:rowOff>9525</xdr:rowOff>
        </xdr:from>
        <xdr:to>
          <xdr:col>4</xdr:col>
          <xdr:colOff>219075</xdr:colOff>
          <xdr:row>237</xdr:row>
          <xdr:rowOff>171450</xdr:rowOff>
        </xdr:to>
        <xdr:sp macro="" textlink="">
          <xdr:nvSpPr>
            <xdr:cNvPr id="2516" name="Button 442" hidden="1">
              <a:extLst>
                <a:ext uri="{63B3BB69-23CF-44E3-9099-C40C66FF867C}">
                  <a14:compatExt spid="_x0000_s2516"/>
                </a:ext>
                <a:ext uri="{FF2B5EF4-FFF2-40B4-BE49-F238E27FC236}">
                  <a16:creationId xmlns:a16="http://schemas.microsoft.com/office/drawing/2014/main" id="{00000000-0008-0000-0000-0000D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238</xdr:row>
          <xdr:rowOff>19050</xdr:rowOff>
        </xdr:from>
        <xdr:to>
          <xdr:col>4</xdr:col>
          <xdr:colOff>219075</xdr:colOff>
          <xdr:row>238</xdr:row>
          <xdr:rowOff>180975</xdr:rowOff>
        </xdr:to>
        <xdr:sp macro="" textlink="">
          <xdr:nvSpPr>
            <xdr:cNvPr id="2517" name="Button 442" hidden="1">
              <a:extLst>
                <a:ext uri="{63B3BB69-23CF-44E3-9099-C40C66FF867C}">
                  <a14:compatExt spid="_x0000_s2517"/>
                </a:ext>
                <a:ext uri="{FF2B5EF4-FFF2-40B4-BE49-F238E27FC236}">
                  <a16:creationId xmlns:a16="http://schemas.microsoft.com/office/drawing/2014/main" id="{00000000-0008-0000-0000-0000D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239</xdr:row>
          <xdr:rowOff>9525</xdr:rowOff>
        </xdr:from>
        <xdr:to>
          <xdr:col>4</xdr:col>
          <xdr:colOff>219075</xdr:colOff>
          <xdr:row>239</xdr:row>
          <xdr:rowOff>171450</xdr:rowOff>
        </xdr:to>
        <xdr:sp macro="" textlink="">
          <xdr:nvSpPr>
            <xdr:cNvPr id="2518" name="Button 442" hidden="1">
              <a:extLst>
                <a:ext uri="{63B3BB69-23CF-44E3-9099-C40C66FF867C}">
                  <a14:compatExt spid="_x0000_s2518"/>
                </a:ext>
                <a:ext uri="{FF2B5EF4-FFF2-40B4-BE49-F238E27FC236}">
                  <a16:creationId xmlns:a16="http://schemas.microsoft.com/office/drawing/2014/main" id="{00000000-0008-0000-0000-0000D6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240</xdr:row>
          <xdr:rowOff>9525</xdr:rowOff>
        </xdr:from>
        <xdr:to>
          <xdr:col>4</xdr:col>
          <xdr:colOff>219075</xdr:colOff>
          <xdr:row>240</xdr:row>
          <xdr:rowOff>171450</xdr:rowOff>
        </xdr:to>
        <xdr:sp macro="" textlink="">
          <xdr:nvSpPr>
            <xdr:cNvPr id="2519" name="Button 442" hidden="1">
              <a:extLst>
                <a:ext uri="{63B3BB69-23CF-44E3-9099-C40C66FF867C}">
                  <a14:compatExt spid="_x0000_s2519"/>
                </a:ext>
                <a:ext uri="{FF2B5EF4-FFF2-40B4-BE49-F238E27FC236}">
                  <a16:creationId xmlns:a16="http://schemas.microsoft.com/office/drawing/2014/main" id="{00000000-0008-0000-0000-0000D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241</xdr:row>
          <xdr:rowOff>9525</xdr:rowOff>
        </xdr:from>
        <xdr:to>
          <xdr:col>4</xdr:col>
          <xdr:colOff>219075</xdr:colOff>
          <xdr:row>241</xdr:row>
          <xdr:rowOff>171450</xdr:rowOff>
        </xdr:to>
        <xdr:sp macro="" textlink="">
          <xdr:nvSpPr>
            <xdr:cNvPr id="2520" name="Button 442" hidden="1">
              <a:extLst>
                <a:ext uri="{63B3BB69-23CF-44E3-9099-C40C66FF867C}">
                  <a14:compatExt spid="_x0000_s2520"/>
                </a:ext>
                <a:ext uri="{FF2B5EF4-FFF2-40B4-BE49-F238E27FC236}">
                  <a16:creationId xmlns:a16="http://schemas.microsoft.com/office/drawing/2014/main" id="{00000000-0008-0000-0000-0000D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242</xdr:row>
          <xdr:rowOff>9525</xdr:rowOff>
        </xdr:from>
        <xdr:to>
          <xdr:col>4</xdr:col>
          <xdr:colOff>219075</xdr:colOff>
          <xdr:row>242</xdr:row>
          <xdr:rowOff>171450</xdr:rowOff>
        </xdr:to>
        <xdr:sp macro="" textlink="">
          <xdr:nvSpPr>
            <xdr:cNvPr id="2521" name="Button 442" hidden="1">
              <a:extLst>
                <a:ext uri="{63B3BB69-23CF-44E3-9099-C40C66FF867C}">
                  <a14:compatExt spid="_x0000_s2521"/>
                </a:ext>
                <a:ext uri="{FF2B5EF4-FFF2-40B4-BE49-F238E27FC236}">
                  <a16:creationId xmlns:a16="http://schemas.microsoft.com/office/drawing/2014/main" id="{00000000-0008-0000-0000-0000D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243</xdr:row>
          <xdr:rowOff>9525</xdr:rowOff>
        </xdr:from>
        <xdr:to>
          <xdr:col>4</xdr:col>
          <xdr:colOff>219075</xdr:colOff>
          <xdr:row>243</xdr:row>
          <xdr:rowOff>171450</xdr:rowOff>
        </xdr:to>
        <xdr:sp macro="" textlink="">
          <xdr:nvSpPr>
            <xdr:cNvPr id="2522" name="Button 442" hidden="1">
              <a:extLst>
                <a:ext uri="{63B3BB69-23CF-44E3-9099-C40C66FF867C}">
                  <a14:compatExt spid="_x0000_s2522"/>
                </a:ext>
                <a:ext uri="{FF2B5EF4-FFF2-40B4-BE49-F238E27FC236}">
                  <a16:creationId xmlns:a16="http://schemas.microsoft.com/office/drawing/2014/main" id="{00000000-0008-0000-0000-0000D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244</xdr:row>
          <xdr:rowOff>9525</xdr:rowOff>
        </xdr:from>
        <xdr:to>
          <xdr:col>4</xdr:col>
          <xdr:colOff>219075</xdr:colOff>
          <xdr:row>244</xdr:row>
          <xdr:rowOff>171450</xdr:rowOff>
        </xdr:to>
        <xdr:sp macro="" textlink="">
          <xdr:nvSpPr>
            <xdr:cNvPr id="2523" name="Button 442" hidden="1">
              <a:extLst>
                <a:ext uri="{63B3BB69-23CF-44E3-9099-C40C66FF867C}">
                  <a14:compatExt spid="_x0000_s2523"/>
                </a:ext>
                <a:ext uri="{FF2B5EF4-FFF2-40B4-BE49-F238E27FC236}">
                  <a16:creationId xmlns:a16="http://schemas.microsoft.com/office/drawing/2014/main" id="{00000000-0008-0000-0000-0000DB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245</xdr:row>
          <xdr:rowOff>9525</xdr:rowOff>
        </xdr:from>
        <xdr:to>
          <xdr:col>4</xdr:col>
          <xdr:colOff>219075</xdr:colOff>
          <xdr:row>245</xdr:row>
          <xdr:rowOff>171450</xdr:rowOff>
        </xdr:to>
        <xdr:sp macro="" textlink="">
          <xdr:nvSpPr>
            <xdr:cNvPr id="2524" name="Button 442" hidden="1">
              <a:extLst>
                <a:ext uri="{63B3BB69-23CF-44E3-9099-C40C66FF867C}">
                  <a14:compatExt spid="_x0000_s2524"/>
                </a:ext>
                <a:ext uri="{FF2B5EF4-FFF2-40B4-BE49-F238E27FC236}">
                  <a16:creationId xmlns:a16="http://schemas.microsoft.com/office/drawing/2014/main" id="{00000000-0008-0000-0000-0000DC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246</xdr:row>
          <xdr:rowOff>9525</xdr:rowOff>
        </xdr:from>
        <xdr:to>
          <xdr:col>4</xdr:col>
          <xdr:colOff>219075</xdr:colOff>
          <xdr:row>246</xdr:row>
          <xdr:rowOff>171450</xdr:rowOff>
        </xdr:to>
        <xdr:sp macro="" textlink="">
          <xdr:nvSpPr>
            <xdr:cNvPr id="2525" name="Button 442" hidden="1">
              <a:extLst>
                <a:ext uri="{63B3BB69-23CF-44E3-9099-C40C66FF867C}">
                  <a14:compatExt spid="_x0000_s2525"/>
                </a:ext>
                <a:ext uri="{FF2B5EF4-FFF2-40B4-BE49-F238E27FC236}">
                  <a16:creationId xmlns:a16="http://schemas.microsoft.com/office/drawing/2014/main" id="{00000000-0008-0000-0000-0000DD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247</xdr:row>
          <xdr:rowOff>9525</xdr:rowOff>
        </xdr:from>
        <xdr:to>
          <xdr:col>4</xdr:col>
          <xdr:colOff>219075</xdr:colOff>
          <xdr:row>247</xdr:row>
          <xdr:rowOff>171450</xdr:rowOff>
        </xdr:to>
        <xdr:sp macro="" textlink="">
          <xdr:nvSpPr>
            <xdr:cNvPr id="2526" name="Button 442" hidden="1">
              <a:extLst>
                <a:ext uri="{63B3BB69-23CF-44E3-9099-C40C66FF867C}">
                  <a14:compatExt spid="_x0000_s2526"/>
                </a:ext>
                <a:ext uri="{FF2B5EF4-FFF2-40B4-BE49-F238E27FC236}">
                  <a16:creationId xmlns:a16="http://schemas.microsoft.com/office/drawing/2014/main" id="{00000000-0008-0000-0000-0000DE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248</xdr:row>
          <xdr:rowOff>9525</xdr:rowOff>
        </xdr:from>
        <xdr:to>
          <xdr:col>4</xdr:col>
          <xdr:colOff>219075</xdr:colOff>
          <xdr:row>248</xdr:row>
          <xdr:rowOff>171450</xdr:rowOff>
        </xdr:to>
        <xdr:sp macro="" textlink="">
          <xdr:nvSpPr>
            <xdr:cNvPr id="2527" name="Button 442" hidden="1">
              <a:extLst>
                <a:ext uri="{63B3BB69-23CF-44E3-9099-C40C66FF867C}">
                  <a14:compatExt spid="_x0000_s2527"/>
                </a:ext>
                <a:ext uri="{FF2B5EF4-FFF2-40B4-BE49-F238E27FC236}">
                  <a16:creationId xmlns:a16="http://schemas.microsoft.com/office/drawing/2014/main" id="{00000000-0008-0000-0000-0000DF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249</xdr:row>
          <xdr:rowOff>9525</xdr:rowOff>
        </xdr:from>
        <xdr:to>
          <xdr:col>4</xdr:col>
          <xdr:colOff>219075</xdr:colOff>
          <xdr:row>249</xdr:row>
          <xdr:rowOff>171450</xdr:rowOff>
        </xdr:to>
        <xdr:sp macro="" textlink="">
          <xdr:nvSpPr>
            <xdr:cNvPr id="2528" name="Button 442" hidden="1">
              <a:extLst>
                <a:ext uri="{63B3BB69-23CF-44E3-9099-C40C66FF867C}">
                  <a14:compatExt spid="_x0000_s2528"/>
                </a:ext>
                <a:ext uri="{FF2B5EF4-FFF2-40B4-BE49-F238E27FC236}">
                  <a16:creationId xmlns:a16="http://schemas.microsoft.com/office/drawing/2014/main" id="{00000000-0008-0000-0000-0000E0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250</xdr:row>
          <xdr:rowOff>9525</xdr:rowOff>
        </xdr:from>
        <xdr:to>
          <xdr:col>4</xdr:col>
          <xdr:colOff>219075</xdr:colOff>
          <xdr:row>250</xdr:row>
          <xdr:rowOff>171450</xdr:rowOff>
        </xdr:to>
        <xdr:sp macro="" textlink="">
          <xdr:nvSpPr>
            <xdr:cNvPr id="2529" name="Button 442" hidden="1">
              <a:extLst>
                <a:ext uri="{63B3BB69-23CF-44E3-9099-C40C66FF867C}">
                  <a14:compatExt spid="_x0000_s2529"/>
                </a:ext>
                <a:ext uri="{FF2B5EF4-FFF2-40B4-BE49-F238E27FC236}">
                  <a16:creationId xmlns:a16="http://schemas.microsoft.com/office/drawing/2014/main" id="{00000000-0008-0000-0000-0000E1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251</xdr:row>
          <xdr:rowOff>9525</xdr:rowOff>
        </xdr:from>
        <xdr:to>
          <xdr:col>4</xdr:col>
          <xdr:colOff>219075</xdr:colOff>
          <xdr:row>251</xdr:row>
          <xdr:rowOff>171450</xdr:rowOff>
        </xdr:to>
        <xdr:sp macro="" textlink="">
          <xdr:nvSpPr>
            <xdr:cNvPr id="2530" name="Button 442" hidden="1">
              <a:extLst>
                <a:ext uri="{63B3BB69-23CF-44E3-9099-C40C66FF867C}">
                  <a14:compatExt spid="_x0000_s2530"/>
                </a:ext>
                <a:ext uri="{FF2B5EF4-FFF2-40B4-BE49-F238E27FC236}">
                  <a16:creationId xmlns:a16="http://schemas.microsoft.com/office/drawing/2014/main" id="{00000000-0008-0000-0000-0000E2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252</xdr:row>
          <xdr:rowOff>9525</xdr:rowOff>
        </xdr:from>
        <xdr:to>
          <xdr:col>4</xdr:col>
          <xdr:colOff>219075</xdr:colOff>
          <xdr:row>252</xdr:row>
          <xdr:rowOff>171450</xdr:rowOff>
        </xdr:to>
        <xdr:sp macro="" textlink="">
          <xdr:nvSpPr>
            <xdr:cNvPr id="2531" name="Button 442" hidden="1">
              <a:extLst>
                <a:ext uri="{63B3BB69-23CF-44E3-9099-C40C66FF867C}">
                  <a14:compatExt spid="_x0000_s2531"/>
                </a:ext>
                <a:ext uri="{FF2B5EF4-FFF2-40B4-BE49-F238E27FC236}">
                  <a16:creationId xmlns:a16="http://schemas.microsoft.com/office/drawing/2014/main" id="{00000000-0008-0000-0000-0000E3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253</xdr:row>
          <xdr:rowOff>19050</xdr:rowOff>
        </xdr:from>
        <xdr:to>
          <xdr:col>4</xdr:col>
          <xdr:colOff>219075</xdr:colOff>
          <xdr:row>253</xdr:row>
          <xdr:rowOff>180975</xdr:rowOff>
        </xdr:to>
        <xdr:sp macro="" textlink="">
          <xdr:nvSpPr>
            <xdr:cNvPr id="2532" name="Button 442" hidden="1">
              <a:extLst>
                <a:ext uri="{63B3BB69-23CF-44E3-9099-C40C66FF867C}">
                  <a14:compatExt spid="_x0000_s2532"/>
                </a:ext>
                <a:ext uri="{FF2B5EF4-FFF2-40B4-BE49-F238E27FC236}">
                  <a16:creationId xmlns:a16="http://schemas.microsoft.com/office/drawing/2014/main" id="{00000000-0008-0000-0000-0000E4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253</xdr:row>
          <xdr:rowOff>9525</xdr:rowOff>
        </xdr:from>
        <xdr:to>
          <xdr:col>4</xdr:col>
          <xdr:colOff>219075</xdr:colOff>
          <xdr:row>253</xdr:row>
          <xdr:rowOff>171450</xdr:rowOff>
        </xdr:to>
        <xdr:sp macro="" textlink="">
          <xdr:nvSpPr>
            <xdr:cNvPr id="2533" name="Button 442" hidden="1">
              <a:extLst>
                <a:ext uri="{63B3BB69-23CF-44E3-9099-C40C66FF867C}">
                  <a14:compatExt spid="_x0000_s2533"/>
                </a:ext>
                <a:ext uri="{FF2B5EF4-FFF2-40B4-BE49-F238E27FC236}">
                  <a16:creationId xmlns:a16="http://schemas.microsoft.com/office/drawing/2014/main" id="{00000000-0008-0000-0000-0000E5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254</xdr:row>
          <xdr:rowOff>9525</xdr:rowOff>
        </xdr:from>
        <xdr:to>
          <xdr:col>4</xdr:col>
          <xdr:colOff>219075</xdr:colOff>
          <xdr:row>254</xdr:row>
          <xdr:rowOff>171450</xdr:rowOff>
        </xdr:to>
        <xdr:sp macro="" textlink="">
          <xdr:nvSpPr>
            <xdr:cNvPr id="2534" name="Button 442" hidden="1">
              <a:extLst>
                <a:ext uri="{63B3BB69-23CF-44E3-9099-C40C66FF867C}">
                  <a14:compatExt spid="_x0000_s2534"/>
                </a:ext>
                <a:ext uri="{FF2B5EF4-FFF2-40B4-BE49-F238E27FC236}">
                  <a16:creationId xmlns:a16="http://schemas.microsoft.com/office/drawing/2014/main" id="{00000000-0008-0000-0000-0000E6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255</xdr:row>
          <xdr:rowOff>9525</xdr:rowOff>
        </xdr:from>
        <xdr:to>
          <xdr:col>4</xdr:col>
          <xdr:colOff>219075</xdr:colOff>
          <xdr:row>255</xdr:row>
          <xdr:rowOff>171450</xdr:rowOff>
        </xdr:to>
        <xdr:sp macro="" textlink="">
          <xdr:nvSpPr>
            <xdr:cNvPr id="2535" name="Button 442" hidden="1">
              <a:extLst>
                <a:ext uri="{63B3BB69-23CF-44E3-9099-C40C66FF867C}">
                  <a14:compatExt spid="_x0000_s2535"/>
                </a:ext>
                <a:ext uri="{FF2B5EF4-FFF2-40B4-BE49-F238E27FC236}">
                  <a16:creationId xmlns:a16="http://schemas.microsoft.com/office/drawing/2014/main" id="{00000000-0008-0000-0000-0000E7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256</xdr:row>
          <xdr:rowOff>9525</xdr:rowOff>
        </xdr:from>
        <xdr:to>
          <xdr:col>4</xdr:col>
          <xdr:colOff>219075</xdr:colOff>
          <xdr:row>256</xdr:row>
          <xdr:rowOff>171450</xdr:rowOff>
        </xdr:to>
        <xdr:sp macro="" textlink="">
          <xdr:nvSpPr>
            <xdr:cNvPr id="2536" name="Button 442" hidden="1">
              <a:extLst>
                <a:ext uri="{63B3BB69-23CF-44E3-9099-C40C66FF867C}">
                  <a14:compatExt spid="_x0000_s2536"/>
                </a:ext>
                <a:ext uri="{FF2B5EF4-FFF2-40B4-BE49-F238E27FC236}">
                  <a16:creationId xmlns:a16="http://schemas.microsoft.com/office/drawing/2014/main" id="{00000000-0008-0000-0000-0000E8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257</xdr:row>
          <xdr:rowOff>9525</xdr:rowOff>
        </xdr:from>
        <xdr:to>
          <xdr:col>4</xdr:col>
          <xdr:colOff>219075</xdr:colOff>
          <xdr:row>257</xdr:row>
          <xdr:rowOff>171450</xdr:rowOff>
        </xdr:to>
        <xdr:sp macro="" textlink="">
          <xdr:nvSpPr>
            <xdr:cNvPr id="2537" name="Button 442" hidden="1">
              <a:extLst>
                <a:ext uri="{63B3BB69-23CF-44E3-9099-C40C66FF867C}">
                  <a14:compatExt spid="_x0000_s2537"/>
                </a:ext>
                <a:ext uri="{FF2B5EF4-FFF2-40B4-BE49-F238E27FC236}">
                  <a16:creationId xmlns:a16="http://schemas.microsoft.com/office/drawing/2014/main" id="{00000000-0008-0000-0000-0000E9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57150</xdr:colOff>
          <xdr:row>258</xdr:row>
          <xdr:rowOff>9525</xdr:rowOff>
        </xdr:from>
        <xdr:to>
          <xdr:col>4</xdr:col>
          <xdr:colOff>219075</xdr:colOff>
          <xdr:row>258</xdr:row>
          <xdr:rowOff>171450</xdr:rowOff>
        </xdr:to>
        <xdr:sp macro="" textlink="">
          <xdr:nvSpPr>
            <xdr:cNvPr id="2538" name="Button 442" hidden="1">
              <a:extLst>
                <a:ext uri="{63B3BB69-23CF-44E3-9099-C40C66FF867C}">
                  <a14:compatExt spid="_x0000_s2538"/>
                </a:ext>
                <a:ext uri="{FF2B5EF4-FFF2-40B4-BE49-F238E27FC236}">
                  <a16:creationId xmlns:a16="http://schemas.microsoft.com/office/drawing/2014/main" id="{00000000-0008-0000-0000-0000EA09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1182721</xdr:colOff>
      <xdr:row>2</xdr:row>
      <xdr:rowOff>476</xdr:rowOff>
    </xdr:to>
    <xdr:pic macro="[0]!VoaQLD">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82721" cy="450056"/>
        </a:xfrm>
        <a:prstGeom prst="rect">
          <a:avLst/>
        </a:prstGeom>
      </xdr:spPr>
    </xdr:pic>
    <xdr:clientData/>
  </xdr:twoCellAnchor>
  <xdr:twoCellAnchor editAs="oneCell">
    <xdr:from>
      <xdr:col>4</xdr:col>
      <xdr:colOff>53340</xdr:colOff>
      <xdr:row>8</xdr:row>
      <xdr:rowOff>167640</xdr:rowOff>
    </xdr:from>
    <xdr:to>
      <xdr:col>4</xdr:col>
      <xdr:colOff>281940</xdr:colOff>
      <xdr:row>10</xdr:row>
      <xdr:rowOff>30480</xdr:rowOff>
    </xdr:to>
    <xdr:pic macro="[0]!EuFalo">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22420" y="1714500"/>
          <a:ext cx="228600" cy="228600"/>
        </a:xfrm>
        <a:prstGeom prst="rect">
          <a:avLst/>
        </a:prstGeom>
      </xdr:spPr>
    </xdr:pic>
    <xdr:clientData/>
  </xdr:twoCellAnchor>
  <xdr:twoCellAnchor editAs="oneCell">
    <xdr:from>
      <xdr:col>0</xdr:col>
      <xdr:colOff>0</xdr:colOff>
      <xdr:row>12</xdr:row>
      <xdr:rowOff>0</xdr:rowOff>
    </xdr:from>
    <xdr:to>
      <xdr:col>1</xdr:col>
      <xdr:colOff>123556</xdr:colOff>
      <xdr:row>23</xdr:row>
      <xdr:rowOff>28310</xdr:rowOff>
    </xdr:to>
    <xdr:pic macro="[0]!naoaperte">
      <xdr:nvPicPr>
        <xdr:cNvPr id="2" name="Imagem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3"/>
        <a:stretch>
          <a:fillRect/>
        </a:stretch>
      </xdr:blipFill>
      <xdr:spPr>
        <a:xfrm>
          <a:off x="0" y="2362200"/>
          <a:ext cx="2152381" cy="212381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1182721</xdr:colOff>
      <xdr:row>2</xdr:row>
      <xdr:rowOff>476</xdr:rowOff>
    </xdr:to>
    <xdr:pic macro="[0]!VaiDiaD">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82721" cy="457676"/>
        </a:xfrm>
        <a:prstGeom prst="rect">
          <a:avLst/>
        </a:prstGeom>
      </xdr:spPr>
    </xdr:pic>
    <xdr:clientData/>
  </xdr:twoCellAnchor>
  <xdr:twoCellAnchor editAs="oneCell">
    <xdr:from>
      <xdr:col>75</xdr:col>
      <xdr:colOff>54643</xdr:colOff>
      <xdr:row>3</xdr:row>
      <xdr:rowOff>142875</xdr:rowOff>
    </xdr:from>
    <xdr:to>
      <xdr:col>82</xdr:col>
      <xdr:colOff>380332</xdr:colOff>
      <xdr:row>25</xdr:row>
      <xdr:rowOff>151789</xdr:rowOff>
    </xdr:to>
    <xdr:pic macro="[0]!XupaPaulistano">
      <xdr:nvPicPr>
        <xdr:cNvPr id="3" name="Imagem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40583518" y="800100"/>
          <a:ext cx="4592889" cy="4199914"/>
        </a:xfrm>
        <a:prstGeom prst="rect">
          <a:avLst/>
        </a:prstGeom>
      </xdr:spPr>
    </xdr:pic>
    <xdr:clientData/>
  </xdr:twoCellAnchor>
  <mc:AlternateContent xmlns:mc="http://schemas.openxmlformats.org/markup-compatibility/2006">
    <mc:Choice xmlns:a14="http://schemas.microsoft.com/office/drawing/2010/main" Requires="a14">
      <xdr:twoCellAnchor>
        <xdr:from>
          <xdr:col>60</xdr:col>
          <xdr:colOff>304800</xdr:colOff>
          <xdr:row>0</xdr:row>
          <xdr:rowOff>85725</xdr:rowOff>
        </xdr:from>
        <xdr:to>
          <xdr:col>60</xdr:col>
          <xdr:colOff>1476375</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Juntar alimentos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67</xdr:col>
          <xdr:colOff>304800</xdr:colOff>
          <xdr:row>0</xdr:row>
          <xdr:rowOff>85725</xdr:rowOff>
        </xdr:from>
        <xdr:to>
          <xdr:col>67</xdr:col>
          <xdr:colOff>1476375</xdr:colOff>
          <xdr:row>1</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Juntar higiene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13</xdr:col>
      <xdr:colOff>130753</xdr:colOff>
      <xdr:row>1</xdr:row>
      <xdr:rowOff>185736</xdr:rowOff>
    </xdr:from>
    <xdr:to>
      <xdr:col>17</xdr:col>
      <xdr:colOff>862446</xdr:colOff>
      <xdr:row>39</xdr:row>
      <xdr:rowOff>51956</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38966</xdr:colOff>
      <xdr:row>2</xdr:row>
      <xdr:rowOff>5196</xdr:rowOff>
    </xdr:from>
    <xdr:to>
      <xdr:col>13</xdr:col>
      <xdr:colOff>49357</xdr:colOff>
      <xdr:row>15</xdr:row>
      <xdr:rowOff>52821</xdr:rowOff>
    </xdr:to>
    <xdr:sp macro="" textlink="">
      <xdr:nvSpPr>
        <xdr:cNvPr id="4" name="Retângulo 3">
          <a:extLst>
            <a:ext uri="{FF2B5EF4-FFF2-40B4-BE49-F238E27FC236}">
              <a16:creationId xmlns:a16="http://schemas.microsoft.com/office/drawing/2014/main" id="{00000000-0008-0000-0300-000004000000}"/>
            </a:ext>
          </a:extLst>
        </xdr:cNvPr>
        <xdr:cNvSpPr>
          <a:spLocks noTextEdit="1"/>
        </xdr:cNvSpPr>
      </xdr:nvSpPr>
      <xdr:spPr>
        <a:xfrm>
          <a:off x="11187357" y="386196"/>
          <a:ext cx="1849130" cy="252412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later.If the shape was modified in an earlier version of Excel, or if the workbook was saved in Excel 2003 or earlier, the slicer cannot be used.</a:t>
          </a:r>
        </a:p>
      </xdr:txBody>
    </xdr:sp>
    <xdr:clientData/>
  </xdr:twoCellAnchor>
  <xdr:twoCellAnchor editAs="oneCell">
    <xdr:from>
      <xdr:col>2</xdr:col>
      <xdr:colOff>21648</xdr:colOff>
      <xdr:row>1</xdr:row>
      <xdr:rowOff>178377</xdr:rowOff>
    </xdr:from>
    <xdr:to>
      <xdr:col>3</xdr:col>
      <xdr:colOff>742083</xdr:colOff>
      <xdr:row>15</xdr:row>
      <xdr:rowOff>35502</xdr:rowOff>
    </xdr:to>
    <xdr:sp macro="" textlink="">
      <xdr:nvSpPr>
        <xdr:cNvPr id="5" name="Retângulo 4">
          <a:extLst>
            <a:ext uri="{FF2B5EF4-FFF2-40B4-BE49-F238E27FC236}">
              <a16:creationId xmlns:a16="http://schemas.microsoft.com/office/drawing/2014/main" id="{00000000-0008-0000-0300-000005000000}"/>
            </a:ext>
          </a:extLst>
        </xdr:cNvPr>
        <xdr:cNvSpPr>
          <a:spLocks noTextEdit="1"/>
        </xdr:cNvSpPr>
      </xdr:nvSpPr>
      <xdr:spPr>
        <a:xfrm>
          <a:off x="2274518" y="368877"/>
          <a:ext cx="1822022" cy="252412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later.If the shape was modified in an earlier version of Excel, or if the workbook was saved in Excel 2003 or earlier, the slicer cannot be used.</a:t>
          </a:r>
        </a:p>
      </xdr:txBody>
    </xdr:sp>
    <xdr:clientData/>
  </xdr:twoCellAnchor>
  <xdr:twoCellAnchor>
    <xdr:from>
      <xdr:col>3</xdr:col>
      <xdr:colOff>800968</xdr:colOff>
      <xdr:row>1</xdr:row>
      <xdr:rowOff>167984</xdr:rowOff>
    </xdr:from>
    <xdr:to>
      <xdr:col>7</xdr:col>
      <xdr:colOff>714377</xdr:colOff>
      <xdr:row>38</xdr:row>
      <xdr:rowOff>162789</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1182721</xdr:colOff>
      <xdr:row>2</xdr:row>
      <xdr:rowOff>476</xdr:rowOff>
    </xdr:to>
    <xdr:pic macro="[0]!VoaVilaPrado">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82721" cy="457676"/>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1066800</xdr:colOff>
          <xdr:row>0</xdr:row>
          <xdr:rowOff>114300</xdr:rowOff>
        </xdr:from>
        <xdr:to>
          <xdr:col>4</xdr:col>
          <xdr:colOff>466725</xdr:colOff>
          <xdr:row>1</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Inserir alimento</a:t>
              </a:r>
            </a:p>
            <a:p>
              <a:pPr algn="ctr" rtl="0">
                <a:defRPr sz="1000"/>
              </a:pPr>
              <a:endParaRPr lang="pt-PT"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742950</xdr:colOff>
          <xdr:row>0</xdr:row>
          <xdr:rowOff>114300</xdr:rowOff>
        </xdr:from>
        <xdr:to>
          <xdr:col>7</xdr:col>
          <xdr:colOff>76200</xdr:colOff>
          <xdr:row>1</xdr:row>
          <xdr:rowOff>38100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cs typeface="Calibri"/>
                </a:rPr>
                <a:t>Inserir produto de higiene</a:t>
              </a:r>
            </a:p>
            <a:p>
              <a:pPr algn="ctr" rtl="0">
                <a:defRPr sz="1000"/>
              </a:pPr>
              <a:endParaRPr lang="pt-P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1182721</xdr:colOff>
      <xdr:row>2</xdr:row>
      <xdr:rowOff>476</xdr:rowOff>
    </xdr:to>
    <xdr:pic macro="[0]!VaiNatal">
      <xdr:nvPicPr>
        <xdr:cNvPr id="2" name="Picture 4">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82721" cy="45005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tori" refreshedDate="42996.875464583332" createdVersion="5" refreshedVersion="5" minRefreshableVersion="3" recordCount="87" xr:uid="{00000000-000A-0000-FFFF-FFFF00000000}">
  <cacheSource type="worksheet">
    <worksheetSource ref="AH4:BF91" sheet="Resumo total"/>
  </cacheSource>
  <cacheFields count="6">
    <cacheField name="Item" numFmtId="0">
      <sharedItems count="60">
        <s v="Absorvente (32un)"/>
        <s v="Água Sanitária (1L)"/>
        <s v="Água Sanitária (2L)"/>
        <s v="Água Sanitária (5L)"/>
        <s v="Alvejante (1L)"/>
        <s v="Alvejante (2L)"/>
        <s v="Amaciante (0,5L)"/>
        <s v="Amaciante (2L)"/>
        <s v="Amaciante (5L)"/>
        <s v="Cera"/>
        <s v="Cotonete"/>
        <s v="Desinfetante (0,25L)"/>
        <s v="Desinfetante (0,5L)"/>
        <s v="Desinfetante (0,75L)"/>
        <s v="Desinfetante (1L)"/>
        <s v="desinfetante (2L)"/>
        <s v="Desodorante"/>
        <s v="Detergente"/>
        <s v="Enxaguante Bucal"/>
        <s v="Escova de Dente"/>
        <s v="Esponja"/>
        <s v="Esponja de Aço"/>
        <s v="Fralda Geriatrica (7un)"/>
        <s v="Fraldas Geriátricas (08un)"/>
        <s v="Fraldas Geriátricas (09un)"/>
        <s v="Fraldas Geriátricas (20un)"/>
        <s v="Fraldas Geriátricas (30un)"/>
        <s v="Fraldas Infantis (16un)"/>
        <s v="Fraldas Infantis (20un)"/>
        <s v="Fraldas Infantis (24un)"/>
        <s v="Fraldas Infantis (26un)"/>
        <s v="Fraldas infantis (30un)"/>
        <s v="Fraldas Infantis (32un)"/>
        <s v="Fraldas Infantis (46un)"/>
        <s v="Gilete (1un)"/>
        <s v="Lenços Umidecidos (1pcte)"/>
        <s v="Multiuso (500mL)"/>
        <s v="Papel Higiênico (04un)"/>
        <s v="Papel Higiênico (08un)"/>
        <s v="Papel Higiênico (12un)"/>
        <s v="Papel Higiênico (16un)"/>
        <s v="Papel Higiênico (24un)"/>
        <s v="Papel Toalha (2un)"/>
        <s v="Pasta de Dente (180g)"/>
        <s v="Pasta de Dente (50g)"/>
        <s v="Pasta de Dente (70g)"/>
        <s v="Pasta de Dente (90g)"/>
        <s v="Sabão em Barra (1un)"/>
        <s v="Sabão em Pó (1kg)"/>
        <s v="Sabão em Pó (2kg)"/>
        <s v="Sabão em Pó (3kg)"/>
        <s v="Sabão Líquido (1L)"/>
        <s v="Sabonete Líquido (250ml)"/>
        <s v="Sabonetes (90g)"/>
        <s v="Saco de Lixo (10un)"/>
        <s v="Saco de Lixo (20un)"/>
        <s v="Saco de Lixo (5un)"/>
        <s v="Shampoo/condicionador"/>
        <s v="Talco (100g)"/>
        <e v="#VALUE!"/>
      </sharedItems>
    </cacheField>
    <cacheField name="kg/embalagem" numFmtId="0">
      <sharedItems containsMixedTypes="1" containsNumber="1" minValue="0.05" maxValue="38.5"/>
    </cacheField>
    <cacheField name="Qtde (S1)" numFmtId="0">
      <sharedItems containsSemiMixedTypes="0" containsString="0" containsNumber="1" containsInteger="1" minValue="0" maxValue="0"/>
    </cacheField>
    <cacheField name="Qtde (S1)2" numFmtId="0">
      <sharedItems containsSemiMixedTypes="0" containsString="0" containsNumber="1" containsInteger="1" minValue="0" maxValue="2"/>
    </cacheField>
    <cacheField name="Qtde (tot)" numFmtId="0">
      <sharedItems containsSemiMixedTypes="0" containsString="0" containsNumber="1" containsInteger="1" minValue="0" maxValue="2" count="3">
        <n v="0"/>
        <n v="1"/>
        <n v="2"/>
      </sharedItems>
    </cacheField>
    <cacheField name="kg" numFmtId="0">
      <sharedItems containsMixedTypes="1" containsNumber="1" minValue="0" maxValue="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tori" refreshedDate="42996.875464930556" createdVersion="5" refreshedVersion="5" minRefreshableVersion="3" recordCount="87" xr:uid="{00000000-000A-0000-FFFF-FFFF01000000}">
  <cacheSource type="worksheet">
    <worksheetSource ref="I4:AG91" sheet="Resumo total"/>
  </cacheSource>
  <cacheFields count="6">
    <cacheField name="Item" numFmtId="0">
      <sharedItems count="72">
        <s v="Achocolatado(1kg)"/>
        <s v="Achocolatado(200g)"/>
        <s v="Achocolatado(500g)"/>
        <s v="Açucar (1kg)"/>
        <s v="Açucar (2kg)"/>
        <s v="Açucar (5kg)"/>
        <s v="Adoçante"/>
        <s v="Arroz (1kg)"/>
        <s v="Arroz (2kg)"/>
        <s v="Arroz (5kg)"/>
        <s v="Arroz Integral"/>
        <s v="Atum"/>
        <s v="Azeite"/>
        <s v="Biscoito (120g)"/>
        <s v="Biscoito (140g)"/>
        <s v="Biscoito (200g)"/>
        <s v="Biscoito (500g)"/>
        <s v="Biscoito(130g)"/>
        <s v="Biscoito(400g)"/>
        <s v="Café (0,25kg)"/>
        <s v="Café (0,5kg)"/>
        <s v="Café (1kg)"/>
        <s v="Cevada"/>
        <s v="Coca-Cola"/>
        <s v="Cural de Milho"/>
        <s v="Ervilha (Lata)"/>
        <s v="Farinha de Milho"/>
        <s v="Farinha de Trigo"/>
        <s v="Farofa"/>
        <s v="Farofa Temperada"/>
        <s v="Feijão (1kg)"/>
        <s v="Feijão (2kg)"/>
        <s v="Fosforo"/>
        <s v="Fuba(0,5kg)"/>
        <s v="Fuba(1kg)"/>
        <s v="Gelatina"/>
        <s v="Goiabada"/>
        <s v="Grão de Bico (Lata)"/>
        <s v="Leite (0,28kg)"/>
        <s v="Leite (0,4kg)"/>
        <s v="Leite (0,8kg)"/>
        <s v="Leite (Caixa)"/>
        <s v="Leite Condensado"/>
        <s v="Leite em Pó"/>
        <s v="Lentilha"/>
        <s v="Lentilha (1kg)"/>
        <s v="Macarrão (0,5kg)"/>
        <s v="Macarrão Integral (1kg)"/>
        <s v="Macarrão Lasanha (200g)"/>
        <s v="Maizena (200g)"/>
        <s v="Maizena (500g)"/>
        <s v="Milho (Lata)"/>
        <s v="Milho + Ervilha (Lata)"/>
        <s v="Milho Pipoca"/>
        <s v="Miojo"/>
        <s v="Mistura de Bolo"/>
        <s v="Molho de Tomate"/>
        <s v="Óleo"/>
        <s v="panetone"/>
        <s v="pao de mel (500g)"/>
        <s v="pêssego"/>
        <s v="Sal"/>
        <s v="Salsicha Tipo Viena"/>
        <s v="Sardinha (125g)"/>
        <s v="Sopa pronta (200g)"/>
        <s v="Suco Saquinho (30g)"/>
        <s v="Sucos (Caixa)"/>
        <s v="Tempero Completo"/>
        <s v="Tomate Pelado (400g)"/>
        <s v="Torrada"/>
        <s v="Vinagre"/>
        <e v="#VALUE!"/>
      </sharedItems>
    </cacheField>
    <cacheField name="kg/embalagem" numFmtId="0">
      <sharedItems containsMixedTypes="1" containsNumber="1" minValue="0.03" maxValue="5"/>
    </cacheField>
    <cacheField name="Qtde (S1)" numFmtId="0">
      <sharedItems containsSemiMixedTypes="0" containsString="0" containsNumber="1" containsInteger="1" minValue="0" maxValue="7"/>
    </cacheField>
    <cacheField name="Qtde (S2)" numFmtId="0">
      <sharedItems containsSemiMixedTypes="0" containsString="0" containsNumber="1" containsInteger="1" minValue="0" maxValue="7"/>
    </cacheField>
    <cacheField name="Qtde (tot)" numFmtId="0">
      <sharedItems containsSemiMixedTypes="0" containsString="0" containsNumber="1" containsInteger="1" minValue="0" maxValue="7" count="6">
        <n v="0"/>
        <n v="1"/>
        <n v="6"/>
        <n v="7"/>
        <n v="5"/>
        <n v="3"/>
      </sharedItems>
    </cacheField>
    <cacheField name="kg" numFmtId="0">
      <sharedItems containsMixedTypes="1" containsNumber="1" minValue="0" maxValue="3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7">
  <r>
    <x v="0"/>
    <n v="0.8"/>
    <n v="0"/>
    <n v="0"/>
    <x v="0"/>
    <n v="0"/>
  </r>
  <r>
    <x v="1"/>
    <n v="1"/>
    <n v="0"/>
    <n v="0"/>
    <x v="0"/>
    <n v="0"/>
  </r>
  <r>
    <x v="2"/>
    <n v="2"/>
    <n v="0"/>
    <n v="0"/>
    <x v="0"/>
    <n v="0"/>
  </r>
  <r>
    <x v="3"/>
    <n v="5"/>
    <n v="0"/>
    <n v="1"/>
    <x v="1"/>
    <n v="5"/>
  </r>
  <r>
    <x v="4"/>
    <n v="1"/>
    <n v="0"/>
    <n v="0"/>
    <x v="0"/>
    <n v="0"/>
  </r>
  <r>
    <x v="5"/>
    <n v="2"/>
    <n v="0"/>
    <n v="0"/>
    <x v="0"/>
    <n v="0"/>
  </r>
  <r>
    <x v="6"/>
    <n v="0.5"/>
    <n v="0"/>
    <n v="0"/>
    <x v="0"/>
    <n v="0"/>
  </r>
  <r>
    <x v="7"/>
    <n v="2"/>
    <n v="0"/>
    <n v="0"/>
    <x v="0"/>
    <n v="0"/>
  </r>
  <r>
    <x v="8"/>
    <n v="5"/>
    <n v="0"/>
    <n v="0"/>
    <x v="0"/>
    <n v="0"/>
  </r>
  <r>
    <x v="9"/>
    <n v="0.75"/>
    <n v="0"/>
    <n v="2"/>
    <x v="2"/>
    <n v="1.5"/>
  </r>
  <r>
    <x v="10"/>
    <n v="0.5"/>
    <n v="0"/>
    <n v="0"/>
    <x v="0"/>
    <n v="0"/>
  </r>
  <r>
    <x v="11"/>
    <n v="0.25"/>
    <n v="0"/>
    <n v="0"/>
    <x v="0"/>
    <n v="0"/>
  </r>
  <r>
    <x v="12"/>
    <n v="0.5"/>
    <n v="0"/>
    <n v="0"/>
    <x v="0"/>
    <n v="0"/>
  </r>
  <r>
    <x v="13"/>
    <n v="0.75"/>
    <n v="0"/>
    <n v="0"/>
    <x v="0"/>
    <n v="0"/>
  </r>
  <r>
    <x v="14"/>
    <n v="1"/>
    <n v="0"/>
    <n v="0"/>
    <x v="0"/>
    <n v="0"/>
  </r>
  <r>
    <x v="15"/>
    <n v="2"/>
    <n v="0"/>
    <n v="0"/>
    <x v="0"/>
    <n v="0"/>
  </r>
  <r>
    <x v="16"/>
    <n v="0.09"/>
    <n v="0"/>
    <n v="0"/>
    <x v="0"/>
    <n v="0"/>
  </r>
  <r>
    <x v="17"/>
    <n v="0.5"/>
    <n v="0"/>
    <n v="0"/>
    <x v="0"/>
    <n v="0"/>
  </r>
  <r>
    <x v="18"/>
    <n v="1"/>
    <n v="0"/>
    <n v="0"/>
    <x v="0"/>
    <n v="0"/>
  </r>
  <r>
    <x v="19"/>
    <n v="1"/>
    <n v="0"/>
    <n v="0"/>
    <x v="0"/>
    <n v="0"/>
  </r>
  <r>
    <x v="20"/>
    <n v="0.05"/>
    <n v="0"/>
    <n v="0"/>
    <x v="0"/>
    <n v="0"/>
  </r>
  <r>
    <x v="21"/>
    <n v="0.06"/>
    <n v="0"/>
    <n v="0"/>
    <x v="0"/>
    <n v="0"/>
  </r>
  <r>
    <x v="22"/>
    <n v="4.3"/>
    <n v="0"/>
    <n v="0"/>
    <x v="0"/>
    <n v="0"/>
  </r>
  <r>
    <x v="23"/>
    <n v="5"/>
    <n v="0"/>
    <n v="0"/>
    <x v="0"/>
    <n v="0"/>
  </r>
  <r>
    <x v="24"/>
    <n v="5.7"/>
    <n v="0"/>
    <n v="0"/>
    <x v="0"/>
    <n v="0"/>
  </r>
  <r>
    <x v="25"/>
    <n v="12.5"/>
    <n v="0"/>
    <n v="0"/>
    <x v="0"/>
    <n v="0"/>
  </r>
  <r>
    <x v="26"/>
    <n v="20"/>
    <n v="0"/>
    <n v="0"/>
    <x v="0"/>
    <n v="0"/>
  </r>
  <r>
    <x v="27"/>
    <n v="10"/>
    <n v="0"/>
    <n v="0"/>
    <x v="0"/>
    <n v="0"/>
  </r>
  <r>
    <x v="28"/>
    <n v="12.5"/>
    <n v="0"/>
    <n v="0"/>
    <x v="0"/>
    <n v="0"/>
  </r>
  <r>
    <x v="29"/>
    <n v="15"/>
    <n v="0"/>
    <n v="0"/>
    <x v="0"/>
    <n v="0"/>
  </r>
  <r>
    <x v="30"/>
    <n v="26"/>
    <n v="0"/>
    <n v="0"/>
    <x v="0"/>
    <n v="0"/>
  </r>
  <r>
    <x v="31"/>
    <n v="19.5"/>
    <n v="0"/>
    <n v="0"/>
    <x v="0"/>
    <n v="0"/>
  </r>
  <r>
    <x v="32"/>
    <n v="20"/>
    <n v="0"/>
    <n v="0"/>
    <x v="0"/>
    <n v="0"/>
  </r>
  <r>
    <x v="33"/>
    <n v="38.5"/>
    <n v="0"/>
    <n v="0"/>
    <x v="0"/>
    <n v="0"/>
  </r>
  <r>
    <x v="34"/>
    <n v="0.25"/>
    <n v="0"/>
    <n v="0"/>
    <x v="0"/>
    <n v="0"/>
  </r>
  <r>
    <x v="35"/>
    <n v="1"/>
    <n v="0"/>
    <n v="0"/>
    <x v="0"/>
    <n v="0"/>
  </r>
  <r>
    <x v="36"/>
    <n v="0.5"/>
    <n v="0"/>
    <n v="0"/>
    <x v="0"/>
    <n v="0"/>
  </r>
  <r>
    <x v="37"/>
    <n v="1"/>
    <n v="0"/>
    <n v="0"/>
    <x v="0"/>
    <n v="0"/>
  </r>
  <r>
    <x v="38"/>
    <n v="2"/>
    <n v="0"/>
    <n v="0"/>
    <x v="0"/>
    <n v="0"/>
  </r>
  <r>
    <x v="39"/>
    <n v="3"/>
    <n v="0"/>
    <n v="0"/>
    <x v="0"/>
    <n v="0"/>
  </r>
  <r>
    <x v="40"/>
    <n v="4"/>
    <n v="0"/>
    <n v="0"/>
    <x v="0"/>
    <n v="0"/>
  </r>
  <r>
    <x v="41"/>
    <n v="6"/>
    <n v="0"/>
    <n v="0"/>
    <x v="0"/>
    <n v="0"/>
  </r>
  <r>
    <x v="42"/>
    <n v="1"/>
    <n v="0"/>
    <n v="0"/>
    <x v="0"/>
    <n v="0"/>
  </r>
  <r>
    <x v="43"/>
    <n v="0.18"/>
    <n v="0"/>
    <n v="0"/>
    <x v="0"/>
    <n v="0"/>
  </r>
  <r>
    <x v="44"/>
    <n v="0.05"/>
    <n v="0"/>
    <n v="0"/>
    <x v="0"/>
    <n v="0"/>
  </r>
  <r>
    <x v="45"/>
    <n v="7.0000000000000007E-2"/>
    <n v="0"/>
    <n v="0"/>
    <x v="0"/>
    <n v="0"/>
  </r>
  <r>
    <x v="46"/>
    <n v="0.09"/>
    <n v="0"/>
    <n v="0"/>
    <x v="0"/>
    <n v="0"/>
  </r>
  <r>
    <x v="47"/>
    <n v="0.25"/>
    <n v="0"/>
    <n v="0"/>
    <x v="0"/>
    <n v="0"/>
  </r>
  <r>
    <x v="48"/>
    <n v="1"/>
    <n v="0"/>
    <n v="0"/>
    <x v="0"/>
    <n v="0"/>
  </r>
  <r>
    <x v="49"/>
    <n v="2"/>
    <n v="0"/>
    <n v="0"/>
    <x v="0"/>
    <n v="0"/>
  </r>
  <r>
    <x v="50"/>
    <n v="3"/>
    <n v="0"/>
    <n v="0"/>
    <x v="0"/>
    <n v="0"/>
  </r>
  <r>
    <x v="51"/>
    <n v="1"/>
    <n v="0"/>
    <n v="0"/>
    <x v="0"/>
    <n v="0"/>
  </r>
  <r>
    <x v="52"/>
    <n v="0.25"/>
    <n v="0"/>
    <n v="0"/>
    <x v="0"/>
    <n v="0"/>
  </r>
  <r>
    <x v="53"/>
    <n v="0.09"/>
    <n v="0"/>
    <n v="0"/>
    <x v="0"/>
    <n v="0"/>
  </r>
  <r>
    <x v="54"/>
    <n v="2"/>
    <n v="0"/>
    <n v="0"/>
    <x v="0"/>
    <n v="0"/>
  </r>
  <r>
    <x v="55"/>
    <n v="4"/>
    <n v="0"/>
    <n v="0"/>
    <x v="0"/>
    <n v="0"/>
  </r>
  <r>
    <x v="56"/>
    <n v="1"/>
    <n v="0"/>
    <n v="0"/>
    <x v="0"/>
    <n v="0"/>
  </r>
  <r>
    <x v="57"/>
    <n v="1"/>
    <n v="0"/>
    <n v="0"/>
    <x v="0"/>
    <n v="0"/>
  </r>
  <r>
    <x v="58"/>
    <n v="0.1"/>
    <n v="0"/>
    <n v="0"/>
    <x v="0"/>
    <n v="0"/>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r>
    <x v="59"/>
    <e v="#VALUE!"/>
    <n v="0"/>
    <n v="0"/>
    <x v="0"/>
    <e v="#VALUE!"/>
  </r>
</pivotCacheRecords>
</file>

<file path=xl/pivotCache/pivotCacheRecords2.xml><?xml version="1.0" encoding="utf-8"?>
<pivotCacheRecords xmlns="http://schemas.openxmlformats.org/spreadsheetml/2006/main" xmlns:r="http://schemas.openxmlformats.org/officeDocument/2006/relationships" count="87">
  <r>
    <x v="0"/>
    <n v="1"/>
    <n v="0"/>
    <n v="0"/>
    <x v="0"/>
    <n v="0"/>
  </r>
  <r>
    <x v="1"/>
    <n v="0.2"/>
    <n v="0"/>
    <n v="0"/>
    <x v="0"/>
    <n v="0"/>
  </r>
  <r>
    <x v="2"/>
    <n v="0.5"/>
    <n v="0"/>
    <n v="0"/>
    <x v="0"/>
    <n v="0"/>
  </r>
  <r>
    <x v="3"/>
    <n v="1"/>
    <n v="0"/>
    <n v="0"/>
    <x v="0"/>
    <n v="0"/>
  </r>
  <r>
    <x v="4"/>
    <n v="2"/>
    <n v="0"/>
    <n v="1"/>
    <x v="1"/>
    <n v="2"/>
  </r>
  <r>
    <x v="5"/>
    <n v="5"/>
    <n v="0"/>
    <n v="0"/>
    <x v="0"/>
    <n v="0"/>
  </r>
  <r>
    <x v="6"/>
    <n v="0.1"/>
    <n v="0"/>
    <n v="0"/>
    <x v="0"/>
    <n v="0"/>
  </r>
  <r>
    <x v="7"/>
    <n v="1"/>
    <n v="0"/>
    <n v="0"/>
    <x v="0"/>
    <n v="0"/>
  </r>
  <r>
    <x v="8"/>
    <n v="2"/>
    <n v="0"/>
    <n v="0"/>
    <x v="0"/>
    <n v="0"/>
  </r>
  <r>
    <x v="9"/>
    <n v="5"/>
    <n v="2"/>
    <n v="4"/>
    <x v="2"/>
    <n v="30"/>
  </r>
  <r>
    <x v="10"/>
    <n v="0.5"/>
    <n v="7"/>
    <n v="0"/>
    <x v="3"/>
    <n v="3.5"/>
  </r>
  <r>
    <x v="11"/>
    <n v="0.17"/>
    <n v="5"/>
    <n v="0"/>
    <x v="4"/>
    <n v="0.85000000000000009"/>
  </r>
  <r>
    <x v="12"/>
    <n v="1"/>
    <n v="0"/>
    <n v="0"/>
    <x v="0"/>
    <n v="0"/>
  </r>
  <r>
    <x v="13"/>
    <n v="0.12"/>
    <n v="3"/>
    <n v="0"/>
    <x v="5"/>
    <n v="0.36"/>
  </r>
  <r>
    <x v="14"/>
    <n v="0.14000000000000001"/>
    <n v="0"/>
    <n v="0"/>
    <x v="0"/>
    <n v="0"/>
  </r>
  <r>
    <x v="15"/>
    <n v="0.2"/>
    <n v="0"/>
    <n v="0"/>
    <x v="0"/>
    <n v="0"/>
  </r>
  <r>
    <x v="16"/>
    <n v="0.5"/>
    <n v="0"/>
    <n v="0"/>
    <x v="0"/>
    <n v="0"/>
  </r>
  <r>
    <x v="17"/>
    <n v="0.13"/>
    <n v="0"/>
    <n v="0"/>
    <x v="0"/>
    <n v="0"/>
  </r>
  <r>
    <x v="18"/>
    <n v="0.4"/>
    <n v="0"/>
    <n v="0"/>
    <x v="0"/>
    <n v="0"/>
  </r>
  <r>
    <x v="19"/>
    <n v="0.25"/>
    <n v="7"/>
    <n v="0"/>
    <x v="3"/>
    <n v="1.75"/>
  </r>
  <r>
    <x v="20"/>
    <n v="0.5"/>
    <n v="0"/>
    <n v="0"/>
    <x v="0"/>
    <n v="0"/>
  </r>
  <r>
    <x v="21"/>
    <n v="1"/>
    <n v="0"/>
    <n v="0"/>
    <x v="0"/>
    <n v="0"/>
  </r>
  <r>
    <x v="22"/>
    <n v="0.5"/>
    <n v="0"/>
    <n v="0"/>
    <x v="0"/>
    <n v="0"/>
  </r>
  <r>
    <x v="23"/>
    <n v="2"/>
    <n v="0"/>
    <n v="0"/>
    <x v="0"/>
    <n v="0"/>
  </r>
  <r>
    <x v="24"/>
    <n v="0.2"/>
    <n v="0"/>
    <n v="0"/>
    <x v="0"/>
    <n v="0"/>
  </r>
  <r>
    <x v="25"/>
    <n v="0.3"/>
    <n v="0"/>
    <n v="0"/>
    <x v="0"/>
    <n v="0"/>
  </r>
  <r>
    <x v="26"/>
    <n v="0.5"/>
    <n v="0"/>
    <n v="0"/>
    <x v="0"/>
    <n v="0"/>
  </r>
  <r>
    <x v="27"/>
    <n v="1"/>
    <n v="0"/>
    <n v="0"/>
    <x v="0"/>
    <n v="0"/>
  </r>
  <r>
    <x v="28"/>
    <n v="0.5"/>
    <n v="0"/>
    <n v="0"/>
    <x v="0"/>
    <n v="0"/>
  </r>
  <r>
    <x v="29"/>
    <n v="0.4"/>
    <n v="0"/>
    <n v="0"/>
    <x v="0"/>
    <n v="0"/>
  </r>
  <r>
    <x v="30"/>
    <n v="1"/>
    <n v="0"/>
    <n v="0"/>
    <x v="0"/>
    <n v="0"/>
  </r>
  <r>
    <x v="31"/>
    <n v="2"/>
    <n v="0"/>
    <n v="0"/>
    <x v="0"/>
    <n v="0"/>
  </r>
  <r>
    <x v="32"/>
    <n v="0.05"/>
    <n v="0"/>
    <n v="0"/>
    <x v="0"/>
    <n v="0"/>
  </r>
  <r>
    <x v="33"/>
    <n v="0.5"/>
    <n v="0"/>
    <n v="0"/>
    <x v="0"/>
    <n v="0"/>
  </r>
  <r>
    <x v="34"/>
    <n v="1"/>
    <n v="0"/>
    <n v="0"/>
    <x v="0"/>
    <n v="0"/>
  </r>
  <r>
    <x v="35"/>
    <n v="3.5000000000000003E-2"/>
    <n v="0"/>
    <n v="0"/>
    <x v="0"/>
    <n v="0"/>
  </r>
  <r>
    <x v="36"/>
    <n v="0.5"/>
    <n v="0"/>
    <n v="0"/>
    <x v="0"/>
    <n v="0"/>
  </r>
  <r>
    <x v="37"/>
    <n v="0.3"/>
    <n v="0"/>
    <n v="0"/>
    <x v="0"/>
    <n v="0"/>
  </r>
  <r>
    <x v="38"/>
    <n v="0.28000000000000003"/>
    <n v="0"/>
    <n v="0"/>
    <x v="0"/>
    <n v="0"/>
  </r>
  <r>
    <x v="39"/>
    <n v="0.4"/>
    <n v="0"/>
    <n v="0"/>
    <x v="0"/>
    <n v="0"/>
  </r>
  <r>
    <x v="40"/>
    <n v="0.8"/>
    <n v="0"/>
    <n v="0"/>
    <x v="0"/>
    <n v="0"/>
  </r>
  <r>
    <x v="41"/>
    <n v="1"/>
    <n v="1"/>
    <n v="0"/>
    <x v="1"/>
    <n v="1"/>
  </r>
  <r>
    <x v="42"/>
    <n v="0.4"/>
    <n v="0"/>
    <n v="7"/>
    <x v="3"/>
    <n v="2.8000000000000003"/>
  </r>
  <r>
    <x v="43"/>
    <n v="0.4"/>
    <n v="0"/>
    <n v="0"/>
    <x v="0"/>
    <n v="0"/>
  </r>
  <r>
    <x v="44"/>
    <n v="0.2"/>
    <n v="0"/>
    <n v="0"/>
    <x v="0"/>
    <n v="0"/>
  </r>
  <r>
    <x v="45"/>
    <n v="1"/>
    <n v="0"/>
    <n v="0"/>
    <x v="0"/>
    <n v="0"/>
  </r>
  <r>
    <x v="46"/>
    <n v="0.5"/>
    <n v="0"/>
    <n v="0"/>
    <x v="0"/>
    <n v="0"/>
  </r>
  <r>
    <x v="47"/>
    <n v="1"/>
    <n v="0"/>
    <n v="0"/>
    <x v="0"/>
    <n v="0"/>
  </r>
  <r>
    <x v="48"/>
    <n v="0.2"/>
    <n v="0"/>
    <n v="0"/>
    <x v="0"/>
    <n v="0"/>
  </r>
  <r>
    <x v="49"/>
    <n v="0.2"/>
    <n v="0"/>
    <n v="0"/>
    <x v="0"/>
    <n v="0"/>
  </r>
  <r>
    <x v="50"/>
    <n v="0.5"/>
    <n v="0"/>
    <n v="0"/>
    <x v="0"/>
    <n v="0"/>
  </r>
  <r>
    <x v="51"/>
    <n v="0.3"/>
    <n v="0"/>
    <n v="0"/>
    <x v="0"/>
    <n v="0"/>
  </r>
  <r>
    <x v="52"/>
    <n v="0.3"/>
    <n v="0"/>
    <n v="0"/>
    <x v="0"/>
    <n v="0"/>
  </r>
  <r>
    <x v="53"/>
    <n v="0.5"/>
    <n v="0"/>
    <n v="0"/>
    <x v="0"/>
    <n v="0"/>
  </r>
  <r>
    <x v="54"/>
    <n v="0.08"/>
    <n v="0"/>
    <n v="0"/>
    <x v="0"/>
    <n v="0"/>
  </r>
  <r>
    <x v="55"/>
    <n v="0.45"/>
    <n v="0"/>
    <n v="0"/>
    <x v="0"/>
    <n v="0"/>
  </r>
  <r>
    <x v="56"/>
    <n v="0.34"/>
    <n v="0"/>
    <n v="0"/>
    <x v="0"/>
    <n v="0"/>
  </r>
  <r>
    <x v="56"/>
    <n v="0.13"/>
    <n v="0"/>
    <n v="0"/>
    <x v="0"/>
    <n v="0"/>
  </r>
  <r>
    <x v="57"/>
    <n v="1"/>
    <n v="0"/>
    <n v="0"/>
    <x v="0"/>
    <n v="0"/>
  </r>
  <r>
    <x v="58"/>
    <n v="1"/>
    <n v="0"/>
    <n v="0"/>
    <x v="0"/>
    <n v="0"/>
  </r>
  <r>
    <x v="59"/>
    <n v="0.5"/>
    <n v="0"/>
    <n v="0"/>
    <x v="0"/>
    <n v="0"/>
  </r>
  <r>
    <x v="60"/>
    <n v="1"/>
    <n v="0"/>
    <n v="0"/>
    <x v="0"/>
    <n v="0"/>
  </r>
  <r>
    <x v="61"/>
    <n v="1"/>
    <n v="0"/>
    <n v="0"/>
    <x v="0"/>
    <n v="0"/>
  </r>
  <r>
    <x v="62"/>
    <n v="0.3"/>
    <n v="0"/>
    <n v="0"/>
    <x v="0"/>
    <n v="0"/>
  </r>
  <r>
    <x v="63"/>
    <n v="0.125"/>
    <n v="0"/>
    <n v="0"/>
    <x v="0"/>
    <n v="0"/>
  </r>
  <r>
    <x v="64"/>
    <n v="0.2"/>
    <n v="0"/>
    <n v="0"/>
    <x v="0"/>
    <n v="0"/>
  </r>
  <r>
    <x v="65"/>
    <n v="0.03"/>
    <n v="0"/>
    <n v="0"/>
    <x v="0"/>
    <n v="0"/>
  </r>
  <r>
    <x v="66"/>
    <n v="1"/>
    <n v="0"/>
    <n v="0"/>
    <x v="0"/>
    <n v="0"/>
  </r>
  <r>
    <x v="67"/>
    <n v="0.3"/>
    <n v="0"/>
    <n v="0"/>
    <x v="0"/>
    <n v="0"/>
  </r>
  <r>
    <x v="68"/>
    <n v="0.4"/>
    <n v="0"/>
    <n v="0"/>
    <x v="0"/>
    <n v="0"/>
  </r>
  <r>
    <x v="69"/>
    <n v="0.14000000000000001"/>
    <n v="0"/>
    <n v="0"/>
    <x v="0"/>
    <n v="0"/>
  </r>
  <r>
    <x v="70"/>
    <n v="1"/>
    <n v="0"/>
    <n v="0"/>
    <x v="0"/>
    <n v="0"/>
  </r>
  <r>
    <x v="71"/>
    <e v="#VALUE!"/>
    <n v="0"/>
    <n v="0"/>
    <x v="0"/>
    <e v="#VALUE!"/>
  </r>
  <r>
    <x v="71"/>
    <e v="#VALUE!"/>
    <n v="0"/>
    <n v="0"/>
    <x v="0"/>
    <e v="#VALUE!"/>
  </r>
  <r>
    <x v="71"/>
    <e v="#VALUE!"/>
    <n v="0"/>
    <n v="0"/>
    <x v="0"/>
    <e v="#VALUE!"/>
  </r>
  <r>
    <x v="71"/>
    <e v="#VALUE!"/>
    <n v="0"/>
    <n v="0"/>
    <x v="0"/>
    <e v="#VALUE!"/>
  </r>
  <r>
    <x v="71"/>
    <e v="#VALUE!"/>
    <n v="0"/>
    <n v="0"/>
    <x v="0"/>
    <e v="#VALUE!"/>
  </r>
  <r>
    <x v="71"/>
    <e v="#VALUE!"/>
    <n v="0"/>
    <n v="0"/>
    <x v="0"/>
    <e v="#VALUE!"/>
  </r>
  <r>
    <x v="71"/>
    <e v="#VALUE!"/>
    <n v="0"/>
    <n v="0"/>
    <x v="0"/>
    <e v="#VALUE!"/>
  </r>
  <r>
    <x v="71"/>
    <e v="#VALUE!"/>
    <n v="0"/>
    <n v="0"/>
    <x v="0"/>
    <e v="#VALUE!"/>
  </r>
  <r>
    <x v="71"/>
    <e v="#VALUE!"/>
    <n v="0"/>
    <n v="0"/>
    <x v="0"/>
    <e v="#VALUE!"/>
  </r>
  <r>
    <x v="71"/>
    <e v="#VALUE!"/>
    <n v="0"/>
    <n v="0"/>
    <x v="0"/>
    <e v="#VALUE!"/>
  </r>
  <r>
    <x v="71"/>
    <e v="#VALUE!"/>
    <n v="0"/>
    <n v="0"/>
    <x v="0"/>
    <e v="#VALUE!"/>
  </r>
  <r>
    <x v="71"/>
    <e v="#VALUE!"/>
    <n v="0"/>
    <n v="0"/>
    <x v="0"/>
    <e v="#VALUE!"/>
  </r>
  <r>
    <x v="71"/>
    <e v="#VALUE!"/>
    <n v="0"/>
    <n v="0"/>
    <x v="0"/>
    <e v="#VALUE!"/>
  </r>
  <r>
    <x v="71"/>
    <e v="#VALUE!"/>
    <n v="0"/>
    <n v="0"/>
    <x v="0"/>
    <e v="#VALUE!"/>
  </r>
  <r>
    <x v="71"/>
    <e v="#VALUE!"/>
    <n v="0"/>
    <n v="0"/>
    <x v="0"/>
    <e v="#VALU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location ref="A3:B12" firstHeaderRow="1" firstDataRow="1" firstDataCol="1"/>
  <pivotFields count="6">
    <pivotField axis="axisRow" showAll="0">
      <items count="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t="default"/>
      </items>
    </pivotField>
    <pivotField showAll="0"/>
    <pivotField showAll="0"/>
    <pivotField showAll="0"/>
    <pivotField dataField="1" showAll="0" includeNewItemsInFilter="1" sumSubtotal="1">
      <items count="7">
        <item h="1" x="0"/>
        <item x="1"/>
        <item x="5"/>
        <item x="4"/>
        <item x="2"/>
        <item x="3"/>
        <item t="sum"/>
      </items>
    </pivotField>
    <pivotField showAll="0"/>
  </pivotFields>
  <rowFields count="1">
    <field x="0"/>
  </rowFields>
  <rowItems count="9">
    <i>
      <x v="4"/>
    </i>
    <i>
      <x v="9"/>
    </i>
    <i>
      <x v="10"/>
    </i>
    <i>
      <x v="11"/>
    </i>
    <i>
      <x v="13"/>
    </i>
    <i>
      <x v="19"/>
    </i>
    <i>
      <x v="41"/>
    </i>
    <i>
      <x v="42"/>
    </i>
    <i t="grand">
      <x/>
    </i>
  </rowItems>
  <colItems count="1">
    <i/>
  </colItems>
  <dataFields count="1">
    <dataField name="Sum of Qtde (tot)" fld="4" baseField="0" baseItem="0"/>
  </dataFields>
  <chartFormats count="2">
    <chartFormat chart="0"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location ref="I3:J6" firstHeaderRow="1" firstDataRow="1" firstDataCol="1"/>
  <pivotFields count="6">
    <pivotField axis="axisRow"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dataField="1" showAll="0">
      <items count="4">
        <item h="1" x="0"/>
        <item x="1"/>
        <item x="2"/>
        <item t="default"/>
      </items>
    </pivotField>
    <pivotField showAll="0"/>
  </pivotFields>
  <rowFields count="1">
    <field x="0"/>
  </rowFields>
  <rowItems count="3">
    <i>
      <x v="3"/>
    </i>
    <i>
      <x v="9"/>
    </i>
    <i t="grand">
      <x/>
    </i>
  </rowItems>
  <colItems count="1">
    <i/>
  </colItems>
  <dataFields count="1">
    <dataField name="Sum of Qtde (tot)" fld="4" baseField="0" baseItem="0"/>
  </dataFields>
  <chartFormats count="1">
    <chartFormat chart="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super1" displayName="super1" ref="H4:K5" insertRow="1" totalsRowShown="0">
  <autoFilter ref="H4:K5" xr:uid="{00000000-0009-0000-0100-000004000000}"/>
  <sortState ref="H5:K5">
    <sortCondition descending="1" ref="K4:K5"/>
  </sortState>
  <tableColumns count="4">
    <tableColumn id="1" xr3:uid="{00000000-0010-0000-0000-000001000000}" name="Item" dataDxfId="92"/>
    <tableColumn id="9" xr3:uid="{00000000-0010-0000-0000-000009000000}" name="Qtde" dataDxfId="91"/>
    <tableColumn id="10" xr3:uid="{00000000-0010-0000-0000-00000A000000}" name="Bairro" dataDxfId="90"/>
    <tableColumn id="2" xr3:uid="{00000000-0010-0000-0000-000002000000}" name="Data" dataDxfId="89"/>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1000000}" name="supercb" displayName="supercb" ref="F4:I1868" totalsRowShown="0">
  <autoFilter ref="F4:I1868" xr:uid="{00000000-0009-0000-0100-000008000000}"/>
  <sortState ref="F5:I1868">
    <sortCondition descending="1" ref="I4:I1868"/>
  </sortState>
  <tableColumns count="4">
    <tableColumn id="1" xr3:uid="{00000000-0010-0000-0100-000001000000}" name="Item" dataDxfId="86"/>
    <tableColumn id="2" xr3:uid="{00000000-0010-0000-0100-000002000000}" name="Qtde"/>
    <tableColumn id="3" xr3:uid="{00000000-0010-0000-0100-000003000000}" name="Bairro"/>
    <tableColumn id="4" xr3:uid="{00000000-0010-0000-0100-000004000000}" name="Data"/>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_alimentos" displayName="tab_alimentos" ref="I4:AG375" totalsRowShown="0" headerRowDxfId="79" dataDxfId="77" headerRowBorderDxfId="78" tableBorderDxfId="76" totalsRowBorderDxfId="75">
  <autoFilter ref="I4:AG375" xr:uid="{00000000-0009-0000-0100-000001000000}"/>
  <tableColumns count="25">
    <tableColumn id="1" xr3:uid="{00000000-0010-0000-0200-000001000000}" name="Item" dataDxfId="74">
      <calculatedColumnFormula>alimentos[[#This Row],[Item]]</calculatedColumnFormula>
    </tableColumn>
    <tableColumn id="2" xr3:uid="{00000000-0010-0000-0200-000002000000}" name="kg/embalagem" dataDxfId="73">
      <calculatedColumnFormula>IFERROR(alimentos[[#This Row],[kg/embalagem]],0)</calculatedColumnFormula>
    </tableColumn>
    <tableColumn id="20" xr3:uid="{00000000-0010-0000-0200-000014000000}" name="Preço" dataDxfId="72">
      <calculatedColumnFormula>IFERROR(alimentos[[#This Row],[Preço]],0)</calculatedColumnFormula>
    </tableColumn>
    <tableColumn id="3" xr3:uid="{00000000-0010-0000-0200-000003000000}" name="Qtde (S1)" dataDxfId="71">
      <calculatedColumnFormula>SUMIFS(super1[Qtde],super1[Item],tab_alimentos[[#This Row],[Item]],super1[Bairro],mercado1)+SUMIFS(supercb[Qtde],supercb[Item],tab_alimentos[[#This Row],[Item]],supercb[Bairro],mercado1)</calculatedColumnFormula>
    </tableColumn>
    <tableColumn id="4" xr3:uid="{00000000-0010-0000-0200-000004000000}" name="Qtde (S2)" dataDxfId="70">
      <calculatedColumnFormula>SUMIFS(super1[Qtde],super1[Item],tab_alimentos[[#This Row],[Item]],super1[Bairro],mercado2)+SUMIFS(supercb[Qtde],supercb[Item],tab_alimentos[[#This Row],[Item]],supercb[Bairro],mercado2)</calculatedColumnFormula>
    </tableColumn>
    <tableColumn id="5" xr3:uid="{00000000-0010-0000-0200-000005000000}" name="Qtde (S3)" dataDxfId="69">
      <calculatedColumnFormula>SUMIFS(super1[Qtde],super1[Item],tab_alimentos[[#This Row],[Item]],super1[Bairro],mercado3)+SUMIFS(supercb[Qtde],supercb[Item],tab_alimentos[[#This Row],[Item]],supercb[Bairro],mercado3)</calculatedColumnFormula>
    </tableColumn>
    <tableColumn id="6" xr3:uid="{00000000-0010-0000-0200-000006000000}" name="Qtde (S4)" dataDxfId="68">
      <calculatedColumnFormula>SUMIFS(super1[Qtde],super1[Item],tab_alimentos[[#This Row],[Item]],super1[Bairro],mercado4)+SUMIFS(supercb[Qtde],supercb[Item],tab_alimentos[[#This Row],[Item]],supercb[Bairro],mercado4)</calculatedColumnFormula>
    </tableColumn>
    <tableColumn id="7" xr3:uid="{00000000-0010-0000-0200-000007000000}" name="Qtde (S5)" dataDxfId="67">
      <calculatedColumnFormula>SUMIFS(super1[Qtde],super1[Item],tab_alimentos[[#This Row],[Item]],super1[Bairro],mercado5)+SUMIFS(supercb[Qtde],supercb[Item],tab_alimentos[[#This Row],[Item]],supercb[Bairro],mercado5)</calculatedColumnFormula>
    </tableColumn>
    <tableColumn id="8" xr3:uid="{00000000-0010-0000-0200-000008000000}" name="Qtde (S6)" dataDxfId="66">
      <calculatedColumnFormula>SUMIFS(super1[Qtde],super1[Item],tab_alimentos[[#This Row],[Item]],super1[Bairro],mercado6)+SUMIFS(supercb[Qtde],supercb[Item],tab_alimentos[[#This Row],[Item]],supercb[Bairro],mercado6)</calculatedColumnFormula>
    </tableColumn>
    <tableColumn id="9" xr3:uid="{00000000-0010-0000-0200-000009000000}" name="Qtde (S7)" dataDxfId="65">
      <calculatedColumnFormula>SUMIFS(super1[Qtde],super1[Item],tab_alimentos[[#This Row],[Item]],super1[Bairro],mercado7)+SUMIFS(supercb[Qtde],supercb[Item],tab_alimentos[[#This Row],[Item]],supercb[Bairro],mercado7)</calculatedColumnFormula>
    </tableColumn>
    <tableColumn id="10" xr3:uid="{00000000-0010-0000-0200-00000A000000}" name="Qtde (S8)" dataDxfId="64">
      <calculatedColumnFormula>SUMIFS(super1[Qtde],super1[Item],tab_alimentos[[#This Row],[Item]],super1[Bairro],mercado8)+SUMIFS(supercb[Qtde],supercb[Item],tab_alimentos[[#This Row],[Item]],supercb[Bairro],mercado8)</calculatedColumnFormula>
    </tableColumn>
    <tableColumn id="11" xr3:uid="{00000000-0010-0000-0200-00000B000000}" name="Qtde (S9)" dataDxfId="63">
      <calculatedColumnFormula>SUMIFS(super1[Qtde],super1[Item],tab_alimentos[[#This Row],[Item]],super1[Bairro],mercado9)+SUMIFS(supercb[Qtde],supercb[Item],tab_alimentos[[#This Row],[Item]],supercb[Bairro],mercado9)</calculatedColumnFormula>
    </tableColumn>
    <tableColumn id="12" xr3:uid="{00000000-0010-0000-0200-00000C000000}" name="Qtde (S10)" dataDxfId="62">
      <calculatedColumnFormula>SUMIFS(super1[Qtde],super1[Item],tab_alimentos[[#This Row],[Item]],super1[Bairro],mercado10)+SUMIFS(supercb[Qtde],supercb[Item],tab_alimentos[[#This Row],[Item]],supercb[Bairro],mercado10)</calculatedColumnFormula>
    </tableColumn>
    <tableColumn id="13" xr3:uid="{00000000-0010-0000-0200-00000D000000}" name="Qtde (S11)" dataDxfId="61">
      <calculatedColumnFormula>SUMIFS(super1[Qtde],super1[Item],tab_alimentos[[#This Row],[Item]],super1[Bairro],mercado11)+SUMIFS(supercb[Qtde],supercb[Item],tab_alimentos[[#This Row],[Item]],supercb[Bairro],mercado11)</calculatedColumnFormula>
    </tableColumn>
    <tableColumn id="14" xr3:uid="{00000000-0010-0000-0200-00000E000000}" name="Qtde (S12)" dataDxfId="60">
      <calculatedColumnFormula>SUMIFS(super1[Qtde],super1[Item],tab_alimentos[[#This Row],[Item]],super1[Bairro],mercado12)+SUMIFS(supercb[Qtde],supercb[Item],tab_alimentos[[#This Row],[Item]],supercb[Bairro],mercado12)</calculatedColumnFormula>
    </tableColumn>
    <tableColumn id="15" xr3:uid="{00000000-0010-0000-0200-00000F000000}" name="Qtde (S13)" dataDxfId="59">
      <calculatedColumnFormula>SUMIFS(super1[Qtde],super1[Item],tab_alimentos[[#This Row],[Item]],super1[Bairro],mercado13)+SUMIFS(supercb[Qtde],supercb[Item],tab_alimentos[[#This Row],[Item]],supercb[Bairro],mercado13)</calculatedColumnFormula>
    </tableColumn>
    <tableColumn id="16" xr3:uid="{00000000-0010-0000-0200-000010000000}" name="Qtde (S14)" dataDxfId="58">
      <calculatedColumnFormula>SUMIFS(super1[Qtde],super1[Item],tab_alimentos[[#This Row],[Item]],super1[Bairro],mercado14)+SUMIFS(supercb[Qtde],supercb[Item],tab_alimentos[[#This Row],[Item]],supercb[Bairro],mercado14)</calculatedColumnFormula>
    </tableColumn>
    <tableColumn id="17" xr3:uid="{00000000-0010-0000-0200-000011000000}" name="Qtde (S15)" dataDxfId="57">
      <calculatedColumnFormula>SUMIFS(super1[Qtde],super1[Item],tab_alimentos[[#This Row],[Item]],super1[Bairro],mercado15)+SUMIFS(supercb[Qtde],supercb[Item],tab_alimentos[[#This Row],[Item]],supercb[Bairro],mercado15)</calculatedColumnFormula>
    </tableColumn>
    <tableColumn id="25" xr3:uid="{00000000-0010-0000-0200-000019000000}" name="Qtde (S16)" dataDxfId="56">
      <calculatedColumnFormula>SUMIFS(super1[Qtde],super1[Item],tab_alimentos[[#This Row],[Item]],super1[Bairro],mercado16)+SUMIFS(supercb[Qtde],supercb[Item],tab_alimentos[[#This Row],[Item]],supercb[Bairro],mercado16)</calculatedColumnFormula>
    </tableColumn>
    <tableColumn id="24" xr3:uid="{00000000-0010-0000-0200-000018000000}" name="Qtde (S17)" dataDxfId="55">
      <calculatedColumnFormula>SUMIFS(super1[Qtde],super1[Item],tab_alimentos[[#This Row],[Item]],super1[Bairro],mercado17)+SUMIFS(supercb[Qtde],supercb[Item],tab_alimentos[[#This Row],[Item]],supercb[Bairro],mercado17)</calculatedColumnFormula>
    </tableColumn>
    <tableColumn id="18" xr3:uid="{00000000-0010-0000-0200-000012000000}" name="Qtde (S18)" dataDxfId="54">
      <calculatedColumnFormula>SUMIFS(super1[Qtde],super1[Item],tab_alimentos[[#This Row],[Item]],super1[Bairro],mercado18)+SUMIFS(supercb[Qtde],supercb[Item],tab_alimentos[[#This Row],[Item]],supercb[Bairro],mercado18)</calculatedColumnFormula>
    </tableColumn>
    <tableColumn id="23" xr3:uid="{00000000-0010-0000-0200-000017000000}" name="Qtde (ex)" dataDxfId="53">
      <calculatedColumnFormula>SUMIFS(super1[Qtde],super1[Item],tab_alimentos[[#This Row],[Item]],super1[Bairro],extras)+SUMIFS(supercb[Qtde],supercb[Item],tab_alimentos[[#This Row],[Item]],supercb[Bairro],extras)</calculatedColumnFormula>
    </tableColumn>
    <tableColumn id="19" xr3:uid="{00000000-0010-0000-0200-000013000000}" name="Qtde (tot)" dataDxfId="52">
      <calculatedColumnFormula>SUM(L5:AC5)</calculatedColumnFormula>
    </tableColumn>
    <tableColumn id="21" xr3:uid="{00000000-0010-0000-0200-000015000000}" name="Preço x Qtde" dataDxfId="51">
      <calculatedColumnFormula>IFERROR(AE5*K5,0)</calculatedColumnFormula>
    </tableColumn>
    <tableColumn id="22" xr3:uid="{00000000-0010-0000-0200-000016000000}" name="kg" dataDxfId="50">
      <calculatedColumnFormula>IFERROR(J5*AE5,0)</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_higiene" displayName="tab_higiene" ref="AH4:BF315" totalsRowShown="0" headerRowDxfId="49" dataDxfId="47" headerRowBorderDxfId="48" tableBorderDxfId="46" totalsRowBorderDxfId="45">
  <autoFilter ref="AH4:BF315" xr:uid="{00000000-0009-0000-0100-000005000000}"/>
  <tableColumns count="25">
    <tableColumn id="1" xr3:uid="{00000000-0010-0000-0300-000001000000}" name="Item" dataDxfId="44">
      <calculatedColumnFormula>higiene[[#This Row],[Item]]</calculatedColumnFormula>
    </tableColumn>
    <tableColumn id="2" xr3:uid="{00000000-0010-0000-0300-000002000000}" name="kg/embalagem" dataDxfId="43">
      <calculatedColumnFormula>IFERROR(higiene[[#This Row],[Kg equivalente]],0)</calculatedColumnFormula>
    </tableColumn>
    <tableColumn id="20" xr3:uid="{00000000-0010-0000-0300-000014000000}" name="Preço" dataDxfId="42">
      <calculatedColumnFormula>IFERROR(higiene[[#This Row],[Preço por produto]],0)</calculatedColumnFormula>
    </tableColumn>
    <tableColumn id="3" xr3:uid="{00000000-0010-0000-0300-000003000000}" name="Qtde (S1)" dataDxfId="41">
      <calculatedColumnFormula>SUMIFS(super1[Qtde],super1[Item],tab_higiene[[#This Row],[Item]],super1[Bairro],mercado1)+SUMIFS(supercb[Qtde],supercb[Item],tab_higiene[[#This Row],[Item]],supercb[Bairro],mercado1)</calculatedColumnFormula>
    </tableColumn>
    <tableColumn id="4" xr3:uid="{00000000-0010-0000-0300-000004000000}" name="Qtde (S2)" dataDxfId="40">
      <calculatedColumnFormula>SUMIFS(super1[Qtde],super1[Item],tab_higiene[[#This Row],[Item]],super1[Bairro],mercado2)+SUMIFS(supercb[Qtde],supercb[Item],tab_higiene[[#This Row],[Item]],supercb[Bairro],mercado2)</calculatedColumnFormula>
    </tableColumn>
    <tableColumn id="5" xr3:uid="{00000000-0010-0000-0300-000005000000}" name="Qtde (S3)" dataDxfId="39">
      <calculatedColumnFormula>SUMIFS(super1[Qtde],super1[Item],tab_higiene[[#This Row],[Item]],super1[Bairro],mercado3)+SUMIFS(supercb[Qtde],supercb[Item],tab_higiene[[#This Row],[Item]],supercb[Bairro],mercado3)</calculatedColumnFormula>
    </tableColumn>
    <tableColumn id="6" xr3:uid="{00000000-0010-0000-0300-000006000000}" name="Qtde (S4)" dataDxfId="38">
      <calculatedColumnFormula>SUMIFS(super1[Qtde],super1[Item],tab_higiene[[#This Row],[Item]],super1[Bairro],mercado4)+SUMIFS(supercb[Qtde],supercb[Item],tab_higiene[[#This Row],[Item]],supercb[Bairro],mercado4)</calculatedColumnFormula>
    </tableColumn>
    <tableColumn id="7" xr3:uid="{00000000-0010-0000-0300-000007000000}" name="Qtde (S5)" dataDxfId="37">
      <calculatedColumnFormula>SUMIFS(super1[Qtde],super1[Item],tab_higiene[[#This Row],[Item]],super1[Bairro],mercado5)+SUMIFS(supercb[Qtde],supercb[Item],tab_higiene[[#This Row],[Item]],supercb[Bairro],mercado5)</calculatedColumnFormula>
    </tableColumn>
    <tableColumn id="8" xr3:uid="{00000000-0010-0000-0300-000008000000}" name="Qtde (S6)" dataDxfId="36">
      <calculatedColumnFormula>SUMIFS(super1[Qtde],super1[Item],tab_higiene[[#This Row],[Item]],super1[Bairro],mercado6)+SUMIFS(supercb[Qtde],supercb[Item],tab_higiene[[#This Row],[Item]],supercb[Bairro],mercado6)</calculatedColumnFormula>
    </tableColumn>
    <tableColumn id="9" xr3:uid="{00000000-0010-0000-0300-000009000000}" name="Qtde (S7)" dataDxfId="35">
      <calculatedColumnFormula>SUMIFS(super1[Qtde],super1[Item],tab_higiene[[#This Row],[Item]],super1[Bairro],mercado7)+SUMIFS(supercb[Qtde],supercb[Item],tab_higiene[[#This Row],[Item]],supercb[Bairro],mercado7)</calculatedColumnFormula>
    </tableColumn>
    <tableColumn id="10" xr3:uid="{00000000-0010-0000-0300-00000A000000}" name="Qtde (S8)" dataDxfId="34">
      <calculatedColumnFormula>SUMIFS(super1[Qtde],super1[Item],tab_higiene[[#This Row],[Item]],super1[Bairro],mercado8)+SUMIFS(supercb[Qtde],supercb[Item],tab_higiene[[#This Row],[Item]],supercb[Bairro],mercado8)</calculatedColumnFormula>
    </tableColumn>
    <tableColumn id="11" xr3:uid="{00000000-0010-0000-0300-00000B000000}" name="Qtde (S9)" dataDxfId="33">
      <calculatedColumnFormula>SUMIFS(super1[Qtde],super1[Item],tab_higiene[[#This Row],[Item]],super1[Bairro],mercado9)+SUMIFS(supercb[Qtde],supercb[Item],tab_higiene[[#This Row],[Item]],supercb[Bairro],mercado9)</calculatedColumnFormula>
    </tableColumn>
    <tableColumn id="12" xr3:uid="{00000000-0010-0000-0300-00000C000000}" name="Qtde (S10)" dataDxfId="32">
      <calculatedColumnFormula>SUMIFS(super1[Qtde],super1[Item],tab_higiene[[#This Row],[Item]],super1[Bairro],mercado10)+SUMIFS(supercb[Qtde],supercb[Item],tab_higiene[[#This Row],[Item]],supercb[Bairro],mercado10)</calculatedColumnFormula>
    </tableColumn>
    <tableColumn id="13" xr3:uid="{00000000-0010-0000-0300-00000D000000}" name="Qtde (S11)" dataDxfId="31">
      <calculatedColumnFormula>SUMIFS(super1[Qtde],super1[Item],tab_higiene[[#This Row],[Item]],super1[Bairro],mercado11)+SUMIFS(supercb[Qtde],supercb[Item],tab_higiene[[#This Row],[Item]],supercb[Bairro],mercado11)</calculatedColumnFormula>
    </tableColumn>
    <tableColumn id="14" xr3:uid="{00000000-0010-0000-0300-00000E000000}" name="Qtde (S12)" dataDxfId="30">
      <calculatedColumnFormula>SUMIFS(super1[Qtde],super1[Item],tab_higiene[[#This Row],[Item]],super1[Bairro],mercado12)+SUMIFS(supercb[Qtde],supercb[Item],tab_higiene[[#This Row],[Item]],supercb[Bairro],mercado12)</calculatedColumnFormula>
    </tableColumn>
    <tableColumn id="15" xr3:uid="{00000000-0010-0000-0300-00000F000000}" name="Qtde (S13)" dataDxfId="29">
      <calculatedColumnFormula>SUMIFS(super1[Qtde],super1[Item],tab_higiene[[#This Row],[Item]],super1[Bairro],mercado13)+SUMIFS(supercb[Qtde],supercb[Item],tab_higiene[[#This Row],[Item]],supercb[Bairro],mercado13)</calculatedColumnFormula>
    </tableColumn>
    <tableColumn id="16" xr3:uid="{00000000-0010-0000-0300-000010000000}" name="Qtde (S14)" dataDxfId="28">
      <calculatedColumnFormula>SUMIFS(super1[Qtde],super1[Item],tab_higiene[[#This Row],[Item]],super1[Bairro],mercado14)+SUMIFS(supercb[Qtde],supercb[Item],tab_higiene[[#This Row],[Item]],supercb[Bairro],mercado14)</calculatedColumnFormula>
    </tableColumn>
    <tableColumn id="17" xr3:uid="{00000000-0010-0000-0300-000011000000}" name="Qtde (S15)" dataDxfId="27">
      <calculatedColumnFormula>SUMIFS(super1[Qtde],super1[Item],tab_higiene[[#This Row],[Item]],super1[Bairro],mercado15)+SUMIFS(supercb[Qtde],supercb[Item],tab_higiene[[#This Row],[Item]],supercb[Bairro],mercado15)</calculatedColumnFormula>
    </tableColumn>
    <tableColumn id="23" xr3:uid="{00000000-0010-0000-0300-000017000000}" name="Qtde (S16)" dataDxfId="26">
      <calculatedColumnFormula>SUMIFS(super1[Qtde],super1[Item],tab_higiene[[#This Row],[Item]],super1[Bairro],mercado16)+SUMIFS(supercb[Qtde],supercb[Item],tab_higiene[[#This Row],[Item]],supercb[Bairro],mercado16)</calculatedColumnFormula>
    </tableColumn>
    <tableColumn id="24" xr3:uid="{00000000-0010-0000-0300-000018000000}" name="Qtde (S17)" dataDxfId="25">
      <calculatedColumnFormula>SUMIFS(super1[Qtde],super1[Item],tab_higiene[[#This Row],[Item]],super1[Bairro],mercado17)+SUMIFS(supercb[Qtde],supercb[Item],tab_higiene[[#This Row],[Item]],supercb[Bairro],mercado17)</calculatedColumnFormula>
    </tableColumn>
    <tableColumn id="18" xr3:uid="{00000000-0010-0000-0300-000012000000}" name="Qtde (S18)" dataDxfId="24">
      <calculatedColumnFormula>SUMIFS(super1[Qtde],super1[Item],tab_higiene[[#This Row],[Item]],super1[Bairro],mercado18)+SUMIFS(supercb[Qtde],supercb[Item],tab_higiene[[#This Row],[Item]],supercb[Bairro],mercado18)</calculatedColumnFormula>
    </tableColumn>
    <tableColumn id="25" xr3:uid="{00000000-0010-0000-0300-000019000000}" name="Qtde (ex)" dataDxfId="23">
      <calculatedColumnFormula>SUMIFS(super1[Qtde],super1[Item],tab_higiene[[#This Row],[Item]],super1[Bairro],extras)+SUMIFS(supercb[Qtde],supercb[Item],tab_higiene[[#This Row],[Item]],supercb[Bairro],extras)</calculatedColumnFormula>
    </tableColumn>
    <tableColumn id="19" xr3:uid="{00000000-0010-0000-0300-000013000000}" name="Qtde (tot)" dataDxfId="22">
      <calculatedColumnFormula>SUM(AK5:BB5)</calculatedColumnFormula>
    </tableColumn>
    <tableColumn id="21" xr3:uid="{00000000-0010-0000-0300-000015000000}" name="Preço x Qtde" dataDxfId="21">
      <calculatedColumnFormula>IFERROR(BD5*AJ5,0)</calculatedColumnFormula>
    </tableColumn>
    <tableColumn id="22" xr3:uid="{00000000-0010-0000-0300-000016000000}" name="kg" dataDxfId="20">
      <calculatedColumnFormula>IFERROR(AI5*BD5,0)</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higiene" displayName="higiene" ref="H4:K219" totalsRowShown="0" headerRowDxfId="19" dataDxfId="17" headerRowBorderDxfId="18" tableBorderDxfId="16" totalsRowBorderDxfId="15">
  <autoFilter ref="H4:K219" xr:uid="{00000000-0009-0000-0100-000003000000}"/>
  <sortState ref="H5:K219">
    <sortCondition ref="H4:H211"/>
  </sortState>
  <tableColumns count="4">
    <tableColumn id="1" xr3:uid="{00000000-0010-0000-0400-000001000000}" name="Item" dataDxfId="14"/>
    <tableColumn id="2" xr3:uid="{00000000-0010-0000-0400-000002000000}" name="Quantidade" dataDxfId="13"/>
    <tableColumn id="4" xr3:uid="{00000000-0010-0000-0400-000004000000}" name="Preço por produto" dataDxfId="12"/>
    <tableColumn id="3" xr3:uid="{00000000-0010-0000-0400-000003000000}" name="Kg equivalente" dataDxfId="11">
      <calculatedColumnFormula>IFERROR(higiene[[#This Row],[Preço por produto]]/PMA,0)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5000000}" name="tabMercados" displayName="tabMercados" ref="M8:M27" totalsRowShown="0">
  <autoFilter ref="M8:M27" xr:uid="{00000000-0009-0000-0100-000015000000}"/>
  <sortState ref="M8:M25">
    <sortCondition ref="M7:M25"/>
  </sortState>
  <tableColumns count="1">
    <tableColumn id="1" xr3:uid="{00000000-0010-0000-0500-000001000000}" name="Supermercado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alimentos" displayName="alimentos" ref="D4:F267" totalsRowShown="0" headerRowDxfId="6" dataDxfId="5" headerRowBorderDxfId="3" tableBorderDxfId="4">
  <autoFilter ref="D4:F267" xr:uid="{00000000-0009-0000-0100-000002000000}"/>
  <sortState ref="D5:F267">
    <sortCondition ref="D4:D258"/>
  </sortState>
  <tableColumns count="3">
    <tableColumn id="1" xr3:uid="{00000000-0010-0000-0600-000001000000}" name="Item" dataDxfId="2"/>
    <tableColumn id="2" xr3:uid="{00000000-0010-0000-0600-000002000000}" name="kg/embalagem" dataDxfId="1"/>
    <tableColumn id="3" xr3:uid="{00000000-0010-0000-0600-000003000000}" name="Preço" dataDxfId="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basedados" displayName="basedados" ref="D4:F943" totalsRowShown="0">
  <autoFilter ref="D4:F943" xr:uid="{00000000-0009-0000-0100-000007000000}"/>
  <sortState ref="D5:F943">
    <sortCondition ref="E4:E685"/>
  </sortState>
  <tableColumns count="3">
    <tableColumn id="1" xr3:uid="{00000000-0010-0000-0700-000001000000}" name="CB" dataDxfId="9"/>
    <tableColumn id="2" xr3:uid="{00000000-0010-0000-0700-000002000000}" name="Item"/>
    <tableColumn id="3" xr3:uid="{00000000-0010-0000-0700-000003000000}" name="Marc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21" Type="http://schemas.openxmlformats.org/officeDocument/2006/relationships/ctrlProp" Target="../ctrlProps/ctrlProp18.xml"/><Relationship Id="rId63" Type="http://schemas.openxmlformats.org/officeDocument/2006/relationships/ctrlProp" Target="../ctrlProps/ctrlProp60.xml"/><Relationship Id="rId159" Type="http://schemas.openxmlformats.org/officeDocument/2006/relationships/ctrlProp" Target="../ctrlProps/ctrlProp156.xml"/><Relationship Id="rId324" Type="http://schemas.openxmlformats.org/officeDocument/2006/relationships/ctrlProp" Target="../ctrlProps/ctrlProp321.xml"/><Relationship Id="rId366" Type="http://schemas.openxmlformats.org/officeDocument/2006/relationships/ctrlProp" Target="../ctrlProps/ctrlProp363.xml"/><Relationship Id="rId170" Type="http://schemas.openxmlformats.org/officeDocument/2006/relationships/ctrlProp" Target="../ctrlProps/ctrlProp167.xml"/><Relationship Id="rId226" Type="http://schemas.openxmlformats.org/officeDocument/2006/relationships/ctrlProp" Target="../ctrlProps/ctrlProp223.xml"/><Relationship Id="rId268" Type="http://schemas.openxmlformats.org/officeDocument/2006/relationships/ctrlProp" Target="../ctrlProps/ctrlProp265.xml"/><Relationship Id="rId32" Type="http://schemas.openxmlformats.org/officeDocument/2006/relationships/ctrlProp" Target="../ctrlProps/ctrlProp29.xml"/><Relationship Id="rId74" Type="http://schemas.openxmlformats.org/officeDocument/2006/relationships/ctrlProp" Target="../ctrlProps/ctrlProp71.xml"/><Relationship Id="rId128" Type="http://schemas.openxmlformats.org/officeDocument/2006/relationships/ctrlProp" Target="../ctrlProps/ctrlProp125.xml"/><Relationship Id="rId335" Type="http://schemas.openxmlformats.org/officeDocument/2006/relationships/ctrlProp" Target="../ctrlProps/ctrlProp332.xml"/><Relationship Id="rId377" Type="http://schemas.openxmlformats.org/officeDocument/2006/relationships/ctrlProp" Target="../ctrlProps/ctrlProp374.xml"/><Relationship Id="rId5" Type="http://schemas.openxmlformats.org/officeDocument/2006/relationships/ctrlProp" Target="../ctrlProps/ctrlProp2.xml"/><Relationship Id="rId181" Type="http://schemas.openxmlformats.org/officeDocument/2006/relationships/ctrlProp" Target="../ctrlProps/ctrlProp178.xml"/><Relationship Id="rId237" Type="http://schemas.openxmlformats.org/officeDocument/2006/relationships/ctrlProp" Target="../ctrlProps/ctrlProp234.xml"/><Relationship Id="rId402" Type="http://schemas.openxmlformats.org/officeDocument/2006/relationships/ctrlProp" Target="../ctrlProps/ctrlProp399.xml"/><Relationship Id="rId279" Type="http://schemas.openxmlformats.org/officeDocument/2006/relationships/ctrlProp" Target="../ctrlProps/ctrlProp276.xml"/><Relationship Id="rId43" Type="http://schemas.openxmlformats.org/officeDocument/2006/relationships/ctrlProp" Target="../ctrlProps/ctrlProp40.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346" Type="http://schemas.openxmlformats.org/officeDocument/2006/relationships/ctrlProp" Target="../ctrlProps/ctrlProp343.xml"/><Relationship Id="rId388" Type="http://schemas.openxmlformats.org/officeDocument/2006/relationships/ctrlProp" Target="../ctrlProps/ctrlProp385.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413" Type="http://schemas.openxmlformats.org/officeDocument/2006/relationships/ctrlProp" Target="../ctrlProps/ctrlProp410.xml"/><Relationship Id="rId248" Type="http://schemas.openxmlformats.org/officeDocument/2006/relationships/ctrlProp" Target="../ctrlProps/ctrlProp245.xml"/><Relationship Id="rId269" Type="http://schemas.openxmlformats.org/officeDocument/2006/relationships/ctrlProp" Target="../ctrlProps/ctrlProp266.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280" Type="http://schemas.openxmlformats.org/officeDocument/2006/relationships/ctrlProp" Target="../ctrlProps/ctrlProp277.xml"/><Relationship Id="rId315" Type="http://schemas.openxmlformats.org/officeDocument/2006/relationships/ctrlProp" Target="../ctrlProps/ctrlProp312.xml"/><Relationship Id="rId336" Type="http://schemas.openxmlformats.org/officeDocument/2006/relationships/ctrlProp" Target="../ctrlProps/ctrlProp333.xml"/><Relationship Id="rId357" Type="http://schemas.openxmlformats.org/officeDocument/2006/relationships/ctrlProp" Target="../ctrlProps/ctrlProp354.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378" Type="http://schemas.openxmlformats.org/officeDocument/2006/relationships/ctrlProp" Target="../ctrlProps/ctrlProp375.xml"/><Relationship Id="rId399" Type="http://schemas.openxmlformats.org/officeDocument/2006/relationships/ctrlProp" Target="../ctrlProps/ctrlProp396.xml"/><Relationship Id="rId403" Type="http://schemas.openxmlformats.org/officeDocument/2006/relationships/ctrlProp" Target="../ctrlProps/ctrlProp400.xml"/><Relationship Id="rId6" Type="http://schemas.openxmlformats.org/officeDocument/2006/relationships/ctrlProp" Target="../ctrlProps/ctrlProp3.xml"/><Relationship Id="rId238" Type="http://schemas.openxmlformats.org/officeDocument/2006/relationships/ctrlProp" Target="../ctrlProps/ctrlProp235.xml"/><Relationship Id="rId259" Type="http://schemas.openxmlformats.org/officeDocument/2006/relationships/ctrlProp" Target="../ctrlProps/ctrlProp256.xml"/><Relationship Id="rId424" Type="http://schemas.openxmlformats.org/officeDocument/2006/relationships/ctrlProp" Target="../ctrlProps/ctrlProp421.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291" Type="http://schemas.openxmlformats.org/officeDocument/2006/relationships/ctrlProp" Target="../ctrlProps/ctrlProp288.xml"/><Relationship Id="rId305" Type="http://schemas.openxmlformats.org/officeDocument/2006/relationships/ctrlProp" Target="../ctrlProps/ctrlProp302.xml"/><Relationship Id="rId326" Type="http://schemas.openxmlformats.org/officeDocument/2006/relationships/ctrlProp" Target="../ctrlProps/ctrlProp323.xml"/><Relationship Id="rId347" Type="http://schemas.openxmlformats.org/officeDocument/2006/relationships/ctrlProp" Target="../ctrlProps/ctrlProp344.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368" Type="http://schemas.openxmlformats.org/officeDocument/2006/relationships/ctrlProp" Target="../ctrlProps/ctrlProp365.xml"/><Relationship Id="rId389" Type="http://schemas.openxmlformats.org/officeDocument/2006/relationships/ctrlProp" Target="../ctrlProps/ctrlProp386.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249" Type="http://schemas.openxmlformats.org/officeDocument/2006/relationships/ctrlProp" Target="../ctrlProps/ctrlProp246.xml"/><Relationship Id="rId414" Type="http://schemas.openxmlformats.org/officeDocument/2006/relationships/ctrlProp" Target="../ctrlProps/ctrlProp411.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281" Type="http://schemas.openxmlformats.org/officeDocument/2006/relationships/ctrlProp" Target="../ctrlProps/ctrlProp278.xml"/><Relationship Id="rId316" Type="http://schemas.openxmlformats.org/officeDocument/2006/relationships/ctrlProp" Target="../ctrlProps/ctrlProp313.xml"/><Relationship Id="rId337" Type="http://schemas.openxmlformats.org/officeDocument/2006/relationships/ctrlProp" Target="../ctrlProps/ctrlProp334.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358" Type="http://schemas.openxmlformats.org/officeDocument/2006/relationships/ctrlProp" Target="../ctrlProps/ctrlProp355.xml"/><Relationship Id="rId379" Type="http://schemas.openxmlformats.org/officeDocument/2006/relationships/ctrlProp" Target="../ctrlProps/ctrlProp376.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39" Type="http://schemas.openxmlformats.org/officeDocument/2006/relationships/ctrlProp" Target="../ctrlProps/ctrlProp236.xml"/><Relationship Id="rId390" Type="http://schemas.openxmlformats.org/officeDocument/2006/relationships/ctrlProp" Target="../ctrlProps/ctrlProp387.xml"/><Relationship Id="rId404" Type="http://schemas.openxmlformats.org/officeDocument/2006/relationships/ctrlProp" Target="../ctrlProps/ctrlProp401.xml"/><Relationship Id="rId425" Type="http://schemas.openxmlformats.org/officeDocument/2006/relationships/ctrlProp" Target="../ctrlProps/ctrlProp422.xml"/><Relationship Id="rId250" Type="http://schemas.openxmlformats.org/officeDocument/2006/relationships/ctrlProp" Target="../ctrlProps/ctrlProp247.xml"/><Relationship Id="rId271" Type="http://schemas.openxmlformats.org/officeDocument/2006/relationships/ctrlProp" Target="../ctrlProps/ctrlProp268.xml"/><Relationship Id="rId292" Type="http://schemas.openxmlformats.org/officeDocument/2006/relationships/ctrlProp" Target="../ctrlProps/ctrlProp289.xml"/><Relationship Id="rId306" Type="http://schemas.openxmlformats.org/officeDocument/2006/relationships/ctrlProp" Target="../ctrlProps/ctrlProp303.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327" Type="http://schemas.openxmlformats.org/officeDocument/2006/relationships/ctrlProp" Target="../ctrlProps/ctrlProp324.xml"/><Relationship Id="rId348" Type="http://schemas.openxmlformats.org/officeDocument/2006/relationships/ctrlProp" Target="../ctrlProps/ctrlProp345.xml"/><Relationship Id="rId369" Type="http://schemas.openxmlformats.org/officeDocument/2006/relationships/ctrlProp" Target="../ctrlProps/ctrlProp366.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380" Type="http://schemas.openxmlformats.org/officeDocument/2006/relationships/ctrlProp" Target="../ctrlProps/ctrlProp377.xml"/><Relationship Id="rId415" Type="http://schemas.openxmlformats.org/officeDocument/2006/relationships/ctrlProp" Target="../ctrlProps/ctrlProp412.xml"/><Relationship Id="rId240" Type="http://schemas.openxmlformats.org/officeDocument/2006/relationships/ctrlProp" Target="../ctrlProps/ctrlProp237.xml"/><Relationship Id="rId261" Type="http://schemas.openxmlformats.org/officeDocument/2006/relationships/ctrlProp" Target="../ctrlProps/ctrlProp258.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317" Type="http://schemas.openxmlformats.org/officeDocument/2006/relationships/ctrlProp" Target="../ctrlProps/ctrlProp314.xml"/><Relationship Id="rId338" Type="http://schemas.openxmlformats.org/officeDocument/2006/relationships/ctrlProp" Target="../ctrlProps/ctrlProp335.xml"/><Relationship Id="rId359" Type="http://schemas.openxmlformats.org/officeDocument/2006/relationships/ctrlProp" Target="../ctrlProps/ctrlProp356.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370" Type="http://schemas.openxmlformats.org/officeDocument/2006/relationships/ctrlProp" Target="../ctrlProps/ctrlProp367.xml"/><Relationship Id="rId391" Type="http://schemas.openxmlformats.org/officeDocument/2006/relationships/ctrlProp" Target="../ctrlProps/ctrlProp388.xml"/><Relationship Id="rId405" Type="http://schemas.openxmlformats.org/officeDocument/2006/relationships/ctrlProp" Target="../ctrlProps/ctrlProp402.xml"/><Relationship Id="rId426" Type="http://schemas.openxmlformats.org/officeDocument/2006/relationships/ctrlProp" Target="../ctrlProps/ctrlProp423.xml"/><Relationship Id="rId230" Type="http://schemas.openxmlformats.org/officeDocument/2006/relationships/ctrlProp" Target="../ctrlProps/ctrlProp227.xml"/><Relationship Id="rId251" Type="http://schemas.openxmlformats.org/officeDocument/2006/relationships/ctrlProp" Target="../ctrlProps/ctrlProp248.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72" Type="http://schemas.openxmlformats.org/officeDocument/2006/relationships/ctrlProp" Target="../ctrlProps/ctrlProp269.xml"/><Relationship Id="rId293" Type="http://schemas.openxmlformats.org/officeDocument/2006/relationships/ctrlProp" Target="../ctrlProps/ctrlProp290.xml"/><Relationship Id="rId307" Type="http://schemas.openxmlformats.org/officeDocument/2006/relationships/ctrlProp" Target="../ctrlProps/ctrlProp304.xml"/><Relationship Id="rId328" Type="http://schemas.openxmlformats.org/officeDocument/2006/relationships/ctrlProp" Target="../ctrlProps/ctrlProp325.xml"/><Relationship Id="rId349" Type="http://schemas.openxmlformats.org/officeDocument/2006/relationships/ctrlProp" Target="../ctrlProps/ctrlProp346.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95" Type="http://schemas.openxmlformats.org/officeDocument/2006/relationships/ctrlProp" Target="../ctrlProps/ctrlProp192.xml"/><Relationship Id="rId209" Type="http://schemas.openxmlformats.org/officeDocument/2006/relationships/ctrlProp" Target="../ctrlProps/ctrlProp206.xml"/><Relationship Id="rId360" Type="http://schemas.openxmlformats.org/officeDocument/2006/relationships/ctrlProp" Target="../ctrlProps/ctrlProp357.xml"/><Relationship Id="rId381" Type="http://schemas.openxmlformats.org/officeDocument/2006/relationships/ctrlProp" Target="../ctrlProps/ctrlProp378.xml"/><Relationship Id="rId416" Type="http://schemas.openxmlformats.org/officeDocument/2006/relationships/ctrlProp" Target="../ctrlProps/ctrlProp413.xml"/><Relationship Id="rId220" Type="http://schemas.openxmlformats.org/officeDocument/2006/relationships/ctrlProp" Target="../ctrlProps/ctrlProp217.xml"/><Relationship Id="rId241" Type="http://schemas.openxmlformats.org/officeDocument/2006/relationships/ctrlProp" Target="../ctrlProps/ctrlProp23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262" Type="http://schemas.openxmlformats.org/officeDocument/2006/relationships/ctrlProp" Target="../ctrlProps/ctrlProp259.xml"/><Relationship Id="rId283" Type="http://schemas.openxmlformats.org/officeDocument/2006/relationships/ctrlProp" Target="../ctrlProps/ctrlProp280.xml"/><Relationship Id="rId318" Type="http://schemas.openxmlformats.org/officeDocument/2006/relationships/ctrlProp" Target="../ctrlProps/ctrlProp315.xml"/><Relationship Id="rId339" Type="http://schemas.openxmlformats.org/officeDocument/2006/relationships/ctrlProp" Target="../ctrlProps/ctrlProp336.xml"/><Relationship Id="rId78" Type="http://schemas.openxmlformats.org/officeDocument/2006/relationships/ctrlProp" Target="../ctrlProps/ctrlProp75.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64" Type="http://schemas.openxmlformats.org/officeDocument/2006/relationships/ctrlProp" Target="../ctrlProps/ctrlProp161.xml"/><Relationship Id="rId185" Type="http://schemas.openxmlformats.org/officeDocument/2006/relationships/ctrlProp" Target="../ctrlProps/ctrlProp182.xml"/><Relationship Id="rId350" Type="http://schemas.openxmlformats.org/officeDocument/2006/relationships/ctrlProp" Target="../ctrlProps/ctrlProp347.xml"/><Relationship Id="rId371" Type="http://schemas.openxmlformats.org/officeDocument/2006/relationships/ctrlProp" Target="../ctrlProps/ctrlProp368.xml"/><Relationship Id="rId406" Type="http://schemas.openxmlformats.org/officeDocument/2006/relationships/ctrlProp" Target="../ctrlProps/ctrlProp403.xml"/><Relationship Id="rId9" Type="http://schemas.openxmlformats.org/officeDocument/2006/relationships/ctrlProp" Target="../ctrlProps/ctrlProp6.xml"/><Relationship Id="rId210" Type="http://schemas.openxmlformats.org/officeDocument/2006/relationships/ctrlProp" Target="../ctrlProps/ctrlProp207.xml"/><Relationship Id="rId392" Type="http://schemas.openxmlformats.org/officeDocument/2006/relationships/ctrlProp" Target="../ctrlProps/ctrlProp389.xml"/><Relationship Id="rId427" Type="http://schemas.openxmlformats.org/officeDocument/2006/relationships/table" Target="../tables/table1.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273" Type="http://schemas.openxmlformats.org/officeDocument/2006/relationships/ctrlProp" Target="../ctrlProps/ctrlProp270.xml"/><Relationship Id="rId294" Type="http://schemas.openxmlformats.org/officeDocument/2006/relationships/ctrlProp" Target="../ctrlProps/ctrlProp291.xml"/><Relationship Id="rId308" Type="http://schemas.openxmlformats.org/officeDocument/2006/relationships/ctrlProp" Target="../ctrlProps/ctrlProp305.xml"/><Relationship Id="rId329" Type="http://schemas.openxmlformats.org/officeDocument/2006/relationships/ctrlProp" Target="../ctrlProps/ctrlProp326.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340" Type="http://schemas.openxmlformats.org/officeDocument/2006/relationships/ctrlProp" Target="../ctrlProps/ctrlProp337.xml"/><Relationship Id="rId361" Type="http://schemas.openxmlformats.org/officeDocument/2006/relationships/ctrlProp" Target="../ctrlProps/ctrlProp358.xml"/><Relationship Id="rId196" Type="http://schemas.openxmlformats.org/officeDocument/2006/relationships/ctrlProp" Target="../ctrlProps/ctrlProp193.xml"/><Relationship Id="rId200" Type="http://schemas.openxmlformats.org/officeDocument/2006/relationships/ctrlProp" Target="../ctrlProps/ctrlProp197.xml"/><Relationship Id="rId382" Type="http://schemas.openxmlformats.org/officeDocument/2006/relationships/ctrlProp" Target="../ctrlProps/ctrlProp379.xml"/><Relationship Id="rId417" Type="http://schemas.openxmlformats.org/officeDocument/2006/relationships/ctrlProp" Target="../ctrlProps/ctrlProp414.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263" Type="http://schemas.openxmlformats.org/officeDocument/2006/relationships/ctrlProp" Target="../ctrlProps/ctrlProp260.xml"/><Relationship Id="rId284" Type="http://schemas.openxmlformats.org/officeDocument/2006/relationships/ctrlProp" Target="../ctrlProps/ctrlProp281.xml"/><Relationship Id="rId319" Type="http://schemas.openxmlformats.org/officeDocument/2006/relationships/ctrlProp" Target="../ctrlProps/ctrlProp316.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330" Type="http://schemas.openxmlformats.org/officeDocument/2006/relationships/ctrlProp" Target="../ctrlProps/ctrlProp327.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351" Type="http://schemas.openxmlformats.org/officeDocument/2006/relationships/ctrlProp" Target="../ctrlProps/ctrlProp348.xml"/><Relationship Id="rId372" Type="http://schemas.openxmlformats.org/officeDocument/2006/relationships/ctrlProp" Target="../ctrlProps/ctrlProp369.xml"/><Relationship Id="rId393" Type="http://schemas.openxmlformats.org/officeDocument/2006/relationships/ctrlProp" Target="../ctrlProps/ctrlProp390.xml"/><Relationship Id="rId407" Type="http://schemas.openxmlformats.org/officeDocument/2006/relationships/ctrlProp" Target="../ctrlProps/ctrlProp404.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4" Type="http://schemas.openxmlformats.org/officeDocument/2006/relationships/ctrlProp" Target="../ctrlProps/ctrlProp271.xml"/><Relationship Id="rId295" Type="http://schemas.openxmlformats.org/officeDocument/2006/relationships/ctrlProp" Target="../ctrlProps/ctrlProp292.xml"/><Relationship Id="rId309" Type="http://schemas.openxmlformats.org/officeDocument/2006/relationships/ctrlProp" Target="../ctrlProps/ctrlProp306.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320" Type="http://schemas.openxmlformats.org/officeDocument/2006/relationships/ctrlProp" Target="../ctrlProps/ctrlProp317.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341" Type="http://schemas.openxmlformats.org/officeDocument/2006/relationships/ctrlProp" Target="../ctrlProps/ctrlProp338.xml"/><Relationship Id="rId362" Type="http://schemas.openxmlformats.org/officeDocument/2006/relationships/ctrlProp" Target="../ctrlProps/ctrlProp359.xml"/><Relationship Id="rId383" Type="http://schemas.openxmlformats.org/officeDocument/2006/relationships/ctrlProp" Target="../ctrlProps/ctrlProp380.xml"/><Relationship Id="rId418" Type="http://schemas.openxmlformats.org/officeDocument/2006/relationships/ctrlProp" Target="../ctrlProps/ctrlProp415.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264" Type="http://schemas.openxmlformats.org/officeDocument/2006/relationships/ctrlProp" Target="../ctrlProps/ctrlProp261.xml"/><Relationship Id="rId285" Type="http://schemas.openxmlformats.org/officeDocument/2006/relationships/ctrlProp" Target="../ctrlProps/ctrlProp28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310" Type="http://schemas.openxmlformats.org/officeDocument/2006/relationships/ctrlProp" Target="../ctrlProps/ctrlProp307.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331" Type="http://schemas.openxmlformats.org/officeDocument/2006/relationships/ctrlProp" Target="../ctrlProps/ctrlProp328.xml"/><Relationship Id="rId352" Type="http://schemas.openxmlformats.org/officeDocument/2006/relationships/ctrlProp" Target="../ctrlProps/ctrlProp349.xml"/><Relationship Id="rId373" Type="http://schemas.openxmlformats.org/officeDocument/2006/relationships/ctrlProp" Target="../ctrlProps/ctrlProp370.xml"/><Relationship Id="rId394" Type="http://schemas.openxmlformats.org/officeDocument/2006/relationships/ctrlProp" Target="../ctrlProps/ctrlProp391.xml"/><Relationship Id="rId408" Type="http://schemas.openxmlformats.org/officeDocument/2006/relationships/ctrlProp" Target="../ctrlProps/ctrlProp405.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321" Type="http://schemas.openxmlformats.org/officeDocument/2006/relationships/ctrlProp" Target="../ctrlProps/ctrlProp318.xml"/><Relationship Id="rId342" Type="http://schemas.openxmlformats.org/officeDocument/2006/relationships/ctrlProp" Target="../ctrlProps/ctrlProp339.xml"/><Relationship Id="rId363" Type="http://schemas.openxmlformats.org/officeDocument/2006/relationships/ctrlProp" Target="../ctrlProps/ctrlProp360.xml"/><Relationship Id="rId384" Type="http://schemas.openxmlformats.org/officeDocument/2006/relationships/ctrlProp" Target="../ctrlProps/ctrlProp381.xml"/><Relationship Id="rId419" Type="http://schemas.openxmlformats.org/officeDocument/2006/relationships/ctrlProp" Target="../ctrlProps/ctrlProp416.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311" Type="http://schemas.openxmlformats.org/officeDocument/2006/relationships/ctrlProp" Target="../ctrlProps/ctrlProp308.xml"/><Relationship Id="rId332" Type="http://schemas.openxmlformats.org/officeDocument/2006/relationships/ctrlProp" Target="../ctrlProps/ctrlProp329.xml"/><Relationship Id="rId353" Type="http://schemas.openxmlformats.org/officeDocument/2006/relationships/ctrlProp" Target="../ctrlProps/ctrlProp350.xml"/><Relationship Id="rId374" Type="http://schemas.openxmlformats.org/officeDocument/2006/relationships/ctrlProp" Target="../ctrlProps/ctrlProp371.xml"/><Relationship Id="rId395" Type="http://schemas.openxmlformats.org/officeDocument/2006/relationships/ctrlProp" Target="../ctrlProps/ctrlProp392.xml"/><Relationship Id="rId409" Type="http://schemas.openxmlformats.org/officeDocument/2006/relationships/ctrlProp" Target="../ctrlProps/ctrlProp406.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420" Type="http://schemas.openxmlformats.org/officeDocument/2006/relationships/ctrlProp" Target="../ctrlProps/ctrlProp417.xml"/><Relationship Id="rId2" Type="http://schemas.openxmlformats.org/officeDocument/2006/relationships/drawing" Target="../drawings/drawing1.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322" Type="http://schemas.openxmlformats.org/officeDocument/2006/relationships/ctrlProp" Target="../ctrlProps/ctrlProp319.xml"/><Relationship Id="rId343" Type="http://schemas.openxmlformats.org/officeDocument/2006/relationships/ctrlProp" Target="../ctrlProps/ctrlProp340.xml"/><Relationship Id="rId364" Type="http://schemas.openxmlformats.org/officeDocument/2006/relationships/ctrlProp" Target="../ctrlProps/ctrlProp361.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385" Type="http://schemas.openxmlformats.org/officeDocument/2006/relationships/ctrlProp" Target="../ctrlProps/ctrlProp382.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287" Type="http://schemas.openxmlformats.org/officeDocument/2006/relationships/ctrlProp" Target="../ctrlProps/ctrlProp284.xml"/><Relationship Id="rId410" Type="http://schemas.openxmlformats.org/officeDocument/2006/relationships/ctrlProp" Target="../ctrlProps/ctrlProp407.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312" Type="http://schemas.openxmlformats.org/officeDocument/2006/relationships/ctrlProp" Target="../ctrlProps/ctrlProp309.xml"/><Relationship Id="rId333" Type="http://schemas.openxmlformats.org/officeDocument/2006/relationships/ctrlProp" Target="../ctrlProps/ctrlProp330.xml"/><Relationship Id="rId354" Type="http://schemas.openxmlformats.org/officeDocument/2006/relationships/ctrlProp" Target="../ctrlProps/ctrlProp351.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75" Type="http://schemas.openxmlformats.org/officeDocument/2006/relationships/ctrlProp" Target="../ctrlProps/ctrlProp372.xml"/><Relationship Id="rId396" Type="http://schemas.openxmlformats.org/officeDocument/2006/relationships/ctrlProp" Target="../ctrlProps/ctrlProp393.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400" Type="http://schemas.openxmlformats.org/officeDocument/2006/relationships/ctrlProp" Target="../ctrlProps/ctrlProp397.xml"/><Relationship Id="rId421" Type="http://schemas.openxmlformats.org/officeDocument/2006/relationships/ctrlProp" Target="../ctrlProps/ctrlProp418.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302" Type="http://schemas.openxmlformats.org/officeDocument/2006/relationships/ctrlProp" Target="../ctrlProps/ctrlProp299.xml"/><Relationship Id="rId323" Type="http://schemas.openxmlformats.org/officeDocument/2006/relationships/ctrlProp" Target="../ctrlProps/ctrlProp320.xml"/><Relationship Id="rId344" Type="http://schemas.openxmlformats.org/officeDocument/2006/relationships/ctrlProp" Target="../ctrlProps/ctrlProp341.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365" Type="http://schemas.openxmlformats.org/officeDocument/2006/relationships/ctrlProp" Target="../ctrlProps/ctrlProp362.xml"/><Relationship Id="rId386" Type="http://schemas.openxmlformats.org/officeDocument/2006/relationships/ctrlProp" Target="../ctrlProps/ctrlProp383.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411" Type="http://schemas.openxmlformats.org/officeDocument/2006/relationships/ctrlProp" Target="../ctrlProps/ctrlProp408.xml"/><Relationship Id="rId106" Type="http://schemas.openxmlformats.org/officeDocument/2006/relationships/ctrlProp" Target="../ctrlProps/ctrlProp103.xml"/><Relationship Id="rId127" Type="http://schemas.openxmlformats.org/officeDocument/2006/relationships/ctrlProp" Target="../ctrlProps/ctrlProp124.xml"/><Relationship Id="rId313" Type="http://schemas.openxmlformats.org/officeDocument/2006/relationships/ctrlProp" Target="../ctrlProps/ctrlProp310.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334" Type="http://schemas.openxmlformats.org/officeDocument/2006/relationships/ctrlProp" Target="../ctrlProps/ctrlProp331.xml"/><Relationship Id="rId355" Type="http://schemas.openxmlformats.org/officeDocument/2006/relationships/ctrlProp" Target="../ctrlProps/ctrlProp352.xml"/><Relationship Id="rId376" Type="http://schemas.openxmlformats.org/officeDocument/2006/relationships/ctrlProp" Target="../ctrlProps/ctrlProp373.xml"/><Relationship Id="rId397" Type="http://schemas.openxmlformats.org/officeDocument/2006/relationships/ctrlProp" Target="../ctrlProps/ctrlProp394.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401" Type="http://schemas.openxmlformats.org/officeDocument/2006/relationships/ctrlProp" Target="../ctrlProps/ctrlProp398.xml"/><Relationship Id="rId422" Type="http://schemas.openxmlformats.org/officeDocument/2006/relationships/ctrlProp" Target="../ctrlProps/ctrlProp419.xml"/><Relationship Id="rId303" Type="http://schemas.openxmlformats.org/officeDocument/2006/relationships/ctrlProp" Target="../ctrlProps/ctrlProp300.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345" Type="http://schemas.openxmlformats.org/officeDocument/2006/relationships/ctrlProp" Target="../ctrlProps/ctrlProp342.xml"/><Relationship Id="rId387" Type="http://schemas.openxmlformats.org/officeDocument/2006/relationships/ctrlProp" Target="../ctrlProps/ctrlProp384.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412" Type="http://schemas.openxmlformats.org/officeDocument/2006/relationships/ctrlProp" Target="../ctrlProps/ctrlProp409.xml"/><Relationship Id="rId107" Type="http://schemas.openxmlformats.org/officeDocument/2006/relationships/ctrlProp" Target="../ctrlProps/ctrlProp104.xml"/><Relationship Id="rId289" Type="http://schemas.openxmlformats.org/officeDocument/2006/relationships/ctrlProp" Target="../ctrlProps/ctrlProp286.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 Id="rId314" Type="http://schemas.openxmlformats.org/officeDocument/2006/relationships/ctrlProp" Target="../ctrlProps/ctrlProp311.xml"/><Relationship Id="rId356" Type="http://schemas.openxmlformats.org/officeDocument/2006/relationships/ctrlProp" Target="../ctrlProps/ctrlProp353.xml"/><Relationship Id="rId398" Type="http://schemas.openxmlformats.org/officeDocument/2006/relationships/ctrlProp" Target="../ctrlProps/ctrlProp395.xml"/><Relationship Id="rId95" Type="http://schemas.openxmlformats.org/officeDocument/2006/relationships/ctrlProp" Target="../ctrlProps/ctrlProp92.xml"/><Relationship Id="rId160" Type="http://schemas.openxmlformats.org/officeDocument/2006/relationships/ctrlProp" Target="../ctrlProps/ctrlProp157.xml"/><Relationship Id="rId216" Type="http://schemas.openxmlformats.org/officeDocument/2006/relationships/ctrlProp" Target="../ctrlProps/ctrlProp213.xml"/><Relationship Id="rId423" Type="http://schemas.openxmlformats.org/officeDocument/2006/relationships/ctrlProp" Target="../ctrlProps/ctrlProp420.xml"/><Relationship Id="rId258" Type="http://schemas.openxmlformats.org/officeDocument/2006/relationships/ctrlProp" Target="../ctrlProps/ctrlProp255.xml"/><Relationship Id="rId22" Type="http://schemas.openxmlformats.org/officeDocument/2006/relationships/ctrlProp" Target="../ctrlProps/ctrlProp19.xml"/><Relationship Id="rId64" Type="http://schemas.openxmlformats.org/officeDocument/2006/relationships/ctrlProp" Target="../ctrlProps/ctrlProp61.xml"/><Relationship Id="rId118" Type="http://schemas.openxmlformats.org/officeDocument/2006/relationships/ctrlProp" Target="../ctrlProps/ctrlProp115.xml"/><Relationship Id="rId325" Type="http://schemas.openxmlformats.org/officeDocument/2006/relationships/ctrlProp" Target="../ctrlProps/ctrlProp322.xml"/><Relationship Id="rId367" Type="http://schemas.openxmlformats.org/officeDocument/2006/relationships/ctrlProp" Target="../ctrlProps/ctrlProp36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24.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425.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ctrlProp" Target="../ctrlProps/ctrlProp427.xml"/><Relationship Id="rId4" Type="http://schemas.openxmlformats.org/officeDocument/2006/relationships/ctrlProp" Target="../ctrlProps/ctrlProp42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C00000"/>
  </sheetPr>
  <dimension ref="A1:K364"/>
  <sheetViews>
    <sheetView showGridLines="0" zoomScaleNormal="100" workbookViewId="0">
      <pane xSplit="2" ySplit="2" topLeftCell="C3" activePane="bottomRight" state="frozen"/>
      <selection activeCell="E11" sqref="E11"/>
      <selection pane="topRight" activeCell="E11" sqref="E11"/>
      <selection pane="bottomLeft" activeCell="E11" sqref="E11"/>
      <selection pane="bottomRight" activeCell="A6" sqref="A6:B6"/>
    </sheetView>
  </sheetViews>
  <sheetFormatPr defaultRowHeight="15" x14ac:dyDescent="0.25"/>
  <cols>
    <col min="1" max="1" width="30.42578125" customWidth="1"/>
    <col min="2" max="2" width="2.5703125" customWidth="1"/>
    <col min="3" max="3" width="2.28515625" customWidth="1"/>
    <col min="4" max="4" width="22.85546875" bestFit="1" customWidth="1"/>
    <col min="5" max="5" width="16" customWidth="1"/>
    <col min="6" max="6" width="25" bestFit="1" customWidth="1"/>
    <col min="8" max="8" width="39" customWidth="1"/>
    <col min="10" max="10" width="30.42578125" bestFit="1" customWidth="1"/>
    <col min="11" max="11" width="22.7109375" customWidth="1"/>
    <col min="15" max="15" width="11.140625" bestFit="1" customWidth="1"/>
  </cols>
  <sheetData>
    <row r="1" spans="1:11" ht="21" x14ac:dyDescent="0.35">
      <c r="D1" s="12" t="s">
        <v>102</v>
      </c>
      <c r="E1" s="82" t="str">
        <f>A7</f>
        <v>VILA PRADO S2</v>
      </c>
      <c r="F1" s="83"/>
    </row>
    <row r="2" spans="1:11" x14ac:dyDescent="0.25">
      <c r="D2" s="12"/>
    </row>
    <row r="3" spans="1:11" x14ac:dyDescent="0.25">
      <c r="A3" s="84" t="s">
        <v>101</v>
      </c>
      <c r="B3" s="84"/>
      <c r="C3" s="36"/>
    </row>
    <row r="4" spans="1:11" x14ac:dyDescent="0.25">
      <c r="A4" s="12"/>
      <c r="B4" s="12"/>
      <c r="D4" s="7" t="s">
        <v>0</v>
      </c>
      <c r="F4" s="7" t="s">
        <v>25</v>
      </c>
      <c r="H4" t="s">
        <v>26</v>
      </c>
      <c r="I4" t="s">
        <v>236</v>
      </c>
      <c r="J4" t="s">
        <v>1196</v>
      </c>
      <c r="K4" s="24" t="s">
        <v>416</v>
      </c>
    </row>
    <row r="5" spans="1:11" x14ac:dyDescent="0.25">
      <c r="A5" s="27"/>
      <c r="B5" s="27"/>
      <c r="D5" s="6" t="str">
        <f>alimentos[[#This Row],[Item]]</f>
        <v>A</v>
      </c>
      <c r="F5" s="6" t="str">
        <f>higiene[[#This Row],[Item]]</f>
        <v>A</v>
      </c>
      <c r="H5" s="67"/>
      <c r="I5" s="60"/>
      <c r="J5" s="60"/>
      <c r="K5" s="66"/>
    </row>
    <row r="6" spans="1:11" x14ac:dyDescent="0.25">
      <c r="A6" s="84" t="s">
        <v>392</v>
      </c>
      <c r="B6" s="84"/>
      <c r="D6" s="6" t="str">
        <f>alimentos[[#This Row],[Item]]</f>
        <v>Abacaxi em calda (820g)</v>
      </c>
      <c r="F6" s="6" t="str">
        <f>higiene[[#This Row],[Item]]</f>
        <v>Absorvente (08un)</v>
      </c>
    </row>
    <row r="7" spans="1:11" x14ac:dyDescent="0.25">
      <c r="A7" s="50" t="s">
        <v>1194</v>
      </c>
      <c r="B7" s="21"/>
      <c r="D7" s="6" t="str">
        <f>alimentos[[#This Row],[Item]]</f>
        <v>Abacaxi em calda (830g)</v>
      </c>
      <c r="F7" s="6" t="str">
        <f>higiene[[#This Row],[Item]]</f>
        <v>Absorvente (15un)</v>
      </c>
    </row>
    <row r="8" spans="1:11" x14ac:dyDescent="0.25">
      <c r="D8" s="6" t="str">
        <f>alimentos[[#This Row],[Item]]</f>
        <v>Achocolatado (1kg)</v>
      </c>
      <c r="F8" s="6" t="str">
        <f>higiene[[#This Row],[Item]]</f>
        <v>Absorvente (16un)</v>
      </c>
    </row>
    <row r="9" spans="1:11" x14ac:dyDescent="0.25">
      <c r="A9" s="84" t="s">
        <v>104</v>
      </c>
      <c r="B9" s="84"/>
      <c r="D9" s="6" t="str">
        <f>alimentos[[#This Row],[Item]]</f>
        <v>Achocolatado (200g)</v>
      </c>
      <c r="F9" s="6" t="str">
        <f>higiene[[#This Row],[Item]]</f>
        <v>Absorvente (32un)</v>
      </c>
    </row>
    <row r="10" spans="1:11" x14ac:dyDescent="0.25">
      <c r="B10" s="14"/>
      <c r="D10" s="6" t="str">
        <f>alimentos[[#This Row],[Item]]</f>
        <v>Achocolatado (300g)</v>
      </c>
      <c r="E10" s="41"/>
      <c r="F10" s="6" t="str">
        <f>higiene[[#This Row],[Item]]</f>
        <v>Absorvente (36un)</v>
      </c>
    </row>
    <row r="11" spans="1:11" x14ac:dyDescent="0.25">
      <c r="A11" s="13"/>
      <c r="B11" s="13"/>
      <c r="D11" s="6" t="str">
        <f>alimentos[[#This Row],[Item]]</f>
        <v>Achocolatado (400g)</v>
      </c>
      <c r="F11" s="6" t="str">
        <f>higiene[[#This Row],[Item]]</f>
        <v>Absorvente (40 un)</v>
      </c>
    </row>
    <row r="12" spans="1:11" x14ac:dyDescent="0.25">
      <c r="A12" s="13"/>
      <c r="B12" s="13"/>
      <c r="D12" s="6" t="str">
        <f>alimentos[[#This Row],[Item]]</f>
        <v>Achocolatado (500g)</v>
      </c>
      <c r="F12" s="6" t="str">
        <f>higiene[[#This Row],[Item]]</f>
        <v>Absorvente (60un)</v>
      </c>
    </row>
    <row r="13" spans="1:11" x14ac:dyDescent="0.25">
      <c r="A13" s="13"/>
      <c r="B13" s="13"/>
      <c r="D13" s="6" t="str">
        <f>alimentos[[#This Row],[Item]]</f>
        <v>Achocolatado (700g)</v>
      </c>
      <c r="F13" s="6" t="str">
        <f>higiene[[#This Row],[Item]]</f>
        <v>Absorvente (80un)</v>
      </c>
    </row>
    <row r="14" spans="1:11" x14ac:dyDescent="0.25">
      <c r="A14" s="13"/>
      <c r="B14" s="13"/>
      <c r="D14" s="6" t="str">
        <f>alimentos[[#This Row],[Item]]</f>
        <v>Achocolatado (800g)</v>
      </c>
      <c r="F14" s="6" t="str">
        <f>higiene[[#This Row],[Item]]</f>
        <v>Água Sanitária (1L)</v>
      </c>
    </row>
    <row r="15" spans="1:11" x14ac:dyDescent="0.25">
      <c r="A15" s="13"/>
      <c r="B15" s="13"/>
      <c r="D15" s="6" t="str">
        <f>alimentos[[#This Row],[Item]]</f>
        <v>Açúcar (1kg)</v>
      </c>
      <c r="F15" s="6" t="str">
        <f>higiene[[#This Row],[Item]]</f>
        <v>Água Sanitária (2L)</v>
      </c>
    </row>
    <row r="16" spans="1:11" x14ac:dyDescent="0.25">
      <c r="A16" s="13"/>
      <c r="B16" s="13"/>
      <c r="D16" s="6" t="str">
        <f>alimentos[[#This Row],[Item]]</f>
        <v>Açúcar (2kg)</v>
      </c>
      <c r="F16" s="6" t="str">
        <f>higiene[[#This Row],[Item]]</f>
        <v>Água Sanitária (5L)</v>
      </c>
    </row>
    <row r="17" spans="1:6" x14ac:dyDescent="0.25">
      <c r="A17" s="13"/>
      <c r="B17" s="13"/>
      <c r="D17" s="6" t="str">
        <f>alimentos[[#This Row],[Item]]</f>
        <v>Açucar (500g)</v>
      </c>
      <c r="F17" s="6" t="str">
        <f>higiene[[#This Row],[Item]]</f>
        <v>Alcool (1L)</v>
      </c>
    </row>
    <row r="18" spans="1:6" x14ac:dyDescent="0.25">
      <c r="A18" s="13"/>
      <c r="B18" s="13"/>
      <c r="D18" s="6" t="str">
        <f>alimentos[[#This Row],[Item]]</f>
        <v>Açúcar (5kg)</v>
      </c>
      <c r="F18" s="6" t="str">
        <f>higiene[[#This Row],[Item]]</f>
        <v>Álcool Gel (1L)</v>
      </c>
    </row>
    <row r="19" spans="1:6" x14ac:dyDescent="0.25">
      <c r="A19" s="13"/>
      <c r="B19" s="13"/>
      <c r="D19" s="6" t="str">
        <f>alimentos[[#This Row],[Item]]</f>
        <v>Adoçante</v>
      </c>
      <c r="F19" s="6" t="str">
        <f>higiene[[#This Row],[Item]]</f>
        <v>Álcool Gel (500ml)</v>
      </c>
    </row>
    <row r="20" spans="1:6" x14ac:dyDescent="0.25">
      <c r="A20" s="13"/>
      <c r="B20" s="13"/>
      <c r="D20" s="6" t="str">
        <f>alimentos[[#This Row],[Item]]</f>
        <v>Água de Coco (2L)</v>
      </c>
      <c r="F20" s="6" t="str">
        <f>higiene[[#This Row],[Item]]</f>
        <v>Algodão (25g)</v>
      </c>
    </row>
    <row r="21" spans="1:6" x14ac:dyDescent="0.25">
      <c r="A21" s="13"/>
      <c r="B21" s="13"/>
      <c r="D21" s="6" t="str">
        <f>alimentos[[#This Row],[Item]]</f>
        <v>Arroz (1kg)</v>
      </c>
      <c r="F21" s="6" t="str">
        <f>higiene[[#This Row],[Item]]</f>
        <v>Algodão (50g)</v>
      </c>
    </row>
    <row r="22" spans="1:6" x14ac:dyDescent="0.25">
      <c r="A22" s="13"/>
      <c r="B22" s="13"/>
      <c r="D22" s="6" t="str">
        <f>alimentos[[#This Row],[Item]]</f>
        <v>Arroz (2kg)</v>
      </c>
      <c r="F22" s="6" t="str">
        <f>higiene[[#This Row],[Item]]</f>
        <v>Alvejante (1L)</v>
      </c>
    </row>
    <row r="23" spans="1:6" x14ac:dyDescent="0.25">
      <c r="A23" s="13"/>
      <c r="B23" s="13"/>
      <c r="D23" s="6" t="str">
        <f>alimentos[[#This Row],[Item]]</f>
        <v>Arroz (5kg)</v>
      </c>
      <c r="F23" s="6" t="str">
        <f>higiene[[#This Row],[Item]]</f>
        <v>Alvejante (2L)</v>
      </c>
    </row>
    <row r="24" spans="1:6" x14ac:dyDescent="0.25">
      <c r="D24" s="6" t="str">
        <f>alimentos[[#This Row],[Item]]</f>
        <v>Arroz integral (1kg)</v>
      </c>
      <c r="F24" s="6" t="str">
        <f>higiene[[#This Row],[Item]]</f>
        <v>Alvejante (500mL)</v>
      </c>
    </row>
    <row r="25" spans="1:6" x14ac:dyDescent="0.25">
      <c r="D25" s="6" t="str">
        <f>alimentos[[#This Row],[Item]]</f>
        <v>Arroz integral (500g)</v>
      </c>
      <c r="F25" s="6" t="str">
        <f>higiene[[#This Row],[Item]]</f>
        <v>Amaciante (2L)</v>
      </c>
    </row>
    <row r="26" spans="1:6" x14ac:dyDescent="0.25">
      <c r="D26" s="6" t="str">
        <f>alimentos[[#This Row],[Item]]</f>
        <v>Atum (170g)</v>
      </c>
      <c r="F26" s="6" t="str">
        <f>higiene[[#This Row],[Item]]</f>
        <v>Amaciante (500mL)</v>
      </c>
    </row>
    <row r="27" spans="1:6" x14ac:dyDescent="0.25">
      <c r="D27" s="6" t="str">
        <f>alimentos[[#This Row],[Item]]</f>
        <v>Atum (325g)</v>
      </c>
      <c r="F27" s="6" t="str">
        <f>higiene[[#This Row],[Item]]</f>
        <v>Amaciante (5L)</v>
      </c>
    </row>
    <row r="28" spans="1:6" x14ac:dyDescent="0.25">
      <c r="D28" s="6" t="str">
        <f>alimentos[[#This Row],[Item]]</f>
        <v>Aveia (200g)</v>
      </c>
      <c r="F28" s="6" t="str">
        <f>higiene[[#This Row],[Item]]</f>
        <v>Amaciante (900ml)</v>
      </c>
    </row>
    <row r="29" spans="1:6" x14ac:dyDescent="0.25">
      <c r="D29" s="6" t="str">
        <f>alimentos[[#This Row],[Item]]</f>
        <v>Aveia (500g)</v>
      </c>
      <c r="F29" s="6" t="str">
        <f>higiene[[#This Row],[Item]]</f>
        <v>Amaciante(1L)</v>
      </c>
    </row>
    <row r="30" spans="1:6" x14ac:dyDescent="0.25">
      <c r="D30" s="6" t="str">
        <f>alimentos[[#This Row],[Item]]</f>
        <v>Azeite (200mL)</v>
      </c>
      <c r="F30" s="6" t="str">
        <f>higiene[[#This Row],[Item]]</f>
        <v>Amaciante(2L)</v>
      </c>
    </row>
    <row r="31" spans="1:6" x14ac:dyDescent="0.25">
      <c r="D31" s="6" t="str">
        <f>alimentos[[#This Row],[Item]]</f>
        <v>Azeite (500mL)</v>
      </c>
      <c r="F31" s="6" t="str">
        <f>higiene[[#This Row],[Item]]</f>
        <v>Antisséptico (100ml)</v>
      </c>
    </row>
    <row r="32" spans="1:6" x14ac:dyDescent="0.25">
      <c r="D32" s="6" t="str">
        <f>alimentos[[#This Row],[Item]]</f>
        <v>Azeitona (100g)</v>
      </c>
      <c r="F32" s="6" t="str">
        <f>higiene[[#This Row],[Item]]</f>
        <v>Antisséptico (440ml)</v>
      </c>
    </row>
    <row r="33" spans="4:6" x14ac:dyDescent="0.25">
      <c r="D33" s="6" t="str">
        <f>alimentos[[#This Row],[Item]]</f>
        <v>Azeitona (120g)</v>
      </c>
      <c r="F33" s="6" t="str">
        <f>higiene[[#This Row],[Item]]</f>
        <v>B</v>
      </c>
    </row>
    <row r="34" spans="4:6" x14ac:dyDescent="0.25">
      <c r="D34" s="6" t="str">
        <f>alimentos[[#This Row],[Item]]</f>
        <v>Azeitona (150g)</v>
      </c>
      <c r="F34" s="6" t="str">
        <f>higiene[[#This Row],[Item]]</f>
        <v>Band Aid</v>
      </c>
    </row>
    <row r="35" spans="4:6" x14ac:dyDescent="0.25">
      <c r="D35" s="6" t="str">
        <f>alimentos[[#This Row],[Item]]</f>
        <v>Azeitona (160g)</v>
      </c>
      <c r="F35" s="6" t="str">
        <f>higiene[[#This Row],[Item]]</f>
        <v>Band Aid (10un)</v>
      </c>
    </row>
    <row r="36" spans="4:6" x14ac:dyDescent="0.25">
      <c r="D36" s="6" t="str">
        <f>alimentos[[#This Row],[Item]]</f>
        <v>Azeitona (1kg)</v>
      </c>
      <c r="F36" s="6" t="str">
        <f>higiene[[#This Row],[Item]]</f>
        <v>Band Aid (40un)</v>
      </c>
    </row>
    <row r="37" spans="4:6" x14ac:dyDescent="0.25">
      <c r="D37" s="6" t="str">
        <f>alimentos[[#This Row],[Item]]</f>
        <v>Azeitona (270g)</v>
      </c>
      <c r="F37" s="6" t="str">
        <f>higiene[[#This Row],[Item]]</f>
        <v>Brilho Alumínio (2L)</v>
      </c>
    </row>
    <row r="38" spans="4:6" x14ac:dyDescent="0.25">
      <c r="D38" s="6" t="str">
        <f>alimentos[[#This Row],[Item]]</f>
        <v>B</v>
      </c>
      <c r="F38" s="6" t="str">
        <f>higiene[[#This Row],[Item]]</f>
        <v>Brilho Alumínio (500mL)</v>
      </c>
    </row>
    <row r="39" spans="4:6" x14ac:dyDescent="0.25">
      <c r="D39" s="6" t="str">
        <f>alimentos[[#This Row],[Item]]</f>
        <v>Barra de Cereal (4un)</v>
      </c>
      <c r="F39" s="6" t="str">
        <f>higiene[[#This Row],[Item]]</f>
        <v>C</v>
      </c>
    </row>
    <row r="40" spans="4:6" x14ac:dyDescent="0.25">
      <c r="D40" s="6" t="str">
        <f>alimentos[[#This Row],[Item]]</f>
        <v>Batata Palha (120g)</v>
      </c>
      <c r="F40" s="6" t="str">
        <f>higiene[[#This Row],[Item]]</f>
        <v>Cloro ativo (500ml)</v>
      </c>
    </row>
    <row r="41" spans="4:6" x14ac:dyDescent="0.25">
      <c r="D41" s="6" t="str">
        <f>alimentos[[#This Row],[Item]]</f>
        <v>Bebida Láctea Chocolate (180mL)</v>
      </c>
      <c r="F41" s="6" t="str">
        <f>higiene[[#This Row],[Item]]</f>
        <v>Cloro ativo (5L)</v>
      </c>
    </row>
    <row r="42" spans="4:6" x14ac:dyDescent="0.25">
      <c r="D42" s="6" t="str">
        <f>alimentos[[#This Row],[Item]]</f>
        <v>bebida láctea chocolate (1l)</v>
      </c>
      <c r="F42" s="6" t="str">
        <f>higiene[[#This Row],[Item]]</f>
        <v>Condicionador (200mL)</v>
      </c>
    </row>
    <row r="43" spans="4:6" x14ac:dyDescent="0.25">
      <c r="D43" s="6" t="str">
        <f>alimentos[[#This Row],[Item]]</f>
        <v>Biscoito de Polvinho</v>
      </c>
      <c r="F43" s="6" t="str">
        <f>higiene[[#This Row],[Item]]</f>
        <v>Condicionador (325 mL)</v>
      </c>
    </row>
    <row r="44" spans="4:6" x14ac:dyDescent="0.25">
      <c r="D44" s="6" t="str">
        <f>alimentos[[#This Row],[Item]]</f>
        <v>Bisnaguinha (300g)</v>
      </c>
      <c r="F44" s="6" t="str">
        <f>higiene[[#This Row],[Item]]</f>
        <v>Condicionador (350 mL)</v>
      </c>
    </row>
    <row r="45" spans="4:6" x14ac:dyDescent="0.25">
      <c r="D45" s="6" t="str">
        <f>alimentos[[#This Row],[Item]]</f>
        <v>Bolacha (090g)</v>
      </c>
      <c r="F45" s="6" t="str">
        <f>higiene[[#This Row],[Item]]</f>
        <v>Condicionador (400mL)</v>
      </c>
    </row>
    <row r="46" spans="4:6" x14ac:dyDescent="0.25">
      <c r="D46" s="6" t="str">
        <f>alimentos[[#This Row],[Item]]</f>
        <v>Bolacha (100g)</v>
      </c>
      <c r="F46" s="6" t="str">
        <f>higiene[[#This Row],[Item]]</f>
        <v>Cotonete</v>
      </c>
    </row>
    <row r="47" spans="4:6" x14ac:dyDescent="0.25">
      <c r="D47" s="6" t="str">
        <f>alimentos[[#This Row],[Item]]</f>
        <v>Bolacha (110g)</v>
      </c>
      <c r="F47" s="6" t="str">
        <f>higiene[[#This Row],[Item]]</f>
        <v>Creme de barbear</v>
      </c>
    </row>
    <row r="48" spans="4:6" x14ac:dyDescent="0.25">
      <c r="D48" s="6" t="str">
        <f>alimentos[[#This Row],[Item]]</f>
        <v>Bolacha (115g)</v>
      </c>
      <c r="F48" s="6" t="str">
        <f>higiene[[#This Row],[Item]]</f>
        <v>D</v>
      </c>
    </row>
    <row r="49" spans="4:6" x14ac:dyDescent="0.25">
      <c r="D49" s="6" t="str">
        <f>alimentos[[#This Row],[Item]]</f>
        <v>Bolacha (120g)</v>
      </c>
      <c r="F49" s="6" t="str">
        <f>higiene[[#This Row],[Item]]</f>
        <v>Desengordurante (500ml)</v>
      </c>
    </row>
    <row r="50" spans="4:6" x14ac:dyDescent="0.25">
      <c r="D50" s="6" t="str">
        <f>alimentos[[#This Row],[Item]]</f>
        <v>Bolacha (130g)</v>
      </c>
      <c r="F50" s="6" t="str">
        <f>higiene[[#This Row],[Item]]</f>
        <v>Desengordurante(500ml)</v>
      </c>
    </row>
    <row r="51" spans="4:6" x14ac:dyDescent="0.25">
      <c r="D51" s="6" t="str">
        <f>alimentos[[#This Row],[Item]]</f>
        <v>Bolacha (135g)</v>
      </c>
      <c r="F51" s="6" t="str">
        <f>higiene[[#This Row],[Item]]</f>
        <v>Desinfetante (1L)</v>
      </c>
    </row>
    <row r="52" spans="4:6" x14ac:dyDescent="0.25">
      <c r="D52" s="6" t="str">
        <f>alimentos[[#This Row],[Item]]</f>
        <v>Bolacha (140g)</v>
      </c>
      <c r="F52" s="6" t="str">
        <f>higiene[[#This Row],[Item]]</f>
        <v>Desinfetante (2L)</v>
      </c>
    </row>
    <row r="53" spans="4:6" x14ac:dyDescent="0.25">
      <c r="D53" s="6" t="str">
        <f>alimentos[[#This Row],[Item]]</f>
        <v>Bolacha (145g)</v>
      </c>
      <c r="F53" s="6" t="str">
        <f>higiene[[#This Row],[Item]]</f>
        <v>Desinfetante (300mL)</v>
      </c>
    </row>
    <row r="54" spans="4:6" x14ac:dyDescent="0.25">
      <c r="D54" s="6" t="str">
        <f>alimentos[[#This Row],[Item]]</f>
        <v>Bolacha (150g)</v>
      </c>
      <c r="F54" s="6" t="str">
        <f>higiene[[#This Row],[Item]]</f>
        <v>Desinfetante (5L)</v>
      </c>
    </row>
    <row r="55" spans="4:6" x14ac:dyDescent="0.25">
      <c r="D55" s="6" t="str">
        <f>alimentos[[#This Row],[Item]]</f>
        <v>Bolacha (160g)</v>
      </c>
      <c r="F55" s="6" t="str">
        <f>higiene[[#This Row],[Item]]</f>
        <v>Desinfetante (750mL)</v>
      </c>
    </row>
    <row r="56" spans="4:6" x14ac:dyDescent="0.25">
      <c r="D56" s="6" t="str">
        <f>alimentos[[#This Row],[Item]]</f>
        <v>Bolacha (170g)</v>
      </c>
      <c r="F56" s="6" t="str">
        <f>higiene[[#This Row],[Item]]</f>
        <v>Desinfetante(2L)</v>
      </c>
    </row>
    <row r="57" spans="4:6" x14ac:dyDescent="0.25">
      <c r="D57" s="6" t="str">
        <f>alimentos[[#This Row],[Item]]</f>
        <v>Bolacha (200g)</v>
      </c>
      <c r="F57" s="6" t="str">
        <f>higiene[[#This Row],[Item]]</f>
        <v>Desinfetante(500mL)</v>
      </c>
    </row>
    <row r="58" spans="4:6" x14ac:dyDescent="0.25">
      <c r="D58" s="6" t="str">
        <f>alimentos[[#This Row],[Item]]</f>
        <v>Bolacha (250g)</v>
      </c>
      <c r="F58" s="6" t="str">
        <f>higiene[[#This Row],[Item]]</f>
        <v>Desodorante</v>
      </c>
    </row>
    <row r="59" spans="4:6" x14ac:dyDescent="0.25">
      <c r="D59" s="6" t="str">
        <f>alimentos[[#This Row],[Item]]</f>
        <v>Bolacha (300g)</v>
      </c>
      <c r="F59" s="6" t="str">
        <f>higiene[[#This Row],[Item]]</f>
        <v>Desodorante creme</v>
      </c>
    </row>
    <row r="60" spans="4:6" x14ac:dyDescent="0.25">
      <c r="D60" s="6" t="str">
        <f>alimentos[[#This Row],[Item]]</f>
        <v>Bolacha (315g)</v>
      </c>
      <c r="F60" s="6" t="str">
        <f>higiene[[#This Row],[Item]]</f>
        <v>Desodorante rollon</v>
      </c>
    </row>
    <row r="61" spans="4:6" x14ac:dyDescent="0.25">
      <c r="D61" s="6" t="str">
        <f>alimentos[[#This Row],[Item]]</f>
        <v>Bolacha (330g)</v>
      </c>
      <c r="F61" s="6" t="str">
        <f>higiene[[#This Row],[Item]]</f>
        <v>Desodorante spray</v>
      </c>
    </row>
    <row r="62" spans="4:6" x14ac:dyDescent="0.25">
      <c r="D62" s="6" t="str">
        <f>alimentos[[#This Row],[Item]]</f>
        <v>Bolacha (360g)</v>
      </c>
      <c r="F62" s="6" t="str">
        <f>higiene[[#This Row],[Item]]</f>
        <v>Detergente</v>
      </c>
    </row>
    <row r="63" spans="4:6" x14ac:dyDescent="0.25">
      <c r="D63" s="6" t="str">
        <f>alimentos[[#This Row],[Item]]</f>
        <v>Bolacha (375g)</v>
      </c>
      <c r="F63" s="6" t="str">
        <f>higiene[[#This Row],[Item]]</f>
        <v>Detergente (5L)</v>
      </c>
    </row>
    <row r="64" spans="4:6" x14ac:dyDescent="0.25">
      <c r="D64" s="6" t="str">
        <f>alimentos[[#This Row],[Item]]</f>
        <v>Bolacha (400g)</v>
      </c>
      <c r="F64" s="6" t="str">
        <f>higiene[[#This Row],[Item]]</f>
        <v>Detergente (6un)</v>
      </c>
    </row>
    <row r="65" spans="4:6" x14ac:dyDescent="0.25">
      <c r="D65" s="6" t="str">
        <f>alimentos[[#This Row],[Item]]</f>
        <v>Bolacha (420g)</v>
      </c>
      <c r="F65" s="6" t="str">
        <f>higiene[[#This Row],[Item]]</f>
        <v>Detergente(500ml)</v>
      </c>
    </row>
    <row r="66" spans="4:6" x14ac:dyDescent="0.25">
      <c r="D66" s="6" t="str">
        <f>alimentos[[#This Row],[Item]]</f>
        <v>Bolacha (500g)</v>
      </c>
      <c r="F66" s="6" t="str">
        <f>higiene[[#This Row],[Item]]</f>
        <v>E</v>
      </c>
    </row>
    <row r="67" spans="4:6" x14ac:dyDescent="0.25">
      <c r="D67" s="6" t="str">
        <f>alimentos[[#This Row],[Item]]</f>
        <v>bolo</v>
      </c>
      <c r="F67" s="6" t="str">
        <f>higiene[[#This Row],[Item]]</f>
        <v>Enxaguante bucal (250mL)</v>
      </c>
    </row>
    <row r="68" spans="4:6" x14ac:dyDescent="0.25">
      <c r="D68" s="6" t="str">
        <f>alimentos[[#This Row],[Item]]</f>
        <v>Bombom de Cereja (94g)</v>
      </c>
      <c r="F68" s="6" t="str">
        <f>higiene[[#This Row],[Item]]</f>
        <v>Enxaguante bucal (350mL)</v>
      </c>
    </row>
    <row r="69" spans="4:6" x14ac:dyDescent="0.25">
      <c r="D69" s="6" t="str">
        <f>alimentos[[#This Row],[Item]]</f>
        <v>C</v>
      </c>
      <c r="F69" s="6" t="str">
        <f>higiene[[#This Row],[Item]]</f>
        <v>Enxaguante bucal (500mL)</v>
      </c>
    </row>
    <row r="70" spans="4:6" x14ac:dyDescent="0.25">
      <c r="D70" s="6" t="str">
        <f>alimentos[[#This Row],[Item]]</f>
        <v>Café (1kg)</v>
      </c>
      <c r="F70" s="6" t="str">
        <f>higiene[[#This Row],[Item]]</f>
        <v>Escova de dente (1un)</v>
      </c>
    </row>
    <row r="71" spans="4:6" x14ac:dyDescent="0.25">
      <c r="D71" s="6" t="str">
        <f>alimentos[[#This Row],[Item]]</f>
        <v>Café (250g)</v>
      </c>
      <c r="F71" s="6" t="str">
        <f>higiene[[#This Row],[Item]]</f>
        <v>Escova de dente (2un)</v>
      </c>
    </row>
    <row r="72" spans="4:6" x14ac:dyDescent="0.25">
      <c r="D72" s="6" t="str">
        <f>alimentos[[#This Row],[Item]]</f>
        <v>Café (500g)</v>
      </c>
      <c r="F72" s="6" t="str">
        <f>higiene[[#This Row],[Item]]</f>
        <v>Escova de dente (3 un)</v>
      </c>
    </row>
    <row r="73" spans="4:6" x14ac:dyDescent="0.25">
      <c r="D73" s="6" t="str">
        <f>alimentos[[#This Row],[Item]]</f>
        <v>Café solúvel (50g)</v>
      </c>
      <c r="F73" s="6" t="str">
        <f>higiene[[#This Row],[Item]]</f>
        <v>Escova de Dentes (4un)</v>
      </c>
    </row>
    <row r="74" spans="4:6" x14ac:dyDescent="0.25">
      <c r="D74" s="6" t="str">
        <f>alimentos[[#This Row],[Item]]</f>
        <v>Caixa de Bombons</v>
      </c>
      <c r="F74" s="6" t="str">
        <f>higiene[[#This Row],[Item]]</f>
        <v>Esponja (1un)</v>
      </c>
    </row>
    <row r="75" spans="4:6" x14ac:dyDescent="0.25">
      <c r="D75" s="6" t="str">
        <f>alimentos[[#This Row],[Item]]</f>
        <v>Caldo Knor</v>
      </c>
      <c r="F75" s="6" t="str">
        <f>higiene[[#This Row],[Item]]</f>
        <v>Esponja (3un)</v>
      </c>
    </row>
    <row r="76" spans="4:6" x14ac:dyDescent="0.25">
      <c r="D76" s="6" t="str">
        <f>alimentos[[#This Row],[Item]]</f>
        <v>Canjica (500g)</v>
      </c>
      <c r="F76" s="6" t="str">
        <f>higiene[[#This Row],[Item]]</f>
        <v>Esponja (4un)</v>
      </c>
    </row>
    <row r="77" spans="4:6" x14ac:dyDescent="0.25">
      <c r="D77" s="6" t="str">
        <f>alimentos[[#This Row],[Item]]</f>
        <v>Cappuccino (200g)</v>
      </c>
      <c r="F77" s="6" t="str">
        <f>higiene[[#This Row],[Item]]</f>
        <v>Esponja de aço</v>
      </c>
    </row>
    <row r="78" spans="4:6" x14ac:dyDescent="0.25">
      <c r="D78" s="6" t="str">
        <f>alimentos[[#This Row],[Item]]</f>
        <v>Cappuccino (20g)</v>
      </c>
      <c r="F78" s="6" t="str">
        <f>higiene[[#This Row],[Item]]</f>
        <v>F</v>
      </c>
    </row>
    <row r="79" spans="4:6" x14ac:dyDescent="0.25">
      <c r="D79" s="6" t="str">
        <f>alimentos[[#This Row],[Item]]</f>
        <v>Cereal (120g)</v>
      </c>
      <c r="F79" s="6" t="str">
        <f>higiene[[#This Row],[Item]]</f>
        <v>Filtro de Café</v>
      </c>
    </row>
    <row r="80" spans="4:6" x14ac:dyDescent="0.25">
      <c r="D80" s="6" t="str">
        <f>alimentos[[#This Row],[Item]]</f>
        <v>Cereal infantil (230g)</v>
      </c>
      <c r="F80" s="6" t="str">
        <f>higiene[[#This Row],[Item]]</f>
        <v>Fio Dental</v>
      </c>
    </row>
    <row r="81" spans="4:6" x14ac:dyDescent="0.25">
      <c r="D81" s="6" t="str">
        <f>alimentos[[#This Row],[Item]]</f>
        <v>Cevada</v>
      </c>
      <c r="F81" s="6" t="str">
        <f>higiene[[#This Row],[Item]]</f>
        <v>Fosforo</v>
      </c>
    </row>
    <row r="82" spans="4:6" x14ac:dyDescent="0.25">
      <c r="D82" s="6" t="str">
        <f>alimentos[[#This Row],[Item]]</f>
        <v>Chá (100g)</v>
      </c>
      <c r="F82" s="6" t="str">
        <f>higiene[[#This Row],[Item]]</f>
        <v>Fósforo (10 caixas x 40 un)</v>
      </c>
    </row>
    <row r="83" spans="4:6" x14ac:dyDescent="0.25">
      <c r="D83" s="6" t="str">
        <f>alimentos[[#This Row],[Item]]</f>
        <v>Chá (10un)</v>
      </c>
      <c r="F83" s="6" t="str">
        <f>higiene[[#This Row],[Item]]</f>
        <v>Fosforo (200un)</v>
      </c>
    </row>
    <row r="84" spans="4:6" x14ac:dyDescent="0.25">
      <c r="D84" s="6" t="str">
        <f>alimentos[[#This Row],[Item]]</f>
        <v>Chá (12g)</v>
      </c>
      <c r="F84" s="6" t="str">
        <f>higiene[[#This Row],[Item]]</f>
        <v>Fósforo (40un)</v>
      </c>
    </row>
    <row r="85" spans="4:6" x14ac:dyDescent="0.25">
      <c r="D85" s="6" t="str">
        <f>alimentos[[#This Row],[Item]]</f>
        <v>Chá (22,5g)</v>
      </c>
      <c r="F85" s="6" t="str">
        <f>higiene[[#This Row],[Item]]</f>
        <v>Fósforo (50un)</v>
      </c>
    </row>
    <row r="86" spans="4:6" x14ac:dyDescent="0.25">
      <c r="D86" s="6" t="str">
        <f>alimentos[[#This Row],[Item]]</f>
        <v>Chocolate barra (100g)</v>
      </c>
      <c r="F86" s="6" t="str">
        <f>higiene[[#This Row],[Item]]</f>
        <v>Fraldas Geriátricas (07un)</v>
      </c>
    </row>
    <row r="87" spans="4:6" x14ac:dyDescent="0.25">
      <c r="D87" s="6" t="str">
        <f>alimentos[[#This Row],[Item]]</f>
        <v>Coca-cola (1,5L)</v>
      </c>
      <c r="F87" s="6" t="str">
        <f>higiene[[#This Row],[Item]]</f>
        <v>Fraldas Geriátricas (08un)</v>
      </c>
    </row>
    <row r="88" spans="4:6" x14ac:dyDescent="0.25">
      <c r="D88" s="6" t="str">
        <f>alimentos[[#This Row],[Item]]</f>
        <v>Coca-cola (2,5L)</v>
      </c>
      <c r="F88" s="6" t="str">
        <f>higiene[[#This Row],[Item]]</f>
        <v>Fraldas Geriátricas (09un)</v>
      </c>
    </row>
    <row r="89" spans="4:6" x14ac:dyDescent="0.25">
      <c r="D89" s="6" t="str">
        <f>alimentos[[#This Row],[Item]]</f>
        <v>Coca-cola (2L)</v>
      </c>
      <c r="F89" s="6" t="str">
        <f>higiene[[#This Row],[Item]]</f>
        <v>Fraldas Geriátricas (10un)</v>
      </c>
    </row>
    <row r="90" spans="4:6" x14ac:dyDescent="0.25">
      <c r="D90" s="6" t="str">
        <f>alimentos[[#This Row],[Item]]</f>
        <v>Coca-cola (3L)</v>
      </c>
      <c r="F90" s="6" t="str">
        <f>higiene[[#This Row],[Item]]</f>
        <v>Fraldas Geriátricas (18un)</v>
      </c>
    </row>
    <row r="91" spans="4:6" x14ac:dyDescent="0.25">
      <c r="D91" s="6" t="str">
        <f>alimentos[[#This Row],[Item]]</f>
        <v>Coco Ralado (100g)</v>
      </c>
      <c r="F91" s="6" t="str">
        <f>higiene[[#This Row],[Item]]</f>
        <v>Fraldas Geriátricas (20un)</v>
      </c>
    </row>
    <row r="92" spans="4:6" x14ac:dyDescent="0.25">
      <c r="D92" s="6" t="str">
        <f>alimentos[[#This Row],[Item]]</f>
        <v>Cookie (400g)</v>
      </c>
      <c r="F92" s="6" t="str">
        <f>higiene[[#This Row],[Item]]</f>
        <v>Fraldas Geriátricas (24 un)</v>
      </c>
    </row>
    <row r="93" spans="4:6" x14ac:dyDescent="0.25">
      <c r="D93" s="6" t="str">
        <f>alimentos[[#This Row],[Item]]</f>
        <v>Creme de Cebola em Pó (68g)</v>
      </c>
      <c r="F93" s="6" t="str">
        <f>higiene[[#This Row],[Item]]</f>
        <v>Fraldas Geriátricas (30un)</v>
      </c>
    </row>
    <row r="94" spans="4:6" x14ac:dyDescent="0.25">
      <c r="D94" s="6" t="str">
        <f>alimentos[[#This Row],[Item]]</f>
        <v>Creme de Leite</v>
      </c>
      <c r="F94" s="6" t="str">
        <f>higiene[[#This Row],[Item]]</f>
        <v>Fraldas Infantis (12un)</v>
      </c>
    </row>
    <row r="95" spans="4:6" x14ac:dyDescent="0.25">
      <c r="D95" s="6" t="str">
        <f>alimentos[[#This Row],[Item]]</f>
        <v>Cuscuz (500g)</v>
      </c>
      <c r="F95" s="6" t="str">
        <f>higiene[[#This Row],[Item]]</f>
        <v>Fraldas Infantis (14un)</v>
      </c>
    </row>
    <row r="96" spans="4:6" x14ac:dyDescent="0.25">
      <c r="D96" s="6" t="str">
        <f>alimentos[[#This Row],[Item]]</f>
        <v>D</v>
      </c>
      <c r="F96" s="6" t="str">
        <f>higiene[[#This Row],[Item]]</f>
        <v>Fraldas Infantis (16un)</v>
      </c>
    </row>
    <row r="97" spans="4:6" x14ac:dyDescent="0.25">
      <c r="D97" s="6" t="str">
        <f>alimentos[[#This Row],[Item]]</f>
        <v>Doce de Abóbora (220g)</v>
      </c>
      <c r="F97" s="6" t="str">
        <f>higiene[[#This Row],[Item]]</f>
        <v>Fraldas Infantis (18 un)</v>
      </c>
    </row>
    <row r="98" spans="4:6" x14ac:dyDescent="0.25">
      <c r="D98" s="6" t="str">
        <f>alimentos[[#This Row],[Item]]</f>
        <v>Doces (bala - 150g)</v>
      </c>
      <c r="F98" s="6" t="str">
        <f>higiene[[#This Row],[Item]]</f>
        <v>Fraldas Infantis (20un)</v>
      </c>
    </row>
    <row r="99" spans="4:6" x14ac:dyDescent="0.25">
      <c r="D99" s="6" t="str">
        <f>alimentos[[#This Row],[Item]]</f>
        <v>Doces (bala - 200g)</v>
      </c>
      <c r="F99" s="6" t="str">
        <f>higiene[[#This Row],[Item]]</f>
        <v>Fraldas Infantis (22un)</v>
      </c>
    </row>
    <row r="100" spans="4:6" x14ac:dyDescent="0.25">
      <c r="D100" s="6" t="str">
        <f>alimentos[[#This Row],[Item]]</f>
        <v>Doces (bala - 300g)</v>
      </c>
      <c r="F100" s="6" t="str">
        <f>higiene[[#This Row],[Item]]</f>
        <v>Fraldas Infantis (24un)</v>
      </c>
    </row>
    <row r="101" spans="4:6" x14ac:dyDescent="0.25">
      <c r="D101" s="6" t="str">
        <f>alimentos[[#This Row],[Item]]</f>
        <v>Doces (bala - 600g)</v>
      </c>
      <c r="F101" s="6" t="str">
        <f>higiene[[#This Row],[Item]]</f>
        <v>Fraldas Infantis (26un)</v>
      </c>
    </row>
    <row r="102" spans="4:6" x14ac:dyDescent="0.25">
      <c r="D102" s="6" t="str">
        <f>alimentos[[#This Row],[Item]]</f>
        <v>Doces (bala - 70 g)</v>
      </c>
      <c r="F102" s="6" t="str">
        <f>higiene[[#This Row],[Item]]</f>
        <v>Fraldas Infantis (28un)</v>
      </c>
    </row>
    <row r="103" spans="4:6" x14ac:dyDescent="0.25">
      <c r="D103" s="6" t="str">
        <f>alimentos[[#This Row],[Item]]</f>
        <v>E</v>
      </c>
      <c r="F103" s="6" t="str">
        <f>higiene[[#This Row],[Item]]</f>
        <v>Fraldas Infantis (30un)</v>
      </c>
    </row>
    <row r="104" spans="4:6" x14ac:dyDescent="0.25">
      <c r="D104" s="6" t="str">
        <f>alimentos[[#This Row],[Item]]</f>
        <v>Ervilha (Sachê)</v>
      </c>
      <c r="F104" s="6" t="str">
        <f>higiene[[#This Row],[Item]]</f>
        <v>Fraldas Infantis (32un)</v>
      </c>
    </row>
    <row r="105" spans="4:6" x14ac:dyDescent="0.25">
      <c r="D105" s="6" t="str">
        <f>alimentos[[#This Row],[Item]]</f>
        <v>Ervilha conserva (Lata)</v>
      </c>
      <c r="F105" s="6" t="str">
        <f>higiene[[#This Row],[Item]]</f>
        <v>Fraldas Infantis (34un)</v>
      </c>
    </row>
    <row r="106" spans="4:6" x14ac:dyDescent="0.25">
      <c r="D106" s="6" t="str">
        <f>alimentos[[#This Row],[Item]]</f>
        <v>Ervilha Seca (500g)</v>
      </c>
      <c r="F106" s="6" t="str">
        <f>higiene[[#This Row],[Item]]</f>
        <v>Fraldas Infantis (36un)</v>
      </c>
    </row>
    <row r="107" spans="4:6" x14ac:dyDescent="0.25">
      <c r="D107" s="6" t="str">
        <f>alimentos[[#This Row],[Item]]</f>
        <v>Extrato de tomate (130g)</v>
      </c>
      <c r="F107" s="6" t="str">
        <f>higiene[[#This Row],[Item]]</f>
        <v>Fraldas Infantis (38un)</v>
      </c>
    </row>
    <row r="108" spans="4:6" x14ac:dyDescent="0.25">
      <c r="D108" s="6" t="str">
        <f>alimentos[[#This Row],[Item]]</f>
        <v>Extrato de tomate (280g)</v>
      </c>
      <c r="F108" s="6" t="str">
        <f>higiene[[#This Row],[Item]]</f>
        <v>Fraldas Infantis (40un)</v>
      </c>
    </row>
    <row r="109" spans="4:6" x14ac:dyDescent="0.25">
      <c r="D109" s="6" t="str">
        <f>alimentos[[#This Row],[Item]]</f>
        <v>Extrato de tomate (320g)</v>
      </c>
      <c r="F109" s="6" t="str">
        <f>higiene[[#This Row],[Item]]</f>
        <v>Fraldas Infantis (44un)</v>
      </c>
    </row>
    <row r="110" spans="4:6" x14ac:dyDescent="0.25">
      <c r="D110" s="6" t="str">
        <f>alimentos[[#This Row],[Item]]</f>
        <v>Extrato de tomate (340g)</v>
      </c>
      <c r="F110" s="6" t="str">
        <f>higiene[[#This Row],[Item]]</f>
        <v>Fraldas Infantis (46un)</v>
      </c>
    </row>
    <row r="111" spans="4:6" x14ac:dyDescent="0.25">
      <c r="D111" s="6" t="str">
        <f>alimentos[[#This Row],[Item]]</f>
        <v>Extrato de tomate (400g)</v>
      </c>
      <c r="F111" s="6" t="str">
        <f>higiene[[#This Row],[Item]]</f>
        <v>Fraldas Infantis (48un)</v>
      </c>
    </row>
    <row r="112" spans="4:6" x14ac:dyDescent="0.25">
      <c r="D112" s="6" t="str">
        <f>alimentos[[#This Row],[Item]]</f>
        <v>Extrato de tomate (520g)</v>
      </c>
      <c r="F112" s="6" t="str">
        <f>higiene[[#This Row],[Item]]</f>
        <v>Fraldas Infantis (50un)</v>
      </c>
    </row>
    <row r="113" spans="4:6" x14ac:dyDescent="0.25">
      <c r="D113" s="6" t="str">
        <f>alimentos[[#This Row],[Item]]</f>
        <v>F</v>
      </c>
      <c r="F113" s="6" t="str">
        <f>higiene[[#This Row],[Item]]</f>
        <v>Fraldas Infantis (52un)</v>
      </c>
    </row>
    <row r="114" spans="4:6" x14ac:dyDescent="0.25">
      <c r="D114" s="6" t="str">
        <f>alimentos[[#This Row],[Item]]</f>
        <v>Farinha de Kibe (500g)</v>
      </c>
      <c r="F114" s="6" t="str">
        <f>higiene[[#This Row],[Item]]</f>
        <v>Fraldas Infantis (58un)</v>
      </c>
    </row>
    <row r="115" spans="4:6" x14ac:dyDescent="0.25">
      <c r="D115" s="6" t="str">
        <f>alimentos[[#This Row],[Item]]</f>
        <v>Farinha de Mandioca (1kg)</v>
      </c>
      <c r="F115" s="6" t="str">
        <f>higiene[[#This Row],[Item]]</f>
        <v>Fraldas Infantis (60un)</v>
      </c>
    </row>
    <row r="116" spans="4:6" x14ac:dyDescent="0.25">
      <c r="D116" s="6" t="str">
        <f>alimentos[[#This Row],[Item]]</f>
        <v>Farinha de mandioca (500g)</v>
      </c>
      <c r="F116" s="6" t="str">
        <f>higiene[[#This Row],[Item]]</f>
        <v>G</v>
      </c>
    </row>
    <row r="117" spans="4:6" x14ac:dyDescent="0.25">
      <c r="D117" s="6" t="str">
        <f>alimentos[[#This Row],[Item]]</f>
        <v>Farinha de milho(500g)</v>
      </c>
      <c r="F117" s="6" t="str">
        <f>higiene[[#This Row],[Item]]</f>
        <v>Guardanapo</v>
      </c>
    </row>
    <row r="118" spans="4:6" x14ac:dyDescent="0.25">
      <c r="D118" s="6" t="str">
        <f>alimentos[[#This Row],[Item]]</f>
        <v>Farinha de rosca (500g)</v>
      </c>
      <c r="F118" s="6" t="str">
        <f>higiene[[#This Row],[Item]]</f>
        <v>H</v>
      </c>
    </row>
    <row r="119" spans="4:6" x14ac:dyDescent="0.25">
      <c r="D119" s="6" t="str">
        <f>alimentos[[#This Row],[Item]]</f>
        <v>Farinha de trigo (1kg)</v>
      </c>
      <c r="F119" s="6" t="str">
        <f>higiene[[#This Row],[Item]]</f>
        <v>I</v>
      </c>
    </row>
    <row r="120" spans="4:6" x14ac:dyDescent="0.25">
      <c r="D120" s="6" t="str">
        <f>alimentos[[#This Row],[Item]]</f>
        <v>Farofa (150g)</v>
      </c>
      <c r="F120" s="6" t="str">
        <f>higiene[[#This Row],[Item]]</f>
        <v>J</v>
      </c>
    </row>
    <row r="121" spans="4:6" x14ac:dyDescent="0.25">
      <c r="D121" s="6" t="str">
        <f>alimentos[[#This Row],[Item]]</f>
        <v>Farofa (250g)</v>
      </c>
      <c r="F121" s="6" t="str">
        <f>higiene[[#This Row],[Item]]</f>
        <v>L</v>
      </c>
    </row>
    <row r="122" spans="4:6" x14ac:dyDescent="0.25">
      <c r="D122" s="6" t="str">
        <f>alimentos[[#This Row],[Item]]</f>
        <v>Farofa (300g)</v>
      </c>
      <c r="F122" s="6" t="str">
        <f>higiene[[#This Row],[Item]]</f>
        <v>Lâmina de barbear (1un)</v>
      </c>
    </row>
    <row r="123" spans="4:6" x14ac:dyDescent="0.25">
      <c r="D123" s="6" t="str">
        <f>alimentos[[#This Row],[Item]]</f>
        <v>Farofa (500g)</v>
      </c>
      <c r="F123" s="6" t="str">
        <f>higiene[[#This Row],[Item]]</f>
        <v>Lâmina de barbear (2un)</v>
      </c>
    </row>
    <row r="124" spans="4:6" x14ac:dyDescent="0.25">
      <c r="D124" s="6" t="str">
        <f>alimentos[[#This Row],[Item]]</f>
        <v>farofa de mandioca (250g)</v>
      </c>
      <c r="F124" s="6" t="str">
        <f>higiene[[#This Row],[Item]]</f>
        <v>Lâmina de barbear (3un)</v>
      </c>
    </row>
    <row r="125" spans="4:6" x14ac:dyDescent="0.25">
      <c r="D125" s="6" t="str">
        <f>alimentos[[#This Row],[Item]]</f>
        <v>Feijão (1kg)</v>
      </c>
      <c r="F125" s="6" t="str">
        <f>higiene[[#This Row],[Item]]</f>
        <v>Lâmina de barbear (4un)</v>
      </c>
    </row>
    <row r="126" spans="4:6" x14ac:dyDescent="0.25">
      <c r="D126" s="6" t="str">
        <f>alimentos[[#This Row],[Item]]</f>
        <v>Feijão (2kg)</v>
      </c>
      <c r="F126" s="6" t="str">
        <f>higiene[[#This Row],[Item]]</f>
        <v>Lâmina de Barbear (5un)</v>
      </c>
    </row>
    <row r="127" spans="4:6" x14ac:dyDescent="0.25">
      <c r="D127" s="6" t="str">
        <f>alimentos[[#This Row],[Item]]</f>
        <v>Feijão (500g)</v>
      </c>
      <c r="F127" s="6" t="str">
        <f>higiene[[#This Row],[Item]]</f>
        <v>Lâmina de Barbear (7un)</v>
      </c>
    </row>
    <row r="128" spans="4:6" x14ac:dyDescent="0.25">
      <c r="D128" s="6" t="str">
        <f>alimentos[[#This Row],[Item]]</f>
        <v>Feijoada enlatada (830g)</v>
      </c>
      <c r="F128" s="6" t="str">
        <f>higiene[[#This Row],[Item]]</f>
        <v>Lâmina de barbear (8un)</v>
      </c>
    </row>
    <row r="129" spans="4:6" x14ac:dyDescent="0.25">
      <c r="D129" s="6" t="str">
        <f>alimentos[[#This Row],[Item]]</f>
        <v>Fermento (100g)</v>
      </c>
      <c r="F129" s="6" t="str">
        <f>higiene[[#This Row],[Item]]</f>
        <v>Lâmina refil (2un)</v>
      </c>
    </row>
    <row r="130" spans="4:6" x14ac:dyDescent="0.25">
      <c r="D130" s="6" t="str">
        <f>alimentos[[#This Row],[Item]]</f>
        <v>Fuba (1kg)</v>
      </c>
      <c r="F130" s="6" t="str">
        <f>higiene[[#This Row],[Item]]</f>
        <v>Lâmina refil (4un)</v>
      </c>
    </row>
    <row r="131" spans="4:6" x14ac:dyDescent="0.25">
      <c r="D131" s="6" t="str">
        <f>alimentos[[#This Row],[Item]]</f>
        <v>Fuba (500g)</v>
      </c>
      <c r="F131" s="6" t="str">
        <f>higiene[[#This Row],[Item]]</f>
        <v>Lâmina refil (5un)</v>
      </c>
    </row>
    <row r="132" spans="4:6" x14ac:dyDescent="0.25">
      <c r="D132" s="6" t="str">
        <f>alimentos[[#This Row],[Item]]</f>
        <v>G</v>
      </c>
      <c r="F132" s="6" t="str">
        <f>higiene[[#This Row],[Item]]</f>
        <v>Lenços de papel (50un)</v>
      </c>
    </row>
    <row r="133" spans="4:6" x14ac:dyDescent="0.25">
      <c r="D133" s="6" t="str">
        <f>alimentos[[#This Row],[Item]]</f>
        <v>Gelatina (30g)</v>
      </c>
      <c r="F133" s="6" t="str">
        <f>higiene[[#This Row],[Item]]</f>
        <v>lenços papel 100 un</v>
      </c>
    </row>
    <row r="134" spans="4:6" x14ac:dyDescent="0.25">
      <c r="D134" s="6" t="str">
        <f>alimentos[[#This Row],[Item]]</f>
        <v>Gelatina (35g)</v>
      </c>
      <c r="F134" s="6" t="str">
        <f>higiene[[#This Row],[Item]]</f>
        <v>Lenços Umidecidos (1pcte)</v>
      </c>
    </row>
    <row r="135" spans="4:6" x14ac:dyDescent="0.25">
      <c r="D135" s="6" t="str">
        <f>alimentos[[#This Row],[Item]]</f>
        <v>Geleia de goiaba (100g)</v>
      </c>
      <c r="F135" s="6" t="str">
        <f>higiene[[#This Row],[Item]]</f>
        <v>Limpador(1L)</v>
      </c>
    </row>
    <row r="136" spans="4:6" x14ac:dyDescent="0.25">
      <c r="D136" s="6" t="str">
        <f>alimentos[[#This Row],[Item]]</f>
        <v>Goiabada (300g)</v>
      </c>
      <c r="F136" s="6" t="str">
        <f>higiene[[#This Row],[Item]]</f>
        <v>Limpador(2L)</v>
      </c>
    </row>
    <row r="137" spans="4:6" x14ac:dyDescent="0.25">
      <c r="D137" s="6" t="str">
        <f>alimentos[[#This Row],[Item]]</f>
        <v>Goiabada (400g)</v>
      </c>
      <c r="F137" s="6" t="str">
        <f>higiene[[#This Row],[Item]]</f>
        <v>Limpador(500ml)</v>
      </c>
    </row>
    <row r="138" spans="4:6" x14ac:dyDescent="0.25">
      <c r="D138" s="6" t="str">
        <f>alimentos[[#This Row],[Item]]</f>
        <v>Goiabada (500g)</v>
      </c>
      <c r="F138" s="6" t="str">
        <f>higiene[[#This Row],[Item]]</f>
        <v>M</v>
      </c>
    </row>
    <row r="139" spans="4:6" x14ac:dyDescent="0.25">
      <c r="D139" s="6" t="str">
        <f>alimentos[[#This Row],[Item]]</f>
        <v>Granulado (130g)</v>
      </c>
      <c r="F139" s="6" t="str">
        <f>higiene[[#This Row],[Item]]</f>
        <v>multiuso</v>
      </c>
    </row>
    <row r="140" spans="4:6" x14ac:dyDescent="0.25">
      <c r="D140" s="6" t="str">
        <f>alimentos[[#This Row],[Item]]</f>
        <v>Granulado (150g)</v>
      </c>
      <c r="F140" s="6" t="str">
        <f>higiene[[#This Row],[Item]]</f>
        <v>Multiuso (1L)</v>
      </c>
    </row>
    <row r="141" spans="4:6" x14ac:dyDescent="0.25">
      <c r="D141" s="6" t="str">
        <f>alimentos[[#This Row],[Item]]</f>
        <v>Granulado (1kg)</v>
      </c>
      <c r="F141" s="6" t="str">
        <f>higiene[[#This Row],[Item]]</f>
        <v>Multiuso (200ml)</v>
      </c>
    </row>
    <row r="142" spans="4:6" x14ac:dyDescent="0.25">
      <c r="D142" s="6" t="str">
        <f>alimentos[[#This Row],[Item]]</f>
        <v>Granulado (500g)</v>
      </c>
      <c r="F142" s="6" t="str">
        <f>higiene[[#This Row],[Item]]</f>
        <v>Multiuso (3un 500ml)</v>
      </c>
    </row>
    <row r="143" spans="4:6" x14ac:dyDescent="0.25">
      <c r="D143" s="6" t="str">
        <f>alimentos[[#This Row],[Item]]</f>
        <v>Grão de Bico (Lata)</v>
      </c>
      <c r="F143" s="6" t="str">
        <f>higiene[[#This Row],[Item]]</f>
        <v>Multiuso (500mL)</v>
      </c>
    </row>
    <row r="144" spans="4:6" x14ac:dyDescent="0.25">
      <c r="D144" s="6" t="str">
        <f>alimentos[[#This Row],[Item]]</f>
        <v>Grão de Bico (sache)</v>
      </c>
      <c r="F144" s="6" t="str">
        <f>higiene[[#This Row],[Item]]</f>
        <v>Multiuso (750mL)</v>
      </c>
    </row>
    <row r="145" spans="4:6" x14ac:dyDescent="0.25">
      <c r="D145" s="6" t="str">
        <f>alimentos[[#This Row],[Item]]</f>
        <v>H</v>
      </c>
      <c r="F145" s="6" t="str">
        <f>higiene[[#This Row],[Item]]</f>
        <v>N</v>
      </c>
    </row>
    <row r="146" spans="4:6" x14ac:dyDescent="0.25">
      <c r="D146" s="6" t="str">
        <f>alimentos[[#This Row],[Item]]</f>
        <v>I</v>
      </c>
      <c r="F146" s="6" t="str">
        <f>higiene[[#This Row],[Item]]</f>
        <v>O</v>
      </c>
    </row>
    <row r="147" spans="4:6" x14ac:dyDescent="0.25">
      <c r="D147" s="6" t="str">
        <f>alimentos[[#This Row],[Item]]</f>
        <v>J</v>
      </c>
      <c r="F147" s="6" t="str">
        <f>higiene[[#This Row],[Item]]</f>
        <v>P</v>
      </c>
    </row>
    <row r="148" spans="4:6" x14ac:dyDescent="0.25">
      <c r="D148" s="6" t="str">
        <f>alimentos[[#This Row],[Item]]</f>
        <v>Ketchup (400g)</v>
      </c>
      <c r="F148" s="6" t="str">
        <f>higiene[[#This Row],[Item]]</f>
        <v>Papel Higiênico (04un)</v>
      </c>
    </row>
    <row r="149" spans="4:6" x14ac:dyDescent="0.25">
      <c r="D149" s="6" t="str">
        <f>alimentos[[#This Row],[Item]]</f>
        <v>Kibe (500g)</v>
      </c>
      <c r="F149" s="6" t="str">
        <f>higiene[[#This Row],[Item]]</f>
        <v>Papel Higiênico (08un)</v>
      </c>
    </row>
    <row r="150" spans="4:6" x14ac:dyDescent="0.25">
      <c r="D150" s="6" t="str">
        <f>alimentos[[#This Row],[Item]]</f>
        <v>L</v>
      </c>
      <c r="F150" s="6" t="str">
        <f>higiene[[#This Row],[Item]]</f>
        <v>Papel Higiênico (12un)</v>
      </c>
    </row>
    <row r="151" spans="4:6" x14ac:dyDescent="0.25">
      <c r="D151" s="6" t="str">
        <f>alimentos[[#This Row],[Item]]</f>
        <v>Leite (caixa com 12)</v>
      </c>
      <c r="F151" s="6" t="str">
        <f>higiene[[#This Row],[Item]]</f>
        <v>Papel Higiênico (16un)</v>
      </c>
    </row>
    <row r="152" spans="4:6" x14ac:dyDescent="0.25">
      <c r="D152" s="6" t="str">
        <f>alimentos[[#This Row],[Item]]</f>
        <v>Leite (caixa)</v>
      </c>
      <c r="F152" s="6" t="str">
        <f>higiene[[#This Row],[Item]]</f>
        <v>Papel Higiênico (24un)</v>
      </c>
    </row>
    <row r="153" spans="4:6" x14ac:dyDescent="0.25">
      <c r="D153" s="6" t="str">
        <f>alimentos[[#This Row],[Item]]</f>
        <v>Leite condensado</v>
      </c>
      <c r="F153" s="6" t="str">
        <f>higiene[[#This Row],[Item]]</f>
        <v>Papel Toalha (12un)</v>
      </c>
    </row>
    <row r="154" spans="4:6" x14ac:dyDescent="0.25">
      <c r="D154" s="6" t="str">
        <f>alimentos[[#This Row],[Item]]</f>
        <v>Leite de Coco (200mL)</v>
      </c>
      <c r="F154" s="6" t="str">
        <f>higiene[[#This Row],[Item]]</f>
        <v>Papel Toalha (2un)</v>
      </c>
    </row>
    <row r="155" spans="4:6" x14ac:dyDescent="0.25">
      <c r="D155" s="6" t="str">
        <f>alimentos[[#This Row],[Item]]</f>
        <v>Leite de soja (1L)</v>
      </c>
      <c r="F155" s="6" t="str">
        <f>higiene[[#This Row],[Item]]</f>
        <v>Pasta de Dente (180g)</v>
      </c>
    </row>
    <row r="156" spans="4:6" x14ac:dyDescent="0.25">
      <c r="D156" s="6" t="str">
        <f>alimentos[[#This Row],[Item]]</f>
        <v>Leite em Pó (200g)</v>
      </c>
      <c r="F156" s="6" t="str">
        <f>higiene[[#This Row],[Item]]</f>
        <v>Pasta de dente (3un)</v>
      </c>
    </row>
    <row r="157" spans="4:6" x14ac:dyDescent="0.25">
      <c r="D157" s="6" t="str">
        <f>alimentos[[#This Row],[Item]]</f>
        <v>Leite em pó (280g)</v>
      </c>
      <c r="F157" s="6" t="str">
        <f>higiene[[#This Row],[Item]]</f>
        <v>Pasta de Dente (50g)</v>
      </c>
    </row>
    <row r="158" spans="4:6" x14ac:dyDescent="0.25">
      <c r="D158" s="6" t="str">
        <f>alimentos[[#This Row],[Item]]</f>
        <v>Leite em pó (300g)</v>
      </c>
      <c r="F158" s="6" t="str">
        <f>higiene[[#This Row],[Item]]</f>
        <v>Pasta de Dente (70g)</v>
      </c>
    </row>
    <row r="159" spans="4:6" x14ac:dyDescent="0.25">
      <c r="D159" s="6" t="str">
        <f>alimentos[[#This Row],[Item]]</f>
        <v>Leite em pó (400g)</v>
      </c>
      <c r="F159" s="6" t="str">
        <f>higiene[[#This Row],[Item]]</f>
        <v>Pasta de Dente (90g)</v>
      </c>
    </row>
    <row r="160" spans="4:6" x14ac:dyDescent="0.25">
      <c r="D160" s="6" t="str">
        <f>alimentos[[#This Row],[Item]]</f>
        <v>Leite em Pó (500g)</v>
      </c>
      <c r="F160" s="6" t="str">
        <f>higiene[[#This Row],[Item]]</f>
        <v>Pasta de dente 4 un</v>
      </c>
    </row>
    <row r="161" spans="4:6" x14ac:dyDescent="0.25">
      <c r="D161" s="6" t="str">
        <f>alimentos[[#This Row],[Item]]</f>
        <v>Leite em pó (800g)</v>
      </c>
      <c r="F161" s="6" t="str">
        <f>higiene[[#This Row],[Item]]</f>
        <v>Polvilho antisséptico (100g)</v>
      </c>
    </row>
    <row r="162" spans="4:6" x14ac:dyDescent="0.25">
      <c r="D162" s="6" t="str">
        <f>alimentos[[#This Row],[Item]]</f>
        <v>Lentilha (1kg)</v>
      </c>
      <c r="F162" s="6" t="str">
        <f>higiene[[#This Row],[Item]]</f>
        <v>Q</v>
      </c>
    </row>
    <row r="163" spans="4:6" x14ac:dyDescent="0.25">
      <c r="D163" s="6" t="str">
        <f>alimentos[[#This Row],[Item]]</f>
        <v>Lentilha (200g)</v>
      </c>
      <c r="F163" s="6" t="str">
        <f>higiene[[#This Row],[Item]]</f>
        <v>Querosene (500ml)</v>
      </c>
    </row>
    <row r="164" spans="4:6" x14ac:dyDescent="0.25">
      <c r="D164" s="6" t="str">
        <f>alimentos[[#This Row],[Item]]</f>
        <v>Lentilha (380 g)</v>
      </c>
      <c r="F164" s="6" t="str">
        <f>higiene[[#This Row],[Item]]</f>
        <v>Querosene (900ml)</v>
      </c>
    </row>
    <row r="165" spans="4:6" x14ac:dyDescent="0.25">
      <c r="D165" s="6" t="str">
        <f>alimentos[[#This Row],[Item]]</f>
        <v>Lentilha (500g)</v>
      </c>
      <c r="F165" s="6" t="str">
        <f>higiene[[#This Row],[Item]]</f>
        <v>R</v>
      </c>
    </row>
    <row r="166" spans="4:6" x14ac:dyDescent="0.25">
      <c r="D166" s="6" t="str">
        <f>alimentos[[#This Row],[Item]]</f>
        <v>M</v>
      </c>
      <c r="F166" s="6" t="str">
        <f>higiene[[#This Row],[Item]]</f>
        <v>Removedor de mancha (450mL)</v>
      </c>
    </row>
    <row r="167" spans="4:6" x14ac:dyDescent="0.25">
      <c r="D167" s="6" t="str">
        <f>alimentos[[#This Row],[Item]]</f>
        <v>Macarrão (1kg)</v>
      </c>
      <c r="F167" s="6" t="str">
        <f>higiene[[#This Row],[Item]]</f>
        <v>S</v>
      </c>
    </row>
    <row r="168" spans="4:6" x14ac:dyDescent="0.25">
      <c r="D168" s="6" t="str">
        <f>alimentos[[#This Row],[Item]]</f>
        <v>Macarrão (200g)</v>
      </c>
      <c r="F168" s="6" t="str">
        <f>higiene[[#This Row],[Item]]</f>
        <v>Sabão em Barra (1un)</v>
      </c>
    </row>
    <row r="169" spans="4:6" x14ac:dyDescent="0.25">
      <c r="D169" s="6" t="str">
        <f>alimentos[[#This Row],[Item]]</f>
        <v>Macarrão (500g)</v>
      </c>
      <c r="F169" s="6" t="str">
        <f>higiene[[#This Row],[Item]]</f>
        <v>sabao em barra (5un)</v>
      </c>
    </row>
    <row r="170" spans="4:6" x14ac:dyDescent="0.25">
      <c r="D170" s="6" t="str">
        <f>alimentos[[#This Row],[Item]]</f>
        <v>Maionese (1kg)</v>
      </c>
      <c r="F170" s="6" t="str">
        <f>higiene[[#This Row],[Item]]</f>
        <v>Sabão em Pó (1kg)</v>
      </c>
    </row>
    <row r="171" spans="4:6" x14ac:dyDescent="0.25">
      <c r="D171" s="6" t="str">
        <f>alimentos[[#This Row],[Item]]</f>
        <v>Maionese (200g)</v>
      </c>
      <c r="F171" s="6" t="str">
        <f>higiene[[#This Row],[Item]]</f>
        <v>Sabão em pó (2,8kg)</v>
      </c>
    </row>
    <row r="172" spans="4:6" x14ac:dyDescent="0.25">
      <c r="D172" s="6" t="str">
        <f>alimentos[[#This Row],[Item]]</f>
        <v>Maionese (250g)</v>
      </c>
      <c r="F172" s="6" t="str">
        <f>higiene[[#This Row],[Item]]</f>
        <v>Sabão em Pó (2kg)</v>
      </c>
    </row>
    <row r="173" spans="4:6" x14ac:dyDescent="0.25">
      <c r="D173" s="6" t="str">
        <f>alimentos[[#This Row],[Item]]</f>
        <v>Maionese (300g)</v>
      </c>
    </row>
    <row r="174" spans="4:6" x14ac:dyDescent="0.25">
      <c r="D174" s="6" t="str">
        <f>alimentos[[#This Row],[Item]]</f>
        <v>Maionese (400g)</v>
      </c>
    </row>
    <row r="175" spans="4:6" x14ac:dyDescent="0.25">
      <c r="D175" s="6" t="str">
        <f>alimentos[[#This Row],[Item]]</f>
        <v>Maionese (500g)</v>
      </c>
    </row>
    <row r="176" spans="4:6" x14ac:dyDescent="0.25">
      <c r="D176" s="6" t="str">
        <f>alimentos[[#This Row],[Item]]</f>
        <v>Maionese (700g)</v>
      </c>
    </row>
    <row r="177" spans="4:4" x14ac:dyDescent="0.25">
      <c r="D177" s="6" t="str">
        <f>alimentos[[#This Row],[Item]]</f>
        <v>Maizena (200g)</v>
      </c>
    </row>
    <row r="178" spans="4:4" x14ac:dyDescent="0.25">
      <c r="D178" s="6" t="str">
        <f>alimentos[[#This Row],[Item]]</f>
        <v>Maizena (500g)</v>
      </c>
    </row>
    <row r="179" spans="4:4" x14ac:dyDescent="0.25">
      <c r="D179" s="6" t="str">
        <f>alimentos[[#This Row],[Item]]</f>
        <v>Maria Mole (50g)</v>
      </c>
    </row>
    <row r="180" spans="4:4" x14ac:dyDescent="0.25">
      <c r="D180" s="6" t="str">
        <f>alimentos[[#This Row],[Item]]</f>
        <v>Massa lasanha (200g)</v>
      </c>
    </row>
    <row r="181" spans="4:4" x14ac:dyDescent="0.25">
      <c r="D181" s="6" t="str">
        <f>alimentos[[#This Row],[Item]]</f>
        <v>Massa lasanha (500g)</v>
      </c>
    </row>
    <row r="182" spans="4:4" x14ac:dyDescent="0.25">
      <c r="D182" s="6" t="str">
        <f>alimentos[[#This Row],[Item]]</f>
        <v>Milho + ervilha</v>
      </c>
    </row>
    <row r="183" spans="4:4" x14ac:dyDescent="0.25">
      <c r="D183" s="6" t="str">
        <f>alimentos[[#This Row],[Item]]</f>
        <v>Milho conserva (Lata)</v>
      </c>
    </row>
    <row r="184" spans="4:4" x14ac:dyDescent="0.25">
      <c r="D184" s="6" t="str">
        <f>alimentos[[#This Row],[Item]]</f>
        <v>Milho conserva (Sache)</v>
      </c>
    </row>
    <row r="185" spans="4:4" x14ac:dyDescent="0.25">
      <c r="D185" s="6" t="str">
        <f>alimentos[[#This Row],[Item]]</f>
        <v>Milho de pipoca (500g)</v>
      </c>
    </row>
    <row r="186" spans="4:4" x14ac:dyDescent="0.25">
      <c r="D186" s="6" t="str">
        <f>alimentos[[#This Row],[Item]]</f>
        <v>Mingau (230g)</v>
      </c>
    </row>
    <row r="187" spans="4:4" x14ac:dyDescent="0.25">
      <c r="D187" s="6" t="str">
        <f>alimentos[[#This Row],[Item]]</f>
        <v>Miojo (500g)</v>
      </c>
    </row>
    <row r="188" spans="4:4" x14ac:dyDescent="0.25">
      <c r="D188" s="6" t="str">
        <f>alimentos[[#This Row],[Item]]</f>
        <v>Miojo (80g)</v>
      </c>
    </row>
    <row r="189" spans="4:4" x14ac:dyDescent="0.25">
      <c r="D189" s="6" t="str">
        <f>alimentos[[#This Row],[Item]]</f>
        <v>Mistura de Bolo</v>
      </c>
    </row>
    <row r="190" spans="4:4" x14ac:dyDescent="0.25">
      <c r="D190" s="6" t="str">
        <f>alimentos[[#This Row],[Item]]</f>
        <v>Molho de tomate (130g)</v>
      </c>
    </row>
    <row r="191" spans="4:4" x14ac:dyDescent="0.25">
      <c r="D191" s="6" t="str">
        <f>alimentos[[#This Row],[Item]]</f>
        <v>Molho de Tomate (260g)</v>
      </c>
    </row>
    <row r="192" spans="4:4" x14ac:dyDescent="0.25">
      <c r="D192" s="6" t="str">
        <f>alimentos[[#This Row],[Item]]</f>
        <v>Molho de Tomate (300g)</v>
      </c>
    </row>
    <row r="193" spans="4:6" x14ac:dyDescent="0.25">
      <c r="D193" s="6" t="str">
        <f>alimentos[[#This Row],[Item]]</f>
        <v>Molho de Tomate (340g)</v>
      </c>
    </row>
    <row r="194" spans="4:6" x14ac:dyDescent="0.25">
      <c r="D194" s="6" t="str">
        <f>alimentos[[#This Row],[Item]]</f>
        <v>Molho de tomate (400g)</v>
      </c>
    </row>
    <row r="195" spans="4:6" x14ac:dyDescent="0.25">
      <c r="D195" s="6" t="str">
        <f>alimentos[[#This Row],[Item]]</f>
        <v>Molho de Tomate (440g)</v>
      </c>
    </row>
    <row r="196" spans="4:6" x14ac:dyDescent="0.25">
      <c r="D196" s="6" t="str">
        <f>alimentos[[#This Row],[Item]]</f>
        <v>Molho de tomate (520g)</v>
      </c>
    </row>
    <row r="197" spans="4:6" x14ac:dyDescent="0.25">
      <c r="D197" s="6" t="str">
        <f>alimentos[[#This Row],[Item]]</f>
        <v>Molho de tomate (680g)</v>
      </c>
    </row>
    <row r="198" spans="4:6" x14ac:dyDescent="0.25">
      <c r="D198" s="6" t="str">
        <f>alimentos[[#This Row],[Item]]</f>
        <v>Molho de tomate(390g)</v>
      </c>
    </row>
    <row r="199" spans="4:6" x14ac:dyDescent="0.25">
      <c r="D199" s="6" t="str">
        <f>alimentos[[#This Row],[Item]]</f>
        <v>N</v>
      </c>
    </row>
    <row r="200" spans="4:6" x14ac:dyDescent="0.25">
      <c r="D200" s="6" t="str">
        <f>alimentos[[#This Row],[Item]]</f>
        <v>Nozes (200g)</v>
      </c>
    </row>
    <row r="201" spans="4:6" x14ac:dyDescent="0.25">
      <c r="D201" s="6" t="str">
        <f>alimentos[[#This Row],[Item]]</f>
        <v>O</v>
      </c>
    </row>
    <row r="202" spans="4:6" x14ac:dyDescent="0.25">
      <c r="D202" s="6" t="str">
        <f>alimentos[[#This Row],[Item]]</f>
        <v>Óleo</v>
      </c>
    </row>
    <row r="203" spans="4:6" x14ac:dyDescent="0.25">
      <c r="D203" s="6" t="str">
        <f>alimentos[[#This Row],[Item]]</f>
        <v>Orégano (10g)</v>
      </c>
    </row>
    <row r="204" spans="4:6" x14ac:dyDescent="0.25">
      <c r="D204" s="6" t="str">
        <f>alimentos[[#This Row],[Item]]</f>
        <v>P</v>
      </c>
      <c r="F204" s="36"/>
    </row>
    <row r="205" spans="4:6" x14ac:dyDescent="0.25">
      <c r="D205" s="6" t="str">
        <f>alimentos[[#This Row],[Item]]</f>
        <v>Pacote de bala (200g)</v>
      </c>
    </row>
    <row r="206" spans="4:6" x14ac:dyDescent="0.25">
      <c r="D206" s="6" t="str">
        <f>alimentos[[#This Row],[Item]]</f>
        <v>Pacote de bala (500g)</v>
      </c>
    </row>
    <row r="207" spans="4:6" x14ac:dyDescent="0.25">
      <c r="D207" s="6" t="str">
        <f>alimentos[[#This Row],[Item]]</f>
        <v>Pacote de bala (600g)</v>
      </c>
    </row>
    <row r="208" spans="4:6" x14ac:dyDescent="0.25">
      <c r="D208" s="6" t="str">
        <f>alimentos[[#This Row],[Item]]</f>
        <v>Palmito (300g)</v>
      </c>
    </row>
    <row r="209" spans="4:4" x14ac:dyDescent="0.25">
      <c r="D209" s="6" t="str">
        <f>alimentos[[#This Row],[Item]]</f>
        <v>Palmito (500g)</v>
      </c>
    </row>
    <row r="210" spans="4:4" x14ac:dyDescent="0.25">
      <c r="D210" s="6" t="str">
        <f>alimentos[[#This Row],[Item]]</f>
        <v>Palmito (530g)</v>
      </c>
    </row>
    <row r="211" spans="4:4" x14ac:dyDescent="0.25">
      <c r="D211" s="6" t="str">
        <f>alimentos[[#This Row],[Item]]</f>
        <v>Panetone</v>
      </c>
    </row>
    <row r="212" spans="4:4" x14ac:dyDescent="0.25">
      <c r="D212" s="6" t="str">
        <f>alimentos[[#This Row],[Item]]</f>
        <v>Panetone (80g)</v>
      </c>
    </row>
    <row r="213" spans="4:4" x14ac:dyDescent="0.25">
      <c r="D213" s="6" t="str">
        <f>alimentos[[#This Row],[Item]]</f>
        <v>Pão de Forma (500g)</v>
      </c>
    </row>
    <row r="214" spans="4:4" x14ac:dyDescent="0.25">
      <c r="D214" s="63" t="str">
        <f>alimentos[[#This Row],[Item]]</f>
        <v>Pão de Mel (200g)</v>
      </c>
    </row>
    <row r="215" spans="4:4" x14ac:dyDescent="0.25">
      <c r="D215" s="63" t="str">
        <f>alimentos[[#This Row],[Item]]</f>
        <v>Pão de Mel (240g)</v>
      </c>
    </row>
    <row r="216" spans="4:4" x14ac:dyDescent="0.25">
      <c r="D216" s="63" t="str">
        <f>alimentos[[#This Row],[Item]]</f>
        <v>Pão de Mel (300g)</v>
      </c>
    </row>
    <row r="217" spans="4:4" x14ac:dyDescent="0.25">
      <c r="D217" s="63" t="str">
        <f>alimentos[[#This Row],[Item]]</f>
        <v>Pão de Mel (500g)</v>
      </c>
    </row>
    <row r="218" spans="4:4" x14ac:dyDescent="0.25">
      <c r="D218" s="63" t="str">
        <f>alimentos[[#This Row],[Item]]</f>
        <v>Pate de peru (100g)</v>
      </c>
    </row>
    <row r="219" spans="4:4" x14ac:dyDescent="0.25">
      <c r="D219" s="63" t="str">
        <f>alimentos[[#This Row],[Item]]</f>
        <v>Patê de sardinha (150g)</v>
      </c>
    </row>
    <row r="220" spans="4:4" x14ac:dyDescent="0.25">
      <c r="D220" s="63" t="str">
        <f>alimentos[[#This Row],[Item]]</f>
        <v>Patê de sardinha (170g)</v>
      </c>
    </row>
    <row r="221" spans="4:4" x14ac:dyDescent="0.25">
      <c r="D221" s="63" t="str">
        <f>alimentos[[#This Row],[Item]]</f>
        <v>Pêssego em calda</v>
      </c>
    </row>
    <row r="222" spans="4:4" x14ac:dyDescent="0.25">
      <c r="D222" s="63" t="str">
        <f>alimentos[[#This Row],[Item]]</f>
        <v>Pipoca doce (100g)</v>
      </c>
    </row>
    <row r="223" spans="4:4" x14ac:dyDescent="0.25">
      <c r="D223" s="63" t="str">
        <f>alimentos[[#This Row],[Item]]</f>
        <v>Polenta (1kg)</v>
      </c>
    </row>
    <row r="224" spans="4:4" x14ac:dyDescent="0.25">
      <c r="D224" s="63" t="str">
        <f>alimentos[[#This Row],[Item]]</f>
        <v>Polenta (500g)</v>
      </c>
    </row>
    <row r="225" spans="4:4" x14ac:dyDescent="0.25">
      <c r="D225" s="63" t="str">
        <f>alimentos[[#This Row],[Item]]</f>
        <v>Polvilho (1kg)</v>
      </c>
    </row>
    <row r="226" spans="4:4" x14ac:dyDescent="0.25">
      <c r="D226" s="63" t="str">
        <f>alimentos[[#This Row],[Item]]</f>
        <v>Q</v>
      </c>
    </row>
    <row r="227" spans="4:4" x14ac:dyDescent="0.25">
      <c r="D227" s="63" t="str">
        <f>alimentos[[#This Row],[Item]]</f>
        <v>Queijo ralado (50g)</v>
      </c>
    </row>
    <row r="228" spans="4:4" x14ac:dyDescent="0.25">
      <c r="D228" s="63" t="str">
        <f>alimentos[[#This Row],[Item]]</f>
        <v>R</v>
      </c>
    </row>
    <row r="229" spans="4:4" x14ac:dyDescent="0.25">
      <c r="D229" s="63" t="str">
        <f>alimentos[[#This Row],[Item]]</f>
        <v>Refrigerante (1L)</v>
      </c>
    </row>
    <row r="230" spans="4:4" x14ac:dyDescent="0.25">
      <c r="D230" s="63" t="str">
        <f>alimentos[[#This Row],[Item]]</f>
        <v>Refrigerante (2L)</v>
      </c>
    </row>
    <row r="231" spans="4:4" x14ac:dyDescent="0.25">
      <c r="D231" s="63" t="str">
        <f>alimentos[[#This Row],[Item]]</f>
        <v>Refrigerante lata</v>
      </c>
    </row>
    <row r="232" spans="4:4" x14ac:dyDescent="0.25">
      <c r="D232" s="63" t="str">
        <f>alimentos[[#This Row],[Item]]</f>
        <v>S</v>
      </c>
    </row>
    <row r="233" spans="4:4" x14ac:dyDescent="0.25">
      <c r="D233" s="63" t="str">
        <f>alimentos[[#This Row],[Item]]</f>
        <v>Sagu (150g)</v>
      </c>
    </row>
    <row r="234" spans="4:4" x14ac:dyDescent="0.25">
      <c r="D234" s="63" t="str">
        <f>alimentos[[#This Row],[Item]]</f>
        <v>Sagu (250g)</v>
      </c>
    </row>
    <row r="235" spans="4:4" x14ac:dyDescent="0.25">
      <c r="D235" s="63" t="str">
        <f>alimentos[[#This Row],[Item]]</f>
        <v>Sagu (500g)</v>
      </c>
    </row>
    <row r="236" spans="4:4" x14ac:dyDescent="0.25">
      <c r="D236" s="63" t="str">
        <f>alimentos[[#This Row],[Item]]</f>
        <v>Sal (1kg)</v>
      </c>
    </row>
    <row r="237" spans="4:4" x14ac:dyDescent="0.25">
      <c r="D237" s="63" t="str">
        <f>alimentos[[#This Row],[Item]]</f>
        <v>Sal (500g)</v>
      </c>
    </row>
    <row r="238" spans="4:4" x14ac:dyDescent="0.25">
      <c r="D238" s="63" t="str">
        <f>alimentos[[#This Row],[Item]]</f>
        <v>Sal Grosso (1kg)</v>
      </c>
    </row>
    <row r="239" spans="4:4" x14ac:dyDescent="0.25">
      <c r="D239" s="63" t="str">
        <f>alimentos[[#This Row],[Item]]</f>
        <v>Salgadinho (50g)</v>
      </c>
    </row>
    <row r="240" spans="4:4" x14ac:dyDescent="0.25">
      <c r="D240" s="63" t="str">
        <f>alimentos[[#This Row],[Item]]</f>
        <v>Salsicha (lata)</v>
      </c>
    </row>
    <row r="241" spans="4:4" x14ac:dyDescent="0.25">
      <c r="D241" s="63" t="str">
        <f>alimentos[[#This Row],[Item]]</f>
        <v>Salsicha tipo Viena</v>
      </c>
    </row>
    <row r="242" spans="4:4" x14ac:dyDescent="0.25">
      <c r="D242" s="63" t="str">
        <f>alimentos[[#This Row],[Item]]</f>
        <v>Sardinha (125g)</v>
      </c>
    </row>
    <row r="243" spans="4:4" x14ac:dyDescent="0.25">
      <c r="D243" s="63" t="str">
        <f>alimentos[[#This Row],[Item]]</f>
        <v>Sazon (60g)</v>
      </c>
    </row>
    <row r="244" spans="4:4" x14ac:dyDescent="0.25">
      <c r="D244" s="63" t="str">
        <f>alimentos[[#This Row],[Item]]</f>
        <v>Seleta de legumes (200g)</v>
      </c>
    </row>
    <row r="245" spans="4:4" x14ac:dyDescent="0.25">
      <c r="D245" s="63" t="str">
        <f>alimentos[[#This Row],[Item]]</f>
        <v>Seleta de legumes (280g)</v>
      </c>
    </row>
    <row r="246" spans="4:4" x14ac:dyDescent="0.25">
      <c r="D246" s="63" t="str">
        <f>alimentos[[#This Row],[Item]]</f>
        <v>Sopa de Cebola (38g)</v>
      </c>
    </row>
    <row r="247" spans="4:4" x14ac:dyDescent="0.25">
      <c r="D247" s="63" t="str">
        <f>alimentos[[#This Row],[Item]]</f>
        <v>Sopa pronta (500g)</v>
      </c>
    </row>
    <row r="248" spans="4:4" x14ac:dyDescent="0.25">
      <c r="D248" s="63" t="str">
        <f>alimentos[[#This Row],[Item]]</f>
        <v>Sopão (200g)</v>
      </c>
    </row>
    <row r="249" spans="4:4" x14ac:dyDescent="0.25">
      <c r="D249" s="63" t="str">
        <f>alimentos[[#This Row],[Item]]</f>
        <v>Suco (1,5L)</v>
      </c>
    </row>
    <row r="250" spans="4:4" x14ac:dyDescent="0.25">
      <c r="D250" s="63" t="str">
        <f>alimentos[[#This Row],[Item]]</f>
        <v>Suco (Caixa)</v>
      </c>
    </row>
    <row r="251" spans="4:4" x14ac:dyDescent="0.25">
      <c r="D251" s="63" t="str">
        <f>alimentos[[#This Row],[Item]]</f>
        <v>Suco (Saquinho)</v>
      </c>
    </row>
    <row r="252" spans="4:4" x14ac:dyDescent="0.25">
      <c r="D252" s="63" t="str">
        <f>alimentos[[#This Row],[Item]]</f>
        <v>Suco concentrado (500mL)</v>
      </c>
    </row>
    <row r="253" spans="4:4" x14ac:dyDescent="0.25">
      <c r="D253" s="63" t="str">
        <f>alimentos[[#This Row],[Item]]</f>
        <v>Suco em Pó (450g)</v>
      </c>
    </row>
    <row r="254" spans="4:4" x14ac:dyDescent="0.25">
      <c r="D254" s="63" t="str">
        <f>alimentos[[#This Row],[Item]]</f>
        <v>T</v>
      </c>
    </row>
    <row r="255" spans="4:4" x14ac:dyDescent="0.25">
      <c r="D255" s="63" t="str">
        <f>alimentos[[#This Row],[Item]]</f>
        <v>Tapioca (1kg)</v>
      </c>
    </row>
    <row r="256" spans="4:4" x14ac:dyDescent="0.25">
      <c r="D256" s="63" t="str">
        <f>alimentos[[#This Row],[Item]]</f>
        <v>Tapioca (500g)</v>
      </c>
    </row>
    <row r="257" spans="4:4" x14ac:dyDescent="0.25">
      <c r="D257" s="63" t="str">
        <f>alimentos[[#This Row],[Item]]</f>
        <v>Tempero pronto (500g)</v>
      </c>
    </row>
    <row r="258" spans="4:4" x14ac:dyDescent="0.25">
      <c r="D258" s="63" t="str">
        <f>alimentos[[#This Row],[Item]]</f>
        <v>Tempero pronto(300g)</v>
      </c>
    </row>
    <row r="259" spans="4:4" x14ac:dyDescent="0.25">
      <c r="D259" s="63" t="str">
        <f>alimentos[[#This Row],[Item]]</f>
        <v>Tomate Pelado (400g)</v>
      </c>
    </row>
    <row r="260" spans="4:4" x14ac:dyDescent="0.25">
      <c r="D260" s="63" t="str">
        <f>alimentos[[#This Row],[Item]]</f>
        <v>Torrada</v>
      </c>
    </row>
    <row r="261" spans="4:4" x14ac:dyDescent="0.25">
      <c r="D261" s="63" t="str">
        <f>alimentos[[#This Row],[Item]]</f>
        <v>Trigo pra Kibe</v>
      </c>
    </row>
    <row r="262" spans="4:4" x14ac:dyDescent="0.25">
      <c r="D262" s="63" t="str">
        <f>alimentos[[#This Row],[Item]]</f>
        <v>U</v>
      </c>
    </row>
    <row r="263" spans="4:4" x14ac:dyDescent="0.25">
      <c r="D263" s="63" t="str">
        <f>alimentos[[#This Row],[Item]]</f>
        <v>Uva Passa (100g)</v>
      </c>
    </row>
    <row r="264" spans="4:4" x14ac:dyDescent="0.25">
      <c r="D264" s="63" t="str">
        <f>alimentos[[#This Row],[Item]]</f>
        <v>V</v>
      </c>
    </row>
    <row r="265" spans="4:4" x14ac:dyDescent="0.25">
      <c r="D265" s="63" t="str">
        <f>alimentos[[#This Row],[Item]]</f>
        <v>Vinagre (750ml)</v>
      </c>
    </row>
    <row r="266" spans="4:4" x14ac:dyDescent="0.25">
      <c r="D266" s="63" t="str">
        <f>alimentos[[#This Row],[Item]]</f>
        <v>Y</v>
      </c>
    </row>
    <row r="267" spans="4:4" x14ac:dyDescent="0.25">
      <c r="D267" s="63" t="str">
        <f>alimentos[[#This Row],[Item]]</f>
        <v>Yakissoba (500g)</v>
      </c>
    </row>
    <row r="268" spans="4:4" x14ac:dyDescent="0.25">
      <c r="D268" s="63" t="e">
        <f>alimentos[[#This Row],[Item]]</f>
        <v>#VALUE!</v>
      </c>
    </row>
    <row r="269" spans="4:4" x14ac:dyDescent="0.25">
      <c r="D269" s="63" t="e">
        <f>alimentos[[#This Row],[Item]]</f>
        <v>#VALUE!</v>
      </c>
    </row>
    <row r="270" spans="4:4" x14ac:dyDescent="0.25">
      <c r="D270" s="63" t="e">
        <f>alimentos[[#This Row],[Item]]</f>
        <v>#VALUE!</v>
      </c>
    </row>
    <row r="271" spans="4:4" x14ac:dyDescent="0.25">
      <c r="D271" s="63" t="e">
        <f>alimentos[[#This Row],[Item]]</f>
        <v>#VALUE!</v>
      </c>
    </row>
    <row r="272" spans="4:4" x14ac:dyDescent="0.25">
      <c r="D272" s="63" t="e">
        <f>alimentos[[#This Row],[Item]]</f>
        <v>#VALUE!</v>
      </c>
    </row>
    <row r="273" spans="4:4" x14ac:dyDescent="0.25">
      <c r="D273" s="63" t="e">
        <f>alimentos[[#This Row],[Item]]</f>
        <v>#VALUE!</v>
      </c>
    </row>
    <row r="274" spans="4:4" x14ac:dyDescent="0.25">
      <c r="D274" s="63" t="e">
        <f>alimentos[[#This Row],[Item]]</f>
        <v>#VALUE!</v>
      </c>
    </row>
    <row r="275" spans="4:4" x14ac:dyDescent="0.25">
      <c r="D275" s="63" t="e">
        <f>alimentos[[#This Row],[Item]]</f>
        <v>#VALUE!</v>
      </c>
    </row>
    <row r="276" spans="4:4" x14ac:dyDescent="0.25">
      <c r="D276" s="63" t="e">
        <f>alimentos[[#This Row],[Item]]</f>
        <v>#VALUE!</v>
      </c>
    </row>
    <row r="277" spans="4:4" x14ac:dyDescent="0.25">
      <c r="D277" s="63" t="e">
        <f>alimentos[[#This Row],[Item]]</f>
        <v>#VALUE!</v>
      </c>
    </row>
    <row r="278" spans="4:4" x14ac:dyDescent="0.25">
      <c r="D278" s="63" t="e">
        <f>alimentos[[#This Row],[Item]]</f>
        <v>#VALUE!</v>
      </c>
    </row>
    <row r="279" spans="4:4" x14ac:dyDescent="0.25">
      <c r="D279" s="63" t="e">
        <f>alimentos[[#This Row],[Item]]</f>
        <v>#VALUE!</v>
      </c>
    </row>
    <row r="280" spans="4:4" x14ac:dyDescent="0.25">
      <c r="D280" s="63" t="e">
        <f>alimentos[[#This Row],[Item]]</f>
        <v>#VALUE!</v>
      </c>
    </row>
    <row r="281" spans="4:4" x14ac:dyDescent="0.25">
      <c r="D281" s="63" t="e">
        <f>alimentos[[#This Row],[Item]]</f>
        <v>#VALUE!</v>
      </c>
    </row>
    <row r="282" spans="4:4" x14ac:dyDescent="0.25">
      <c r="D282" s="63" t="e">
        <f>alimentos[[#This Row],[Item]]</f>
        <v>#VALUE!</v>
      </c>
    </row>
    <row r="283" spans="4:4" x14ac:dyDescent="0.25">
      <c r="D283" s="63" t="e">
        <f>alimentos[[#This Row],[Item]]</f>
        <v>#VALUE!</v>
      </c>
    </row>
    <row r="284" spans="4:4" x14ac:dyDescent="0.25">
      <c r="D284" s="63" t="e">
        <f>alimentos[[#This Row],[Item]]</f>
        <v>#VALUE!</v>
      </c>
    </row>
    <row r="285" spans="4:4" x14ac:dyDescent="0.25">
      <c r="D285" s="63" t="e">
        <f>alimentos[[#This Row],[Item]]</f>
        <v>#VALUE!</v>
      </c>
    </row>
    <row r="286" spans="4:4" x14ac:dyDescent="0.25">
      <c r="D286" s="63" t="e">
        <f>alimentos[[#This Row],[Item]]</f>
        <v>#VALUE!</v>
      </c>
    </row>
    <row r="287" spans="4:4" x14ac:dyDescent="0.25">
      <c r="D287" s="63" t="e">
        <f>alimentos[[#This Row],[Item]]</f>
        <v>#VALUE!</v>
      </c>
    </row>
    <row r="288" spans="4:4" x14ac:dyDescent="0.25">
      <c r="D288" s="63" t="e">
        <f>alimentos[[#This Row],[Item]]</f>
        <v>#VALUE!</v>
      </c>
    </row>
    <row r="289" spans="4:4" x14ac:dyDescent="0.25">
      <c r="D289" s="63" t="e">
        <f>alimentos[[#This Row],[Item]]</f>
        <v>#VALUE!</v>
      </c>
    </row>
    <row r="290" spans="4:4" x14ac:dyDescent="0.25">
      <c r="D290" s="63" t="e">
        <f>alimentos[[#This Row],[Item]]</f>
        <v>#VALUE!</v>
      </c>
    </row>
    <row r="291" spans="4:4" x14ac:dyDescent="0.25">
      <c r="D291" s="63" t="e">
        <f>alimentos[[#This Row],[Item]]</f>
        <v>#VALUE!</v>
      </c>
    </row>
    <row r="292" spans="4:4" x14ac:dyDescent="0.25">
      <c r="D292" s="63" t="e">
        <f>alimentos[[#This Row],[Item]]</f>
        <v>#VALUE!</v>
      </c>
    </row>
    <row r="293" spans="4:4" x14ac:dyDescent="0.25">
      <c r="D293" s="63" t="e">
        <f>alimentos[[#This Row],[Item]]</f>
        <v>#VALUE!</v>
      </c>
    </row>
    <row r="294" spans="4:4" x14ac:dyDescent="0.25">
      <c r="D294" s="63" t="e">
        <f>alimentos[[#This Row],[Item]]</f>
        <v>#VALUE!</v>
      </c>
    </row>
    <row r="295" spans="4:4" x14ac:dyDescent="0.25">
      <c r="D295" s="63" t="e">
        <f>alimentos[[#This Row],[Item]]</f>
        <v>#VALUE!</v>
      </c>
    </row>
    <row r="296" spans="4:4" x14ac:dyDescent="0.25">
      <c r="D296" s="63" t="e">
        <f>alimentos[[#This Row],[Item]]</f>
        <v>#VALUE!</v>
      </c>
    </row>
    <row r="297" spans="4:4" x14ac:dyDescent="0.25">
      <c r="D297" s="63" t="e">
        <f>alimentos[[#This Row],[Item]]</f>
        <v>#VALUE!</v>
      </c>
    </row>
    <row r="298" spans="4:4" x14ac:dyDescent="0.25">
      <c r="D298" s="63" t="e">
        <f>alimentos[[#This Row],[Item]]</f>
        <v>#VALUE!</v>
      </c>
    </row>
    <row r="299" spans="4:4" x14ac:dyDescent="0.25">
      <c r="D299" s="63" t="e">
        <f>alimentos[[#This Row],[Item]]</f>
        <v>#VALUE!</v>
      </c>
    </row>
    <row r="300" spans="4:4" x14ac:dyDescent="0.25">
      <c r="D300" s="63" t="e">
        <f>alimentos[[#This Row],[Item]]</f>
        <v>#VALUE!</v>
      </c>
    </row>
    <row r="301" spans="4:4" x14ac:dyDescent="0.25">
      <c r="D301" s="63" t="e">
        <f>alimentos[[#This Row],[Item]]</f>
        <v>#VALUE!</v>
      </c>
    </row>
    <row r="302" spans="4:4" x14ac:dyDescent="0.25">
      <c r="D302" s="63" t="e">
        <f>alimentos[[#This Row],[Item]]</f>
        <v>#VALUE!</v>
      </c>
    </row>
    <row r="303" spans="4:4" x14ac:dyDescent="0.25">
      <c r="D303" s="63" t="e">
        <f>alimentos[[#This Row],[Item]]</f>
        <v>#VALUE!</v>
      </c>
    </row>
    <row r="304" spans="4:4" x14ac:dyDescent="0.25">
      <c r="D304" s="63" t="e">
        <f>alimentos[[#This Row],[Item]]</f>
        <v>#VALUE!</v>
      </c>
    </row>
    <row r="305" spans="4:4" x14ac:dyDescent="0.25">
      <c r="D305" s="63" t="e">
        <f>alimentos[[#This Row],[Item]]</f>
        <v>#VALUE!</v>
      </c>
    </row>
    <row r="306" spans="4:4" x14ac:dyDescent="0.25">
      <c r="D306" s="63" t="e">
        <f>alimentos[[#This Row],[Item]]</f>
        <v>#VALUE!</v>
      </c>
    </row>
    <row r="307" spans="4:4" x14ac:dyDescent="0.25">
      <c r="D307" s="63" t="e">
        <f>alimentos[[#This Row],[Item]]</f>
        <v>#VALUE!</v>
      </c>
    </row>
    <row r="308" spans="4:4" x14ac:dyDescent="0.25">
      <c r="D308" s="63" t="e">
        <f>alimentos[[#This Row],[Item]]</f>
        <v>#VALUE!</v>
      </c>
    </row>
    <row r="309" spans="4:4" x14ac:dyDescent="0.25">
      <c r="D309" s="63" t="e">
        <f>alimentos[[#This Row],[Item]]</f>
        <v>#VALUE!</v>
      </c>
    </row>
    <row r="310" spans="4:4" x14ac:dyDescent="0.25">
      <c r="D310" s="63" t="e">
        <f>alimentos[[#This Row],[Item]]</f>
        <v>#VALUE!</v>
      </c>
    </row>
    <row r="311" spans="4:4" x14ac:dyDescent="0.25">
      <c r="D311" s="63" t="e">
        <f>alimentos[[#This Row],[Item]]</f>
        <v>#VALUE!</v>
      </c>
    </row>
    <row r="312" spans="4:4" x14ac:dyDescent="0.25">
      <c r="D312" s="63" t="e">
        <f>alimentos[[#This Row],[Item]]</f>
        <v>#VALUE!</v>
      </c>
    </row>
    <row r="313" spans="4:4" x14ac:dyDescent="0.25">
      <c r="D313" s="63" t="e">
        <f>alimentos[[#This Row],[Item]]</f>
        <v>#VALUE!</v>
      </c>
    </row>
    <row r="314" spans="4:4" x14ac:dyDescent="0.25">
      <c r="D314" s="63" t="e">
        <f>alimentos[[#This Row],[Item]]</f>
        <v>#VALUE!</v>
      </c>
    </row>
    <row r="315" spans="4:4" x14ac:dyDescent="0.25">
      <c r="D315" s="63" t="e">
        <f>alimentos[[#This Row],[Item]]</f>
        <v>#VALUE!</v>
      </c>
    </row>
    <row r="316" spans="4:4" x14ac:dyDescent="0.25">
      <c r="D316" s="63" t="e">
        <f>alimentos[[#This Row],[Item]]</f>
        <v>#VALUE!</v>
      </c>
    </row>
    <row r="317" spans="4:4" x14ac:dyDescent="0.25">
      <c r="D317" s="63" t="e">
        <f>alimentos[[#This Row],[Item]]</f>
        <v>#VALUE!</v>
      </c>
    </row>
    <row r="318" spans="4:4" x14ac:dyDescent="0.25">
      <c r="D318" s="63" t="e">
        <f>alimentos[[#This Row],[Item]]</f>
        <v>#VALUE!</v>
      </c>
    </row>
    <row r="319" spans="4:4" x14ac:dyDescent="0.25">
      <c r="D319" s="63" t="e">
        <f>alimentos[[#This Row],[Item]]</f>
        <v>#VALUE!</v>
      </c>
    </row>
    <row r="320" spans="4:4" x14ac:dyDescent="0.25">
      <c r="D320" s="63" t="e">
        <f>alimentos[[#This Row],[Item]]</f>
        <v>#VALUE!</v>
      </c>
    </row>
    <row r="321" spans="4:4" x14ac:dyDescent="0.25">
      <c r="D321" s="63" t="e">
        <f>alimentos[[#This Row],[Item]]</f>
        <v>#VALUE!</v>
      </c>
    </row>
    <row r="322" spans="4:4" x14ac:dyDescent="0.25">
      <c r="D322" s="63" t="e">
        <f>alimentos[[#This Row],[Item]]</f>
        <v>#VALUE!</v>
      </c>
    </row>
    <row r="323" spans="4:4" x14ac:dyDescent="0.25">
      <c r="D323" s="63" t="e">
        <f>alimentos[[#This Row],[Item]]</f>
        <v>#VALUE!</v>
      </c>
    </row>
    <row r="324" spans="4:4" x14ac:dyDescent="0.25">
      <c r="D324" s="63" t="e">
        <f>alimentos[[#This Row],[Item]]</f>
        <v>#VALUE!</v>
      </c>
    </row>
    <row r="325" spans="4:4" x14ac:dyDescent="0.25">
      <c r="D325" s="63" t="e">
        <f>alimentos[[#This Row],[Item]]</f>
        <v>#VALUE!</v>
      </c>
    </row>
    <row r="326" spans="4:4" x14ac:dyDescent="0.25">
      <c r="D326" s="63" t="e">
        <f>alimentos[[#This Row],[Item]]</f>
        <v>#VALUE!</v>
      </c>
    </row>
    <row r="327" spans="4:4" x14ac:dyDescent="0.25">
      <c r="D327" s="63" t="e">
        <f>alimentos[[#This Row],[Item]]</f>
        <v>#VALUE!</v>
      </c>
    </row>
    <row r="328" spans="4:4" x14ac:dyDescent="0.25">
      <c r="D328" s="63" t="e">
        <f>alimentos[[#This Row],[Item]]</f>
        <v>#VALUE!</v>
      </c>
    </row>
    <row r="329" spans="4:4" x14ac:dyDescent="0.25">
      <c r="D329" s="63" t="e">
        <f>alimentos[[#This Row],[Item]]</f>
        <v>#VALUE!</v>
      </c>
    </row>
    <row r="330" spans="4:4" x14ac:dyDescent="0.25">
      <c r="D330" s="63" t="e">
        <f>alimentos[[#This Row],[Item]]</f>
        <v>#VALUE!</v>
      </c>
    </row>
    <row r="331" spans="4:4" x14ac:dyDescent="0.25">
      <c r="D331" s="63" t="e">
        <f>alimentos[[#This Row],[Item]]</f>
        <v>#VALUE!</v>
      </c>
    </row>
    <row r="332" spans="4:4" x14ac:dyDescent="0.25">
      <c r="D332" s="63" t="e">
        <f>alimentos[[#This Row],[Item]]</f>
        <v>#VALUE!</v>
      </c>
    </row>
    <row r="333" spans="4:4" x14ac:dyDescent="0.25">
      <c r="D333" s="63" t="e">
        <f>alimentos[[#This Row],[Item]]</f>
        <v>#VALUE!</v>
      </c>
    </row>
    <row r="334" spans="4:4" x14ac:dyDescent="0.25">
      <c r="D334" s="63" t="e">
        <f>alimentos[[#This Row],[Item]]</f>
        <v>#VALUE!</v>
      </c>
    </row>
    <row r="335" spans="4:4" x14ac:dyDescent="0.25">
      <c r="D335" s="63" t="e">
        <f>alimentos[[#This Row],[Item]]</f>
        <v>#VALUE!</v>
      </c>
    </row>
    <row r="336" spans="4:4" x14ac:dyDescent="0.25">
      <c r="D336" s="63" t="e">
        <f>alimentos[[#This Row],[Item]]</f>
        <v>#VALUE!</v>
      </c>
    </row>
    <row r="337" spans="4:4" x14ac:dyDescent="0.25">
      <c r="D337" s="63" t="e">
        <f>alimentos[[#This Row],[Item]]</f>
        <v>#VALUE!</v>
      </c>
    </row>
    <row r="338" spans="4:4" x14ac:dyDescent="0.25">
      <c r="D338" s="63" t="e">
        <f>alimentos[[#This Row],[Item]]</f>
        <v>#VALUE!</v>
      </c>
    </row>
    <row r="339" spans="4:4" x14ac:dyDescent="0.25">
      <c r="D339" s="63" t="e">
        <f>alimentos[[#This Row],[Item]]</f>
        <v>#VALUE!</v>
      </c>
    </row>
    <row r="340" spans="4:4" x14ac:dyDescent="0.25">
      <c r="D340" s="63" t="e">
        <f>alimentos[[#This Row],[Item]]</f>
        <v>#VALUE!</v>
      </c>
    </row>
    <row r="341" spans="4:4" x14ac:dyDescent="0.25">
      <c r="D341" s="63" t="e">
        <f>alimentos[[#This Row],[Item]]</f>
        <v>#VALUE!</v>
      </c>
    </row>
    <row r="342" spans="4:4" x14ac:dyDescent="0.25">
      <c r="D342" s="63" t="e">
        <f>alimentos[[#This Row],[Item]]</f>
        <v>#VALUE!</v>
      </c>
    </row>
    <row r="343" spans="4:4" x14ac:dyDescent="0.25">
      <c r="D343" s="63" t="e">
        <f>alimentos[[#This Row],[Item]]</f>
        <v>#VALUE!</v>
      </c>
    </row>
    <row r="344" spans="4:4" x14ac:dyDescent="0.25">
      <c r="D344" s="63" t="e">
        <f>alimentos[[#This Row],[Item]]</f>
        <v>#VALUE!</v>
      </c>
    </row>
    <row r="345" spans="4:4" x14ac:dyDescent="0.25">
      <c r="D345" s="63" t="e">
        <f>alimentos[[#This Row],[Item]]</f>
        <v>#VALUE!</v>
      </c>
    </row>
    <row r="346" spans="4:4" x14ac:dyDescent="0.25">
      <c r="D346" s="63" t="e">
        <f>alimentos[[#This Row],[Item]]</f>
        <v>#VALUE!</v>
      </c>
    </row>
    <row r="347" spans="4:4" x14ac:dyDescent="0.25">
      <c r="D347" s="63" t="e">
        <f>alimentos[[#This Row],[Item]]</f>
        <v>#VALUE!</v>
      </c>
    </row>
    <row r="348" spans="4:4" x14ac:dyDescent="0.25">
      <c r="D348" s="63" t="e">
        <f>alimentos[[#This Row],[Item]]</f>
        <v>#VALUE!</v>
      </c>
    </row>
    <row r="349" spans="4:4" x14ac:dyDescent="0.25">
      <c r="D349" s="63" t="e">
        <f>alimentos[[#This Row],[Item]]</f>
        <v>#VALUE!</v>
      </c>
    </row>
    <row r="350" spans="4:4" x14ac:dyDescent="0.25">
      <c r="D350" s="63" t="e">
        <f>alimentos[[#This Row],[Item]]</f>
        <v>#VALUE!</v>
      </c>
    </row>
    <row r="351" spans="4:4" x14ac:dyDescent="0.25">
      <c r="D351" s="63" t="e">
        <f>alimentos[[#This Row],[Item]]</f>
        <v>#VALUE!</v>
      </c>
    </row>
    <row r="352" spans="4:4" x14ac:dyDescent="0.25">
      <c r="D352" s="63" t="e">
        <f>alimentos[[#This Row],[Item]]</f>
        <v>#VALUE!</v>
      </c>
    </row>
    <row r="353" spans="4:4" x14ac:dyDescent="0.25">
      <c r="D353" s="63" t="e">
        <f>alimentos[[#This Row],[Item]]</f>
        <v>#VALUE!</v>
      </c>
    </row>
    <row r="354" spans="4:4" x14ac:dyDescent="0.25">
      <c r="D354" s="63" t="e">
        <f>alimentos[[#This Row],[Item]]</f>
        <v>#VALUE!</v>
      </c>
    </row>
    <row r="355" spans="4:4" x14ac:dyDescent="0.25">
      <c r="D355" s="63" t="e">
        <f>alimentos[[#This Row],[Item]]</f>
        <v>#VALUE!</v>
      </c>
    </row>
    <row r="356" spans="4:4" x14ac:dyDescent="0.25">
      <c r="D356" s="63" t="e">
        <f>alimentos[[#This Row],[Item]]</f>
        <v>#VALUE!</v>
      </c>
    </row>
    <row r="357" spans="4:4" x14ac:dyDescent="0.25">
      <c r="D357" s="63" t="e">
        <f>alimentos[[#This Row],[Item]]</f>
        <v>#VALUE!</v>
      </c>
    </row>
    <row r="358" spans="4:4" x14ac:dyDescent="0.25">
      <c r="D358" s="63" t="e">
        <f>alimentos[[#This Row],[Item]]</f>
        <v>#VALUE!</v>
      </c>
    </row>
    <row r="359" spans="4:4" x14ac:dyDescent="0.25">
      <c r="D359" s="63" t="e">
        <f>alimentos[[#This Row],[Item]]</f>
        <v>#VALUE!</v>
      </c>
    </row>
    <row r="360" spans="4:4" x14ac:dyDescent="0.25">
      <c r="D360" s="63" t="e">
        <f>alimentos[[#This Row],[Item]]</f>
        <v>#VALUE!</v>
      </c>
    </row>
    <row r="361" spans="4:4" x14ac:dyDescent="0.25">
      <c r="D361" s="63" t="e">
        <f>alimentos[[#This Row],[Item]]</f>
        <v>#VALUE!</v>
      </c>
    </row>
    <row r="362" spans="4:4" x14ac:dyDescent="0.25">
      <c r="D362" s="63" t="e">
        <f>alimentos[[#This Row],[Item]]</f>
        <v>#VALUE!</v>
      </c>
    </row>
    <row r="363" spans="4:4" x14ac:dyDescent="0.25">
      <c r="D363" s="63" t="e">
        <f>alimentos[[#This Row],[Item]]</f>
        <v>#VALUE!</v>
      </c>
    </row>
    <row r="364" spans="4:4" x14ac:dyDescent="0.25">
      <c r="D364" s="63" t="e">
        <f>alimentos[[#This Row],[Item]]</f>
        <v>#VALUE!</v>
      </c>
    </row>
  </sheetData>
  <mergeCells count="4">
    <mergeCell ref="E1:F1"/>
    <mergeCell ref="A3:B3"/>
    <mergeCell ref="A6:B6"/>
    <mergeCell ref="A9:B9"/>
  </mergeCells>
  <conditionalFormatting sqref="D5:D364">
    <cfRule type="expression" dxfId="96" priority="10">
      <formula>OR(D5="A",D5="B",D5="C",D5="D",D5="E",D5="F",D5="G",D5="H",D5="I",D5="J",D5="K",D5="L",D5="M",D5="N",D5="O",D5="P",D5="Q",D5="R",D5="S",D5="T",D5="U",D5="V",D5="W",D5="X",D5="Y",D5="Z")</formula>
    </cfRule>
  </conditionalFormatting>
  <conditionalFormatting sqref="F5:F172">
    <cfRule type="expression" dxfId="95" priority="9">
      <formula>OR(F5="A",F5="B",F5="C",F5="D",F5="E",F5="F",F5="G",F5="H",F5="I",F5="J",F5="K",F5="L",F5="M",F5="N",F5="O",F5="P",F5="Q",F5="R",F5="S",F5="T",F5="U",F5="V",F5="W",F5="X",F5="Y",F5="Z")</formula>
    </cfRule>
  </conditionalFormatting>
  <conditionalFormatting sqref="A7">
    <cfRule type="expression" dxfId="94" priority="8">
      <formula>OR(A7="A",A7="B",A7="C",A7="D",A7="E",A7="F",A7="G",A7="H",A7="I",A7="J",A7="K",A7="L",A7="M",A7="N",A7="O",A7="P",A7="Q",A7="R",A7="S",A7="T",A7="U",A7="V",A7="W",A7="X",A7="Y",A7="Z")</formula>
    </cfRule>
  </conditionalFormatting>
  <conditionalFormatting sqref="H5">
    <cfRule type="expression" dxfId="93" priority="4">
      <formula>COUNTIF(lista,H5)=0</formula>
    </cfRule>
  </conditionalFormatting>
  <hyperlinks>
    <hyperlink ref="D1" location="topo1" display="Topo" xr:uid="{00000000-0004-0000-0000-000000000000}"/>
    <hyperlink ref="A3" location="Categorias!A1" display="Categorias" xr:uid="{00000000-0004-0000-0000-000001000000}"/>
    <hyperlink ref="A9:B9" location="'Resumo total'!A1" display="Resumo" xr:uid="{00000000-0004-0000-0000-000002000000}"/>
    <hyperlink ref="A3:B3" location="topocategorias" display="Categorias" xr:uid="{00000000-0004-0000-0000-000003000000}"/>
    <hyperlink ref="A6:B6" location="topo_cb" display="CadastroCB" xr:uid="{00000000-0004-0000-0000-000004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item">
                <anchor moveWithCells="1" sizeWithCells="1">
                  <from>
                    <xdr:col>4</xdr:col>
                    <xdr:colOff>57150</xdr:colOff>
                    <xdr:row>4</xdr:row>
                    <xdr:rowOff>9525</xdr:rowOff>
                  </from>
                  <to>
                    <xdr:col>4</xdr:col>
                    <xdr:colOff>219075</xdr:colOff>
                    <xdr:row>4</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Add_item">
                <anchor moveWithCells="1" sizeWithCells="1">
                  <from>
                    <xdr:col>4</xdr:col>
                    <xdr:colOff>57150</xdr:colOff>
                    <xdr:row>6</xdr:row>
                    <xdr:rowOff>9525</xdr:rowOff>
                  </from>
                  <to>
                    <xdr:col>4</xdr:col>
                    <xdr:colOff>219075</xdr:colOff>
                    <xdr:row>6</xdr:row>
                    <xdr:rowOff>171450</xdr:rowOff>
                  </to>
                </anchor>
              </controlPr>
            </control>
          </mc:Choice>
        </mc:AlternateContent>
        <mc:AlternateContent xmlns:mc="http://schemas.openxmlformats.org/markup-compatibility/2006">
          <mc:Choice Requires="x14">
            <control shapeId="2052" r:id="rId6" name="Button 4">
              <controlPr defaultSize="0" print="0" autoFill="0" autoPict="0" macro="[0]!Add_item">
                <anchor moveWithCells="1" sizeWithCells="1">
                  <from>
                    <xdr:col>4</xdr:col>
                    <xdr:colOff>57150</xdr:colOff>
                    <xdr:row>7</xdr:row>
                    <xdr:rowOff>9525</xdr:rowOff>
                  </from>
                  <to>
                    <xdr:col>4</xdr:col>
                    <xdr:colOff>219075</xdr:colOff>
                    <xdr:row>7</xdr:row>
                    <xdr:rowOff>171450</xdr:rowOff>
                  </to>
                </anchor>
              </controlPr>
            </control>
          </mc:Choice>
        </mc:AlternateContent>
        <mc:AlternateContent xmlns:mc="http://schemas.openxmlformats.org/markup-compatibility/2006">
          <mc:Choice Requires="x14">
            <control shapeId="2053" r:id="rId7" name="Button 5">
              <controlPr defaultSize="0" print="0" autoFill="0" autoPict="0" macro="[0]!Add_item">
                <anchor moveWithCells="1" sizeWithCells="1">
                  <from>
                    <xdr:col>4</xdr:col>
                    <xdr:colOff>57150</xdr:colOff>
                    <xdr:row>8</xdr:row>
                    <xdr:rowOff>9525</xdr:rowOff>
                  </from>
                  <to>
                    <xdr:col>4</xdr:col>
                    <xdr:colOff>219075</xdr:colOff>
                    <xdr:row>8</xdr:row>
                    <xdr:rowOff>171450</xdr:rowOff>
                  </to>
                </anchor>
              </controlPr>
            </control>
          </mc:Choice>
        </mc:AlternateContent>
        <mc:AlternateContent xmlns:mc="http://schemas.openxmlformats.org/markup-compatibility/2006">
          <mc:Choice Requires="x14">
            <control shapeId="2054" r:id="rId8" name="Button 6">
              <controlPr defaultSize="0" print="0" autoFill="0" autoPict="0" macro="[0]!Add_item">
                <anchor moveWithCells="1" sizeWithCells="1">
                  <from>
                    <xdr:col>4</xdr:col>
                    <xdr:colOff>57150</xdr:colOff>
                    <xdr:row>9</xdr:row>
                    <xdr:rowOff>9525</xdr:rowOff>
                  </from>
                  <to>
                    <xdr:col>4</xdr:col>
                    <xdr:colOff>219075</xdr:colOff>
                    <xdr:row>9</xdr:row>
                    <xdr:rowOff>171450</xdr:rowOff>
                  </to>
                </anchor>
              </controlPr>
            </control>
          </mc:Choice>
        </mc:AlternateContent>
        <mc:AlternateContent xmlns:mc="http://schemas.openxmlformats.org/markup-compatibility/2006">
          <mc:Choice Requires="x14">
            <control shapeId="2056" r:id="rId9" name="Button 8">
              <controlPr defaultSize="0" print="0" autoFill="0" autoPict="0" macro="[0]!Add_item">
                <anchor moveWithCells="1" sizeWithCells="1">
                  <from>
                    <xdr:col>4</xdr:col>
                    <xdr:colOff>57150</xdr:colOff>
                    <xdr:row>5</xdr:row>
                    <xdr:rowOff>9525</xdr:rowOff>
                  </from>
                  <to>
                    <xdr:col>4</xdr:col>
                    <xdr:colOff>219075</xdr:colOff>
                    <xdr:row>5</xdr:row>
                    <xdr:rowOff>171450</xdr:rowOff>
                  </to>
                </anchor>
              </controlPr>
            </control>
          </mc:Choice>
        </mc:AlternateContent>
        <mc:AlternateContent xmlns:mc="http://schemas.openxmlformats.org/markup-compatibility/2006">
          <mc:Choice Requires="x14">
            <control shapeId="2057" r:id="rId10" name="Button 9">
              <controlPr defaultSize="0" print="0" autoFill="0" autoPict="0" macro="[0]!Add_item">
                <anchor moveWithCells="1" sizeWithCells="1">
                  <from>
                    <xdr:col>4</xdr:col>
                    <xdr:colOff>57150</xdr:colOff>
                    <xdr:row>10</xdr:row>
                    <xdr:rowOff>9525</xdr:rowOff>
                  </from>
                  <to>
                    <xdr:col>4</xdr:col>
                    <xdr:colOff>219075</xdr:colOff>
                    <xdr:row>10</xdr:row>
                    <xdr:rowOff>171450</xdr:rowOff>
                  </to>
                </anchor>
              </controlPr>
            </control>
          </mc:Choice>
        </mc:AlternateContent>
        <mc:AlternateContent xmlns:mc="http://schemas.openxmlformats.org/markup-compatibility/2006">
          <mc:Choice Requires="x14">
            <control shapeId="2058" r:id="rId11" name="Button 10">
              <controlPr defaultSize="0" print="0" autoFill="0" autoPict="0" macro="[0]!Add_item">
                <anchor moveWithCells="1" sizeWithCells="1">
                  <from>
                    <xdr:col>4</xdr:col>
                    <xdr:colOff>57150</xdr:colOff>
                    <xdr:row>11</xdr:row>
                    <xdr:rowOff>9525</xdr:rowOff>
                  </from>
                  <to>
                    <xdr:col>4</xdr:col>
                    <xdr:colOff>219075</xdr:colOff>
                    <xdr:row>11</xdr:row>
                    <xdr:rowOff>171450</xdr:rowOff>
                  </to>
                </anchor>
              </controlPr>
            </control>
          </mc:Choice>
        </mc:AlternateContent>
        <mc:AlternateContent xmlns:mc="http://schemas.openxmlformats.org/markup-compatibility/2006">
          <mc:Choice Requires="x14">
            <control shapeId="2059" r:id="rId12" name="Button 11">
              <controlPr defaultSize="0" print="0" autoFill="0" autoPict="0" macro="[0]!Add_item">
                <anchor moveWithCells="1" sizeWithCells="1">
                  <from>
                    <xdr:col>4</xdr:col>
                    <xdr:colOff>57150</xdr:colOff>
                    <xdr:row>12</xdr:row>
                    <xdr:rowOff>9525</xdr:rowOff>
                  </from>
                  <to>
                    <xdr:col>4</xdr:col>
                    <xdr:colOff>219075</xdr:colOff>
                    <xdr:row>12</xdr:row>
                    <xdr:rowOff>171450</xdr:rowOff>
                  </to>
                </anchor>
              </controlPr>
            </control>
          </mc:Choice>
        </mc:AlternateContent>
        <mc:AlternateContent xmlns:mc="http://schemas.openxmlformats.org/markup-compatibility/2006">
          <mc:Choice Requires="x14">
            <control shapeId="2060" r:id="rId13" name="Button 12">
              <controlPr defaultSize="0" print="0" autoFill="0" autoPict="0" macro="[0]!Add_item">
                <anchor moveWithCells="1" sizeWithCells="1">
                  <from>
                    <xdr:col>4</xdr:col>
                    <xdr:colOff>57150</xdr:colOff>
                    <xdr:row>13</xdr:row>
                    <xdr:rowOff>9525</xdr:rowOff>
                  </from>
                  <to>
                    <xdr:col>4</xdr:col>
                    <xdr:colOff>219075</xdr:colOff>
                    <xdr:row>13</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Add_item">
                <anchor moveWithCells="1" sizeWithCells="1">
                  <from>
                    <xdr:col>4</xdr:col>
                    <xdr:colOff>57150</xdr:colOff>
                    <xdr:row>14</xdr:row>
                    <xdr:rowOff>9525</xdr:rowOff>
                  </from>
                  <to>
                    <xdr:col>4</xdr:col>
                    <xdr:colOff>219075</xdr:colOff>
                    <xdr:row>14</xdr:row>
                    <xdr:rowOff>171450</xdr:rowOff>
                  </to>
                </anchor>
              </controlPr>
            </control>
          </mc:Choice>
        </mc:AlternateContent>
        <mc:AlternateContent xmlns:mc="http://schemas.openxmlformats.org/markup-compatibility/2006">
          <mc:Choice Requires="x14">
            <control shapeId="2062" r:id="rId15" name="Button 14">
              <controlPr defaultSize="0" print="0" autoFill="0" autoPict="0" macro="[0]!Add_item">
                <anchor moveWithCells="1" sizeWithCells="1">
                  <from>
                    <xdr:col>4</xdr:col>
                    <xdr:colOff>57150</xdr:colOff>
                    <xdr:row>15</xdr:row>
                    <xdr:rowOff>9525</xdr:rowOff>
                  </from>
                  <to>
                    <xdr:col>4</xdr:col>
                    <xdr:colOff>219075</xdr:colOff>
                    <xdr:row>15</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Add_item">
                <anchor moveWithCells="1" sizeWithCells="1">
                  <from>
                    <xdr:col>4</xdr:col>
                    <xdr:colOff>57150</xdr:colOff>
                    <xdr:row>16</xdr:row>
                    <xdr:rowOff>9525</xdr:rowOff>
                  </from>
                  <to>
                    <xdr:col>4</xdr:col>
                    <xdr:colOff>219075</xdr:colOff>
                    <xdr:row>16</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Add_item">
                <anchor moveWithCells="1" sizeWithCells="1">
                  <from>
                    <xdr:col>4</xdr:col>
                    <xdr:colOff>57150</xdr:colOff>
                    <xdr:row>17</xdr:row>
                    <xdr:rowOff>9525</xdr:rowOff>
                  </from>
                  <to>
                    <xdr:col>4</xdr:col>
                    <xdr:colOff>219075</xdr:colOff>
                    <xdr:row>17</xdr:row>
                    <xdr:rowOff>171450</xdr:rowOff>
                  </to>
                </anchor>
              </controlPr>
            </control>
          </mc:Choice>
        </mc:AlternateContent>
        <mc:AlternateContent xmlns:mc="http://schemas.openxmlformats.org/markup-compatibility/2006">
          <mc:Choice Requires="x14">
            <control shapeId="2065" r:id="rId18" name="Button 17">
              <controlPr defaultSize="0" print="0" autoFill="0" autoPict="0" macro="[0]!Add_item">
                <anchor moveWithCells="1" sizeWithCells="1">
                  <from>
                    <xdr:col>4</xdr:col>
                    <xdr:colOff>57150</xdr:colOff>
                    <xdr:row>18</xdr:row>
                    <xdr:rowOff>9525</xdr:rowOff>
                  </from>
                  <to>
                    <xdr:col>4</xdr:col>
                    <xdr:colOff>219075</xdr:colOff>
                    <xdr:row>18</xdr:row>
                    <xdr:rowOff>171450</xdr:rowOff>
                  </to>
                </anchor>
              </controlPr>
            </control>
          </mc:Choice>
        </mc:AlternateContent>
        <mc:AlternateContent xmlns:mc="http://schemas.openxmlformats.org/markup-compatibility/2006">
          <mc:Choice Requires="x14">
            <control shapeId="2066" r:id="rId19" name="Button 18">
              <controlPr defaultSize="0" print="0" autoFill="0" autoPict="0" macro="[0]!Add_item">
                <anchor moveWithCells="1" sizeWithCells="1">
                  <from>
                    <xdr:col>4</xdr:col>
                    <xdr:colOff>57150</xdr:colOff>
                    <xdr:row>19</xdr:row>
                    <xdr:rowOff>9525</xdr:rowOff>
                  </from>
                  <to>
                    <xdr:col>4</xdr:col>
                    <xdr:colOff>219075</xdr:colOff>
                    <xdr:row>19</xdr:row>
                    <xdr:rowOff>171450</xdr:rowOff>
                  </to>
                </anchor>
              </controlPr>
            </control>
          </mc:Choice>
        </mc:AlternateContent>
        <mc:AlternateContent xmlns:mc="http://schemas.openxmlformats.org/markup-compatibility/2006">
          <mc:Choice Requires="x14">
            <control shapeId="2067" r:id="rId20" name="Button 19">
              <controlPr defaultSize="0" print="0" autoFill="0" autoPict="0" macro="[0]!Add_item">
                <anchor moveWithCells="1" sizeWithCells="1">
                  <from>
                    <xdr:col>4</xdr:col>
                    <xdr:colOff>57150</xdr:colOff>
                    <xdr:row>20</xdr:row>
                    <xdr:rowOff>9525</xdr:rowOff>
                  </from>
                  <to>
                    <xdr:col>4</xdr:col>
                    <xdr:colOff>219075</xdr:colOff>
                    <xdr:row>20</xdr:row>
                    <xdr:rowOff>171450</xdr:rowOff>
                  </to>
                </anchor>
              </controlPr>
            </control>
          </mc:Choice>
        </mc:AlternateContent>
        <mc:AlternateContent xmlns:mc="http://schemas.openxmlformats.org/markup-compatibility/2006">
          <mc:Choice Requires="x14">
            <control shapeId="2068" r:id="rId21" name="Button 20">
              <controlPr defaultSize="0" print="0" autoFill="0" autoPict="0" macro="[0]!Add_item">
                <anchor moveWithCells="1" sizeWithCells="1">
                  <from>
                    <xdr:col>4</xdr:col>
                    <xdr:colOff>57150</xdr:colOff>
                    <xdr:row>21</xdr:row>
                    <xdr:rowOff>9525</xdr:rowOff>
                  </from>
                  <to>
                    <xdr:col>4</xdr:col>
                    <xdr:colOff>219075</xdr:colOff>
                    <xdr:row>21</xdr:row>
                    <xdr:rowOff>171450</xdr:rowOff>
                  </to>
                </anchor>
              </controlPr>
            </control>
          </mc:Choice>
        </mc:AlternateContent>
        <mc:AlternateContent xmlns:mc="http://schemas.openxmlformats.org/markup-compatibility/2006">
          <mc:Choice Requires="x14">
            <control shapeId="2069" r:id="rId22" name="Button 21">
              <controlPr defaultSize="0" print="0" autoFill="0" autoPict="0" macro="[0]!Add_item">
                <anchor moveWithCells="1" sizeWithCells="1">
                  <from>
                    <xdr:col>4</xdr:col>
                    <xdr:colOff>57150</xdr:colOff>
                    <xdr:row>22</xdr:row>
                    <xdr:rowOff>9525</xdr:rowOff>
                  </from>
                  <to>
                    <xdr:col>4</xdr:col>
                    <xdr:colOff>219075</xdr:colOff>
                    <xdr:row>22</xdr:row>
                    <xdr:rowOff>171450</xdr:rowOff>
                  </to>
                </anchor>
              </controlPr>
            </control>
          </mc:Choice>
        </mc:AlternateContent>
        <mc:AlternateContent xmlns:mc="http://schemas.openxmlformats.org/markup-compatibility/2006">
          <mc:Choice Requires="x14">
            <control shapeId="2070" r:id="rId23" name="Button 22">
              <controlPr defaultSize="0" print="0" autoFill="0" autoPict="0" macro="[0]!Add_item">
                <anchor moveWithCells="1" sizeWithCells="1">
                  <from>
                    <xdr:col>4</xdr:col>
                    <xdr:colOff>57150</xdr:colOff>
                    <xdr:row>23</xdr:row>
                    <xdr:rowOff>9525</xdr:rowOff>
                  </from>
                  <to>
                    <xdr:col>4</xdr:col>
                    <xdr:colOff>219075</xdr:colOff>
                    <xdr:row>23</xdr:row>
                    <xdr:rowOff>171450</xdr:rowOff>
                  </to>
                </anchor>
              </controlPr>
            </control>
          </mc:Choice>
        </mc:AlternateContent>
        <mc:AlternateContent xmlns:mc="http://schemas.openxmlformats.org/markup-compatibility/2006">
          <mc:Choice Requires="x14">
            <control shapeId="2071" r:id="rId24" name="Button 23">
              <controlPr defaultSize="0" print="0" autoFill="0" autoPict="0" macro="[0]!Add_item">
                <anchor moveWithCells="1" sizeWithCells="1">
                  <from>
                    <xdr:col>4</xdr:col>
                    <xdr:colOff>57150</xdr:colOff>
                    <xdr:row>24</xdr:row>
                    <xdr:rowOff>9525</xdr:rowOff>
                  </from>
                  <to>
                    <xdr:col>4</xdr:col>
                    <xdr:colOff>219075</xdr:colOff>
                    <xdr:row>24</xdr:row>
                    <xdr:rowOff>171450</xdr:rowOff>
                  </to>
                </anchor>
              </controlPr>
            </control>
          </mc:Choice>
        </mc:AlternateContent>
        <mc:AlternateContent xmlns:mc="http://schemas.openxmlformats.org/markup-compatibility/2006">
          <mc:Choice Requires="x14">
            <control shapeId="2072" r:id="rId25" name="Button 24">
              <controlPr defaultSize="0" print="0" autoFill="0" autoPict="0" macro="[0]!Add_item">
                <anchor moveWithCells="1" sizeWithCells="1">
                  <from>
                    <xdr:col>4</xdr:col>
                    <xdr:colOff>57150</xdr:colOff>
                    <xdr:row>25</xdr:row>
                    <xdr:rowOff>9525</xdr:rowOff>
                  </from>
                  <to>
                    <xdr:col>4</xdr:col>
                    <xdr:colOff>219075</xdr:colOff>
                    <xdr:row>25</xdr:row>
                    <xdr:rowOff>171450</xdr:rowOff>
                  </to>
                </anchor>
              </controlPr>
            </control>
          </mc:Choice>
        </mc:AlternateContent>
        <mc:AlternateContent xmlns:mc="http://schemas.openxmlformats.org/markup-compatibility/2006">
          <mc:Choice Requires="x14">
            <control shapeId="2073" r:id="rId26" name="Button 25">
              <controlPr defaultSize="0" print="0" autoFill="0" autoPict="0" macro="[0]!Add_item">
                <anchor moveWithCells="1" sizeWithCells="1">
                  <from>
                    <xdr:col>4</xdr:col>
                    <xdr:colOff>57150</xdr:colOff>
                    <xdr:row>27</xdr:row>
                    <xdr:rowOff>9525</xdr:rowOff>
                  </from>
                  <to>
                    <xdr:col>4</xdr:col>
                    <xdr:colOff>219075</xdr:colOff>
                    <xdr:row>27</xdr:row>
                    <xdr:rowOff>171450</xdr:rowOff>
                  </to>
                </anchor>
              </controlPr>
            </control>
          </mc:Choice>
        </mc:AlternateContent>
        <mc:AlternateContent xmlns:mc="http://schemas.openxmlformats.org/markup-compatibility/2006">
          <mc:Choice Requires="x14">
            <control shapeId="2074" r:id="rId27" name="Button 26">
              <controlPr defaultSize="0" print="0" autoFill="0" autoPict="0" macro="[0]!Add_item">
                <anchor moveWithCells="1" sizeWithCells="1">
                  <from>
                    <xdr:col>4</xdr:col>
                    <xdr:colOff>57150</xdr:colOff>
                    <xdr:row>26</xdr:row>
                    <xdr:rowOff>9525</xdr:rowOff>
                  </from>
                  <to>
                    <xdr:col>4</xdr:col>
                    <xdr:colOff>219075</xdr:colOff>
                    <xdr:row>26</xdr:row>
                    <xdr:rowOff>171450</xdr:rowOff>
                  </to>
                </anchor>
              </controlPr>
            </control>
          </mc:Choice>
        </mc:AlternateContent>
        <mc:AlternateContent xmlns:mc="http://schemas.openxmlformats.org/markup-compatibility/2006">
          <mc:Choice Requires="x14">
            <control shapeId="2075" r:id="rId28" name="Button 27">
              <controlPr defaultSize="0" print="0" autoFill="0" autoPict="0" macro="[0]!Add_item">
                <anchor moveWithCells="1" sizeWithCells="1">
                  <from>
                    <xdr:col>4</xdr:col>
                    <xdr:colOff>57150</xdr:colOff>
                    <xdr:row>28</xdr:row>
                    <xdr:rowOff>9525</xdr:rowOff>
                  </from>
                  <to>
                    <xdr:col>4</xdr:col>
                    <xdr:colOff>219075</xdr:colOff>
                    <xdr:row>28</xdr:row>
                    <xdr:rowOff>171450</xdr:rowOff>
                  </to>
                </anchor>
              </controlPr>
            </control>
          </mc:Choice>
        </mc:AlternateContent>
        <mc:AlternateContent xmlns:mc="http://schemas.openxmlformats.org/markup-compatibility/2006">
          <mc:Choice Requires="x14">
            <control shapeId="2076" r:id="rId29" name="Button 28">
              <controlPr defaultSize="0" print="0" autoFill="0" autoPict="0" macro="[0]!Add_item">
                <anchor moveWithCells="1" sizeWithCells="1">
                  <from>
                    <xdr:col>4</xdr:col>
                    <xdr:colOff>57150</xdr:colOff>
                    <xdr:row>29</xdr:row>
                    <xdr:rowOff>9525</xdr:rowOff>
                  </from>
                  <to>
                    <xdr:col>4</xdr:col>
                    <xdr:colOff>219075</xdr:colOff>
                    <xdr:row>29</xdr:row>
                    <xdr:rowOff>171450</xdr:rowOff>
                  </to>
                </anchor>
              </controlPr>
            </control>
          </mc:Choice>
        </mc:AlternateContent>
        <mc:AlternateContent xmlns:mc="http://schemas.openxmlformats.org/markup-compatibility/2006">
          <mc:Choice Requires="x14">
            <control shapeId="2077" r:id="rId30" name="Button 29">
              <controlPr defaultSize="0" print="0" autoFill="0" autoPict="0" macro="[0]!Add_item">
                <anchor moveWithCells="1" sizeWithCells="1">
                  <from>
                    <xdr:col>4</xdr:col>
                    <xdr:colOff>57150</xdr:colOff>
                    <xdr:row>30</xdr:row>
                    <xdr:rowOff>9525</xdr:rowOff>
                  </from>
                  <to>
                    <xdr:col>4</xdr:col>
                    <xdr:colOff>219075</xdr:colOff>
                    <xdr:row>30</xdr:row>
                    <xdr:rowOff>171450</xdr:rowOff>
                  </to>
                </anchor>
              </controlPr>
            </control>
          </mc:Choice>
        </mc:AlternateContent>
        <mc:AlternateContent xmlns:mc="http://schemas.openxmlformats.org/markup-compatibility/2006">
          <mc:Choice Requires="x14">
            <control shapeId="2078" r:id="rId31" name="Button 30">
              <controlPr defaultSize="0" print="0" autoFill="0" autoPict="0" macro="[0]!Add_item">
                <anchor moveWithCells="1" sizeWithCells="1">
                  <from>
                    <xdr:col>4</xdr:col>
                    <xdr:colOff>57150</xdr:colOff>
                    <xdr:row>31</xdr:row>
                    <xdr:rowOff>9525</xdr:rowOff>
                  </from>
                  <to>
                    <xdr:col>4</xdr:col>
                    <xdr:colOff>219075</xdr:colOff>
                    <xdr:row>31</xdr:row>
                    <xdr:rowOff>171450</xdr:rowOff>
                  </to>
                </anchor>
              </controlPr>
            </control>
          </mc:Choice>
        </mc:AlternateContent>
        <mc:AlternateContent xmlns:mc="http://schemas.openxmlformats.org/markup-compatibility/2006">
          <mc:Choice Requires="x14">
            <control shapeId="2079" r:id="rId32" name="Button 31">
              <controlPr defaultSize="0" print="0" autoFill="0" autoPict="0" macro="[0]!Add_item">
                <anchor moveWithCells="1" sizeWithCells="1">
                  <from>
                    <xdr:col>4</xdr:col>
                    <xdr:colOff>57150</xdr:colOff>
                    <xdr:row>32</xdr:row>
                    <xdr:rowOff>9525</xdr:rowOff>
                  </from>
                  <to>
                    <xdr:col>4</xdr:col>
                    <xdr:colOff>219075</xdr:colOff>
                    <xdr:row>32</xdr:row>
                    <xdr:rowOff>171450</xdr:rowOff>
                  </to>
                </anchor>
              </controlPr>
            </control>
          </mc:Choice>
        </mc:AlternateContent>
        <mc:AlternateContent xmlns:mc="http://schemas.openxmlformats.org/markup-compatibility/2006">
          <mc:Choice Requires="x14">
            <control shapeId="2080" r:id="rId33" name="Button 32">
              <controlPr defaultSize="0" print="0" autoFill="0" autoPict="0" macro="[0]!Add_item">
                <anchor moveWithCells="1" sizeWithCells="1">
                  <from>
                    <xdr:col>4</xdr:col>
                    <xdr:colOff>57150</xdr:colOff>
                    <xdr:row>33</xdr:row>
                    <xdr:rowOff>9525</xdr:rowOff>
                  </from>
                  <to>
                    <xdr:col>4</xdr:col>
                    <xdr:colOff>219075</xdr:colOff>
                    <xdr:row>33</xdr:row>
                    <xdr:rowOff>171450</xdr:rowOff>
                  </to>
                </anchor>
              </controlPr>
            </control>
          </mc:Choice>
        </mc:AlternateContent>
        <mc:AlternateContent xmlns:mc="http://schemas.openxmlformats.org/markup-compatibility/2006">
          <mc:Choice Requires="x14">
            <control shapeId="2081" r:id="rId34" name="Button 33">
              <controlPr defaultSize="0" print="0" autoFill="0" autoPict="0" macro="[0]!Add_item">
                <anchor moveWithCells="1" sizeWithCells="1">
                  <from>
                    <xdr:col>4</xdr:col>
                    <xdr:colOff>57150</xdr:colOff>
                    <xdr:row>34</xdr:row>
                    <xdr:rowOff>9525</xdr:rowOff>
                  </from>
                  <to>
                    <xdr:col>4</xdr:col>
                    <xdr:colOff>219075</xdr:colOff>
                    <xdr:row>34</xdr:row>
                    <xdr:rowOff>171450</xdr:rowOff>
                  </to>
                </anchor>
              </controlPr>
            </control>
          </mc:Choice>
        </mc:AlternateContent>
        <mc:AlternateContent xmlns:mc="http://schemas.openxmlformats.org/markup-compatibility/2006">
          <mc:Choice Requires="x14">
            <control shapeId="2082" r:id="rId35" name="Button 34">
              <controlPr defaultSize="0" print="0" autoFill="0" autoPict="0" macro="[0]!Add_item">
                <anchor moveWithCells="1" sizeWithCells="1">
                  <from>
                    <xdr:col>4</xdr:col>
                    <xdr:colOff>57150</xdr:colOff>
                    <xdr:row>35</xdr:row>
                    <xdr:rowOff>9525</xdr:rowOff>
                  </from>
                  <to>
                    <xdr:col>4</xdr:col>
                    <xdr:colOff>219075</xdr:colOff>
                    <xdr:row>35</xdr:row>
                    <xdr:rowOff>171450</xdr:rowOff>
                  </to>
                </anchor>
              </controlPr>
            </control>
          </mc:Choice>
        </mc:AlternateContent>
        <mc:AlternateContent xmlns:mc="http://schemas.openxmlformats.org/markup-compatibility/2006">
          <mc:Choice Requires="x14">
            <control shapeId="2083" r:id="rId36" name="Button 35">
              <controlPr defaultSize="0" print="0" autoFill="0" autoPict="0" macro="[0]!Add_item">
                <anchor moveWithCells="1" sizeWithCells="1">
                  <from>
                    <xdr:col>4</xdr:col>
                    <xdr:colOff>57150</xdr:colOff>
                    <xdr:row>36</xdr:row>
                    <xdr:rowOff>9525</xdr:rowOff>
                  </from>
                  <to>
                    <xdr:col>4</xdr:col>
                    <xdr:colOff>219075</xdr:colOff>
                    <xdr:row>36</xdr:row>
                    <xdr:rowOff>171450</xdr:rowOff>
                  </to>
                </anchor>
              </controlPr>
            </control>
          </mc:Choice>
        </mc:AlternateContent>
        <mc:AlternateContent xmlns:mc="http://schemas.openxmlformats.org/markup-compatibility/2006">
          <mc:Choice Requires="x14">
            <control shapeId="2084" r:id="rId37" name="Button 36">
              <controlPr defaultSize="0" print="0" autoFill="0" autoPict="0" macro="[0]!Add_item">
                <anchor moveWithCells="1" sizeWithCells="1">
                  <from>
                    <xdr:col>4</xdr:col>
                    <xdr:colOff>57150</xdr:colOff>
                    <xdr:row>37</xdr:row>
                    <xdr:rowOff>9525</xdr:rowOff>
                  </from>
                  <to>
                    <xdr:col>4</xdr:col>
                    <xdr:colOff>219075</xdr:colOff>
                    <xdr:row>37</xdr:row>
                    <xdr:rowOff>171450</xdr:rowOff>
                  </to>
                </anchor>
              </controlPr>
            </control>
          </mc:Choice>
        </mc:AlternateContent>
        <mc:AlternateContent xmlns:mc="http://schemas.openxmlformats.org/markup-compatibility/2006">
          <mc:Choice Requires="x14">
            <control shapeId="2085" r:id="rId38" name="Button 37">
              <controlPr defaultSize="0" print="0" autoFill="0" autoPict="0" macro="[0]!Add_item">
                <anchor moveWithCells="1" sizeWithCells="1">
                  <from>
                    <xdr:col>4</xdr:col>
                    <xdr:colOff>57150</xdr:colOff>
                    <xdr:row>38</xdr:row>
                    <xdr:rowOff>9525</xdr:rowOff>
                  </from>
                  <to>
                    <xdr:col>4</xdr:col>
                    <xdr:colOff>219075</xdr:colOff>
                    <xdr:row>38</xdr:row>
                    <xdr:rowOff>171450</xdr:rowOff>
                  </to>
                </anchor>
              </controlPr>
            </control>
          </mc:Choice>
        </mc:AlternateContent>
        <mc:AlternateContent xmlns:mc="http://schemas.openxmlformats.org/markup-compatibility/2006">
          <mc:Choice Requires="x14">
            <control shapeId="2086" r:id="rId39" name="Button 38">
              <controlPr defaultSize="0" print="0" autoFill="0" autoPict="0" macro="[0]!Add_item">
                <anchor moveWithCells="1" sizeWithCells="1">
                  <from>
                    <xdr:col>4</xdr:col>
                    <xdr:colOff>57150</xdr:colOff>
                    <xdr:row>39</xdr:row>
                    <xdr:rowOff>9525</xdr:rowOff>
                  </from>
                  <to>
                    <xdr:col>4</xdr:col>
                    <xdr:colOff>219075</xdr:colOff>
                    <xdr:row>39</xdr:row>
                    <xdr:rowOff>171450</xdr:rowOff>
                  </to>
                </anchor>
              </controlPr>
            </control>
          </mc:Choice>
        </mc:AlternateContent>
        <mc:AlternateContent xmlns:mc="http://schemas.openxmlformats.org/markup-compatibility/2006">
          <mc:Choice Requires="x14">
            <control shapeId="2087" r:id="rId40" name="Button 39">
              <controlPr defaultSize="0" print="0" autoFill="0" autoPict="0" macro="[0]!Add_item">
                <anchor moveWithCells="1" sizeWithCells="1">
                  <from>
                    <xdr:col>4</xdr:col>
                    <xdr:colOff>57150</xdr:colOff>
                    <xdr:row>40</xdr:row>
                    <xdr:rowOff>9525</xdr:rowOff>
                  </from>
                  <to>
                    <xdr:col>4</xdr:col>
                    <xdr:colOff>219075</xdr:colOff>
                    <xdr:row>40</xdr:row>
                    <xdr:rowOff>171450</xdr:rowOff>
                  </to>
                </anchor>
              </controlPr>
            </control>
          </mc:Choice>
        </mc:AlternateContent>
        <mc:AlternateContent xmlns:mc="http://schemas.openxmlformats.org/markup-compatibility/2006">
          <mc:Choice Requires="x14">
            <control shapeId="2088" r:id="rId41" name="Button 40">
              <controlPr defaultSize="0" print="0" autoFill="0" autoPict="0" macro="[0]!Add_item">
                <anchor moveWithCells="1" sizeWithCells="1">
                  <from>
                    <xdr:col>4</xdr:col>
                    <xdr:colOff>57150</xdr:colOff>
                    <xdr:row>41</xdr:row>
                    <xdr:rowOff>9525</xdr:rowOff>
                  </from>
                  <to>
                    <xdr:col>4</xdr:col>
                    <xdr:colOff>219075</xdr:colOff>
                    <xdr:row>41</xdr:row>
                    <xdr:rowOff>171450</xdr:rowOff>
                  </to>
                </anchor>
              </controlPr>
            </control>
          </mc:Choice>
        </mc:AlternateContent>
        <mc:AlternateContent xmlns:mc="http://schemas.openxmlformats.org/markup-compatibility/2006">
          <mc:Choice Requires="x14">
            <control shapeId="2089" r:id="rId42" name="Button 41">
              <controlPr defaultSize="0" print="0" autoFill="0" autoPict="0" macro="[0]!Add_item">
                <anchor moveWithCells="1" sizeWithCells="1">
                  <from>
                    <xdr:col>4</xdr:col>
                    <xdr:colOff>57150</xdr:colOff>
                    <xdr:row>42</xdr:row>
                    <xdr:rowOff>9525</xdr:rowOff>
                  </from>
                  <to>
                    <xdr:col>4</xdr:col>
                    <xdr:colOff>219075</xdr:colOff>
                    <xdr:row>42</xdr:row>
                    <xdr:rowOff>171450</xdr:rowOff>
                  </to>
                </anchor>
              </controlPr>
            </control>
          </mc:Choice>
        </mc:AlternateContent>
        <mc:AlternateContent xmlns:mc="http://schemas.openxmlformats.org/markup-compatibility/2006">
          <mc:Choice Requires="x14">
            <control shapeId="2090" r:id="rId43" name="Button 42">
              <controlPr defaultSize="0" print="0" autoFill="0" autoPict="0" macro="[0]!Add_item">
                <anchor moveWithCells="1" sizeWithCells="1">
                  <from>
                    <xdr:col>4</xdr:col>
                    <xdr:colOff>57150</xdr:colOff>
                    <xdr:row>43</xdr:row>
                    <xdr:rowOff>9525</xdr:rowOff>
                  </from>
                  <to>
                    <xdr:col>4</xdr:col>
                    <xdr:colOff>219075</xdr:colOff>
                    <xdr:row>43</xdr:row>
                    <xdr:rowOff>171450</xdr:rowOff>
                  </to>
                </anchor>
              </controlPr>
            </control>
          </mc:Choice>
        </mc:AlternateContent>
        <mc:AlternateContent xmlns:mc="http://schemas.openxmlformats.org/markup-compatibility/2006">
          <mc:Choice Requires="x14">
            <control shapeId="2091" r:id="rId44" name="Button 43">
              <controlPr defaultSize="0" print="0" autoFill="0" autoPict="0" macro="[0]!Add_item">
                <anchor moveWithCells="1" sizeWithCells="1">
                  <from>
                    <xdr:col>4</xdr:col>
                    <xdr:colOff>57150</xdr:colOff>
                    <xdr:row>44</xdr:row>
                    <xdr:rowOff>9525</xdr:rowOff>
                  </from>
                  <to>
                    <xdr:col>4</xdr:col>
                    <xdr:colOff>219075</xdr:colOff>
                    <xdr:row>44</xdr:row>
                    <xdr:rowOff>171450</xdr:rowOff>
                  </to>
                </anchor>
              </controlPr>
            </control>
          </mc:Choice>
        </mc:AlternateContent>
        <mc:AlternateContent xmlns:mc="http://schemas.openxmlformats.org/markup-compatibility/2006">
          <mc:Choice Requires="x14">
            <control shapeId="2092" r:id="rId45" name="Button 44">
              <controlPr defaultSize="0" print="0" autoFill="0" autoPict="0" macro="[0]!Add_item">
                <anchor moveWithCells="1" sizeWithCells="1">
                  <from>
                    <xdr:col>4</xdr:col>
                    <xdr:colOff>57150</xdr:colOff>
                    <xdr:row>45</xdr:row>
                    <xdr:rowOff>9525</xdr:rowOff>
                  </from>
                  <to>
                    <xdr:col>4</xdr:col>
                    <xdr:colOff>219075</xdr:colOff>
                    <xdr:row>45</xdr:row>
                    <xdr:rowOff>171450</xdr:rowOff>
                  </to>
                </anchor>
              </controlPr>
            </control>
          </mc:Choice>
        </mc:AlternateContent>
        <mc:AlternateContent xmlns:mc="http://schemas.openxmlformats.org/markup-compatibility/2006">
          <mc:Choice Requires="x14">
            <control shapeId="2093" r:id="rId46" name="Button 45">
              <controlPr defaultSize="0" print="0" autoFill="0" autoPict="0" macro="[0]!Add_item">
                <anchor moveWithCells="1" sizeWithCells="1">
                  <from>
                    <xdr:col>4</xdr:col>
                    <xdr:colOff>57150</xdr:colOff>
                    <xdr:row>46</xdr:row>
                    <xdr:rowOff>9525</xdr:rowOff>
                  </from>
                  <to>
                    <xdr:col>4</xdr:col>
                    <xdr:colOff>219075</xdr:colOff>
                    <xdr:row>46</xdr:row>
                    <xdr:rowOff>171450</xdr:rowOff>
                  </to>
                </anchor>
              </controlPr>
            </control>
          </mc:Choice>
        </mc:AlternateContent>
        <mc:AlternateContent xmlns:mc="http://schemas.openxmlformats.org/markup-compatibility/2006">
          <mc:Choice Requires="x14">
            <control shapeId="2094" r:id="rId47" name="Button 46">
              <controlPr defaultSize="0" print="0" autoFill="0" autoPict="0" macro="[0]!Add_item">
                <anchor moveWithCells="1" sizeWithCells="1">
                  <from>
                    <xdr:col>4</xdr:col>
                    <xdr:colOff>57150</xdr:colOff>
                    <xdr:row>47</xdr:row>
                    <xdr:rowOff>9525</xdr:rowOff>
                  </from>
                  <to>
                    <xdr:col>4</xdr:col>
                    <xdr:colOff>219075</xdr:colOff>
                    <xdr:row>47</xdr:row>
                    <xdr:rowOff>171450</xdr:rowOff>
                  </to>
                </anchor>
              </controlPr>
            </control>
          </mc:Choice>
        </mc:AlternateContent>
        <mc:AlternateContent xmlns:mc="http://schemas.openxmlformats.org/markup-compatibility/2006">
          <mc:Choice Requires="x14">
            <control shapeId="2095" r:id="rId48" name="Button 47">
              <controlPr defaultSize="0" print="0" autoFill="0" autoPict="0" macro="[0]!Add_item">
                <anchor moveWithCells="1" sizeWithCells="1">
                  <from>
                    <xdr:col>4</xdr:col>
                    <xdr:colOff>57150</xdr:colOff>
                    <xdr:row>48</xdr:row>
                    <xdr:rowOff>9525</xdr:rowOff>
                  </from>
                  <to>
                    <xdr:col>4</xdr:col>
                    <xdr:colOff>219075</xdr:colOff>
                    <xdr:row>48</xdr:row>
                    <xdr:rowOff>171450</xdr:rowOff>
                  </to>
                </anchor>
              </controlPr>
            </control>
          </mc:Choice>
        </mc:AlternateContent>
        <mc:AlternateContent xmlns:mc="http://schemas.openxmlformats.org/markup-compatibility/2006">
          <mc:Choice Requires="x14">
            <control shapeId="2096" r:id="rId49" name="Button 48">
              <controlPr defaultSize="0" print="0" autoFill="0" autoPict="0" macro="[0]!Add_item">
                <anchor moveWithCells="1" sizeWithCells="1">
                  <from>
                    <xdr:col>4</xdr:col>
                    <xdr:colOff>57150</xdr:colOff>
                    <xdr:row>49</xdr:row>
                    <xdr:rowOff>9525</xdr:rowOff>
                  </from>
                  <to>
                    <xdr:col>4</xdr:col>
                    <xdr:colOff>219075</xdr:colOff>
                    <xdr:row>49</xdr:row>
                    <xdr:rowOff>171450</xdr:rowOff>
                  </to>
                </anchor>
              </controlPr>
            </control>
          </mc:Choice>
        </mc:AlternateContent>
        <mc:AlternateContent xmlns:mc="http://schemas.openxmlformats.org/markup-compatibility/2006">
          <mc:Choice Requires="x14">
            <control shapeId="2097" r:id="rId50" name="Button 49">
              <controlPr defaultSize="0" print="0" autoFill="0" autoPict="0" macro="[0]!Add_item">
                <anchor moveWithCells="1" sizeWithCells="1">
                  <from>
                    <xdr:col>4</xdr:col>
                    <xdr:colOff>57150</xdr:colOff>
                    <xdr:row>50</xdr:row>
                    <xdr:rowOff>9525</xdr:rowOff>
                  </from>
                  <to>
                    <xdr:col>4</xdr:col>
                    <xdr:colOff>219075</xdr:colOff>
                    <xdr:row>50</xdr:row>
                    <xdr:rowOff>171450</xdr:rowOff>
                  </to>
                </anchor>
              </controlPr>
            </control>
          </mc:Choice>
        </mc:AlternateContent>
        <mc:AlternateContent xmlns:mc="http://schemas.openxmlformats.org/markup-compatibility/2006">
          <mc:Choice Requires="x14">
            <control shapeId="2098" r:id="rId51" name="Button 50">
              <controlPr defaultSize="0" print="0" autoFill="0" autoPict="0" macro="[0]!Add_item">
                <anchor moveWithCells="1" sizeWithCells="1">
                  <from>
                    <xdr:col>4</xdr:col>
                    <xdr:colOff>57150</xdr:colOff>
                    <xdr:row>51</xdr:row>
                    <xdr:rowOff>9525</xdr:rowOff>
                  </from>
                  <to>
                    <xdr:col>4</xdr:col>
                    <xdr:colOff>219075</xdr:colOff>
                    <xdr:row>51</xdr:row>
                    <xdr:rowOff>171450</xdr:rowOff>
                  </to>
                </anchor>
              </controlPr>
            </control>
          </mc:Choice>
        </mc:AlternateContent>
        <mc:AlternateContent xmlns:mc="http://schemas.openxmlformats.org/markup-compatibility/2006">
          <mc:Choice Requires="x14">
            <control shapeId="2099" r:id="rId52" name="Button 51">
              <controlPr defaultSize="0" print="0" autoFill="0" autoPict="0" macro="[0]!Add_item">
                <anchor moveWithCells="1" sizeWithCells="1">
                  <from>
                    <xdr:col>4</xdr:col>
                    <xdr:colOff>57150</xdr:colOff>
                    <xdr:row>52</xdr:row>
                    <xdr:rowOff>9525</xdr:rowOff>
                  </from>
                  <to>
                    <xdr:col>4</xdr:col>
                    <xdr:colOff>219075</xdr:colOff>
                    <xdr:row>52</xdr:row>
                    <xdr:rowOff>171450</xdr:rowOff>
                  </to>
                </anchor>
              </controlPr>
            </control>
          </mc:Choice>
        </mc:AlternateContent>
        <mc:AlternateContent xmlns:mc="http://schemas.openxmlformats.org/markup-compatibility/2006">
          <mc:Choice Requires="x14">
            <control shapeId="2100" r:id="rId53" name="Button 52">
              <controlPr defaultSize="0" print="0" autoFill="0" autoPict="0" macro="[0]!Add_item">
                <anchor moveWithCells="1" sizeWithCells="1">
                  <from>
                    <xdr:col>4</xdr:col>
                    <xdr:colOff>57150</xdr:colOff>
                    <xdr:row>53</xdr:row>
                    <xdr:rowOff>9525</xdr:rowOff>
                  </from>
                  <to>
                    <xdr:col>4</xdr:col>
                    <xdr:colOff>219075</xdr:colOff>
                    <xdr:row>53</xdr:row>
                    <xdr:rowOff>171450</xdr:rowOff>
                  </to>
                </anchor>
              </controlPr>
            </control>
          </mc:Choice>
        </mc:AlternateContent>
        <mc:AlternateContent xmlns:mc="http://schemas.openxmlformats.org/markup-compatibility/2006">
          <mc:Choice Requires="x14">
            <control shapeId="2101" r:id="rId54" name="Button 53">
              <controlPr defaultSize="0" print="0" autoFill="0" autoPict="0" macro="[0]!Add_item">
                <anchor moveWithCells="1" sizeWithCells="1">
                  <from>
                    <xdr:col>4</xdr:col>
                    <xdr:colOff>57150</xdr:colOff>
                    <xdr:row>54</xdr:row>
                    <xdr:rowOff>9525</xdr:rowOff>
                  </from>
                  <to>
                    <xdr:col>4</xdr:col>
                    <xdr:colOff>219075</xdr:colOff>
                    <xdr:row>54</xdr:row>
                    <xdr:rowOff>171450</xdr:rowOff>
                  </to>
                </anchor>
              </controlPr>
            </control>
          </mc:Choice>
        </mc:AlternateContent>
        <mc:AlternateContent xmlns:mc="http://schemas.openxmlformats.org/markup-compatibility/2006">
          <mc:Choice Requires="x14">
            <control shapeId="2102" r:id="rId55" name="Button 54">
              <controlPr defaultSize="0" print="0" autoFill="0" autoPict="0" macro="[0]!Add_item">
                <anchor moveWithCells="1" sizeWithCells="1">
                  <from>
                    <xdr:col>4</xdr:col>
                    <xdr:colOff>57150</xdr:colOff>
                    <xdr:row>55</xdr:row>
                    <xdr:rowOff>9525</xdr:rowOff>
                  </from>
                  <to>
                    <xdr:col>4</xdr:col>
                    <xdr:colOff>219075</xdr:colOff>
                    <xdr:row>55</xdr:row>
                    <xdr:rowOff>171450</xdr:rowOff>
                  </to>
                </anchor>
              </controlPr>
            </control>
          </mc:Choice>
        </mc:AlternateContent>
        <mc:AlternateContent xmlns:mc="http://schemas.openxmlformats.org/markup-compatibility/2006">
          <mc:Choice Requires="x14">
            <control shapeId="2103" r:id="rId56" name="Button 55">
              <controlPr defaultSize="0" print="0" autoFill="0" autoPict="0" macro="[0]!Add_item">
                <anchor moveWithCells="1" sizeWithCells="1">
                  <from>
                    <xdr:col>4</xdr:col>
                    <xdr:colOff>57150</xdr:colOff>
                    <xdr:row>56</xdr:row>
                    <xdr:rowOff>9525</xdr:rowOff>
                  </from>
                  <to>
                    <xdr:col>4</xdr:col>
                    <xdr:colOff>219075</xdr:colOff>
                    <xdr:row>56</xdr:row>
                    <xdr:rowOff>171450</xdr:rowOff>
                  </to>
                </anchor>
              </controlPr>
            </control>
          </mc:Choice>
        </mc:AlternateContent>
        <mc:AlternateContent xmlns:mc="http://schemas.openxmlformats.org/markup-compatibility/2006">
          <mc:Choice Requires="x14">
            <control shapeId="2104" r:id="rId57" name="Button 56">
              <controlPr defaultSize="0" print="0" autoFill="0" autoPict="0" macro="[0]!Add_item">
                <anchor moveWithCells="1" sizeWithCells="1">
                  <from>
                    <xdr:col>4</xdr:col>
                    <xdr:colOff>57150</xdr:colOff>
                    <xdr:row>57</xdr:row>
                    <xdr:rowOff>9525</xdr:rowOff>
                  </from>
                  <to>
                    <xdr:col>4</xdr:col>
                    <xdr:colOff>219075</xdr:colOff>
                    <xdr:row>57</xdr:row>
                    <xdr:rowOff>171450</xdr:rowOff>
                  </to>
                </anchor>
              </controlPr>
            </control>
          </mc:Choice>
        </mc:AlternateContent>
        <mc:AlternateContent xmlns:mc="http://schemas.openxmlformats.org/markup-compatibility/2006">
          <mc:Choice Requires="x14">
            <control shapeId="2105" r:id="rId58" name="Button 57">
              <controlPr defaultSize="0" print="0" autoFill="0" autoPict="0" macro="[0]!Add_item">
                <anchor moveWithCells="1" sizeWithCells="1">
                  <from>
                    <xdr:col>4</xdr:col>
                    <xdr:colOff>57150</xdr:colOff>
                    <xdr:row>59</xdr:row>
                    <xdr:rowOff>9525</xdr:rowOff>
                  </from>
                  <to>
                    <xdr:col>4</xdr:col>
                    <xdr:colOff>219075</xdr:colOff>
                    <xdr:row>59</xdr:row>
                    <xdr:rowOff>171450</xdr:rowOff>
                  </to>
                </anchor>
              </controlPr>
            </control>
          </mc:Choice>
        </mc:AlternateContent>
        <mc:AlternateContent xmlns:mc="http://schemas.openxmlformats.org/markup-compatibility/2006">
          <mc:Choice Requires="x14">
            <control shapeId="2106" r:id="rId59" name="Button 58">
              <controlPr defaultSize="0" print="0" autoFill="0" autoPict="0" macro="[0]!Add_item">
                <anchor moveWithCells="1" sizeWithCells="1">
                  <from>
                    <xdr:col>4</xdr:col>
                    <xdr:colOff>57150</xdr:colOff>
                    <xdr:row>58</xdr:row>
                    <xdr:rowOff>9525</xdr:rowOff>
                  </from>
                  <to>
                    <xdr:col>4</xdr:col>
                    <xdr:colOff>219075</xdr:colOff>
                    <xdr:row>58</xdr:row>
                    <xdr:rowOff>171450</xdr:rowOff>
                  </to>
                </anchor>
              </controlPr>
            </control>
          </mc:Choice>
        </mc:AlternateContent>
        <mc:AlternateContent xmlns:mc="http://schemas.openxmlformats.org/markup-compatibility/2006">
          <mc:Choice Requires="x14">
            <control shapeId="2107" r:id="rId60" name="Button 59">
              <controlPr defaultSize="0" print="0" autoFill="0" autoPict="0" macro="[0]!Add_item">
                <anchor moveWithCells="1" sizeWithCells="1">
                  <from>
                    <xdr:col>4</xdr:col>
                    <xdr:colOff>57150</xdr:colOff>
                    <xdr:row>60</xdr:row>
                    <xdr:rowOff>9525</xdr:rowOff>
                  </from>
                  <to>
                    <xdr:col>4</xdr:col>
                    <xdr:colOff>219075</xdr:colOff>
                    <xdr:row>60</xdr:row>
                    <xdr:rowOff>171450</xdr:rowOff>
                  </to>
                </anchor>
              </controlPr>
            </control>
          </mc:Choice>
        </mc:AlternateContent>
        <mc:AlternateContent xmlns:mc="http://schemas.openxmlformats.org/markup-compatibility/2006">
          <mc:Choice Requires="x14">
            <control shapeId="2108" r:id="rId61" name="Button 60">
              <controlPr defaultSize="0" print="0" autoFill="0" autoPict="0" macro="[0]!Add_item">
                <anchor moveWithCells="1" sizeWithCells="1">
                  <from>
                    <xdr:col>4</xdr:col>
                    <xdr:colOff>57150</xdr:colOff>
                    <xdr:row>61</xdr:row>
                    <xdr:rowOff>9525</xdr:rowOff>
                  </from>
                  <to>
                    <xdr:col>4</xdr:col>
                    <xdr:colOff>219075</xdr:colOff>
                    <xdr:row>61</xdr:row>
                    <xdr:rowOff>171450</xdr:rowOff>
                  </to>
                </anchor>
              </controlPr>
            </control>
          </mc:Choice>
        </mc:AlternateContent>
        <mc:AlternateContent xmlns:mc="http://schemas.openxmlformats.org/markup-compatibility/2006">
          <mc:Choice Requires="x14">
            <control shapeId="2109" r:id="rId62" name="Button 61">
              <controlPr defaultSize="0" print="0" autoFill="0" autoPict="0" macro="[0]!Add_item">
                <anchor moveWithCells="1" sizeWithCells="1">
                  <from>
                    <xdr:col>4</xdr:col>
                    <xdr:colOff>57150</xdr:colOff>
                    <xdr:row>62</xdr:row>
                    <xdr:rowOff>9525</xdr:rowOff>
                  </from>
                  <to>
                    <xdr:col>4</xdr:col>
                    <xdr:colOff>219075</xdr:colOff>
                    <xdr:row>62</xdr:row>
                    <xdr:rowOff>171450</xdr:rowOff>
                  </to>
                </anchor>
              </controlPr>
            </control>
          </mc:Choice>
        </mc:AlternateContent>
        <mc:AlternateContent xmlns:mc="http://schemas.openxmlformats.org/markup-compatibility/2006">
          <mc:Choice Requires="x14">
            <control shapeId="2110" r:id="rId63" name="Button 62">
              <controlPr defaultSize="0" print="0" autoFill="0" autoPict="0" macro="[0]!Add_item">
                <anchor moveWithCells="1" sizeWithCells="1">
                  <from>
                    <xdr:col>4</xdr:col>
                    <xdr:colOff>57150</xdr:colOff>
                    <xdr:row>63</xdr:row>
                    <xdr:rowOff>9525</xdr:rowOff>
                  </from>
                  <to>
                    <xdr:col>4</xdr:col>
                    <xdr:colOff>219075</xdr:colOff>
                    <xdr:row>63</xdr:row>
                    <xdr:rowOff>171450</xdr:rowOff>
                  </to>
                </anchor>
              </controlPr>
            </control>
          </mc:Choice>
        </mc:AlternateContent>
        <mc:AlternateContent xmlns:mc="http://schemas.openxmlformats.org/markup-compatibility/2006">
          <mc:Choice Requires="x14">
            <control shapeId="2111" r:id="rId64" name="Button 63">
              <controlPr defaultSize="0" print="0" autoFill="0" autoPict="0" macro="[0]!Add_item">
                <anchor moveWithCells="1" sizeWithCells="1">
                  <from>
                    <xdr:col>4</xdr:col>
                    <xdr:colOff>57150</xdr:colOff>
                    <xdr:row>64</xdr:row>
                    <xdr:rowOff>9525</xdr:rowOff>
                  </from>
                  <to>
                    <xdr:col>4</xdr:col>
                    <xdr:colOff>219075</xdr:colOff>
                    <xdr:row>64</xdr:row>
                    <xdr:rowOff>171450</xdr:rowOff>
                  </to>
                </anchor>
              </controlPr>
            </control>
          </mc:Choice>
        </mc:AlternateContent>
        <mc:AlternateContent xmlns:mc="http://schemas.openxmlformats.org/markup-compatibility/2006">
          <mc:Choice Requires="x14">
            <control shapeId="2112" r:id="rId65" name="Button 64">
              <controlPr defaultSize="0" print="0" autoFill="0" autoPict="0" macro="[0]!Add_item">
                <anchor moveWithCells="1" sizeWithCells="1">
                  <from>
                    <xdr:col>4</xdr:col>
                    <xdr:colOff>57150</xdr:colOff>
                    <xdr:row>65</xdr:row>
                    <xdr:rowOff>9525</xdr:rowOff>
                  </from>
                  <to>
                    <xdr:col>4</xdr:col>
                    <xdr:colOff>219075</xdr:colOff>
                    <xdr:row>65</xdr:row>
                    <xdr:rowOff>171450</xdr:rowOff>
                  </to>
                </anchor>
              </controlPr>
            </control>
          </mc:Choice>
        </mc:AlternateContent>
        <mc:AlternateContent xmlns:mc="http://schemas.openxmlformats.org/markup-compatibility/2006">
          <mc:Choice Requires="x14">
            <control shapeId="2113" r:id="rId66" name="Button 65">
              <controlPr defaultSize="0" print="0" autoFill="0" autoPict="0" macro="[0]!Add_item">
                <anchor moveWithCells="1" sizeWithCells="1">
                  <from>
                    <xdr:col>4</xdr:col>
                    <xdr:colOff>57150</xdr:colOff>
                    <xdr:row>66</xdr:row>
                    <xdr:rowOff>9525</xdr:rowOff>
                  </from>
                  <to>
                    <xdr:col>4</xdr:col>
                    <xdr:colOff>219075</xdr:colOff>
                    <xdr:row>66</xdr:row>
                    <xdr:rowOff>171450</xdr:rowOff>
                  </to>
                </anchor>
              </controlPr>
            </control>
          </mc:Choice>
        </mc:AlternateContent>
        <mc:AlternateContent xmlns:mc="http://schemas.openxmlformats.org/markup-compatibility/2006">
          <mc:Choice Requires="x14">
            <control shapeId="2114" r:id="rId67" name="Button 66">
              <controlPr defaultSize="0" print="0" autoFill="0" autoPict="0" macro="[0]!Add_item">
                <anchor moveWithCells="1" sizeWithCells="1">
                  <from>
                    <xdr:col>4</xdr:col>
                    <xdr:colOff>57150</xdr:colOff>
                    <xdr:row>67</xdr:row>
                    <xdr:rowOff>9525</xdr:rowOff>
                  </from>
                  <to>
                    <xdr:col>4</xdr:col>
                    <xdr:colOff>219075</xdr:colOff>
                    <xdr:row>67</xdr:row>
                    <xdr:rowOff>171450</xdr:rowOff>
                  </to>
                </anchor>
              </controlPr>
            </control>
          </mc:Choice>
        </mc:AlternateContent>
        <mc:AlternateContent xmlns:mc="http://schemas.openxmlformats.org/markup-compatibility/2006">
          <mc:Choice Requires="x14">
            <control shapeId="2115" r:id="rId68" name="Button 67">
              <controlPr defaultSize="0" print="0" autoFill="0" autoPict="0" macro="[0]!Add_item">
                <anchor moveWithCells="1" sizeWithCells="1">
                  <from>
                    <xdr:col>4</xdr:col>
                    <xdr:colOff>57150</xdr:colOff>
                    <xdr:row>68</xdr:row>
                    <xdr:rowOff>9525</xdr:rowOff>
                  </from>
                  <to>
                    <xdr:col>4</xdr:col>
                    <xdr:colOff>219075</xdr:colOff>
                    <xdr:row>68</xdr:row>
                    <xdr:rowOff>171450</xdr:rowOff>
                  </to>
                </anchor>
              </controlPr>
            </control>
          </mc:Choice>
        </mc:AlternateContent>
        <mc:AlternateContent xmlns:mc="http://schemas.openxmlformats.org/markup-compatibility/2006">
          <mc:Choice Requires="x14">
            <control shapeId="2116" r:id="rId69" name="Button 68">
              <controlPr defaultSize="0" print="0" autoFill="0" autoPict="0" macro="[0]!Add_item">
                <anchor moveWithCells="1" sizeWithCells="1">
                  <from>
                    <xdr:col>4</xdr:col>
                    <xdr:colOff>57150</xdr:colOff>
                    <xdr:row>69</xdr:row>
                    <xdr:rowOff>9525</xdr:rowOff>
                  </from>
                  <to>
                    <xdr:col>4</xdr:col>
                    <xdr:colOff>219075</xdr:colOff>
                    <xdr:row>69</xdr:row>
                    <xdr:rowOff>171450</xdr:rowOff>
                  </to>
                </anchor>
              </controlPr>
            </control>
          </mc:Choice>
        </mc:AlternateContent>
        <mc:AlternateContent xmlns:mc="http://schemas.openxmlformats.org/markup-compatibility/2006">
          <mc:Choice Requires="x14">
            <control shapeId="2117" r:id="rId70" name="Button 69">
              <controlPr defaultSize="0" print="0" autoFill="0" autoPict="0" macro="[0]!Add_item">
                <anchor moveWithCells="1" sizeWithCells="1">
                  <from>
                    <xdr:col>4</xdr:col>
                    <xdr:colOff>57150</xdr:colOff>
                    <xdr:row>70</xdr:row>
                    <xdr:rowOff>9525</xdr:rowOff>
                  </from>
                  <to>
                    <xdr:col>4</xdr:col>
                    <xdr:colOff>219075</xdr:colOff>
                    <xdr:row>70</xdr:row>
                    <xdr:rowOff>171450</xdr:rowOff>
                  </to>
                </anchor>
              </controlPr>
            </control>
          </mc:Choice>
        </mc:AlternateContent>
        <mc:AlternateContent xmlns:mc="http://schemas.openxmlformats.org/markup-compatibility/2006">
          <mc:Choice Requires="x14">
            <control shapeId="2118" r:id="rId71" name="Button 70">
              <controlPr defaultSize="0" print="0" autoFill="0" autoPict="0" macro="[0]!Add_item">
                <anchor moveWithCells="1" sizeWithCells="1">
                  <from>
                    <xdr:col>4</xdr:col>
                    <xdr:colOff>57150</xdr:colOff>
                    <xdr:row>71</xdr:row>
                    <xdr:rowOff>9525</xdr:rowOff>
                  </from>
                  <to>
                    <xdr:col>4</xdr:col>
                    <xdr:colOff>219075</xdr:colOff>
                    <xdr:row>71</xdr:row>
                    <xdr:rowOff>171450</xdr:rowOff>
                  </to>
                </anchor>
              </controlPr>
            </control>
          </mc:Choice>
        </mc:AlternateContent>
        <mc:AlternateContent xmlns:mc="http://schemas.openxmlformats.org/markup-compatibility/2006">
          <mc:Choice Requires="x14">
            <control shapeId="2119" r:id="rId72" name="Button 71">
              <controlPr defaultSize="0" print="0" autoFill="0" autoPict="0" macro="[0]!Add_item">
                <anchor moveWithCells="1" sizeWithCells="1">
                  <from>
                    <xdr:col>4</xdr:col>
                    <xdr:colOff>57150</xdr:colOff>
                    <xdr:row>72</xdr:row>
                    <xdr:rowOff>9525</xdr:rowOff>
                  </from>
                  <to>
                    <xdr:col>4</xdr:col>
                    <xdr:colOff>219075</xdr:colOff>
                    <xdr:row>72</xdr:row>
                    <xdr:rowOff>171450</xdr:rowOff>
                  </to>
                </anchor>
              </controlPr>
            </control>
          </mc:Choice>
        </mc:AlternateContent>
        <mc:AlternateContent xmlns:mc="http://schemas.openxmlformats.org/markup-compatibility/2006">
          <mc:Choice Requires="x14">
            <control shapeId="2120" r:id="rId73" name="Button 72">
              <controlPr defaultSize="0" print="0" autoFill="0" autoPict="0" macro="[0]!Add_item">
                <anchor moveWithCells="1" sizeWithCells="1">
                  <from>
                    <xdr:col>4</xdr:col>
                    <xdr:colOff>57150</xdr:colOff>
                    <xdr:row>73</xdr:row>
                    <xdr:rowOff>9525</xdr:rowOff>
                  </from>
                  <to>
                    <xdr:col>4</xdr:col>
                    <xdr:colOff>219075</xdr:colOff>
                    <xdr:row>73</xdr:row>
                    <xdr:rowOff>171450</xdr:rowOff>
                  </to>
                </anchor>
              </controlPr>
            </control>
          </mc:Choice>
        </mc:AlternateContent>
        <mc:AlternateContent xmlns:mc="http://schemas.openxmlformats.org/markup-compatibility/2006">
          <mc:Choice Requires="x14">
            <control shapeId="2121" r:id="rId74" name="Button 73">
              <controlPr defaultSize="0" print="0" autoFill="0" autoPict="0" macro="[0]!Add_item">
                <anchor moveWithCells="1" sizeWithCells="1">
                  <from>
                    <xdr:col>4</xdr:col>
                    <xdr:colOff>57150</xdr:colOff>
                    <xdr:row>74</xdr:row>
                    <xdr:rowOff>9525</xdr:rowOff>
                  </from>
                  <to>
                    <xdr:col>4</xdr:col>
                    <xdr:colOff>219075</xdr:colOff>
                    <xdr:row>74</xdr:row>
                    <xdr:rowOff>171450</xdr:rowOff>
                  </to>
                </anchor>
              </controlPr>
            </control>
          </mc:Choice>
        </mc:AlternateContent>
        <mc:AlternateContent xmlns:mc="http://schemas.openxmlformats.org/markup-compatibility/2006">
          <mc:Choice Requires="x14">
            <control shapeId="2122" r:id="rId75" name="Button 74">
              <controlPr defaultSize="0" print="0" autoFill="0" autoPict="0" macro="[0]!Add_item">
                <anchor moveWithCells="1" sizeWithCells="1">
                  <from>
                    <xdr:col>4</xdr:col>
                    <xdr:colOff>57150</xdr:colOff>
                    <xdr:row>75</xdr:row>
                    <xdr:rowOff>9525</xdr:rowOff>
                  </from>
                  <to>
                    <xdr:col>4</xdr:col>
                    <xdr:colOff>219075</xdr:colOff>
                    <xdr:row>75</xdr:row>
                    <xdr:rowOff>171450</xdr:rowOff>
                  </to>
                </anchor>
              </controlPr>
            </control>
          </mc:Choice>
        </mc:AlternateContent>
        <mc:AlternateContent xmlns:mc="http://schemas.openxmlformats.org/markup-compatibility/2006">
          <mc:Choice Requires="x14">
            <control shapeId="2123" r:id="rId76" name="Button 75">
              <controlPr defaultSize="0" print="0" autoFill="0" autoPict="0" macro="[0]!Add_item">
                <anchor moveWithCells="1" sizeWithCells="1">
                  <from>
                    <xdr:col>4</xdr:col>
                    <xdr:colOff>57150</xdr:colOff>
                    <xdr:row>76</xdr:row>
                    <xdr:rowOff>9525</xdr:rowOff>
                  </from>
                  <to>
                    <xdr:col>4</xdr:col>
                    <xdr:colOff>219075</xdr:colOff>
                    <xdr:row>76</xdr:row>
                    <xdr:rowOff>171450</xdr:rowOff>
                  </to>
                </anchor>
              </controlPr>
            </control>
          </mc:Choice>
        </mc:AlternateContent>
        <mc:AlternateContent xmlns:mc="http://schemas.openxmlformats.org/markup-compatibility/2006">
          <mc:Choice Requires="x14">
            <control shapeId="2124" r:id="rId77" name="Button 76">
              <controlPr defaultSize="0" print="0" autoFill="0" autoPict="0" macro="[0]!Add_item">
                <anchor moveWithCells="1" sizeWithCells="1">
                  <from>
                    <xdr:col>4</xdr:col>
                    <xdr:colOff>57150</xdr:colOff>
                    <xdr:row>77</xdr:row>
                    <xdr:rowOff>9525</xdr:rowOff>
                  </from>
                  <to>
                    <xdr:col>4</xdr:col>
                    <xdr:colOff>219075</xdr:colOff>
                    <xdr:row>77</xdr:row>
                    <xdr:rowOff>171450</xdr:rowOff>
                  </to>
                </anchor>
              </controlPr>
            </control>
          </mc:Choice>
        </mc:AlternateContent>
        <mc:AlternateContent xmlns:mc="http://schemas.openxmlformats.org/markup-compatibility/2006">
          <mc:Choice Requires="x14">
            <control shapeId="2125" r:id="rId78" name="Button 77">
              <controlPr defaultSize="0" print="0" autoFill="0" autoPict="0" macro="[0]!Add_item">
                <anchor moveWithCells="1" sizeWithCells="1">
                  <from>
                    <xdr:col>4</xdr:col>
                    <xdr:colOff>57150</xdr:colOff>
                    <xdr:row>78</xdr:row>
                    <xdr:rowOff>9525</xdr:rowOff>
                  </from>
                  <to>
                    <xdr:col>4</xdr:col>
                    <xdr:colOff>219075</xdr:colOff>
                    <xdr:row>78</xdr:row>
                    <xdr:rowOff>171450</xdr:rowOff>
                  </to>
                </anchor>
              </controlPr>
            </control>
          </mc:Choice>
        </mc:AlternateContent>
        <mc:AlternateContent xmlns:mc="http://schemas.openxmlformats.org/markup-compatibility/2006">
          <mc:Choice Requires="x14">
            <control shapeId="2126" r:id="rId79" name="Button 78">
              <controlPr defaultSize="0" print="0" autoFill="0" autoPict="0" macro="[0]!Add_item">
                <anchor moveWithCells="1" sizeWithCells="1">
                  <from>
                    <xdr:col>4</xdr:col>
                    <xdr:colOff>57150</xdr:colOff>
                    <xdr:row>79</xdr:row>
                    <xdr:rowOff>9525</xdr:rowOff>
                  </from>
                  <to>
                    <xdr:col>4</xdr:col>
                    <xdr:colOff>219075</xdr:colOff>
                    <xdr:row>79</xdr:row>
                    <xdr:rowOff>171450</xdr:rowOff>
                  </to>
                </anchor>
              </controlPr>
            </control>
          </mc:Choice>
        </mc:AlternateContent>
        <mc:AlternateContent xmlns:mc="http://schemas.openxmlformats.org/markup-compatibility/2006">
          <mc:Choice Requires="x14">
            <control shapeId="2127" r:id="rId80" name="Button 79">
              <controlPr defaultSize="0" print="0" autoFill="0" autoPict="0" macro="[0]!Add_item">
                <anchor moveWithCells="1" sizeWithCells="1">
                  <from>
                    <xdr:col>4</xdr:col>
                    <xdr:colOff>57150</xdr:colOff>
                    <xdr:row>80</xdr:row>
                    <xdr:rowOff>9525</xdr:rowOff>
                  </from>
                  <to>
                    <xdr:col>4</xdr:col>
                    <xdr:colOff>219075</xdr:colOff>
                    <xdr:row>80</xdr:row>
                    <xdr:rowOff>171450</xdr:rowOff>
                  </to>
                </anchor>
              </controlPr>
            </control>
          </mc:Choice>
        </mc:AlternateContent>
        <mc:AlternateContent xmlns:mc="http://schemas.openxmlformats.org/markup-compatibility/2006">
          <mc:Choice Requires="x14">
            <control shapeId="2128" r:id="rId81" name="Button 80">
              <controlPr defaultSize="0" print="0" autoFill="0" autoPict="0" macro="[0]!Add_item">
                <anchor moveWithCells="1" sizeWithCells="1">
                  <from>
                    <xdr:col>4</xdr:col>
                    <xdr:colOff>57150</xdr:colOff>
                    <xdr:row>81</xdr:row>
                    <xdr:rowOff>9525</xdr:rowOff>
                  </from>
                  <to>
                    <xdr:col>4</xdr:col>
                    <xdr:colOff>219075</xdr:colOff>
                    <xdr:row>81</xdr:row>
                    <xdr:rowOff>171450</xdr:rowOff>
                  </to>
                </anchor>
              </controlPr>
            </control>
          </mc:Choice>
        </mc:AlternateContent>
        <mc:AlternateContent xmlns:mc="http://schemas.openxmlformats.org/markup-compatibility/2006">
          <mc:Choice Requires="x14">
            <control shapeId="2129" r:id="rId82" name="Button 81">
              <controlPr defaultSize="0" print="0" autoFill="0" autoPict="0" macro="[0]!Add_item">
                <anchor moveWithCells="1" sizeWithCells="1">
                  <from>
                    <xdr:col>4</xdr:col>
                    <xdr:colOff>57150</xdr:colOff>
                    <xdr:row>82</xdr:row>
                    <xdr:rowOff>9525</xdr:rowOff>
                  </from>
                  <to>
                    <xdr:col>4</xdr:col>
                    <xdr:colOff>219075</xdr:colOff>
                    <xdr:row>82</xdr:row>
                    <xdr:rowOff>171450</xdr:rowOff>
                  </to>
                </anchor>
              </controlPr>
            </control>
          </mc:Choice>
        </mc:AlternateContent>
        <mc:AlternateContent xmlns:mc="http://schemas.openxmlformats.org/markup-compatibility/2006">
          <mc:Choice Requires="x14">
            <control shapeId="2130" r:id="rId83" name="Button 82">
              <controlPr defaultSize="0" print="0" autoFill="0" autoPict="0" macro="[0]!Add_item">
                <anchor moveWithCells="1" sizeWithCells="1">
                  <from>
                    <xdr:col>4</xdr:col>
                    <xdr:colOff>57150</xdr:colOff>
                    <xdr:row>83</xdr:row>
                    <xdr:rowOff>9525</xdr:rowOff>
                  </from>
                  <to>
                    <xdr:col>4</xdr:col>
                    <xdr:colOff>219075</xdr:colOff>
                    <xdr:row>83</xdr:row>
                    <xdr:rowOff>171450</xdr:rowOff>
                  </to>
                </anchor>
              </controlPr>
            </control>
          </mc:Choice>
        </mc:AlternateContent>
        <mc:AlternateContent xmlns:mc="http://schemas.openxmlformats.org/markup-compatibility/2006">
          <mc:Choice Requires="x14">
            <control shapeId="2131" r:id="rId84" name="Button 83">
              <controlPr defaultSize="0" print="0" autoFill="0" autoPict="0" macro="[0]!Add_item">
                <anchor moveWithCells="1" sizeWithCells="1">
                  <from>
                    <xdr:col>4</xdr:col>
                    <xdr:colOff>57150</xdr:colOff>
                    <xdr:row>84</xdr:row>
                    <xdr:rowOff>9525</xdr:rowOff>
                  </from>
                  <to>
                    <xdr:col>4</xdr:col>
                    <xdr:colOff>219075</xdr:colOff>
                    <xdr:row>84</xdr:row>
                    <xdr:rowOff>171450</xdr:rowOff>
                  </to>
                </anchor>
              </controlPr>
            </control>
          </mc:Choice>
        </mc:AlternateContent>
        <mc:AlternateContent xmlns:mc="http://schemas.openxmlformats.org/markup-compatibility/2006">
          <mc:Choice Requires="x14">
            <control shapeId="2132" r:id="rId85" name="Button 84">
              <controlPr defaultSize="0" print="0" autoFill="0" autoPict="0" macro="[0]!Add_item">
                <anchor moveWithCells="1" sizeWithCells="1">
                  <from>
                    <xdr:col>4</xdr:col>
                    <xdr:colOff>57150</xdr:colOff>
                    <xdr:row>85</xdr:row>
                    <xdr:rowOff>9525</xdr:rowOff>
                  </from>
                  <to>
                    <xdr:col>4</xdr:col>
                    <xdr:colOff>219075</xdr:colOff>
                    <xdr:row>85</xdr:row>
                    <xdr:rowOff>171450</xdr:rowOff>
                  </to>
                </anchor>
              </controlPr>
            </control>
          </mc:Choice>
        </mc:AlternateContent>
        <mc:AlternateContent xmlns:mc="http://schemas.openxmlformats.org/markup-compatibility/2006">
          <mc:Choice Requires="x14">
            <control shapeId="2133" r:id="rId86" name="Button 85">
              <controlPr defaultSize="0" print="0" autoFill="0" autoPict="0" macro="[0]!Add_item">
                <anchor moveWithCells="1" sizeWithCells="1">
                  <from>
                    <xdr:col>4</xdr:col>
                    <xdr:colOff>57150</xdr:colOff>
                    <xdr:row>86</xdr:row>
                    <xdr:rowOff>9525</xdr:rowOff>
                  </from>
                  <to>
                    <xdr:col>4</xdr:col>
                    <xdr:colOff>219075</xdr:colOff>
                    <xdr:row>86</xdr:row>
                    <xdr:rowOff>171450</xdr:rowOff>
                  </to>
                </anchor>
              </controlPr>
            </control>
          </mc:Choice>
        </mc:AlternateContent>
        <mc:AlternateContent xmlns:mc="http://schemas.openxmlformats.org/markup-compatibility/2006">
          <mc:Choice Requires="x14">
            <control shapeId="2134" r:id="rId87" name="Button 86">
              <controlPr defaultSize="0" print="0" autoFill="0" autoPict="0" macro="[0]!Add_item">
                <anchor moveWithCells="1" sizeWithCells="1">
                  <from>
                    <xdr:col>6</xdr:col>
                    <xdr:colOff>57150</xdr:colOff>
                    <xdr:row>4</xdr:row>
                    <xdr:rowOff>9525</xdr:rowOff>
                  </from>
                  <to>
                    <xdr:col>6</xdr:col>
                    <xdr:colOff>219075</xdr:colOff>
                    <xdr:row>4</xdr:row>
                    <xdr:rowOff>171450</xdr:rowOff>
                  </to>
                </anchor>
              </controlPr>
            </control>
          </mc:Choice>
        </mc:AlternateContent>
        <mc:AlternateContent xmlns:mc="http://schemas.openxmlformats.org/markup-compatibility/2006">
          <mc:Choice Requires="x14">
            <control shapeId="2135" r:id="rId88" name="Button 87">
              <controlPr defaultSize="0" print="0" autoFill="0" autoPict="0" macro="[0]!Add_item">
                <anchor moveWithCells="1" sizeWithCells="1">
                  <from>
                    <xdr:col>6</xdr:col>
                    <xdr:colOff>57150</xdr:colOff>
                    <xdr:row>5</xdr:row>
                    <xdr:rowOff>9525</xdr:rowOff>
                  </from>
                  <to>
                    <xdr:col>6</xdr:col>
                    <xdr:colOff>219075</xdr:colOff>
                    <xdr:row>5</xdr:row>
                    <xdr:rowOff>171450</xdr:rowOff>
                  </to>
                </anchor>
              </controlPr>
            </control>
          </mc:Choice>
        </mc:AlternateContent>
        <mc:AlternateContent xmlns:mc="http://schemas.openxmlformats.org/markup-compatibility/2006">
          <mc:Choice Requires="x14">
            <control shapeId="2136" r:id="rId89" name="Button 88">
              <controlPr defaultSize="0" print="0" autoFill="0" autoPict="0" macro="[0]!Add_item">
                <anchor moveWithCells="1" sizeWithCells="1">
                  <from>
                    <xdr:col>6</xdr:col>
                    <xdr:colOff>57150</xdr:colOff>
                    <xdr:row>6</xdr:row>
                    <xdr:rowOff>9525</xdr:rowOff>
                  </from>
                  <to>
                    <xdr:col>6</xdr:col>
                    <xdr:colOff>219075</xdr:colOff>
                    <xdr:row>6</xdr:row>
                    <xdr:rowOff>171450</xdr:rowOff>
                  </to>
                </anchor>
              </controlPr>
            </control>
          </mc:Choice>
        </mc:AlternateContent>
        <mc:AlternateContent xmlns:mc="http://schemas.openxmlformats.org/markup-compatibility/2006">
          <mc:Choice Requires="x14">
            <control shapeId="2137" r:id="rId90" name="Button 89">
              <controlPr defaultSize="0" print="0" autoFill="0" autoPict="0" macro="[0]!Add_item">
                <anchor moveWithCells="1" sizeWithCells="1">
                  <from>
                    <xdr:col>6</xdr:col>
                    <xdr:colOff>57150</xdr:colOff>
                    <xdr:row>7</xdr:row>
                    <xdr:rowOff>9525</xdr:rowOff>
                  </from>
                  <to>
                    <xdr:col>6</xdr:col>
                    <xdr:colOff>219075</xdr:colOff>
                    <xdr:row>7</xdr:row>
                    <xdr:rowOff>171450</xdr:rowOff>
                  </to>
                </anchor>
              </controlPr>
            </control>
          </mc:Choice>
        </mc:AlternateContent>
        <mc:AlternateContent xmlns:mc="http://schemas.openxmlformats.org/markup-compatibility/2006">
          <mc:Choice Requires="x14">
            <control shapeId="2138" r:id="rId91" name="Button 90">
              <controlPr defaultSize="0" print="0" autoFill="0" autoPict="0" macro="[0]!Add_item">
                <anchor moveWithCells="1" sizeWithCells="1">
                  <from>
                    <xdr:col>6</xdr:col>
                    <xdr:colOff>57150</xdr:colOff>
                    <xdr:row>8</xdr:row>
                    <xdr:rowOff>9525</xdr:rowOff>
                  </from>
                  <to>
                    <xdr:col>6</xdr:col>
                    <xdr:colOff>219075</xdr:colOff>
                    <xdr:row>8</xdr:row>
                    <xdr:rowOff>171450</xdr:rowOff>
                  </to>
                </anchor>
              </controlPr>
            </control>
          </mc:Choice>
        </mc:AlternateContent>
        <mc:AlternateContent xmlns:mc="http://schemas.openxmlformats.org/markup-compatibility/2006">
          <mc:Choice Requires="x14">
            <control shapeId="2139" r:id="rId92" name="Button 91">
              <controlPr defaultSize="0" print="0" autoFill="0" autoPict="0" macro="[0]!Add_item">
                <anchor moveWithCells="1" sizeWithCells="1">
                  <from>
                    <xdr:col>6</xdr:col>
                    <xdr:colOff>57150</xdr:colOff>
                    <xdr:row>9</xdr:row>
                    <xdr:rowOff>9525</xdr:rowOff>
                  </from>
                  <to>
                    <xdr:col>6</xdr:col>
                    <xdr:colOff>219075</xdr:colOff>
                    <xdr:row>9</xdr:row>
                    <xdr:rowOff>171450</xdr:rowOff>
                  </to>
                </anchor>
              </controlPr>
            </control>
          </mc:Choice>
        </mc:AlternateContent>
        <mc:AlternateContent xmlns:mc="http://schemas.openxmlformats.org/markup-compatibility/2006">
          <mc:Choice Requires="x14">
            <control shapeId="2140" r:id="rId93" name="Button 92">
              <controlPr defaultSize="0" print="0" autoFill="0" autoPict="0" macro="[0]!Add_item">
                <anchor moveWithCells="1" sizeWithCells="1">
                  <from>
                    <xdr:col>6</xdr:col>
                    <xdr:colOff>57150</xdr:colOff>
                    <xdr:row>11</xdr:row>
                    <xdr:rowOff>9525</xdr:rowOff>
                  </from>
                  <to>
                    <xdr:col>6</xdr:col>
                    <xdr:colOff>219075</xdr:colOff>
                    <xdr:row>11</xdr:row>
                    <xdr:rowOff>171450</xdr:rowOff>
                  </to>
                </anchor>
              </controlPr>
            </control>
          </mc:Choice>
        </mc:AlternateContent>
        <mc:AlternateContent xmlns:mc="http://schemas.openxmlformats.org/markup-compatibility/2006">
          <mc:Choice Requires="x14">
            <control shapeId="2141" r:id="rId94" name="Button 93">
              <controlPr defaultSize="0" print="0" autoFill="0" autoPict="0" macro="[0]!Add_item">
                <anchor moveWithCells="1" sizeWithCells="1">
                  <from>
                    <xdr:col>6</xdr:col>
                    <xdr:colOff>57150</xdr:colOff>
                    <xdr:row>10</xdr:row>
                    <xdr:rowOff>9525</xdr:rowOff>
                  </from>
                  <to>
                    <xdr:col>6</xdr:col>
                    <xdr:colOff>219075</xdr:colOff>
                    <xdr:row>10</xdr:row>
                    <xdr:rowOff>171450</xdr:rowOff>
                  </to>
                </anchor>
              </controlPr>
            </control>
          </mc:Choice>
        </mc:AlternateContent>
        <mc:AlternateContent xmlns:mc="http://schemas.openxmlformats.org/markup-compatibility/2006">
          <mc:Choice Requires="x14">
            <control shapeId="2142" r:id="rId95" name="Button 94">
              <controlPr defaultSize="0" print="0" autoFill="0" autoPict="0" macro="[0]!Add_item">
                <anchor moveWithCells="1" sizeWithCells="1">
                  <from>
                    <xdr:col>6</xdr:col>
                    <xdr:colOff>57150</xdr:colOff>
                    <xdr:row>12</xdr:row>
                    <xdr:rowOff>9525</xdr:rowOff>
                  </from>
                  <to>
                    <xdr:col>6</xdr:col>
                    <xdr:colOff>219075</xdr:colOff>
                    <xdr:row>12</xdr:row>
                    <xdr:rowOff>171450</xdr:rowOff>
                  </to>
                </anchor>
              </controlPr>
            </control>
          </mc:Choice>
        </mc:AlternateContent>
        <mc:AlternateContent xmlns:mc="http://schemas.openxmlformats.org/markup-compatibility/2006">
          <mc:Choice Requires="x14">
            <control shapeId="2143" r:id="rId96" name="Button 95">
              <controlPr defaultSize="0" print="0" autoFill="0" autoPict="0" macro="[0]!Add_item">
                <anchor moveWithCells="1" sizeWithCells="1">
                  <from>
                    <xdr:col>6</xdr:col>
                    <xdr:colOff>57150</xdr:colOff>
                    <xdr:row>13</xdr:row>
                    <xdr:rowOff>9525</xdr:rowOff>
                  </from>
                  <to>
                    <xdr:col>6</xdr:col>
                    <xdr:colOff>219075</xdr:colOff>
                    <xdr:row>13</xdr:row>
                    <xdr:rowOff>171450</xdr:rowOff>
                  </to>
                </anchor>
              </controlPr>
            </control>
          </mc:Choice>
        </mc:AlternateContent>
        <mc:AlternateContent xmlns:mc="http://schemas.openxmlformats.org/markup-compatibility/2006">
          <mc:Choice Requires="x14">
            <control shapeId="2144" r:id="rId97" name="Button 96">
              <controlPr defaultSize="0" print="0" autoFill="0" autoPict="0" macro="[0]!Add_item">
                <anchor moveWithCells="1" sizeWithCells="1">
                  <from>
                    <xdr:col>6</xdr:col>
                    <xdr:colOff>57150</xdr:colOff>
                    <xdr:row>15</xdr:row>
                    <xdr:rowOff>9525</xdr:rowOff>
                  </from>
                  <to>
                    <xdr:col>6</xdr:col>
                    <xdr:colOff>219075</xdr:colOff>
                    <xdr:row>15</xdr:row>
                    <xdr:rowOff>171450</xdr:rowOff>
                  </to>
                </anchor>
              </controlPr>
            </control>
          </mc:Choice>
        </mc:AlternateContent>
        <mc:AlternateContent xmlns:mc="http://schemas.openxmlformats.org/markup-compatibility/2006">
          <mc:Choice Requires="x14">
            <control shapeId="2145" r:id="rId98" name="Button 97">
              <controlPr defaultSize="0" print="0" autoFill="0" autoPict="0" macro="[0]!Add_item">
                <anchor moveWithCells="1" sizeWithCells="1">
                  <from>
                    <xdr:col>6</xdr:col>
                    <xdr:colOff>57150</xdr:colOff>
                    <xdr:row>14</xdr:row>
                    <xdr:rowOff>9525</xdr:rowOff>
                  </from>
                  <to>
                    <xdr:col>6</xdr:col>
                    <xdr:colOff>219075</xdr:colOff>
                    <xdr:row>14</xdr:row>
                    <xdr:rowOff>171450</xdr:rowOff>
                  </to>
                </anchor>
              </controlPr>
            </control>
          </mc:Choice>
        </mc:AlternateContent>
        <mc:AlternateContent xmlns:mc="http://schemas.openxmlformats.org/markup-compatibility/2006">
          <mc:Choice Requires="x14">
            <control shapeId="2146" r:id="rId99" name="Button 98">
              <controlPr defaultSize="0" print="0" autoFill="0" autoPict="0" macro="[0]!Add_item">
                <anchor moveWithCells="1" sizeWithCells="1">
                  <from>
                    <xdr:col>6</xdr:col>
                    <xdr:colOff>57150</xdr:colOff>
                    <xdr:row>17</xdr:row>
                    <xdr:rowOff>9525</xdr:rowOff>
                  </from>
                  <to>
                    <xdr:col>6</xdr:col>
                    <xdr:colOff>219075</xdr:colOff>
                    <xdr:row>17</xdr:row>
                    <xdr:rowOff>171450</xdr:rowOff>
                  </to>
                </anchor>
              </controlPr>
            </control>
          </mc:Choice>
        </mc:AlternateContent>
        <mc:AlternateContent xmlns:mc="http://schemas.openxmlformats.org/markup-compatibility/2006">
          <mc:Choice Requires="x14">
            <control shapeId="2147" r:id="rId100" name="Button 99">
              <controlPr defaultSize="0" print="0" autoFill="0" autoPict="0" macro="[0]!Add_item">
                <anchor moveWithCells="1" sizeWithCells="1">
                  <from>
                    <xdr:col>6</xdr:col>
                    <xdr:colOff>57150</xdr:colOff>
                    <xdr:row>16</xdr:row>
                    <xdr:rowOff>9525</xdr:rowOff>
                  </from>
                  <to>
                    <xdr:col>6</xdr:col>
                    <xdr:colOff>219075</xdr:colOff>
                    <xdr:row>16</xdr:row>
                    <xdr:rowOff>171450</xdr:rowOff>
                  </to>
                </anchor>
              </controlPr>
            </control>
          </mc:Choice>
        </mc:AlternateContent>
        <mc:AlternateContent xmlns:mc="http://schemas.openxmlformats.org/markup-compatibility/2006">
          <mc:Choice Requires="x14">
            <control shapeId="2148" r:id="rId101" name="Button 100">
              <controlPr defaultSize="0" print="0" autoFill="0" autoPict="0" macro="[0]!Add_item">
                <anchor moveWithCells="1" sizeWithCells="1">
                  <from>
                    <xdr:col>6</xdr:col>
                    <xdr:colOff>57150</xdr:colOff>
                    <xdr:row>19</xdr:row>
                    <xdr:rowOff>9525</xdr:rowOff>
                  </from>
                  <to>
                    <xdr:col>6</xdr:col>
                    <xdr:colOff>219075</xdr:colOff>
                    <xdr:row>19</xdr:row>
                    <xdr:rowOff>171450</xdr:rowOff>
                  </to>
                </anchor>
              </controlPr>
            </control>
          </mc:Choice>
        </mc:AlternateContent>
        <mc:AlternateContent xmlns:mc="http://schemas.openxmlformats.org/markup-compatibility/2006">
          <mc:Choice Requires="x14">
            <control shapeId="2149" r:id="rId102" name="Button 101">
              <controlPr defaultSize="0" print="0" autoFill="0" autoPict="0" macro="[0]!Add_item">
                <anchor moveWithCells="1" sizeWithCells="1">
                  <from>
                    <xdr:col>6</xdr:col>
                    <xdr:colOff>57150</xdr:colOff>
                    <xdr:row>18</xdr:row>
                    <xdr:rowOff>9525</xdr:rowOff>
                  </from>
                  <to>
                    <xdr:col>6</xdr:col>
                    <xdr:colOff>219075</xdr:colOff>
                    <xdr:row>18</xdr:row>
                    <xdr:rowOff>171450</xdr:rowOff>
                  </to>
                </anchor>
              </controlPr>
            </control>
          </mc:Choice>
        </mc:AlternateContent>
        <mc:AlternateContent xmlns:mc="http://schemas.openxmlformats.org/markup-compatibility/2006">
          <mc:Choice Requires="x14">
            <control shapeId="2150" r:id="rId103" name="Button 102">
              <controlPr defaultSize="0" print="0" autoFill="0" autoPict="0" macro="[0]!Add_item">
                <anchor moveWithCells="1" sizeWithCells="1">
                  <from>
                    <xdr:col>6</xdr:col>
                    <xdr:colOff>57150</xdr:colOff>
                    <xdr:row>20</xdr:row>
                    <xdr:rowOff>9525</xdr:rowOff>
                  </from>
                  <to>
                    <xdr:col>6</xdr:col>
                    <xdr:colOff>219075</xdr:colOff>
                    <xdr:row>20</xdr:row>
                    <xdr:rowOff>171450</xdr:rowOff>
                  </to>
                </anchor>
              </controlPr>
            </control>
          </mc:Choice>
        </mc:AlternateContent>
        <mc:AlternateContent xmlns:mc="http://schemas.openxmlformats.org/markup-compatibility/2006">
          <mc:Choice Requires="x14">
            <control shapeId="2151" r:id="rId104" name="Button 103">
              <controlPr defaultSize="0" print="0" autoFill="0" autoPict="0" macro="[0]!Add_item">
                <anchor moveWithCells="1" sizeWithCells="1">
                  <from>
                    <xdr:col>6</xdr:col>
                    <xdr:colOff>57150</xdr:colOff>
                    <xdr:row>22</xdr:row>
                    <xdr:rowOff>9525</xdr:rowOff>
                  </from>
                  <to>
                    <xdr:col>6</xdr:col>
                    <xdr:colOff>219075</xdr:colOff>
                    <xdr:row>22</xdr:row>
                    <xdr:rowOff>171450</xdr:rowOff>
                  </to>
                </anchor>
              </controlPr>
            </control>
          </mc:Choice>
        </mc:AlternateContent>
        <mc:AlternateContent xmlns:mc="http://schemas.openxmlformats.org/markup-compatibility/2006">
          <mc:Choice Requires="x14">
            <control shapeId="2152" r:id="rId105" name="Button 104">
              <controlPr defaultSize="0" print="0" autoFill="0" autoPict="0" macro="[0]!Add_item">
                <anchor moveWithCells="1" sizeWithCells="1">
                  <from>
                    <xdr:col>6</xdr:col>
                    <xdr:colOff>57150</xdr:colOff>
                    <xdr:row>21</xdr:row>
                    <xdr:rowOff>9525</xdr:rowOff>
                  </from>
                  <to>
                    <xdr:col>6</xdr:col>
                    <xdr:colOff>219075</xdr:colOff>
                    <xdr:row>21</xdr:row>
                    <xdr:rowOff>171450</xdr:rowOff>
                  </to>
                </anchor>
              </controlPr>
            </control>
          </mc:Choice>
        </mc:AlternateContent>
        <mc:AlternateContent xmlns:mc="http://schemas.openxmlformats.org/markup-compatibility/2006">
          <mc:Choice Requires="x14">
            <control shapeId="2153" r:id="rId106" name="Button 105">
              <controlPr defaultSize="0" print="0" autoFill="0" autoPict="0" macro="[0]!Add_item">
                <anchor moveWithCells="1" sizeWithCells="1">
                  <from>
                    <xdr:col>6</xdr:col>
                    <xdr:colOff>57150</xdr:colOff>
                    <xdr:row>23</xdr:row>
                    <xdr:rowOff>9525</xdr:rowOff>
                  </from>
                  <to>
                    <xdr:col>6</xdr:col>
                    <xdr:colOff>219075</xdr:colOff>
                    <xdr:row>23</xdr:row>
                    <xdr:rowOff>171450</xdr:rowOff>
                  </to>
                </anchor>
              </controlPr>
            </control>
          </mc:Choice>
        </mc:AlternateContent>
        <mc:AlternateContent xmlns:mc="http://schemas.openxmlformats.org/markup-compatibility/2006">
          <mc:Choice Requires="x14">
            <control shapeId="2154" r:id="rId107" name="Button 106">
              <controlPr defaultSize="0" print="0" autoFill="0" autoPict="0" macro="[0]!Add_item">
                <anchor moveWithCells="1" sizeWithCells="1">
                  <from>
                    <xdr:col>6</xdr:col>
                    <xdr:colOff>57150</xdr:colOff>
                    <xdr:row>24</xdr:row>
                    <xdr:rowOff>9525</xdr:rowOff>
                  </from>
                  <to>
                    <xdr:col>6</xdr:col>
                    <xdr:colOff>219075</xdr:colOff>
                    <xdr:row>24</xdr:row>
                    <xdr:rowOff>171450</xdr:rowOff>
                  </to>
                </anchor>
              </controlPr>
            </control>
          </mc:Choice>
        </mc:AlternateContent>
        <mc:AlternateContent xmlns:mc="http://schemas.openxmlformats.org/markup-compatibility/2006">
          <mc:Choice Requires="x14">
            <control shapeId="2155" r:id="rId108" name="Button 107">
              <controlPr defaultSize="0" print="0" autoFill="0" autoPict="0" macro="[0]!Add_item">
                <anchor moveWithCells="1" sizeWithCells="1">
                  <from>
                    <xdr:col>6</xdr:col>
                    <xdr:colOff>57150</xdr:colOff>
                    <xdr:row>25</xdr:row>
                    <xdr:rowOff>9525</xdr:rowOff>
                  </from>
                  <to>
                    <xdr:col>6</xdr:col>
                    <xdr:colOff>219075</xdr:colOff>
                    <xdr:row>25</xdr:row>
                    <xdr:rowOff>171450</xdr:rowOff>
                  </to>
                </anchor>
              </controlPr>
            </control>
          </mc:Choice>
        </mc:AlternateContent>
        <mc:AlternateContent xmlns:mc="http://schemas.openxmlformats.org/markup-compatibility/2006">
          <mc:Choice Requires="x14">
            <control shapeId="2156" r:id="rId109" name="Button 108">
              <controlPr defaultSize="0" print="0" autoFill="0" autoPict="0" macro="[0]!Add_item">
                <anchor moveWithCells="1" sizeWithCells="1">
                  <from>
                    <xdr:col>6</xdr:col>
                    <xdr:colOff>57150</xdr:colOff>
                    <xdr:row>26</xdr:row>
                    <xdr:rowOff>9525</xdr:rowOff>
                  </from>
                  <to>
                    <xdr:col>6</xdr:col>
                    <xdr:colOff>219075</xdr:colOff>
                    <xdr:row>26</xdr:row>
                    <xdr:rowOff>171450</xdr:rowOff>
                  </to>
                </anchor>
              </controlPr>
            </control>
          </mc:Choice>
        </mc:AlternateContent>
        <mc:AlternateContent xmlns:mc="http://schemas.openxmlformats.org/markup-compatibility/2006">
          <mc:Choice Requires="x14">
            <control shapeId="2157" r:id="rId110" name="Button 109">
              <controlPr defaultSize="0" print="0" autoFill="0" autoPict="0" macro="[0]!Add_item">
                <anchor moveWithCells="1" sizeWithCells="1">
                  <from>
                    <xdr:col>6</xdr:col>
                    <xdr:colOff>57150</xdr:colOff>
                    <xdr:row>27</xdr:row>
                    <xdr:rowOff>9525</xdr:rowOff>
                  </from>
                  <to>
                    <xdr:col>6</xdr:col>
                    <xdr:colOff>219075</xdr:colOff>
                    <xdr:row>27</xdr:row>
                    <xdr:rowOff>171450</xdr:rowOff>
                  </to>
                </anchor>
              </controlPr>
            </control>
          </mc:Choice>
        </mc:AlternateContent>
        <mc:AlternateContent xmlns:mc="http://schemas.openxmlformats.org/markup-compatibility/2006">
          <mc:Choice Requires="x14">
            <control shapeId="2158" r:id="rId111" name="Button 110">
              <controlPr defaultSize="0" print="0" autoFill="0" autoPict="0" macro="[0]!Add_item">
                <anchor moveWithCells="1" sizeWithCells="1">
                  <from>
                    <xdr:col>6</xdr:col>
                    <xdr:colOff>57150</xdr:colOff>
                    <xdr:row>28</xdr:row>
                    <xdr:rowOff>9525</xdr:rowOff>
                  </from>
                  <to>
                    <xdr:col>6</xdr:col>
                    <xdr:colOff>219075</xdr:colOff>
                    <xdr:row>28</xdr:row>
                    <xdr:rowOff>171450</xdr:rowOff>
                  </to>
                </anchor>
              </controlPr>
            </control>
          </mc:Choice>
        </mc:AlternateContent>
        <mc:AlternateContent xmlns:mc="http://schemas.openxmlformats.org/markup-compatibility/2006">
          <mc:Choice Requires="x14">
            <control shapeId="2159" r:id="rId112" name="Button 111">
              <controlPr defaultSize="0" print="0" autoFill="0" autoPict="0" macro="[0]!Add_item">
                <anchor moveWithCells="1" sizeWithCells="1">
                  <from>
                    <xdr:col>6</xdr:col>
                    <xdr:colOff>57150</xdr:colOff>
                    <xdr:row>29</xdr:row>
                    <xdr:rowOff>9525</xdr:rowOff>
                  </from>
                  <to>
                    <xdr:col>6</xdr:col>
                    <xdr:colOff>219075</xdr:colOff>
                    <xdr:row>29</xdr:row>
                    <xdr:rowOff>171450</xdr:rowOff>
                  </to>
                </anchor>
              </controlPr>
            </control>
          </mc:Choice>
        </mc:AlternateContent>
        <mc:AlternateContent xmlns:mc="http://schemas.openxmlformats.org/markup-compatibility/2006">
          <mc:Choice Requires="x14">
            <control shapeId="2160" r:id="rId113" name="Button 112">
              <controlPr defaultSize="0" print="0" autoFill="0" autoPict="0" macro="[0]!Add_item">
                <anchor moveWithCells="1" sizeWithCells="1">
                  <from>
                    <xdr:col>6</xdr:col>
                    <xdr:colOff>57150</xdr:colOff>
                    <xdr:row>31</xdr:row>
                    <xdr:rowOff>9525</xdr:rowOff>
                  </from>
                  <to>
                    <xdr:col>6</xdr:col>
                    <xdr:colOff>219075</xdr:colOff>
                    <xdr:row>31</xdr:row>
                    <xdr:rowOff>171450</xdr:rowOff>
                  </to>
                </anchor>
              </controlPr>
            </control>
          </mc:Choice>
        </mc:AlternateContent>
        <mc:AlternateContent xmlns:mc="http://schemas.openxmlformats.org/markup-compatibility/2006">
          <mc:Choice Requires="x14">
            <control shapeId="2161" r:id="rId114" name="Button 113">
              <controlPr defaultSize="0" print="0" autoFill="0" autoPict="0" macro="[0]!Add_item">
                <anchor moveWithCells="1" sizeWithCells="1">
                  <from>
                    <xdr:col>6</xdr:col>
                    <xdr:colOff>57150</xdr:colOff>
                    <xdr:row>30</xdr:row>
                    <xdr:rowOff>9525</xdr:rowOff>
                  </from>
                  <to>
                    <xdr:col>6</xdr:col>
                    <xdr:colOff>219075</xdr:colOff>
                    <xdr:row>30</xdr:row>
                    <xdr:rowOff>171450</xdr:rowOff>
                  </to>
                </anchor>
              </controlPr>
            </control>
          </mc:Choice>
        </mc:AlternateContent>
        <mc:AlternateContent xmlns:mc="http://schemas.openxmlformats.org/markup-compatibility/2006">
          <mc:Choice Requires="x14">
            <control shapeId="2162" r:id="rId115" name="Button 114">
              <controlPr defaultSize="0" print="0" autoFill="0" autoPict="0" macro="[0]!Add_item">
                <anchor moveWithCells="1" sizeWithCells="1">
                  <from>
                    <xdr:col>6</xdr:col>
                    <xdr:colOff>57150</xdr:colOff>
                    <xdr:row>32</xdr:row>
                    <xdr:rowOff>9525</xdr:rowOff>
                  </from>
                  <to>
                    <xdr:col>6</xdr:col>
                    <xdr:colOff>219075</xdr:colOff>
                    <xdr:row>32</xdr:row>
                    <xdr:rowOff>171450</xdr:rowOff>
                  </to>
                </anchor>
              </controlPr>
            </control>
          </mc:Choice>
        </mc:AlternateContent>
        <mc:AlternateContent xmlns:mc="http://schemas.openxmlformats.org/markup-compatibility/2006">
          <mc:Choice Requires="x14">
            <control shapeId="2163" r:id="rId116" name="Button 115">
              <controlPr defaultSize="0" print="0" autoFill="0" autoPict="0" macro="[0]!Add_item">
                <anchor moveWithCells="1" sizeWithCells="1">
                  <from>
                    <xdr:col>6</xdr:col>
                    <xdr:colOff>57150</xdr:colOff>
                    <xdr:row>33</xdr:row>
                    <xdr:rowOff>9525</xdr:rowOff>
                  </from>
                  <to>
                    <xdr:col>6</xdr:col>
                    <xdr:colOff>219075</xdr:colOff>
                    <xdr:row>33</xdr:row>
                    <xdr:rowOff>171450</xdr:rowOff>
                  </to>
                </anchor>
              </controlPr>
            </control>
          </mc:Choice>
        </mc:AlternateContent>
        <mc:AlternateContent xmlns:mc="http://schemas.openxmlformats.org/markup-compatibility/2006">
          <mc:Choice Requires="x14">
            <control shapeId="2164" r:id="rId117" name="Button 116">
              <controlPr defaultSize="0" print="0" autoFill="0" autoPict="0" macro="[0]!Add_item">
                <anchor moveWithCells="1" sizeWithCells="1">
                  <from>
                    <xdr:col>6</xdr:col>
                    <xdr:colOff>57150</xdr:colOff>
                    <xdr:row>34</xdr:row>
                    <xdr:rowOff>9525</xdr:rowOff>
                  </from>
                  <to>
                    <xdr:col>6</xdr:col>
                    <xdr:colOff>219075</xdr:colOff>
                    <xdr:row>34</xdr:row>
                    <xdr:rowOff>171450</xdr:rowOff>
                  </to>
                </anchor>
              </controlPr>
            </control>
          </mc:Choice>
        </mc:AlternateContent>
        <mc:AlternateContent xmlns:mc="http://schemas.openxmlformats.org/markup-compatibility/2006">
          <mc:Choice Requires="x14">
            <control shapeId="2165" r:id="rId118" name="Button 117">
              <controlPr defaultSize="0" print="0" autoFill="0" autoPict="0" macro="[0]!Add_item">
                <anchor moveWithCells="1" sizeWithCells="1">
                  <from>
                    <xdr:col>6</xdr:col>
                    <xdr:colOff>57150</xdr:colOff>
                    <xdr:row>35</xdr:row>
                    <xdr:rowOff>9525</xdr:rowOff>
                  </from>
                  <to>
                    <xdr:col>6</xdr:col>
                    <xdr:colOff>219075</xdr:colOff>
                    <xdr:row>35</xdr:row>
                    <xdr:rowOff>171450</xdr:rowOff>
                  </to>
                </anchor>
              </controlPr>
            </control>
          </mc:Choice>
        </mc:AlternateContent>
        <mc:AlternateContent xmlns:mc="http://schemas.openxmlformats.org/markup-compatibility/2006">
          <mc:Choice Requires="x14">
            <control shapeId="2166" r:id="rId119" name="Button 118">
              <controlPr defaultSize="0" print="0" autoFill="0" autoPict="0" macro="[0]!Add_item">
                <anchor moveWithCells="1" sizeWithCells="1">
                  <from>
                    <xdr:col>6</xdr:col>
                    <xdr:colOff>57150</xdr:colOff>
                    <xdr:row>36</xdr:row>
                    <xdr:rowOff>9525</xdr:rowOff>
                  </from>
                  <to>
                    <xdr:col>6</xdr:col>
                    <xdr:colOff>219075</xdr:colOff>
                    <xdr:row>36</xdr:row>
                    <xdr:rowOff>171450</xdr:rowOff>
                  </to>
                </anchor>
              </controlPr>
            </control>
          </mc:Choice>
        </mc:AlternateContent>
        <mc:AlternateContent xmlns:mc="http://schemas.openxmlformats.org/markup-compatibility/2006">
          <mc:Choice Requires="x14">
            <control shapeId="2167" r:id="rId120" name="Button 119">
              <controlPr defaultSize="0" print="0" autoFill="0" autoPict="0" macro="[0]!Add_item">
                <anchor moveWithCells="1" sizeWithCells="1">
                  <from>
                    <xdr:col>6</xdr:col>
                    <xdr:colOff>57150</xdr:colOff>
                    <xdr:row>37</xdr:row>
                    <xdr:rowOff>9525</xdr:rowOff>
                  </from>
                  <to>
                    <xdr:col>6</xdr:col>
                    <xdr:colOff>219075</xdr:colOff>
                    <xdr:row>37</xdr:row>
                    <xdr:rowOff>171450</xdr:rowOff>
                  </to>
                </anchor>
              </controlPr>
            </control>
          </mc:Choice>
        </mc:AlternateContent>
        <mc:AlternateContent xmlns:mc="http://schemas.openxmlformats.org/markup-compatibility/2006">
          <mc:Choice Requires="x14">
            <control shapeId="2168" r:id="rId121" name="Button 120">
              <controlPr defaultSize="0" print="0" autoFill="0" autoPict="0" macro="[0]!Add_item">
                <anchor moveWithCells="1" sizeWithCells="1">
                  <from>
                    <xdr:col>6</xdr:col>
                    <xdr:colOff>57150</xdr:colOff>
                    <xdr:row>38</xdr:row>
                    <xdr:rowOff>9525</xdr:rowOff>
                  </from>
                  <to>
                    <xdr:col>6</xdr:col>
                    <xdr:colOff>219075</xdr:colOff>
                    <xdr:row>38</xdr:row>
                    <xdr:rowOff>171450</xdr:rowOff>
                  </to>
                </anchor>
              </controlPr>
            </control>
          </mc:Choice>
        </mc:AlternateContent>
        <mc:AlternateContent xmlns:mc="http://schemas.openxmlformats.org/markup-compatibility/2006">
          <mc:Choice Requires="x14">
            <control shapeId="2169" r:id="rId122" name="Button 121">
              <controlPr defaultSize="0" print="0" autoFill="0" autoPict="0" macro="[0]!Add_item">
                <anchor moveWithCells="1" sizeWithCells="1">
                  <from>
                    <xdr:col>6</xdr:col>
                    <xdr:colOff>57150</xdr:colOff>
                    <xdr:row>39</xdr:row>
                    <xdr:rowOff>9525</xdr:rowOff>
                  </from>
                  <to>
                    <xdr:col>6</xdr:col>
                    <xdr:colOff>219075</xdr:colOff>
                    <xdr:row>39</xdr:row>
                    <xdr:rowOff>171450</xdr:rowOff>
                  </to>
                </anchor>
              </controlPr>
            </control>
          </mc:Choice>
        </mc:AlternateContent>
        <mc:AlternateContent xmlns:mc="http://schemas.openxmlformats.org/markup-compatibility/2006">
          <mc:Choice Requires="x14">
            <control shapeId="2170" r:id="rId123" name="Button 122">
              <controlPr defaultSize="0" print="0" autoFill="0" autoPict="0" macro="[0]!Add_item">
                <anchor moveWithCells="1" sizeWithCells="1">
                  <from>
                    <xdr:col>6</xdr:col>
                    <xdr:colOff>57150</xdr:colOff>
                    <xdr:row>40</xdr:row>
                    <xdr:rowOff>9525</xdr:rowOff>
                  </from>
                  <to>
                    <xdr:col>6</xdr:col>
                    <xdr:colOff>219075</xdr:colOff>
                    <xdr:row>40</xdr:row>
                    <xdr:rowOff>171450</xdr:rowOff>
                  </to>
                </anchor>
              </controlPr>
            </control>
          </mc:Choice>
        </mc:AlternateContent>
        <mc:AlternateContent xmlns:mc="http://schemas.openxmlformats.org/markup-compatibility/2006">
          <mc:Choice Requires="x14">
            <control shapeId="2171" r:id="rId124" name="Button 123">
              <controlPr defaultSize="0" print="0" autoFill="0" autoPict="0" macro="[0]!Add_item">
                <anchor moveWithCells="1" sizeWithCells="1">
                  <from>
                    <xdr:col>6</xdr:col>
                    <xdr:colOff>57150</xdr:colOff>
                    <xdr:row>41</xdr:row>
                    <xdr:rowOff>9525</xdr:rowOff>
                  </from>
                  <to>
                    <xdr:col>6</xdr:col>
                    <xdr:colOff>219075</xdr:colOff>
                    <xdr:row>41</xdr:row>
                    <xdr:rowOff>171450</xdr:rowOff>
                  </to>
                </anchor>
              </controlPr>
            </control>
          </mc:Choice>
        </mc:AlternateContent>
        <mc:AlternateContent xmlns:mc="http://schemas.openxmlformats.org/markup-compatibility/2006">
          <mc:Choice Requires="x14">
            <control shapeId="2172" r:id="rId125" name="Button 124">
              <controlPr defaultSize="0" print="0" autoFill="0" autoPict="0" macro="[0]!Add_item">
                <anchor moveWithCells="1" sizeWithCells="1">
                  <from>
                    <xdr:col>6</xdr:col>
                    <xdr:colOff>57150</xdr:colOff>
                    <xdr:row>42</xdr:row>
                    <xdr:rowOff>9525</xdr:rowOff>
                  </from>
                  <to>
                    <xdr:col>6</xdr:col>
                    <xdr:colOff>219075</xdr:colOff>
                    <xdr:row>42</xdr:row>
                    <xdr:rowOff>171450</xdr:rowOff>
                  </to>
                </anchor>
              </controlPr>
            </control>
          </mc:Choice>
        </mc:AlternateContent>
        <mc:AlternateContent xmlns:mc="http://schemas.openxmlformats.org/markup-compatibility/2006">
          <mc:Choice Requires="x14">
            <control shapeId="2173" r:id="rId126" name="Button 125">
              <controlPr defaultSize="0" print="0" autoFill="0" autoPict="0" macro="[0]!Add_item">
                <anchor moveWithCells="1" sizeWithCells="1">
                  <from>
                    <xdr:col>6</xdr:col>
                    <xdr:colOff>57150</xdr:colOff>
                    <xdr:row>43</xdr:row>
                    <xdr:rowOff>9525</xdr:rowOff>
                  </from>
                  <to>
                    <xdr:col>6</xdr:col>
                    <xdr:colOff>219075</xdr:colOff>
                    <xdr:row>43</xdr:row>
                    <xdr:rowOff>171450</xdr:rowOff>
                  </to>
                </anchor>
              </controlPr>
            </control>
          </mc:Choice>
        </mc:AlternateContent>
        <mc:AlternateContent xmlns:mc="http://schemas.openxmlformats.org/markup-compatibility/2006">
          <mc:Choice Requires="x14">
            <control shapeId="2174" r:id="rId127" name="Button 126">
              <controlPr defaultSize="0" print="0" autoFill="0" autoPict="0" macro="[0]!Add_item">
                <anchor moveWithCells="1" sizeWithCells="1">
                  <from>
                    <xdr:col>6</xdr:col>
                    <xdr:colOff>57150</xdr:colOff>
                    <xdr:row>44</xdr:row>
                    <xdr:rowOff>9525</xdr:rowOff>
                  </from>
                  <to>
                    <xdr:col>6</xdr:col>
                    <xdr:colOff>219075</xdr:colOff>
                    <xdr:row>44</xdr:row>
                    <xdr:rowOff>171450</xdr:rowOff>
                  </to>
                </anchor>
              </controlPr>
            </control>
          </mc:Choice>
        </mc:AlternateContent>
        <mc:AlternateContent xmlns:mc="http://schemas.openxmlformats.org/markup-compatibility/2006">
          <mc:Choice Requires="x14">
            <control shapeId="2175" r:id="rId128" name="Button 127">
              <controlPr defaultSize="0" print="0" autoFill="0" autoPict="0" macro="[0]!Add_item">
                <anchor moveWithCells="1" sizeWithCells="1">
                  <from>
                    <xdr:col>6</xdr:col>
                    <xdr:colOff>57150</xdr:colOff>
                    <xdr:row>45</xdr:row>
                    <xdr:rowOff>9525</xdr:rowOff>
                  </from>
                  <to>
                    <xdr:col>6</xdr:col>
                    <xdr:colOff>219075</xdr:colOff>
                    <xdr:row>45</xdr:row>
                    <xdr:rowOff>171450</xdr:rowOff>
                  </to>
                </anchor>
              </controlPr>
            </control>
          </mc:Choice>
        </mc:AlternateContent>
        <mc:AlternateContent xmlns:mc="http://schemas.openxmlformats.org/markup-compatibility/2006">
          <mc:Choice Requires="x14">
            <control shapeId="2176" r:id="rId129" name="Button 128">
              <controlPr defaultSize="0" print="0" autoFill="0" autoPict="0" macro="[0]!Add_item">
                <anchor moveWithCells="1" sizeWithCells="1">
                  <from>
                    <xdr:col>6</xdr:col>
                    <xdr:colOff>57150</xdr:colOff>
                    <xdr:row>46</xdr:row>
                    <xdr:rowOff>9525</xdr:rowOff>
                  </from>
                  <to>
                    <xdr:col>6</xdr:col>
                    <xdr:colOff>219075</xdr:colOff>
                    <xdr:row>46</xdr:row>
                    <xdr:rowOff>171450</xdr:rowOff>
                  </to>
                </anchor>
              </controlPr>
            </control>
          </mc:Choice>
        </mc:AlternateContent>
        <mc:AlternateContent xmlns:mc="http://schemas.openxmlformats.org/markup-compatibility/2006">
          <mc:Choice Requires="x14">
            <control shapeId="2177" r:id="rId130" name="Button 129">
              <controlPr defaultSize="0" print="0" autoFill="0" autoPict="0" macro="[0]!Add_item">
                <anchor moveWithCells="1" sizeWithCells="1">
                  <from>
                    <xdr:col>6</xdr:col>
                    <xdr:colOff>57150</xdr:colOff>
                    <xdr:row>47</xdr:row>
                    <xdr:rowOff>9525</xdr:rowOff>
                  </from>
                  <to>
                    <xdr:col>6</xdr:col>
                    <xdr:colOff>219075</xdr:colOff>
                    <xdr:row>47</xdr:row>
                    <xdr:rowOff>171450</xdr:rowOff>
                  </to>
                </anchor>
              </controlPr>
            </control>
          </mc:Choice>
        </mc:AlternateContent>
        <mc:AlternateContent xmlns:mc="http://schemas.openxmlformats.org/markup-compatibility/2006">
          <mc:Choice Requires="x14">
            <control shapeId="2178" r:id="rId131" name="Button 130">
              <controlPr defaultSize="0" print="0" autoFill="0" autoPict="0" macro="[0]!Add_item">
                <anchor moveWithCells="1" sizeWithCells="1">
                  <from>
                    <xdr:col>6</xdr:col>
                    <xdr:colOff>57150</xdr:colOff>
                    <xdr:row>48</xdr:row>
                    <xdr:rowOff>9525</xdr:rowOff>
                  </from>
                  <to>
                    <xdr:col>6</xdr:col>
                    <xdr:colOff>219075</xdr:colOff>
                    <xdr:row>48</xdr:row>
                    <xdr:rowOff>171450</xdr:rowOff>
                  </to>
                </anchor>
              </controlPr>
            </control>
          </mc:Choice>
        </mc:AlternateContent>
        <mc:AlternateContent xmlns:mc="http://schemas.openxmlformats.org/markup-compatibility/2006">
          <mc:Choice Requires="x14">
            <control shapeId="2179" r:id="rId132" name="Button 131">
              <controlPr defaultSize="0" print="0" autoFill="0" autoPict="0" macro="[0]!Add_item">
                <anchor moveWithCells="1" sizeWithCells="1">
                  <from>
                    <xdr:col>6</xdr:col>
                    <xdr:colOff>57150</xdr:colOff>
                    <xdr:row>49</xdr:row>
                    <xdr:rowOff>9525</xdr:rowOff>
                  </from>
                  <to>
                    <xdr:col>6</xdr:col>
                    <xdr:colOff>219075</xdr:colOff>
                    <xdr:row>49</xdr:row>
                    <xdr:rowOff>171450</xdr:rowOff>
                  </to>
                </anchor>
              </controlPr>
            </control>
          </mc:Choice>
        </mc:AlternateContent>
        <mc:AlternateContent xmlns:mc="http://schemas.openxmlformats.org/markup-compatibility/2006">
          <mc:Choice Requires="x14">
            <control shapeId="2180" r:id="rId133" name="Button 132">
              <controlPr defaultSize="0" print="0" autoFill="0" autoPict="0" macro="[0]!Add_item">
                <anchor moveWithCells="1" sizeWithCells="1">
                  <from>
                    <xdr:col>6</xdr:col>
                    <xdr:colOff>57150</xdr:colOff>
                    <xdr:row>50</xdr:row>
                    <xdr:rowOff>9525</xdr:rowOff>
                  </from>
                  <to>
                    <xdr:col>6</xdr:col>
                    <xdr:colOff>219075</xdr:colOff>
                    <xdr:row>50</xdr:row>
                    <xdr:rowOff>171450</xdr:rowOff>
                  </to>
                </anchor>
              </controlPr>
            </control>
          </mc:Choice>
        </mc:AlternateContent>
        <mc:AlternateContent xmlns:mc="http://schemas.openxmlformats.org/markup-compatibility/2006">
          <mc:Choice Requires="x14">
            <control shapeId="2181" r:id="rId134" name="Button 133">
              <controlPr defaultSize="0" print="0" autoFill="0" autoPict="0" macro="[0]!Add_item">
                <anchor moveWithCells="1" sizeWithCells="1">
                  <from>
                    <xdr:col>6</xdr:col>
                    <xdr:colOff>57150</xdr:colOff>
                    <xdr:row>51</xdr:row>
                    <xdr:rowOff>9525</xdr:rowOff>
                  </from>
                  <to>
                    <xdr:col>6</xdr:col>
                    <xdr:colOff>219075</xdr:colOff>
                    <xdr:row>51</xdr:row>
                    <xdr:rowOff>171450</xdr:rowOff>
                  </to>
                </anchor>
              </controlPr>
            </control>
          </mc:Choice>
        </mc:AlternateContent>
        <mc:AlternateContent xmlns:mc="http://schemas.openxmlformats.org/markup-compatibility/2006">
          <mc:Choice Requires="x14">
            <control shapeId="2182" r:id="rId135" name="Button 134">
              <controlPr defaultSize="0" print="0" autoFill="0" autoPict="0" macro="[0]!Add_item">
                <anchor moveWithCells="1" sizeWithCells="1">
                  <from>
                    <xdr:col>6</xdr:col>
                    <xdr:colOff>57150</xdr:colOff>
                    <xdr:row>52</xdr:row>
                    <xdr:rowOff>9525</xdr:rowOff>
                  </from>
                  <to>
                    <xdr:col>6</xdr:col>
                    <xdr:colOff>219075</xdr:colOff>
                    <xdr:row>52</xdr:row>
                    <xdr:rowOff>171450</xdr:rowOff>
                  </to>
                </anchor>
              </controlPr>
            </control>
          </mc:Choice>
        </mc:AlternateContent>
        <mc:AlternateContent xmlns:mc="http://schemas.openxmlformats.org/markup-compatibility/2006">
          <mc:Choice Requires="x14">
            <control shapeId="2183" r:id="rId136" name="Button 135">
              <controlPr defaultSize="0" print="0" autoFill="0" autoPict="0" macro="[0]!Add_item">
                <anchor moveWithCells="1" sizeWithCells="1">
                  <from>
                    <xdr:col>6</xdr:col>
                    <xdr:colOff>57150</xdr:colOff>
                    <xdr:row>53</xdr:row>
                    <xdr:rowOff>9525</xdr:rowOff>
                  </from>
                  <to>
                    <xdr:col>6</xdr:col>
                    <xdr:colOff>219075</xdr:colOff>
                    <xdr:row>53</xdr:row>
                    <xdr:rowOff>171450</xdr:rowOff>
                  </to>
                </anchor>
              </controlPr>
            </control>
          </mc:Choice>
        </mc:AlternateContent>
        <mc:AlternateContent xmlns:mc="http://schemas.openxmlformats.org/markup-compatibility/2006">
          <mc:Choice Requires="x14">
            <control shapeId="2184" r:id="rId137" name="Button 136">
              <controlPr defaultSize="0" print="0" autoFill="0" autoPict="0" macro="[0]!Add_item">
                <anchor moveWithCells="1" sizeWithCells="1">
                  <from>
                    <xdr:col>6</xdr:col>
                    <xdr:colOff>57150</xdr:colOff>
                    <xdr:row>54</xdr:row>
                    <xdr:rowOff>9525</xdr:rowOff>
                  </from>
                  <to>
                    <xdr:col>6</xdr:col>
                    <xdr:colOff>219075</xdr:colOff>
                    <xdr:row>54</xdr:row>
                    <xdr:rowOff>171450</xdr:rowOff>
                  </to>
                </anchor>
              </controlPr>
            </control>
          </mc:Choice>
        </mc:AlternateContent>
        <mc:AlternateContent xmlns:mc="http://schemas.openxmlformats.org/markup-compatibility/2006">
          <mc:Choice Requires="x14">
            <control shapeId="2185" r:id="rId138" name="Button 137">
              <controlPr defaultSize="0" print="0" autoFill="0" autoPict="0" macro="[0]!Add_item">
                <anchor moveWithCells="1" sizeWithCells="1">
                  <from>
                    <xdr:col>6</xdr:col>
                    <xdr:colOff>57150</xdr:colOff>
                    <xdr:row>55</xdr:row>
                    <xdr:rowOff>9525</xdr:rowOff>
                  </from>
                  <to>
                    <xdr:col>6</xdr:col>
                    <xdr:colOff>219075</xdr:colOff>
                    <xdr:row>55</xdr:row>
                    <xdr:rowOff>171450</xdr:rowOff>
                  </to>
                </anchor>
              </controlPr>
            </control>
          </mc:Choice>
        </mc:AlternateContent>
        <mc:AlternateContent xmlns:mc="http://schemas.openxmlformats.org/markup-compatibility/2006">
          <mc:Choice Requires="x14">
            <control shapeId="2186" r:id="rId139" name="Button 138">
              <controlPr defaultSize="0" print="0" autoFill="0" autoPict="0" macro="[0]!Add_item">
                <anchor moveWithCells="1" sizeWithCells="1">
                  <from>
                    <xdr:col>6</xdr:col>
                    <xdr:colOff>57150</xdr:colOff>
                    <xdr:row>56</xdr:row>
                    <xdr:rowOff>9525</xdr:rowOff>
                  </from>
                  <to>
                    <xdr:col>6</xdr:col>
                    <xdr:colOff>219075</xdr:colOff>
                    <xdr:row>56</xdr:row>
                    <xdr:rowOff>171450</xdr:rowOff>
                  </to>
                </anchor>
              </controlPr>
            </control>
          </mc:Choice>
        </mc:AlternateContent>
        <mc:AlternateContent xmlns:mc="http://schemas.openxmlformats.org/markup-compatibility/2006">
          <mc:Choice Requires="x14">
            <control shapeId="2187" r:id="rId140" name="Button 139">
              <controlPr defaultSize="0" print="0" autoFill="0" autoPict="0" macro="[0]!Add_item">
                <anchor moveWithCells="1" sizeWithCells="1">
                  <from>
                    <xdr:col>6</xdr:col>
                    <xdr:colOff>57150</xdr:colOff>
                    <xdr:row>57</xdr:row>
                    <xdr:rowOff>9525</xdr:rowOff>
                  </from>
                  <to>
                    <xdr:col>6</xdr:col>
                    <xdr:colOff>219075</xdr:colOff>
                    <xdr:row>57</xdr:row>
                    <xdr:rowOff>171450</xdr:rowOff>
                  </to>
                </anchor>
              </controlPr>
            </control>
          </mc:Choice>
        </mc:AlternateContent>
        <mc:AlternateContent xmlns:mc="http://schemas.openxmlformats.org/markup-compatibility/2006">
          <mc:Choice Requires="x14">
            <control shapeId="2188" r:id="rId141" name="Button 140">
              <controlPr defaultSize="0" print="0" autoFill="0" autoPict="0" macro="[0]!Add_item">
                <anchor moveWithCells="1" sizeWithCells="1">
                  <from>
                    <xdr:col>6</xdr:col>
                    <xdr:colOff>57150</xdr:colOff>
                    <xdr:row>58</xdr:row>
                    <xdr:rowOff>9525</xdr:rowOff>
                  </from>
                  <to>
                    <xdr:col>6</xdr:col>
                    <xdr:colOff>219075</xdr:colOff>
                    <xdr:row>58</xdr:row>
                    <xdr:rowOff>171450</xdr:rowOff>
                  </to>
                </anchor>
              </controlPr>
            </control>
          </mc:Choice>
        </mc:AlternateContent>
        <mc:AlternateContent xmlns:mc="http://schemas.openxmlformats.org/markup-compatibility/2006">
          <mc:Choice Requires="x14">
            <control shapeId="2189" r:id="rId142" name="Button 141">
              <controlPr defaultSize="0" print="0" autoFill="0" autoPict="0" macro="[0]!Add_item">
                <anchor moveWithCells="1" sizeWithCells="1">
                  <from>
                    <xdr:col>6</xdr:col>
                    <xdr:colOff>57150</xdr:colOff>
                    <xdr:row>59</xdr:row>
                    <xdr:rowOff>9525</xdr:rowOff>
                  </from>
                  <to>
                    <xdr:col>6</xdr:col>
                    <xdr:colOff>219075</xdr:colOff>
                    <xdr:row>59</xdr:row>
                    <xdr:rowOff>171450</xdr:rowOff>
                  </to>
                </anchor>
              </controlPr>
            </control>
          </mc:Choice>
        </mc:AlternateContent>
        <mc:AlternateContent xmlns:mc="http://schemas.openxmlformats.org/markup-compatibility/2006">
          <mc:Choice Requires="x14">
            <control shapeId="2190" r:id="rId143" name="Button 142">
              <controlPr defaultSize="0" print="0" autoFill="0" autoPict="0" macro="[0]!Add_item">
                <anchor moveWithCells="1" sizeWithCells="1">
                  <from>
                    <xdr:col>6</xdr:col>
                    <xdr:colOff>57150</xdr:colOff>
                    <xdr:row>60</xdr:row>
                    <xdr:rowOff>9525</xdr:rowOff>
                  </from>
                  <to>
                    <xdr:col>6</xdr:col>
                    <xdr:colOff>219075</xdr:colOff>
                    <xdr:row>60</xdr:row>
                    <xdr:rowOff>171450</xdr:rowOff>
                  </to>
                </anchor>
              </controlPr>
            </control>
          </mc:Choice>
        </mc:AlternateContent>
        <mc:AlternateContent xmlns:mc="http://schemas.openxmlformats.org/markup-compatibility/2006">
          <mc:Choice Requires="x14">
            <control shapeId="2191" r:id="rId144" name="Button 143">
              <controlPr defaultSize="0" print="0" autoFill="0" autoPict="0" macro="[0]!Add_item">
                <anchor moveWithCells="1" sizeWithCells="1">
                  <from>
                    <xdr:col>6</xdr:col>
                    <xdr:colOff>57150</xdr:colOff>
                    <xdr:row>61</xdr:row>
                    <xdr:rowOff>9525</xdr:rowOff>
                  </from>
                  <to>
                    <xdr:col>6</xdr:col>
                    <xdr:colOff>219075</xdr:colOff>
                    <xdr:row>61</xdr:row>
                    <xdr:rowOff>171450</xdr:rowOff>
                  </to>
                </anchor>
              </controlPr>
            </control>
          </mc:Choice>
        </mc:AlternateContent>
        <mc:AlternateContent xmlns:mc="http://schemas.openxmlformats.org/markup-compatibility/2006">
          <mc:Choice Requires="x14">
            <control shapeId="2192" r:id="rId145" name="Button 144">
              <controlPr defaultSize="0" print="0" autoFill="0" autoPict="0" macro="[0]!Add_item">
                <anchor moveWithCells="1" sizeWithCells="1">
                  <from>
                    <xdr:col>6</xdr:col>
                    <xdr:colOff>57150</xdr:colOff>
                    <xdr:row>62</xdr:row>
                    <xdr:rowOff>9525</xdr:rowOff>
                  </from>
                  <to>
                    <xdr:col>6</xdr:col>
                    <xdr:colOff>219075</xdr:colOff>
                    <xdr:row>62</xdr:row>
                    <xdr:rowOff>171450</xdr:rowOff>
                  </to>
                </anchor>
              </controlPr>
            </control>
          </mc:Choice>
        </mc:AlternateContent>
        <mc:AlternateContent xmlns:mc="http://schemas.openxmlformats.org/markup-compatibility/2006">
          <mc:Choice Requires="x14">
            <control shapeId="2193" r:id="rId146" name="Button 145">
              <controlPr defaultSize="0" print="0" autoFill="0" autoPict="0" macro="[0]!Add_item">
                <anchor moveWithCells="1" sizeWithCells="1">
                  <from>
                    <xdr:col>6</xdr:col>
                    <xdr:colOff>57150</xdr:colOff>
                    <xdr:row>63</xdr:row>
                    <xdr:rowOff>9525</xdr:rowOff>
                  </from>
                  <to>
                    <xdr:col>6</xdr:col>
                    <xdr:colOff>219075</xdr:colOff>
                    <xdr:row>63</xdr:row>
                    <xdr:rowOff>171450</xdr:rowOff>
                  </to>
                </anchor>
              </controlPr>
            </control>
          </mc:Choice>
        </mc:AlternateContent>
        <mc:AlternateContent xmlns:mc="http://schemas.openxmlformats.org/markup-compatibility/2006">
          <mc:Choice Requires="x14">
            <control shapeId="2194" r:id="rId147" name="Button 146">
              <controlPr defaultSize="0" print="0" autoFill="0" autoPict="0" macro="[0]!Add_item">
                <anchor moveWithCells="1" sizeWithCells="1">
                  <from>
                    <xdr:col>6</xdr:col>
                    <xdr:colOff>57150</xdr:colOff>
                    <xdr:row>64</xdr:row>
                    <xdr:rowOff>9525</xdr:rowOff>
                  </from>
                  <to>
                    <xdr:col>6</xdr:col>
                    <xdr:colOff>219075</xdr:colOff>
                    <xdr:row>64</xdr:row>
                    <xdr:rowOff>171450</xdr:rowOff>
                  </to>
                </anchor>
              </controlPr>
            </control>
          </mc:Choice>
        </mc:AlternateContent>
        <mc:AlternateContent xmlns:mc="http://schemas.openxmlformats.org/markup-compatibility/2006">
          <mc:Choice Requires="x14">
            <control shapeId="2195" r:id="rId148" name="Button 147">
              <controlPr defaultSize="0" print="0" autoFill="0" autoPict="0" macro="[0]!Add_item">
                <anchor moveWithCells="1" sizeWithCells="1">
                  <from>
                    <xdr:col>6</xdr:col>
                    <xdr:colOff>57150</xdr:colOff>
                    <xdr:row>66</xdr:row>
                    <xdr:rowOff>9525</xdr:rowOff>
                  </from>
                  <to>
                    <xdr:col>6</xdr:col>
                    <xdr:colOff>219075</xdr:colOff>
                    <xdr:row>66</xdr:row>
                    <xdr:rowOff>171450</xdr:rowOff>
                  </to>
                </anchor>
              </controlPr>
            </control>
          </mc:Choice>
        </mc:AlternateContent>
        <mc:AlternateContent xmlns:mc="http://schemas.openxmlformats.org/markup-compatibility/2006">
          <mc:Choice Requires="x14">
            <control shapeId="2196" r:id="rId149" name="Button 148">
              <controlPr defaultSize="0" print="0" autoFill="0" autoPict="0" macro="[0]!Add_item">
                <anchor moveWithCells="1" sizeWithCells="1">
                  <from>
                    <xdr:col>6</xdr:col>
                    <xdr:colOff>57150</xdr:colOff>
                    <xdr:row>65</xdr:row>
                    <xdr:rowOff>9525</xdr:rowOff>
                  </from>
                  <to>
                    <xdr:col>6</xdr:col>
                    <xdr:colOff>219075</xdr:colOff>
                    <xdr:row>65</xdr:row>
                    <xdr:rowOff>171450</xdr:rowOff>
                  </to>
                </anchor>
              </controlPr>
            </control>
          </mc:Choice>
        </mc:AlternateContent>
        <mc:AlternateContent xmlns:mc="http://schemas.openxmlformats.org/markup-compatibility/2006">
          <mc:Choice Requires="x14">
            <control shapeId="2197" r:id="rId150" name="Button 149">
              <controlPr defaultSize="0" print="0" autoFill="0" autoPict="0" macro="[0]!Add_item">
                <anchor moveWithCells="1" sizeWithCells="1">
                  <from>
                    <xdr:col>6</xdr:col>
                    <xdr:colOff>57150</xdr:colOff>
                    <xdr:row>67</xdr:row>
                    <xdr:rowOff>9525</xdr:rowOff>
                  </from>
                  <to>
                    <xdr:col>6</xdr:col>
                    <xdr:colOff>219075</xdr:colOff>
                    <xdr:row>67</xdr:row>
                    <xdr:rowOff>171450</xdr:rowOff>
                  </to>
                </anchor>
              </controlPr>
            </control>
          </mc:Choice>
        </mc:AlternateContent>
        <mc:AlternateContent xmlns:mc="http://schemas.openxmlformats.org/markup-compatibility/2006">
          <mc:Choice Requires="x14">
            <control shapeId="2198" r:id="rId151" name="Button 150">
              <controlPr defaultSize="0" print="0" autoFill="0" autoPict="0" macro="[0]!Add_item">
                <anchor moveWithCells="1" sizeWithCells="1">
                  <from>
                    <xdr:col>6</xdr:col>
                    <xdr:colOff>57150</xdr:colOff>
                    <xdr:row>68</xdr:row>
                    <xdr:rowOff>9525</xdr:rowOff>
                  </from>
                  <to>
                    <xdr:col>6</xdr:col>
                    <xdr:colOff>219075</xdr:colOff>
                    <xdr:row>68</xdr:row>
                    <xdr:rowOff>171450</xdr:rowOff>
                  </to>
                </anchor>
              </controlPr>
            </control>
          </mc:Choice>
        </mc:AlternateContent>
        <mc:AlternateContent xmlns:mc="http://schemas.openxmlformats.org/markup-compatibility/2006">
          <mc:Choice Requires="x14">
            <control shapeId="2199" r:id="rId152" name="Button 151">
              <controlPr defaultSize="0" print="0" autoFill="0" autoPict="0" macro="[0]!Add_item">
                <anchor moveWithCells="1" sizeWithCells="1">
                  <from>
                    <xdr:col>6</xdr:col>
                    <xdr:colOff>57150</xdr:colOff>
                    <xdr:row>69</xdr:row>
                    <xdr:rowOff>9525</xdr:rowOff>
                  </from>
                  <to>
                    <xdr:col>6</xdr:col>
                    <xdr:colOff>219075</xdr:colOff>
                    <xdr:row>69</xdr:row>
                    <xdr:rowOff>171450</xdr:rowOff>
                  </to>
                </anchor>
              </controlPr>
            </control>
          </mc:Choice>
        </mc:AlternateContent>
        <mc:AlternateContent xmlns:mc="http://schemas.openxmlformats.org/markup-compatibility/2006">
          <mc:Choice Requires="x14">
            <control shapeId="2200" r:id="rId153" name="Button 152">
              <controlPr defaultSize="0" print="0" autoFill="0" autoPict="0" macro="[0]!Add_item">
                <anchor moveWithCells="1" sizeWithCells="1">
                  <from>
                    <xdr:col>6</xdr:col>
                    <xdr:colOff>57150</xdr:colOff>
                    <xdr:row>70</xdr:row>
                    <xdr:rowOff>9525</xdr:rowOff>
                  </from>
                  <to>
                    <xdr:col>6</xdr:col>
                    <xdr:colOff>219075</xdr:colOff>
                    <xdr:row>70</xdr:row>
                    <xdr:rowOff>171450</xdr:rowOff>
                  </to>
                </anchor>
              </controlPr>
            </control>
          </mc:Choice>
        </mc:AlternateContent>
        <mc:AlternateContent xmlns:mc="http://schemas.openxmlformats.org/markup-compatibility/2006">
          <mc:Choice Requires="x14">
            <control shapeId="2201" r:id="rId154" name="Button 153">
              <controlPr defaultSize="0" print="0" autoFill="0" autoPict="0" macro="[0]!Add_item">
                <anchor moveWithCells="1" sizeWithCells="1">
                  <from>
                    <xdr:col>6</xdr:col>
                    <xdr:colOff>57150</xdr:colOff>
                    <xdr:row>71</xdr:row>
                    <xdr:rowOff>9525</xdr:rowOff>
                  </from>
                  <to>
                    <xdr:col>6</xdr:col>
                    <xdr:colOff>219075</xdr:colOff>
                    <xdr:row>71</xdr:row>
                    <xdr:rowOff>171450</xdr:rowOff>
                  </to>
                </anchor>
              </controlPr>
            </control>
          </mc:Choice>
        </mc:AlternateContent>
        <mc:AlternateContent xmlns:mc="http://schemas.openxmlformats.org/markup-compatibility/2006">
          <mc:Choice Requires="x14">
            <control shapeId="2202" r:id="rId155" name="Button 154">
              <controlPr defaultSize="0" print="0" autoFill="0" autoPict="0" macro="[0]!Add_item">
                <anchor moveWithCells="1" sizeWithCells="1">
                  <from>
                    <xdr:col>6</xdr:col>
                    <xdr:colOff>57150</xdr:colOff>
                    <xdr:row>72</xdr:row>
                    <xdr:rowOff>9525</xdr:rowOff>
                  </from>
                  <to>
                    <xdr:col>6</xdr:col>
                    <xdr:colOff>219075</xdr:colOff>
                    <xdr:row>72</xdr:row>
                    <xdr:rowOff>171450</xdr:rowOff>
                  </to>
                </anchor>
              </controlPr>
            </control>
          </mc:Choice>
        </mc:AlternateContent>
        <mc:AlternateContent xmlns:mc="http://schemas.openxmlformats.org/markup-compatibility/2006">
          <mc:Choice Requires="x14">
            <control shapeId="2203" r:id="rId156" name="Button 155">
              <controlPr defaultSize="0" print="0" autoFill="0" autoPict="0" macro="[0]!Add_item">
                <anchor moveWithCells="1" sizeWithCells="1">
                  <from>
                    <xdr:col>6</xdr:col>
                    <xdr:colOff>57150</xdr:colOff>
                    <xdr:row>73</xdr:row>
                    <xdr:rowOff>9525</xdr:rowOff>
                  </from>
                  <to>
                    <xdr:col>6</xdr:col>
                    <xdr:colOff>219075</xdr:colOff>
                    <xdr:row>73</xdr:row>
                    <xdr:rowOff>171450</xdr:rowOff>
                  </to>
                </anchor>
              </controlPr>
            </control>
          </mc:Choice>
        </mc:AlternateContent>
        <mc:AlternateContent xmlns:mc="http://schemas.openxmlformats.org/markup-compatibility/2006">
          <mc:Choice Requires="x14">
            <control shapeId="2204" r:id="rId157" name="Button 156">
              <controlPr defaultSize="0" print="0" autoFill="0" autoPict="0" macro="[0]!Add_item">
                <anchor moveWithCells="1" sizeWithCells="1">
                  <from>
                    <xdr:col>6</xdr:col>
                    <xdr:colOff>57150</xdr:colOff>
                    <xdr:row>74</xdr:row>
                    <xdr:rowOff>9525</xdr:rowOff>
                  </from>
                  <to>
                    <xdr:col>6</xdr:col>
                    <xdr:colOff>219075</xdr:colOff>
                    <xdr:row>74</xdr:row>
                    <xdr:rowOff>171450</xdr:rowOff>
                  </to>
                </anchor>
              </controlPr>
            </control>
          </mc:Choice>
        </mc:AlternateContent>
        <mc:AlternateContent xmlns:mc="http://schemas.openxmlformats.org/markup-compatibility/2006">
          <mc:Choice Requires="x14">
            <control shapeId="2205" r:id="rId158" name="Button 157">
              <controlPr defaultSize="0" print="0" autoFill="0" autoPict="0" macro="[0]!Add_item">
                <anchor moveWithCells="1" sizeWithCells="1">
                  <from>
                    <xdr:col>6</xdr:col>
                    <xdr:colOff>57150</xdr:colOff>
                    <xdr:row>75</xdr:row>
                    <xdr:rowOff>9525</xdr:rowOff>
                  </from>
                  <to>
                    <xdr:col>6</xdr:col>
                    <xdr:colOff>219075</xdr:colOff>
                    <xdr:row>75</xdr:row>
                    <xdr:rowOff>171450</xdr:rowOff>
                  </to>
                </anchor>
              </controlPr>
            </control>
          </mc:Choice>
        </mc:AlternateContent>
        <mc:AlternateContent xmlns:mc="http://schemas.openxmlformats.org/markup-compatibility/2006">
          <mc:Choice Requires="x14">
            <control shapeId="2206" r:id="rId159" name="Button 158">
              <controlPr defaultSize="0" print="0" autoFill="0" autoPict="0" macro="[0]!Add_item">
                <anchor moveWithCells="1" sizeWithCells="1">
                  <from>
                    <xdr:col>6</xdr:col>
                    <xdr:colOff>57150</xdr:colOff>
                    <xdr:row>76</xdr:row>
                    <xdr:rowOff>9525</xdr:rowOff>
                  </from>
                  <to>
                    <xdr:col>6</xdr:col>
                    <xdr:colOff>219075</xdr:colOff>
                    <xdr:row>76</xdr:row>
                    <xdr:rowOff>171450</xdr:rowOff>
                  </to>
                </anchor>
              </controlPr>
            </control>
          </mc:Choice>
        </mc:AlternateContent>
        <mc:AlternateContent xmlns:mc="http://schemas.openxmlformats.org/markup-compatibility/2006">
          <mc:Choice Requires="x14">
            <control shapeId="2207" r:id="rId160" name="Button 159">
              <controlPr defaultSize="0" print="0" autoFill="0" autoPict="0" macro="[0]!Add_item">
                <anchor moveWithCells="1" sizeWithCells="1">
                  <from>
                    <xdr:col>6</xdr:col>
                    <xdr:colOff>57150</xdr:colOff>
                    <xdr:row>77</xdr:row>
                    <xdr:rowOff>9525</xdr:rowOff>
                  </from>
                  <to>
                    <xdr:col>6</xdr:col>
                    <xdr:colOff>219075</xdr:colOff>
                    <xdr:row>77</xdr:row>
                    <xdr:rowOff>171450</xdr:rowOff>
                  </to>
                </anchor>
              </controlPr>
            </control>
          </mc:Choice>
        </mc:AlternateContent>
        <mc:AlternateContent xmlns:mc="http://schemas.openxmlformats.org/markup-compatibility/2006">
          <mc:Choice Requires="x14">
            <control shapeId="2208" r:id="rId161" name="Button 160">
              <controlPr defaultSize="0" print="0" autoFill="0" autoPict="0" macro="[0]!Add_item">
                <anchor moveWithCells="1" sizeWithCells="1">
                  <from>
                    <xdr:col>6</xdr:col>
                    <xdr:colOff>57150</xdr:colOff>
                    <xdr:row>78</xdr:row>
                    <xdr:rowOff>9525</xdr:rowOff>
                  </from>
                  <to>
                    <xdr:col>6</xdr:col>
                    <xdr:colOff>219075</xdr:colOff>
                    <xdr:row>78</xdr:row>
                    <xdr:rowOff>171450</xdr:rowOff>
                  </to>
                </anchor>
              </controlPr>
            </control>
          </mc:Choice>
        </mc:AlternateContent>
        <mc:AlternateContent xmlns:mc="http://schemas.openxmlformats.org/markup-compatibility/2006">
          <mc:Choice Requires="x14">
            <control shapeId="2209" r:id="rId162" name="Button 161">
              <controlPr defaultSize="0" print="0" autoFill="0" autoPict="0" macro="[0]!Add_item">
                <anchor moveWithCells="1" sizeWithCells="1">
                  <from>
                    <xdr:col>6</xdr:col>
                    <xdr:colOff>57150</xdr:colOff>
                    <xdr:row>79</xdr:row>
                    <xdr:rowOff>9525</xdr:rowOff>
                  </from>
                  <to>
                    <xdr:col>6</xdr:col>
                    <xdr:colOff>219075</xdr:colOff>
                    <xdr:row>79</xdr:row>
                    <xdr:rowOff>171450</xdr:rowOff>
                  </to>
                </anchor>
              </controlPr>
            </control>
          </mc:Choice>
        </mc:AlternateContent>
        <mc:AlternateContent xmlns:mc="http://schemas.openxmlformats.org/markup-compatibility/2006">
          <mc:Choice Requires="x14">
            <control shapeId="2210" r:id="rId163" name="Button 162">
              <controlPr defaultSize="0" print="0" autoFill="0" autoPict="0" macro="[0]!Add_item">
                <anchor moveWithCells="1" sizeWithCells="1">
                  <from>
                    <xdr:col>6</xdr:col>
                    <xdr:colOff>57150</xdr:colOff>
                    <xdr:row>80</xdr:row>
                    <xdr:rowOff>9525</xdr:rowOff>
                  </from>
                  <to>
                    <xdr:col>6</xdr:col>
                    <xdr:colOff>219075</xdr:colOff>
                    <xdr:row>80</xdr:row>
                    <xdr:rowOff>171450</xdr:rowOff>
                  </to>
                </anchor>
              </controlPr>
            </control>
          </mc:Choice>
        </mc:AlternateContent>
        <mc:AlternateContent xmlns:mc="http://schemas.openxmlformats.org/markup-compatibility/2006">
          <mc:Choice Requires="x14">
            <control shapeId="2211" r:id="rId164" name="Button 163">
              <controlPr defaultSize="0" print="0" autoFill="0" autoPict="0" macro="[0]!Add_item">
                <anchor moveWithCells="1" sizeWithCells="1">
                  <from>
                    <xdr:col>6</xdr:col>
                    <xdr:colOff>57150</xdr:colOff>
                    <xdr:row>82</xdr:row>
                    <xdr:rowOff>9525</xdr:rowOff>
                  </from>
                  <to>
                    <xdr:col>6</xdr:col>
                    <xdr:colOff>219075</xdr:colOff>
                    <xdr:row>82</xdr:row>
                    <xdr:rowOff>171450</xdr:rowOff>
                  </to>
                </anchor>
              </controlPr>
            </control>
          </mc:Choice>
        </mc:AlternateContent>
        <mc:AlternateContent xmlns:mc="http://schemas.openxmlformats.org/markup-compatibility/2006">
          <mc:Choice Requires="x14">
            <control shapeId="2212" r:id="rId165" name="Button 164">
              <controlPr defaultSize="0" print="0" autoFill="0" autoPict="0" macro="[0]!Add_item">
                <anchor moveWithCells="1" sizeWithCells="1">
                  <from>
                    <xdr:col>6</xdr:col>
                    <xdr:colOff>57150</xdr:colOff>
                    <xdr:row>81</xdr:row>
                    <xdr:rowOff>9525</xdr:rowOff>
                  </from>
                  <to>
                    <xdr:col>6</xdr:col>
                    <xdr:colOff>219075</xdr:colOff>
                    <xdr:row>81</xdr:row>
                    <xdr:rowOff>171450</xdr:rowOff>
                  </to>
                </anchor>
              </controlPr>
            </control>
          </mc:Choice>
        </mc:AlternateContent>
        <mc:AlternateContent xmlns:mc="http://schemas.openxmlformats.org/markup-compatibility/2006">
          <mc:Choice Requires="x14">
            <control shapeId="2213" r:id="rId166" name="Button 165">
              <controlPr defaultSize="0" print="0" autoFill="0" autoPict="0" macro="[0]!Add_item">
                <anchor moveWithCells="1" sizeWithCells="1">
                  <from>
                    <xdr:col>6</xdr:col>
                    <xdr:colOff>57150</xdr:colOff>
                    <xdr:row>83</xdr:row>
                    <xdr:rowOff>9525</xdr:rowOff>
                  </from>
                  <to>
                    <xdr:col>6</xdr:col>
                    <xdr:colOff>219075</xdr:colOff>
                    <xdr:row>83</xdr:row>
                    <xdr:rowOff>171450</xdr:rowOff>
                  </to>
                </anchor>
              </controlPr>
            </control>
          </mc:Choice>
        </mc:AlternateContent>
        <mc:AlternateContent xmlns:mc="http://schemas.openxmlformats.org/markup-compatibility/2006">
          <mc:Choice Requires="x14">
            <control shapeId="2214" r:id="rId167" name="Button 166">
              <controlPr defaultSize="0" print="0" autoFill="0" autoPict="0" macro="[0]!Add_item">
                <anchor moveWithCells="1" sizeWithCells="1">
                  <from>
                    <xdr:col>6</xdr:col>
                    <xdr:colOff>57150</xdr:colOff>
                    <xdr:row>84</xdr:row>
                    <xdr:rowOff>9525</xdr:rowOff>
                  </from>
                  <to>
                    <xdr:col>6</xdr:col>
                    <xdr:colOff>219075</xdr:colOff>
                    <xdr:row>84</xdr:row>
                    <xdr:rowOff>171450</xdr:rowOff>
                  </to>
                </anchor>
              </controlPr>
            </control>
          </mc:Choice>
        </mc:AlternateContent>
        <mc:AlternateContent xmlns:mc="http://schemas.openxmlformats.org/markup-compatibility/2006">
          <mc:Choice Requires="x14">
            <control shapeId="2215" r:id="rId168" name="Button 167">
              <controlPr defaultSize="0" print="0" autoFill="0" autoPict="0" macro="[0]!Add_item">
                <anchor moveWithCells="1" sizeWithCells="1">
                  <from>
                    <xdr:col>6</xdr:col>
                    <xdr:colOff>57150</xdr:colOff>
                    <xdr:row>85</xdr:row>
                    <xdr:rowOff>9525</xdr:rowOff>
                  </from>
                  <to>
                    <xdr:col>6</xdr:col>
                    <xdr:colOff>219075</xdr:colOff>
                    <xdr:row>85</xdr:row>
                    <xdr:rowOff>171450</xdr:rowOff>
                  </to>
                </anchor>
              </controlPr>
            </control>
          </mc:Choice>
        </mc:AlternateContent>
        <mc:AlternateContent xmlns:mc="http://schemas.openxmlformats.org/markup-compatibility/2006">
          <mc:Choice Requires="x14">
            <control shapeId="2216" r:id="rId169" name="Button 168">
              <controlPr defaultSize="0" print="0" autoFill="0" autoPict="0" macro="[0]!Add_item">
                <anchor moveWithCells="1" sizeWithCells="1">
                  <from>
                    <xdr:col>6</xdr:col>
                    <xdr:colOff>57150</xdr:colOff>
                    <xdr:row>86</xdr:row>
                    <xdr:rowOff>9525</xdr:rowOff>
                  </from>
                  <to>
                    <xdr:col>6</xdr:col>
                    <xdr:colOff>219075</xdr:colOff>
                    <xdr:row>86</xdr:row>
                    <xdr:rowOff>171450</xdr:rowOff>
                  </to>
                </anchor>
              </controlPr>
            </control>
          </mc:Choice>
        </mc:AlternateContent>
        <mc:AlternateContent xmlns:mc="http://schemas.openxmlformats.org/markup-compatibility/2006">
          <mc:Choice Requires="x14">
            <control shapeId="2217" r:id="rId170" name="Button 169">
              <controlPr defaultSize="0" print="0" autoFill="0" autoPict="0" macro="[0]!Add_item">
                <anchor moveWithCells="1" sizeWithCells="1">
                  <from>
                    <xdr:col>4</xdr:col>
                    <xdr:colOff>57150</xdr:colOff>
                    <xdr:row>87</xdr:row>
                    <xdr:rowOff>9525</xdr:rowOff>
                  </from>
                  <to>
                    <xdr:col>4</xdr:col>
                    <xdr:colOff>219075</xdr:colOff>
                    <xdr:row>87</xdr:row>
                    <xdr:rowOff>171450</xdr:rowOff>
                  </to>
                </anchor>
              </controlPr>
            </control>
          </mc:Choice>
        </mc:AlternateContent>
        <mc:AlternateContent xmlns:mc="http://schemas.openxmlformats.org/markup-compatibility/2006">
          <mc:Choice Requires="x14">
            <control shapeId="2218" r:id="rId171" name="Button 170">
              <controlPr defaultSize="0" print="0" autoFill="0" autoPict="0" macro="[0]!Add_item">
                <anchor moveWithCells="1" sizeWithCells="1">
                  <from>
                    <xdr:col>4</xdr:col>
                    <xdr:colOff>57150</xdr:colOff>
                    <xdr:row>88</xdr:row>
                    <xdr:rowOff>9525</xdr:rowOff>
                  </from>
                  <to>
                    <xdr:col>4</xdr:col>
                    <xdr:colOff>219075</xdr:colOff>
                    <xdr:row>88</xdr:row>
                    <xdr:rowOff>171450</xdr:rowOff>
                  </to>
                </anchor>
              </controlPr>
            </control>
          </mc:Choice>
        </mc:AlternateContent>
        <mc:AlternateContent xmlns:mc="http://schemas.openxmlformats.org/markup-compatibility/2006">
          <mc:Choice Requires="x14">
            <control shapeId="2219" r:id="rId172" name="Button 171">
              <controlPr defaultSize="0" print="0" autoFill="0" autoPict="0" macro="[0]!Add_item">
                <anchor moveWithCells="1" sizeWithCells="1">
                  <from>
                    <xdr:col>4</xdr:col>
                    <xdr:colOff>57150</xdr:colOff>
                    <xdr:row>89</xdr:row>
                    <xdr:rowOff>9525</xdr:rowOff>
                  </from>
                  <to>
                    <xdr:col>4</xdr:col>
                    <xdr:colOff>219075</xdr:colOff>
                    <xdr:row>89</xdr:row>
                    <xdr:rowOff>171450</xdr:rowOff>
                  </to>
                </anchor>
              </controlPr>
            </control>
          </mc:Choice>
        </mc:AlternateContent>
        <mc:AlternateContent xmlns:mc="http://schemas.openxmlformats.org/markup-compatibility/2006">
          <mc:Choice Requires="x14">
            <control shapeId="2220" r:id="rId173" name="Button 172">
              <controlPr defaultSize="0" print="0" autoFill="0" autoPict="0" macro="[0]!Add_item">
                <anchor moveWithCells="1" sizeWithCells="1">
                  <from>
                    <xdr:col>4</xdr:col>
                    <xdr:colOff>57150</xdr:colOff>
                    <xdr:row>90</xdr:row>
                    <xdr:rowOff>9525</xdr:rowOff>
                  </from>
                  <to>
                    <xdr:col>4</xdr:col>
                    <xdr:colOff>219075</xdr:colOff>
                    <xdr:row>90</xdr:row>
                    <xdr:rowOff>171450</xdr:rowOff>
                  </to>
                </anchor>
              </controlPr>
            </control>
          </mc:Choice>
        </mc:AlternateContent>
        <mc:AlternateContent xmlns:mc="http://schemas.openxmlformats.org/markup-compatibility/2006">
          <mc:Choice Requires="x14">
            <control shapeId="2221" r:id="rId174" name="Button 173">
              <controlPr defaultSize="0" print="0" autoFill="0" autoPict="0" macro="[0]!Add_item">
                <anchor moveWithCells="1" sizeWithCells="1">
                  <from>
                    <xdr:col>4</xdr:col>
                    <xdr:colOff>57150</xdr:colOff>
                    <xdr:row>91</xdr:row>
                    <xdr:rowOff>9525</xdr:rowOff>
                  </from>
                  <to>
                    <xdr:col>4</xdr:col>
                    <xdr:colOff>219075</xdr:colOff>
                    <xdr:row>91</xdr:row>
                    <xdr:rowOff>171450</xdr:rowOff>
                  </to>
                </anchor>
              </controlPr>
            </control>
          </mc:Choice>
        </mc:AlternateContent>
        <mc:AlternateContent xmlns:mc="http://schemas.openxmlformats.org/markup-compatibility/2006">
          <mc:Choice Requires="x14">
            <control shapeId="2222" r:id="rId175" name="Button 174">
              <controlPr defaultSize="0" print="0" autoFill="0" autoPict="0" macro="[0]!Add_item">
                <anchor moveWithCells="1" sizeWithCells="1">
                  <from>
                    <xdr:col>4</xdr:col>
                    <xdr:colOff>57150</xdr:colOff>
                    <xdr:row>92</xdr:row>
                    <xdr:rowOff>9525</xdr:rowOff>
                  </from>
                  <to>
                    <xdr:col>4</xdr:col>
                    <xdr:colOff>219075</xdr:colOff>
                    <xdr:row>92</xdr:row>
                    <xdr:rowOff>171450</xdr:rowOff>
                  </to>
                </anchor>
              </controlPr>
            </control>
          </mc:Choice>
        </mc:AlternateContent>
        <mc:AlternateContent xmlns:mc="http://schemas.openxmlformats.org/markup-compatibility/2006">
          <mc:Choice Requires="x14">
            <control shapeId="2223" r:id="rId176" name="Button 175">
              <controlPr defaultSize="0" print="0" autoFill="0" autoPict="0" macro="[0]!Add_item">
                <anchor moveWithCells="1" sizeWithCells="1">
                  <from>
                    <xdr:col>4</xdr:col>
                    <xdr:colOff>57150</xdr:colOff>
                    <xdr:row>93</xdr:row>
                    <xdr:rowOff>9525</xdr:rowOff>
                  </from>
                  <to>
                    <xdr:col>4</xdr:col>
                    <xdr:colOff>219075</xdr:colOff>
                    <xdr:row>93</xdr:row>
                    <xdr:rowOff>171450</xdr:rowOff>
                  </to>
                </anchor>
              </controlPr>
            </control>
          </mc:Choice>
        </mc:AlternateContent>
        <mc:AlternateContent xmlns:mc="http://schemas.openxmlformats.org/markup-compatibility/2006">
          <mc:Choice Requires="x14">
            <control shapeId="2224" r:id="rId177" name="Button 176">
              <controlPr defaultSize="0" print="0" autoFill="0" autoPict="0" macro="[0]!Add_item">
                <anchor moveWithCells="1" sizeWithCells="1">
                  <from>
                    <xdr:col>4</xdr:col>
                    <xdr:colOff>57150</xdr:colOff>
                    <xdr:row>94</xdr:row>
                    <xdr:rowOff>9525</xdr:rowOff>
                  </from>
                  <to>
                    <xdr:col>4</xdr:col>
                    <xdr:colOff>219075</xdr:colOff>
                    <xdr:row>94</xdr:row>
                    <xdr:rowOff>171450</xdr:rowOff>
                  </to>
                </anchor>
              </controlPr>
            </control>
          </mc:Choice>
        </mc:AlternateContent>
        <mc:AlternateContent xmlns:mc="http://schemas.openxmlformats.org/markup-compatibility/2006">
          <mc:Choice Requires="x14">
            <control shapeId="2225" r:id="rId178" name="Button 177">
              <controlPr defaultSize="0" print="0" autoFill="0" autoPict="0" macro="[0]!Add_item">
                <anchor moveWithCells="1" sizeWithCells="1">
                  <from>
                    <xdr:col>4</xdr:col>
                    <xdr:colOff>57150</xdr:colOff>
                    <xdr:row>95</xdr:row>
                    <xdr:rowOff>9525</xdr:rowOff>
                  </from>
                  <to>
                    <xdr:col>4</xdr:col>
                    <xdr:colOff>219075</xdr:colOff>
                    <xdr:row>95</xdr:row>
                    <xdr:rowOff>171450</xdr:rowOff>
                  </to>
                </anchor>
              </controlPr>
            </control>
          </mc:Choice>
        </mc:AlternateContent>
        <mc:AlternateContent xmlns:mc="http://schemas.openxmlformats.org/markup-compatibility/2006">
          <mc:Choice Requires="x14">
            <control shapeId="2226" r:id="rId179" name="Button 178">
              <controlPr defaultSize="0" print="0" autoFill="0" autoPict="0" macro="[0]!Add_item">
                <anchor moveWithCells="1" sizeWithCells="1">
                  <from>
                    <xdr:col>4</xdr:col>
                    <xdr:colOff>57150</xdr:colOff>
                    <xdr:row>96</xdr:row>
                    <xdr:rowOff>9525</xdr:rowOff>
                  </from>
                  <to>
                    <xdr:col>4</xdr:col>
                    <xdr:colOff>219075</xdr:colOff>
                    <xdr:row>96</xdr:row>
                    <xdr:rowOff>171450</xdr:rowOff>
                  </to>
                </anchor>
              </controlPr>
            </control>
          </mc:Choice>
        </mc:AlternateContent>
        <mc:AlternateContent xmlns:mc="http://schemas.openxmlformats.org/markup-compatibility/2006">
          <mc:Choice Requires="x14">
            <control shapeId="2227" r:id="rId180" name="Button 179">
              <controlPr defaultSize="0" print="0" autoFill="0" autoPict="0" macro="[0]!Add_item">
                <anchor moveWithCells="1" sizeWithCells="1">
                  <from>
                    <xdr:col>4</xdr:col>
                    <xdr:colOff>57150</xdr:colOff>
                    <xdr:row>97</xdr:row>
                    <xdr:rowOff>9525</xdr:rowOff>
                  </from>
                  <to>
                    <xdr:col>4</xdr:col>
                    <xdr:colOff>219075</xdr:colOff>
                    <xdr:row>97</xdr:row>
                    <xdr:rowOff>171450</xdr:rowOff>
                  </to>
                </anchor>
              </controlPr>
            </control>
          </mc:Choice>
        </mc:AlternateContent>
        <mc:AlternateContent xmlns:mc="http://schemas.openxmlformats.org/markup-compatibility/2006">
          <mc:Choice Requires="x14">
            <control shapeId="2228" r:id="rId181" name="Button 180">
              <controlPr defaultSize="0" print="0" autoFill="0" autoPict="0" macro="[0]!Add_item">
                <anchor moveWithCells="1" sizeWithCells="1">
                  <from>
                    <xdr:col>4</xdr:col>
                    <xdr:colOff>57150</xdr:colOff>
                    <xdr:row>98</xdr:row>
                    <xdr:rowOff>9525</xdr:rowOff>
                  </from>
                  <to>
                    <xdr:col>4</xdr:col>
                    <xdr:colOff>219075</xdr:colOff>
                    <xdr:row>98</xdr:row>
                    <xdr:rowOff>171450</xdr:rowOff>
                  </to>
                </anchor>
              </controlPr>
            </control>
          </mc:Choice>
        </mc:AlternateContent>
        <mc:AlternateContent xmlns:mc="http://schemas.openxmlformats.org/markup-compatibility/2006">
          <mc:Choice Requires="x14">
            <control shapeId="2229" r:id="rId182" name="Button 181">
              <controlPr defaultSize="0" print="0" autoFill="0" autoPict="0" macro="[0]!Add_item">
                <anchor moveWithCells="1" sizeWithCells="1">
                  <from>
                    <xdr:col>4</xdr:col>
                    <xdr:colOff>57150</xdr:colOff>
                    <xdr:row>99</xdr:row>
                    <xdr:rowOff>9525</xdr:rowOff>
                  </from>
                  <to>
                    <xdr:col>4</xdr:col>
                    <xdr:colOff>219075</xdr:colOff>
                    <xdr:row>99</xdr:row>
                    <xdr:rowOff>171450</xdr:rowOff>
                  </to>
                </anchor>
              </controlPr>
            </control>
          </mc:Choice>
        </mc:AlternateContent>
        <mc:AlternateContent xmlns:mc="http://schemas.openxmlformats.org/markup-compatibility/2006">
          <mc:Choice Requires="x14">
            <control shapeId="2230" r:id="rId183" name="Button 182">
              <controlPr defaultSize="0" print="0" autoFill="0" autoPict="0" macro="[0]!Add_item">
                <anchor moveWithCells="1" sizeWithCells="1">
                  <from>
                    <xdr:col>4</xdr:col>
                    <xdr:colOff>57150</xdr:colOff>
                    <xdr:row>100</xdr:row>
                    <xdr:rowOff>9525</xdr:rowOff>
                  </from>
                  <to>
                    <xdr:col>4</xdr:col>
                    <xdr:colOff>219075</xdr:colOff>
                    <xdr:row>100</xdr:row>
                    <xdr:rowOff>171450</xdr:rowOff>
                  </to>
                </anchor>
              </controlPr>
            </control>
          </mc:Choice>
        </mc:AlternateContent>
        <mc:AlternateContent xmlns:mc="http://schemas.openxmlformats.org/markup-compatibility/2006">
          <mc:Choice Requires="x14">
            <control shapeId="2231" r:id="rId184" name="Button 183">
              <controlPr defaultSize="0" print="0" autoFill="0" autoPict="0" macro="[0]!Add_item">
                <anchor moveWithCells="1" sizeWithCells="1">
                  <from>
                    <xdr:col>4</xdr:col>
                    <xdr:colOff>57150</xdr:colOff>
                    <xdr:row>101</xdr:row>
                    <xdr:rowOff>9525</xdr:rowOff>
                  </from>
                  <to>
                    <xdr:col>4</xdr:col>
                    <xdr:colOff>219075</xdr:colOff>
                    <xdr:row>101</xdr:row>
                    <xdr:rowOff>171450</xdr:rowOff>
                  </to>
                </anchor>
              </controlPr>
            </control>
          </mc:Choice>
        </mc:AlternateContent>
        <mc:AlternateContent xmlns:mc="http://schemas.openxmlformats.org/markup-compatibility/2006">
          <mc:Choice Requires="x14">
            <control shapeId="2232" r:id="rId185" name="Button 184">
              <controlPr defaultSize="0" print="0" autoFill="0" autoPict="0" macro="[0]!Add_item">
                <anchor moveWithCells="1" sizeWithCells="1">
                  <from>
                    <xdr:col>4</xdr:col>
                    <xdr:colOff>57150</xdr:colOff>
                    <xdr:row>102</xdr:row>
                    <xdr:rowOff>9525</xdr:rowOff>
                  </from>
                  <to>
                    <xdr:col>4</xdr:col>
                    <xdr:colOff>219075</xdr:colOff>
                    <xdr:row>102</xdr:row>
                    <xdr:rowOff>171450</xdr:rowOff>
                  </to>
                </anchor>
              </controlPr>
            </control>
          </mc:Choice>
        </mc:AlternateContent>
        <mc:AlternateContent xmlns:mc="http://schemas.openxmlformats.org/markup-compatibility/2006">
          <mc:Choice Requires="x14">
            <control shapeId="2233" r:id="rId186" name="Button 185">
              <controlPr defaultSize="0" print="0" autoFill="0" autoPict="0" macro="[0]!Add_item">
                <anchor moveWithCells="1" sizeWithCells="1">
                  <from>
                    <xdr:col>4</xdr:col>
                    <xdr:colOff>57150</xdr:colOff>
                    <xdr:row>103</xdr:row>
                    <xdr:rowOff>9525</xdr:rowOff>
                  </from>
                  <to>
                    <xdr:col>4</xdr:col>
                    <xdr:colOff>219075</xdr:colOff>
                    <xdr:row>103</xdr:row>
                    <xdr:rowOff>171450</xdr:rowOff>
                  </to>
                </anchor>
              </controlPr>
            </control>
          </mc:Choice>
        </mc:AlternateContent>
        <mc:AlternateContent xmlns:mc="http://schemas.openxmlformats.org/markup-compatibility/2006">
          <mc:Choice Requires="x14">
            <control shapeId="2234" r:id="rId187" name="Button 186">
              <controlPr defaultSize="0" print="0" autoFill="0" autoPict="0" macro="[0]!Add_item">
                <anchor moveWithCells="1" sizeWithCells="1">
                  <from>
                    <xdr:col>4</xdr:col>
                    <xdr:colOff>57150</xdr:colOff>
                    <xdr:row>104</xdr:row>
                    <xdr:rowOff>9525</xdr:rowOff>
                  </from>
                  <to>
                    <xdr:col>4</xdr:col>
                    <xdr:colOff>219075</xdr:colOff>
                    <xdr:row>104</xdr:row>
                    <xdr:rowOff>171450</xdr:rowOff>
                  </to>
                </anchor>
              </controlPr>
            </control>
          </mc:Choice>
        </mc:AlternateContent>
        <mc:AlternateContent xmlns:mc="http://schemas.openxmlformats.org/markup-compatibility/2006">
          <mc:Choice Requires="x14">
            <control shapeId="2235" r:id="rId188" name="Button 187">
              <controlPr defaultSize="0" print="0" autoFill="0" autoPict="0" macro="[0]!Add_item">
                <anchor moveWithCells="1" sizeWithCells="1">
                  <from>
                    <xdr:col>4</xdr:col>
                    <xdr:colOff>57150</xdr:colOff>
                    <xdr:row>105</xdr:row>
                    <xdr:rowOff>9525</xdr:rowOff>
                  </from>
                  <to>
                    <xdr:col>4</xdr:col>
                    <xdr:colOff>219075</xdr:colOff>
                    <xdr:row>105</xdr:row>
                    <xdr:rowOff>171450</xdr:rowOff>
                  </to>
                </anchor>
              </controlPr>
            </control>
          </mc:Choice>
        </mc:AlternateContent>
        <mc:AlternateContent xmlns:mc="http://schemas.openxmlformats.org/markup-compatibility/2006">
          <mc:Choice Requires="x14">
            <control shapeId="2236" r:id="rId189" name="Button 188">
              <controlPr defaultSize="0" print="0" autoFill="0" autoPict="0" macro="[0]!Add_item">
                <anchor moveWithCells="1" sizeWithCells="1">
                  <from>
                    <xdr:col>4</xdr:col>
                    <xdr:colOff>57150</xdr:colOff>
                    <xdr:row>106</xdr:row>
                    <xdr:rowOff>9525</xdr:rowOff>
                  </from>
                  <to>
                    <xdr:col>4</xdr:col>
                    <xdr:colOff>219075</xdr:colOff>
                    <xdr:row>106</xdr:row>
                    <xdr:rowOff>171450</xdr:rowOff>
                  </to>
                </anchor>
              </controlPr>
            </control>
          </mc:Choice>
        </mc:AlternateContent>
        <mc:AlternateContent xmlns:mc="http://schemas.openxmlformats.org/markup-compatibility/2006">
          <mc:Choice Requires="x14">
            <control shapeId="2237" r:id="rId190" name="Button 189">
              <controlPr defaultSize="0" print="0" autoFill="0" autoPict="0" macro="[0]!Add_item">
                <anchor moveWithCells="1" sizeWithCells="1">
                  <from>
                    <xdr:col>4</xdr:col>
                    <xdr:colOff>57150</xdr:colOff>
                    <xdr:row>107</xdr:row>
                    <xdr:rowOff>9525</xdr:rowOff>
                  </from>
                  <to>
                    <xdr:col>4</xdr:col>
                    <xdr:colOff>219075</xdr:colOff>
                    <xdr:row>107</xdr:row>
                    <xdr:rowOff>171450</xdr:rowOff>
                  </to>
                </anchor>
              </controlPr>
            </control>
          </mc:Choice>
        </mc:AlternateContent>
        <mc:AlternateContent xmlns:mc="http://schemas.openxmlformats.org/markup-compatibility/2006">
          <mc:Choice Requires="x14">
            <control shapeId="2238" r:id="rId191" name="Button 190">
              <controlPr defaultSize="0" print="0" autoFill="0" autoPict="0" macro="[0]!Add_item">
                <anchor moveWithCells="1" sizeWithCells="1">
                  <from>
                    <xdr:col>4</xdr:col>
                    <xdr:colOff>57150</xdr:colOff>
                    <xdr:row>108</xdr:row>
                    <xdr:rowOff>9525</xdr:rowOff>
                  </from>
                  <to>
                    <xdr:col>4</xdr:col>
                    <xdr:colOff>219075</xdr:colOff>
                    <xdr:row>108</xdr:row>
                    <xdr:rowOff>171450</xdr:rowOff>
                  </to>
                </anchor>
              </controlPr>
            </control>
          </mc:Choice>
        </mc:AlternateContent>
        <mc:AlternateContent xmlns:mc="http://schemas.openxmlformats.org/markup-compatibility/2006">
          <mc:Choice Requires="x14">
            <control shapeId="2239" r:id="rId192" name="Button 191">
              <controlPr defaultSize="0" print="0" autoFill="0" autoPict="0" macro="[0]!Add_item">
                <anchor moveWithCells="1" sizeWithCells="1">
                  <from>
                    <xdr:col>4</xdr:col>
                    <xdr:colOff>57150</xdr:colOff>
                    <xdr:row>109</xdr:row>
                    <xdr:rowOff>9525</xdr:rowOff>
                  </from>
                  <to>
                    <xdr:col>4</xdr:col>
                    <xdr:colOff>219075</xdr:colOff>
                    <xdr:row>109</xdr:row>
                    <xdr:rowOff>171450</xdr:rowOff>
                  </to>
                </anchor>
              </controlPr>
            </control>
          </mc:Choice>
        </mc:AlternateContent>
        <mc:AlternateContent xmlns:mc="http://schemas.openxmlformats.org/markup-compatibility/2006">
          <mc:Choice Requires="x14">
            <control shapeId="2240" r:id="rId193" name="Button 192">
              <controlPr defaultSize="0" print="0" autoFill="0" autoPict="0" macro="[0]!Add_item">
                <anchor moveWithCells="1" sizeWithCells="1">
                  <from>
                    <xdr:col>4</xdr:col>
                    <xdr:colOff>57150</xdr:colOff>
                    <xdr:row>110</xdr:row>
                    <xdr:rowOff>9525</xdr:rowOff>
                  </from>
                  <to>
                    <xdr:col>4</xdr:col>
                    <xdr:colOff>219075</xdr:colOff>
                    <xdr:row>110</xdr:row>
                    <xdr:rowOff>171450</xdr:rowOff>
                  </to>
                </anchor>
              </controlPr>
            </control>
          </mc:Choice>
        </mc:AlternateContent>
        <mc:AlternateContent xmlns:mc="http://schemas.openxmlformats.org/markup-compatibility/2006">
          <mc:Choice Requires="x14">
            <control shapeId="2241" r:id="rId194" name="Button 193">
              <controlPr defaultSize="0" print="0" autoFill="0" autoPict="0" macro="[0]!Add_item">
                <anchor moveWithCells="1" sizeWithCells="1">
                  <from>
                    <xdr:col>4</xdr:col>
                    <xdr:colOff>57150</xdr:colOff>
                    <xdr:row>111</xdr:row>
                    <xdr:rowOff>9525</xdr:rowOff>
                  </from>
                  <to>
                    <xdr:col>4</xdr:col>
                    <xdr:colOff>219075</xdr:colOff>
                    <xdr:row>111</xdr:row>
                    <xdr:rowOff>171450</xdr:rowOff>
                  </to>
                </anchor>
              </controlPr>
            </control>
          </mc:Choice>
        </mc:AlternateContent>
        <mc:AlternateContent xmlns:mc="http://schemas.openxmlformats.org/markup-compatibility/2006">
          <mc:Choice Requires="x14">
            <control shapeId="2242" r:id="rId195" name="Button 194">
              <controlPr defaultSize="0" print="0" autoFill="0" autoPict="0" macro="[0]!Add_item">
                <anchor moveWithCells="1" sizeWithCells="1">
                  <from>
                    <xdr:col>4</xdr:col>
                    <xdr:colOff>57150</xdr:colOff>
                    <xdr:row>112</xdr:row>
                    <xdr:rowOff>9525</xdr:rowOff>
                  </from>
                  <to>
                    <xdr:col>4</xdr:col>
                    <xdr:colOff>219075</xdr:colOff>
                    <xdr:row>112</xdr:row>
                    <xdr:rowOff>171450</xdr:rowOff>
                  </to>
                </anchor>
              </controlPr>
            </control>
          </mc:Choice>
        </mc:AlternateContent>
        <mc:AlternateContent xmlns:mc="http://schemas.openxmlformats.org/markup-compatibility/2006">
          <mc:Choice Requires="x14">
            <control shapeId="2243" r:id="rId196" name="Button 195">
              <controlPr defaultSize="0" print="0" autoFill="0" autoPict="0" macro="[0]!Add_item">
                <anchor moveWithCells="1" sizeWithCells="1">
                  <from>
                    <xdr:col>4</xdr:col>
                    <xdr:colOff>57150</xdr:colOff>
                    <xdr:row>113</xdr:row>
                    <xdr:rowOff>9525</xdr:rowOff>
                  </from>
                  <to>
                    <xdr:col>4</xdr:col>
                    <xdr:colOff>219075</xdr:colOff>
                    <xdr:row>113</xdr:row>
                    <xdr:rowOff>171450</xdr:rowOff>
                  </to>
                </anchor>
              </controlPr>
            </control>
          </mc:Choice>
        </mc:AlternateContent>
        <mc:AlternateContent xmlns:mc="http://schemas.openxmlformats.org/markup-compatibility/2006">
          <mc:Choice Requires="x14">
            <control shapeId="2244" r:id="rId197" name="Button 196">
              <controlPr defaultSize="0" print="0" autoFill="0" autoPict="0" macro="[0]!Add_item">
                <anchor moveWithCells="1" sizeWithCells="1">
                  <from>
                    <xdr:col>4</xdr:col>
                    <xdr:colOff>57150</xdr:colOff>
                    <xdr:row>114</xdr:row>
                    <xdr:rowOff>9525</xdr:rowOff>
                  </from>
                  <to>
                    <xdr:col>4</xdr:col>
                    <xdr:colOff>219075</xdr:colOff>
                    <xdr:row>114</xdr:row>
                    <xdr:rowOff>171450</xdr:rowOff>
                  </to>
                </anchor>
              </controlPr>
            </control>
          </mc:Choice>
        </mc:AlternateContent>
        <mc:AlternateContent xmlns:mc="http://schemas.openxmlformats.org/markup-compatibility/2006">
          <mc:Choice Requires="x14">
            <control shapeId="2245" r:id="rId198" name="Button 197">
              <controlPr defaultSize="0" print="0" autoFill="0" autoPict="0" macro="[0]!Add_item">
                <anchor moveWithCells="1" sizeWithCells="1">
                  <from>
                    <xdr:col>4</xdr:col>
                    <xdr:colOff>57150</xdr:colOff>
                    <xdr:row>115</xdr:row>
                    <xdr:rowOff>9525</xdr:rowOff>
                  </from>
                  <to>
                    <xdr:col>4</xdr:col>
                    <xdr:colOff>219075</xdr:colOff>
                    <xdr:row>115</xdr:row>
                    <xdr:rowOff>171450</xdr:rowOff>
                  </to>
                </anchor>
              </controlPr>
            </control>
          </mc:Choice>
        </mc:AlternateContent>
        <mc:AlternateContent xmlns:mc="http://schemas.openxmlformats.org/markup-compatibility/2006">
          <mc:Choice Requires="x14">
            <control shapeId="2246" r:id="rId199" name="Button 198">
              <controlPr defaultSize="0" print="0" autoFill="0" autoPict="0" macro="[0]!Add_item">
                <anchor moveWithCells="1" sizeWithCells="1">
                  <from>
                    <xdr:col>4</xdr:col>
                    <xdr:colOff>57150</xdr:colOff>
                    <xdr:row>116</xdr:row>
                    <xdr:rowOff>9525</xdr:rowOff>
                  </from>
                  <to>
                    <xdr:col>4</xdr:col>
                    <xdr:colOff>219075</xdr:colOff>
                    <xdr:row>116</xdr:row>
                    <xdr:rowOff>171450</xdr:rowOff>
                  </to>
                </anchor>
              </controlPr>
            </control>
          </mc:Choice>
        </mc:AlternateContent>
        <mc:AlternateContent xmlns:mc="http://schemas.openxmlformats.org/markup-compatibility/2006">
          <mc:Choice Requires="x14">
            <control shapeId="2247" r:id="rId200" name="Button 199">
              <controlPr defaultSize="0" print="0" autoFill="0" autoPict="0" macro="[0]!Add_item">
                <anchor moveWithCells="1" sizeWithCells="1">
                  <from>
                    <xdr:col>4</xdr:col>
                    <xdr:colOff>57150</xdr:colOff>
                    <xdr:row>117</xdr:row>
                    <xdr:rowOff>9525</xdr:rowOff>
                  </from>
                  <to>
                    <xdr:col>4</xdr:col>
                    <xdr:colOff>219075</xdr:colOff>
                    <xdr:row>117</xdr:row>
                    <xdr:rowOff>171450</xdr:rowOff>
                  </to>
                </anchor>
              </controlPr>
            </control>
          </mc:Choice>
        </mc:AlternateContent>
        <mc:AlternateContent xmlns:mc="http://schemas.openxmlformats.org/markup-compatibility/2006">
          <mc:Choice Requires="x14">
            <control shapeId="2248" r:id="rId201" name="Button 200">
              <controlPr defaultSize="0" print="0" autoFill="0" autoPict="0" macro="[0]!Add_item">
                <anchor moveWithCells="1" sizeWithCells="1">
                  <from>
                    <xdr:col>4</xdr:col>
                    <xdr:colOff>57150</xdr:colOff>
                    <xdr:row>118</xdr:row>
                    <xdr:rowOff>9525</xdr:rowOff>
                  </from>
                  <to>
                    <xdr:col>4</xdr:col>
                    <xdr:colOff>219075</xdr:colOff>
                    <xdr:row>118</xdr:row>
                    <xdr:rowOff>171450</xdr:rowOff>
                  </to>
                </anchor>
              </controlPr>
            </control>
          </mc:Choice>
        </mc:AlternateContent>
        <mc:AlternateContent xmlns:mc="http://schemas.openxmlformats.org/markup-compatibility/2006">
          <mc:Choice Requires="x14">
            <control shapeId="2249" r:id="rId202" name="Button 201">
              <controlPr defaultSize="0" print="0" autoFill="0" autoPict="0" macro="[0]!Add_item">
                <anchor moveWithCells="1" sizeWithCells="1">
                  <from>
                    <xdr:col>4</xdr:col>
                    <xdr:colOff>57150</xdr:colOff>
                    <xdr:row>119</xdr:row>
                    <xdr:rowOff>9525</xdr:rowOff>
                  </from>
                  <to>
                    <xdr:col>4</xdr:col>
                    <xdr:colOff>219075</xdr:colOff>
                    <xdr:row>119</xdr:row>
                    <xdr:rowOff>171450</xdr:rowOff>
                  </to>
                </anchor>
              </controlPr>
            </control>
          </mc:Choice>
        </mc:AlternateContent>
        <mc:AlternateContent xmlns:mc="http://schemas.openxmlformats.org/markup-compatibility/2006">
          <mc:Choice Requires="x14">
            <control shapeId="2250" r:id="rId203" name="Button 202">
              <controlPr defaultSize="0" print="0" autoFill="0" autoPict="0" macro="[0]!Add_item">
                <anchor moveWithCells="1" sizeWithCells="1">
                  <from>
                    <xdr:col>4</xdr:col>
                    <xdr:colOff>57150</xdr:colOff>
                    <xdr:row>120</xdr:row>
                    <xdr:rowOff>9525</xdr:rowOff>
                  </from>
                  <to>
                    <xdr:col>4</xdr:col>
                    <xdr:colOff>219075</xdr:colOff>
                    <xdr:row>120</xdr:row>
                    <xdr:rowOff>171450</xdr:rowOff>
                  </to>
                </anchor>
              </controlPr>
            </control>
          </mc:Choice>
        </mc:AlternateContent>
        <mc:AlternateContent xmlns:mc="http://schemas.openxmlformats.org/markup-compatibility/2006">
          <mc:Choice Requires="x14">
            <control shapeId="2251" r:id="rId204" name="Button 203">
              <controlPr defaultSize="0" print="0" autoFill="0" autoPict="0" macro="[0]!Add_item">
                <anchor moveWithCells="1" sizeWithCells="1">
                  <from>
                    <xdr:col>4</xdr:col>
                    <xdr:colOff>57150</xdr:colOff>
                    <xdr:row>121</xdr:row>
                    <xdr:rowOff>9525</xdr:rowOff>
                  </from>
                  <to>
                    <xdr:col>4</xdr:col>
                    <xdr:colOff>219075</xdr:colOff>
                    <xdr:row>121</xdr:row>
                    <xdr:rowOff>171450</xdr:rowOff>
                  </to>
                </anchor>
              </controlPr>
            </control>
          </mc:Choice>
        </mc:AlternateContent>
        <mc:AlternateContent xmlns:mc="http://schemas.openxmlformats.org/markup-compatibility/2006">
          <mc:Choice Requires="x14">
            <control shapeId="2252" r:id="rId205" name="Button 204">
              <controlPr defaultSize="0" print="0" autoFill="0" autoPict="0" macro="[0]!Add_item">
                <anchor moveWithCells="1" sizeWithCells="1">
                  <from>
                    <xdr:col>4</xdr:col>
                    <xdr:colOff>57150</xdr:colOff>
                    <xdr:row>122</xdr:row>
                    <xdr:rowOff>9525</xdr:rowOff>
                  </from>
                  <to>
                    <xdr:col>4</xdr:col>
                    <xdr:colOff>219075</xdr:colOff>
                    <xdr:row>122</xdr:row>
                    <xdr:rowOff>171450</xdr:rowOff>
                  </to>
                </anchor>
              </controlPr>
            </control>
          </mc:Choice>
        </mc:AlternateContent>
        <mc:AlternateContent xmlns:mc="http://schemas.openxmlformats.org/markup-compatibility/2006">
          <mc:Choice Requires="x14">
            <control shapeId="2253" r:id="rId206" name="Button 205">
              <controlPr defaultSize="0" print="0" autoFill="0" autoPict="0" macro="[0]!Add_item">
                <anchor moveWithCells="1" sizeWithCells="1">
                  <from>
                    <xdr:col>4</xdr:col>
                    <xdr:colOff>57150</xdr:colOff>
                    <xdr:row>123</xdr:row>
                    <xdr:rowOff>9525</xdr:rowOff>
                  </from>
                  <to>
                    <xdr:col>4</xdr:col>
                    <xdr:colOff>219075</xdr:colOff>
                    <xdr:row>123</xdr:row>
                    <xdr:rowOff>171450</xdr:rowOff>
                  </to>
                </anchor>
              </controlPr>
            </control>
          </mc:Choice>
        </mc:AlternateContent>
        <mc:AlternateContent xmlns:mc="http://schemas.openxmlformats.org/markup-compatibility/2006">
          <mc:Choice Requires="x14">
            <control shapeId="2254" r:id="rId207" name="Button 206">
              <controlPr defaultSize="0" print="0" autoFill="0" autoPict="0" macro="[0]!Add_item">
                <anchor moveWithCells="1" sizeWithCells="1">
                  <from>
                    <xdr:col>4</xdr:col>
                    <xdr:colOff>57150</xdr:colOff>
                    <xdr:row>124</xdr:row>
                    <xdr:rowOff>9525</xdr:rowOff>
                  </from>
                  <to>
                    <xdr:col>4</xdr:col>
                    <xdr:colOff>219075</xdr:colOff>
                    <xdr:row>124</xdr:row>
                    <xdr:rowOff>171450</xdr:rowOff>
                  </to>
                </anchor>
              </controlPr>
            </control>
          </mc:Choice>
        </mc:AlternateContent>
        <mc:AlternateContent xmlns:mc="http://schemas.openxmlformats.org/markup-compatibility/2006">
          <mc:Choice Requires="x14">
            <control shapeId="2255" r:id="rId208" name="Button 207">
              <controlPr defaultSize="0" print="0" autoFill="0" autoPict="0" macro="[0]!Add_item">
                <anchor moveWithCells="1" sizeWithCells="1">
                  <from>
                    <xdr:col>4</xdr:col>
                    <xdr:colOff>57150</xdr:colOff>
                    <xdr:row>125</xdr:row>
                    <xdr:rowOff>9525</xdr:rowOff>
                  </from>
                  <to>
                    <xdr:col>4</xdr:col>
                    <xdr:colOff>219075</xdr:colOff>
                    <xdr:row>125</xdr:row>
                    <xdr:rowOff>171450</xdr:rowOff>
                  </to>
                </anchor>
              </controlPr>
            </control>
          </mc:Choice>
        </mc:AlternateContent>
        <mc:AlternateContent xmlns:mc="http://schemas.openxmlformats.org/markup-compatibility/2006">
          <mc:Choice Requires="x14">
            <control shapeId="2256" r:id="rId209" name="Button 208">
              <controlPr defaultSize="0" print="0" autoFill="0" autoPict="0" macro="[0]!Add_item">
                <anchor moveWithCells="1" sizeWithCells="1">
                  <from>
                    <xdr:col>4</xdr:col>
                    <xdr:colOff>57150</xdr:colOff>
                    <xdr:row>126</xdr:row>
                    <xdr:rowOff>9525</xdr:rowOff>
                  </from>
                  <to>
                    <xdr:col>4</xdr:col>
                    <xdr:colOff>219075</xdr:colOff>
                    <xdr:row>126</xdr:row>
                    <xdr:rowOff>171450</xdr:rowOff>
                  </to>
                </anchor>
              </controlPr>
            </control>
          </mc:Choice>
        </mc:AlternateContent>
        <mc:AlternateContent xmlns:mc="http://schemas.openxmlformats.org/markup-compatibility/2006">
          <mc:Choice Requires="x14">
            <control shapeId="2257" r:id="rId210" name="Button 209">
              <controlPr defaultSize="0" print="0" autoFill="0" autoPict="0" macro="[0]!Add_item">
                <anchor moveWithCells="1" sizeWithCells="1">
                  <from>
                    <xdr:col>4</xdr:col>
                    <xdr:colOff>57150</xdr:colOff>
                    <xdr:row>127</xdr:row>
                    <xdr:rowOff>9525</xdr:rowOff>
                  </from>
                  <to>
                    <xdr:col>4</xdr:col>
                    <xdr:colOff>219075</xdr:colOff>
                    <xdr:row>127</xdr:row>
                    <xdr:rowOff>171450</xdr:rowOff>
                  </to>
                </anchor>
              </controlPr>
            </control>
          </mc:Choice>
        </mc:AlternateContent>
        <mc:AlternateContent xmlns:mc="http://schemas.openxmlformats.org/markup-compatibility/2006">
          <mc:Choice Requires="x14">
            <control shapeId="2258" r:id="rId211" name="Button 210">
              <controlPr defaultSize="0" print="0" autoFill="0" autoPict="0" macro="[0]!Add_item">
                <anchor moveWithCells="1" sizeWithCells="1">
                  <from>
                    <xdr:col>4</xdr:col>
                    <xdr:colOff>57150</xdr:colOff>
                    <xdr:row>128</xdr:row>
                    <xdr:rowOff>9525</xdr:rowOff>
                  </from>
                  <to>
                    <xdr:col>4</xdr:col>
                    <xdr:colOff>219075</xdr:colOff>
                    <xdr:row>128</xdr:row>
                    <xdr:rowOff>171450</xdr:rowOff>
                  </to>
                </anchor>
              </controlPr>
            </control>
          </mc:Choice>
        </mc:AlternateContent>
        <mc:AlternateContent xmlns:mc="http://schemas.openxmlformats.org/markup-compatibility/2006">
          <mc:Choice Requires="x14">
            <control shapeId="2259" r:id="rId212" name="Button 211">
              <controlPr defaultSize="0" print="0" autoFill="0" autoPict="0" macro="[0]!Add_item">
                <anchor moveWithCells="1" sizeWithCells="1">
                  <from>
                    <xdr:col>4</xdr:col>
                    <xdr:colOff>57150</xdr:colOff>
                    <xdr:row>129</xdr:row>
                    <xdr:rowOff>9525</xdr:rowOff>
                  </from>
                  <to>
                    <xdr:col>4</xdr:col>
                    <xdr:colOff>219075</xdr:colOff>
                    <xdr:row>129</xdr:row>
                    <xdr:rowOff>171450</xdr:rowOff>
                  </to>
                </anchor>
              </controlPr>
            </control>
          </mc:Choice>
        </mc:AlternateContent>
        <mc:AlternateContent xmlns:mc="http://schemas.openxmlformats.org/markup-compatibility/2006">
          <mc:Choice Requires="x14">
            <control shapeId="2260" r:id="rId213" name="Button 212">
              <controlPr defaultSize="0" print="0" autoFill="0" autoPict="0" macro="[0]!Add_item">
                <anchor moveWithCells="1" sizeWithCells="1">
                  <from>
                    <xdr:col>4</xdr:col>
                    <xdr:colOff>57150</xdr:colOff>
                    <xdr:row>130</xdr:row>
                    <xdr:rowOff>9525</xdr:rowOff>
                  </from>
                  <to>
                    <xdr:col>4</xdr:col>
                    <xdr:colOff>219075</xdr:colOff>
                    <xdr:row>130</xdr:row>
                    <xdr:rowOff>171450</xdr:rowOff>
                  </to>
                </anchor>
              </controlPr>
            </control>
          </mc:Choice>
        </mc:AlternateContent>
        <mc:AlternateContent xmlns:mc="http://schemas.openxmlformats.org/markup-compatibility/2006">
          <mc:Choice Requires="x14">
            <control shapeId="2261" r:id="rId214" name="Button 213">
              <controlPr defaultSize="0" print="0" autoFill="0" autoPict="0" macro="[0]!Add_item">
                <anchor moveWithCells="1" sizeWithCells="1">
                  <from>
                    <xdr:col>4</xdr:col>
                    <xdr:colOff>57150</xdr:colOff>
                    <xdr:row>131</xdr:row>
                    <xdr:rowOff>9525</xdr:rowOff>
                  </from>
                  <to>
                    <xdr:col>4</xdr:col>
                    <xdr:colOff>219075</xdr:colOff>
                    <xdr:row>131</xdr:row>
                    <xdr:rowOff>171450</xdr:rowOff>
                  </to>
                </anchor>
              </controlPr>
            </control>
          </mc:Choice>
        </mc:AlternateContent>
        <mc:AlternateContent xmlns:mc="http://schemas.openxmlformats.org/markup-compatibility/2006">
          <mc:Choice Requires="x14">
            <control shapeId="2262" r:id="rId215" name="Button 214">
              <controlPr defaultSize="0" print="0" autoFill="0" autoPict="0" macro="[0]!Add_item">
                <anchor moveWithCells="1" sizeWithCells="1">
                  <from>
                    <xdr:col>4</xdr:col>
                    <xdr:colOff>57150</xdr:colOff>
                    <xdr:row>132</xdr:row>
                    <xdr:rowOff>9525</xdr:rowOff>
                  </from>
                  <to>
                    <xdr:col>4</xdr:col>
                    <xdr:colOff>219075</xdr:colOff>
                    <xdr:row>132</xdr:row>
                    <xdr:rowOff>171450</xdr:rowOff>
                  </to>
                </anchor>
              </controlPr>
            </control>
          </mc:Choice>
        </mc:AlternateContent>
        <mc:AlternateContent xmlns:mc="http://schemas.openxmlformats.org/markup-compatibility/2006">
          <mc:Choice Requires="x14">
            <control shapeId="2263" r:id="rId216" name="Button 215">
              <controlPr defaultSize="0" print="0" autoFill="0" autoPict="0" macro="[0]!Add_item">
                <anchor moveWithCells="1" sizeWithCells="1">
                  <from>
                    <xdr:col>4</xdr:col>
                    <xdr:colOff>57150</xdr:colOff>
                    <xdr:row>133</xdr:row>
                    <xdr:rowOff>9525</xdr:rowOff>
                  </from>
                  <to>
                    <xdr:col>4</xdr:col>
                    <xdr:colOff>219075</xdr:colOff>
                    <xdr:row>133</xdr:row>
                    <xdr:rowOff>171450</xdr:rowOff>
                  </to>
                </anchor>
              </controlPr>
            </control>
          </mc:Choice>
        </mc:AlternateContent>
        <mc:AlternateContent xmlns:mc="http://schemas.openxmlformats.org/markup-compatibility/2006">
          <mc:Choice Requires="x14">
            <control shapeId="2264" r:id="rId217" name="Button 216">
              <controlPr defaultSize="0" print="0" autoFill="0" autoPict="0" macro="[0]!Add_item">
                <anchor moveWithCells="1" sizeWithCells="1">
                  <from>
                    <xdr:col>4</xdr:col>
                    <xdr:colOff>57150</xdr:colOff>
                    <xdr:row>134</xdr:row>
                    <xdr:rowOff>9525</xdr:rowOff>
                  </from>
                  <to>
                    <xdr:col>4</xdr:col>
                    <xdr:colOff>219075</xdr:colOff>
                    <xdr:row>134</xdr:row>
                    <xdr:rowOff>171450</xdr:rowOff>
                  </to>
                </anchor>
              </controlPr>
            </control>
          </mc:Choice>
        </mc:AlternateContent>
        <mc:AlternateContent xmlns:mc="http://schemas.openxmlformats.org/markup-compatibility/2006">
          <mc:Choice Requires="x14">
            <control shapeId="2265" r:id="rId218" name="Button 217">
              <controlPr defaultSize="0" print="0" autoFill="0" autoPict="0" macro="[0]!Add_item">
                <anchor moveWithCells="1" sizeWithCells="1">
                  <from>
                    <xdr:col>4</xdr:col>
                    <xdr:colOff>57150</xdr:colOff>
                    <xdr:row>135</xdr:row>
                    <xdr:rowOff>9525</xdr:rowOff>
                  </from>
                  <to>
                    <xdr:col>4</xdr:col>
                    <xdr:colOff>219075</xdr:colOff>
                    <xdr:row>135</xdr:row>
                    <xdr:rowOff>171450</xdr:rowOff>
                  </to>
                </anchor>
              </controlPr>
            </control>
          </mc:Choice>
        </mc:AlternateContent>
        <mc:AlternateContent xmlns:mc="http://schemas.openxmlformats.org/markup-compatibility/2006">
          <mc:Choice Requires="x14">
            <control shapeId="2266" r:id="rId219" name="Button 218">
              <controlPr defaultSize="0" print="0" autoFill="0" autoPict="0" macro="[0]!Add_item">
                <anchor moveWithCells="1" sizeWithCells="1">
                  <from>
                    <xdr:col>4</xdr:col>
                    <xdr:colOff>57150</xdr:colOff>
                    <xdr:row>136</xdr:row>
                    <xdr:rowOff>9525</xdr:rowOff>
                  </from>
                  <to>
                    <xdr:col>4</xdr:col>
                    <xdr:colOff>219075</xdr:colOff>
                    <xdr:row>136</xdr:row>
                    <xdr:rowOff>171450</xdr:rowOff>
                  </to>
                </anchor>
              </controlPr>
            </control>
          </mc:Choice>
        </mc:AlternateContent>
        <mc:AlternateContent xmlns:mc="http://schemas.openxmlformats.org/markup-compatibility/2006">
          <mc:Choice Requires="x14">
            <control shapeId="2267" r:id="rId220" name="Button 219">
              <controlPr defaultSize="0" print="0" autoFill="0" autoPict="0" macro="[0]!Add_item">
                <anchor moveWithCells="1" sizeWithCells="1">
                  <from>
                    <xdr:col>4</xdr:col>
                    <xdr:colOff>57150</xdr:colOff>
                    <xdr:row>137</xdr:row>
                    <xdr:rowOff>9525</xdr:rowOff>
                  </from>
                  <to>
                    <xdr:col>4</xdr:col>
                    <xdr:colOff>219075</xdr:colOff>
                    <xdr:row>137</xdr:row>
                    <xdr:rowOff>171450</xdr:rowOff>
                  </to>
                </anchor>
              </controlPr>
            </control>
          </mc:Choice>
        </mc:AlternateContent>
        <mc:AlternateContent xmlns:mc="http://schemas.openxmlformats.org/markup-compatibility/2006">
          <mc:Choice Requires="x14">
            <control shapeId="2268" r:id="rId221" name="Button 220">
              <controlPr defaultSize="0" print="0" autoFill="0" autoPict="0" macro="[0]!Add_item">
                <anchor moveWithCells="1" sizeWithCells="1">
                  <from>
                    <xdr:col>4</xdr:col>
                    <xdr:colOff>57150</xdr:colOff>
                    <xdr:row>138</xdr:row>
                    <xdr:rowOff>9525</xdr:rowOff>
                  </from>
                  <to>
                    <xdr:col>4</xdr:col>
                    <xdr:colOff>219075</xdr:colOff>
                    <xdr:row>138</xdr:row>
                    <xdr:rowOff>171450</xdr:rowOff>
                  </to>
                </anchor>
              </controlPr>
            </control>
          </mc:Choice>
        </mc:AlternateContent>
        <mc:AlternateContent xmlns:mc="http://schemas.openxmlformats.org/markup-compatibility/2006">
          <mc:Choice Requires="x14">
            <control shapeId="2269" r:id="rId222" name="Button 221">
              <controlPr defaultSize="0" print="0" autoFill="0" autoPict="0" macro="[0]!Add_item">
                <anchor moveWithCells="1" sizeWithCells="1">
                  <from>
                    <xdr:col>4</xdr:col>
                    <xdr:colOff>57150</xdr:colOff>
                    <xdr:row>139</xdr:row>
                    <xdr:rowOff>9525</xdr:rowOff>
                  </from>
                  <to>
                    <xdr:col>4</xdr:col>
                    <xdr:colOff>219075</xdr:colOff>
                    <xdr:row>139</xdr:row>
                    <xdr:rowOff>171450</xdr:rowOff>
                  </to>
                </anchor>
              </controlPr>
            </control>
          </mc:Choice>
        </mc:AlternateContent>
        <mc:AlternateContent xmlns:mc="http://schemas.openxmlformats.org/markup-compatibility/2006">
          <mc:Choice Requires="x14">
            <control shapeId="2270" r:id="rId223" name="Button 222">
              <controlPr defaultSize="0" print="0" autoFill="0" autoPict="0" macro="[0]!Add_item">
                <anchor moveWithCells="1" sizeWithCells="1">
                  <from>
                    <xdr:col>4</xdr:col>
                    <xdr:colOff>57150</xdr:colOff>
                    <xdr:row>140</xdr:row>
                    <xdr:rowOff>9525</xdr:rowOff>
                  </from>
                  <to>
                    <xdr:col>4</xdr:col>
                    <xdr:colOff>219075</xdr:colOff>
                    <xdr:row>140</xdr:row>
                    <xdr:rowOff>171450</xdr:rowOff>
                  </to>
                </anchor>
              </controlPr>
            </control>
          </mc:Choice>
        </mc:AlternateContent>
        <mc:AlternateContent xmlns:mc="http://schemas.openxmlformats.org/markup-compatibility/2006">
          <mc:Choice Requires="x14">
            <control shapeId="2271" r:id="rId224" name="Button 223">
              <controlPr defaultSize="0" print="0" autoFill="0" autoPict="0" macro="[0]!Add_item">
                <anchor moveWithCells="1" sizeWithCells="1">
                  <from>
                    <xdr:col>4</xdr:col>
                    <xdr:colOff>57150</xdr:colOff>
                    <xdr:row>141</xdr:row>
                    <xdr:rowOff>9525</xdr:rowOff>
                  </from>
                  <to>
                    <xdr:col>4</xdr:col>
                    <xdr:colOff>219075</xdr:colOff>
                    <xdr:row>141</xdr:row>
                    <xdr:rowOff>171450</xdr:rowOff>
                  </to>
                </anchor>
              </controlPr>
            </control>
          </mc:Choice>
        </mc:AlternateContent>
        <mc:AlternateContent xmlns:mc="http://schemas.openxmlformats.org/markup-compatibility/2006">
          <mc:Choice Requires="x14">
            <control shapeId="2272" r:id="rId225" name="Button 224">
              <controlPr defaultSize="0" print="0" autoFill="0" autoPict="0" macro="[0]!Add_item">
                <anchor moveWithCells="1" sizeWithCells="1">
                  <from>
                    <xdr:col>4</xdr:col>
                    <xdr:colOff>57150</xdr:colOff>
                    <xdr:row>142</xdr:row>
                    <xdr:rowOff>9525</xdr:rowOff>
                  </from>
                  <to>
                    <xdr:col>4</xdr:col>
                    <xdr:colOff>219075</xdr:colOff>
                    <xdr:row>142</xdr:row>
                    <xdr:rowOff>171450</xdr:rowOff>
                  </to>
                </anchor>
              </controlPr>
            </control>
          </mc:Choice>
        </mc:AlternateContent>
        <mc:AlternateContent xmlns:mc="http://schemas.openxmlformats.org/markup-compatibility/2006">
          <mc:Choice Requires="x14">
            <control shapeId="2273" r:id="rId226" name="Button 225">
              <controlPr defaultSize="0" print="0" autoFill="0" autoPict="0" macro="[0]!Add_item">
                <anchor moveWithCells="1" sizeWithCells="1">
                  <from>
                    <xdr:col>4</xdr:col>
                    <xdr:colOff>57150</xdr:colOff>
                    <xdr:row>143</xdr:row>
                    <xdr:rowOff>9525</xdr:rowOff>
                  </from>
                  <to>
                    <xdr:col>4</xdr:col>
                    <xdr:colOff>219075</xdr:colOff>
                    <xdr:row>143</xdr:row>
                    <xdr:rowOff>171450</xdr:rowOff>
                  </to>
                </anchor>
              </controlPr>
            </control>
          </mc:Choice>
        </mc:AlternateContent>
        <mc:AlternateContent xmlns:mc="http://schemas.openxmlformats.org/markup-compatibility/2006">
          <mc:Choice Requires="x14">
            <control shapeId="2274" r:id="rId227" name="Button 226">
              <controlPr defaultSize="0" print="0" autoFill="0" autoPict="0" macro="[0]!Add_item">
                <anchor moveWithCells="1" sizeWithCells="1">
                  <from>
                    <xdr:col>4</xdr:col>
                    <xdr:colOff>57150</xdr:colOff>
                    <xdr:row>144</xdr:row>
                    <xdr:rowOff>9525</xdr:rowOff>
                  </from>
                  <to>
                    <xdr:col>4</xdr:col>
                    <xdr:colOff>219075</xdr:colOff>
                    <xdr:row>144</xdr:row>
                    <xdr:rowOff>171450</xdr:rowOff>
                  </to>
                </anchor>
              </controlPr>
            </control>
          </mc:Choice>
        </mc:AlternateContent>
        <mc:AlternateContent xmlns:mc="http://schemas.openxmlformats.org/markup-compatibility/2006">
          <mc:Choice Requires="x14">
            <control shapeId="2275" r:id="rId228" name="Button 227">
              <controlPr defaultSize="0" print="0" autoFill="0" autoPict="0" macro="[0]!Add_item">
                <anchor moveWithCells="1" sizeWithCells="1">
                  <from>
                    <xdr:col>4</xdr:col>
                    <xdr:colOff>57150</xdr:colOff>
                    <xdr:row>145</xdr:row>
                    <xdr:rowOff>9525</xdr:rowOff>
                  </from>
                  <to>
                    <xdr:col>4</xdr:col>
                    <xdr:colOff>219075</xdr:colOff>
                    <xdr:row>145</xdr:row>
                    <xdr:rowOff>171450</xdr:rowOff>
                  </to>
                </anchor>
              </controlPr>
            </control>
          </mc:Choice>
        </mc:AlternateContent>
        <mc:AlternateContent xmlns:mc="http://schemas.openxmlformats.org/markup-compatibility/2006">
          <mc:Choice Requires="x14">
            <control shapeId="2276" r:id="rId229" name="Button 228">
              <controlPr defaultSize="0" print="0" autoFill="0" autoPict="0" macro="[0]!Add_item">
                <anchor moveWithCells="1" sizeWithCells="1">
                  <from>
                    <xdr:col>4</xdr:col>
                    <xdr:colOff>57150</xdr:colOff>
                    <xdr:row>146</xdr:row>
                    <xdr:rowOff>9525</xdr:rowOff>
                  </from>
                  <to>
                    <xdr:col>4</xdr:col>
                    <xdr:colOff>219075</xdr:colOff>
                    <xdr:row>146</xdr:row>
                    <xdr:rowOff>171450</xdr:rowOff>
                  </to>
                </anchor>
              </controlPr>
            </control>
          </mc:Choice>
        </mc:AlternateContent>
        <mc:AlternateContent xmlns:mc="http://schemas.openxmlformats.org/markup-compatibility/2006">
          <mc:Choice Requires="x14">
            <control shapeId="2277" r:id="rId230" name="Button 229">
              <controlPr defaultSize="0" print="0" autoFill="0" autoPict="0" macro="[0]!Add_item">
                <anchor moveWithCells="1" sizeWithCells="1">
                  <from>
                    <xdr:col>4</xdr:col>
                    <xdr:colOff>57150</xdr:colOff>
                    <xdr:row>147</xdr:row>
                    <xdr:rowOff>9525</xdr:rowOff>
                  </from>
                  <to>
                    <xdr:col>4</xdr:col>
                    <xdr:colOff>219075</xdr:colOff>
                    <xdr:row>147</xdr:row>
                    <xdr:rowOff>171450</xdr:rowOff>
                  </to>
                </anchor>
              </controlPr>
            </control>
          </mc:Choice>
        </mc:AlternateContent>
        <mc:AlternateContent xmlns:mc="http://schemas.openxmlformats.org/markup-compatibility/2006">
          <mc:Choice Requires="x14">
            <control shapeId="2278" r:id="rId231" name="Button 230">
              <controlPr defaultSize="0" print="0" autoFill="0" autoPict="0" macro="[0]!Add_item">
                <anchor moveWithCells="1" sizeWithCells="1">
                  <from>
                    <xdr:col>4</xdr:col>
                    <xdr:colOff>57150</xdr:colOff>
                    <xdr:row>148</xdr:row>
                    <xdr:rowOff>9525</xdr:rowOff>
                  </from>
                  <to>
                    <xdr:col>4</xdr:col>
                    <xdr:colOff>219075</xdr:colOff>
                    <xdr:row>148</xdr:row>
                    <xdr:rowOff>171450</xdr:rowOff>
                  </to>
                </anchor>
              </controlPr>
            </control>
          </mc:Choice>
        </mc:AlternateContent>
        <mc:AlternateContent xmlns:mc="http://schemas.openxmlformats.org/markup-compatibility/2006">
          <mc:Choice Requires="x14">
            <control shapeId="2279" r:id="rId232" name="Button 231">
              <controlPr defaultSize="0" print="0" autoFill="0" autoPict="0" macro="[0]!Add_item">
                <anchor moveWithCells="1" sizeWithCells="1">
                  <from>
                    <xdr:col>4</xdr:col>
                    <xdr:colOff>57150</xdr:colOff>
                    <xdr:row>149</xdr:row>
                    <xdr:rowOff>9525</xdr:rowOff>
                  </from>
                  <to>
                    <xdr:col>4</xdr:col>
                    <xdr:colOff>219075</xdr:colOff>
                    <xdr:row>149</xdr:row>
                    <xdr:rowOff>171450</xdr:rowOff>
                  </to>
                </anchor>
              </controlPr>
            </control>
          </mc:Choice>
        </mc:AlternateContent>
        <mc:AlternateContent xmlns:mc="http://schemas.openxmlformats.org/markup-compatibility/2006">
          <mc:Choice Requires="x14">
            <control shapeId="2280" r:id="rId233" name="Button 232">
              <controlPr defaultSize="0" print="0" autoFill="0" autoPict="0" macro="[0]!Add_item">
                <anchor moveWithCells="1" sizeWithCells="1">
                  <from>
                    <xdr:col>4</xdr:col>
                    <xdr:colOff>57150</xdr:colOff>
                    <xdr:row>150</xdr:row>
                    <xdr:rowOff>9525</xdr:rowOff>
                  </from>
                  <to>
                    <xdr:col>4</xdr:col>
                    <xdr:colOff>219075</xdr:colOff>
                    <xdr:row>150</xdr:row>
                    <xdr:rowOff>171450</xdr:rowOff>
                  </to>
                </anchor>
              </controlPr>
            </control>
          </mc:Choice>
        </mc:AlternateContent>
        <mc:AlternateContent xmlns:mc="http://schemas.openxmlformats.org/markup-compatibility/2006">
          <mc:Choice Requires="x14">
            <control shapeId="2331" r:id="rId234" name="Button 283">
              <controlPr defaultSize="0" print="0" autoFill="0" autoPict="0" macro="[0]!Add_item">
                <anchor moveWithCells="1" sizeWithCells="1">
                  <from>
                    <xdr:col>6</xdr:col>
                    <xdr:colOff>57150</xdr:colOff>
                    <xdr:row>87</xdr:row>
                    <xdr:rowOff>9525</xdr:rowOff>
                  </from>
                  <to>
                    <xdr:col>6</xdr:col>
                    <xdr:colOff>219075</xdr:colOff>
                    <xdr:row>87</xdr:row>
                    <xdr:rowOff>171450</xdr:rowOff>
                  </to>
                </anchor>
              </controlPr>
            </control>
          </mc:Choice>
        </mc:AlternateContent>
        <mc:AlternateContent xmlns:mc="http://schemas.openxmlformats.org/markup-compatibility/2006">
          <mc:Choice Requires="x14">
            <control shapeId="2332" r:id="rId235" name="Button 284">
              <controlPr defaultSize="0" print="0" autoFill="0" autoPict="0" macro="[0]!Add_item">
                <anchor moveWithCells="1" sizeWithCells="1">
                  <from>
                    <xdr:col>6</xdr:col>
                    <xdr:colOff>57150</xdr:colOff>
                    <xdr:row>88</xdr:row>
                    <xdr:rowOff>9525</xdr:rowOff>
                  </from>
                  <to>
                    <xdr:col>6</xdr:col>
                    <xdr:colOff>219075</xdr:colOff>
                    <xdr:row>88</xdr:row>
                    <xdr:rowOff>171450</xdr:rowOff>
                  </to>
                </anchor>
              </controlPr>
            </control>
          </mc:Choice>
        </mc:AlternateContent>
        <mc:AlternateContent xmlns:mc="http://schemas.openxmlformats.org/markup-compatibility/2006">
          <mc:Choice Requires="x14">
            <control shapeId="2333" r:id="rId236" name="Button 285">
              <controlPr defaultSize="0" print="0" autoFill="0" autoPict="0" macro="[0]!Add_item">
                <anchor moveWithCells="1" sizeWithCells="1">
                  <from>
                    <xdr:col>6</xdr:col>
                    <xdr:colOff>57150</xdr:colOff>
                    <xdr:row>89</xdr:row>
                    <xdr:rowOff>9525</xdr:rowOff>
                  </from>
                  <to>
                    <xdr:col>6</xdr:col>
                    <xdr:colOff>219075</xdr:colOff>
                    <xdr:row>89</xdr:row>
                    <xdr:rowOff>171450</xdr:rowOff>
                  </to>
                </anchor>
              </controlPr>
            </control>
          </mc:Choice>
        </mc:AlternateContent>
        <mc:AlternateContent xmlns:mc="http://schemas.openxmlformats.org/markup-compatibility/2006">
          <mc:Choice Requires="x14">
            <control shapeId="2334" r:id="rId237" name="Button 286">
              <controlPr defaultSize="0" print="0" autoFill="0" autoPict="0" macro="[0]!Add_item">
                <anchor moveWithCells="1" sizeWithCells="1">
                  <from>
                    <xdr:col>6</xdr:col>
                    <xdr:colOff>57150</xdr:colOff>
                    <xdr:row>90</xdr:row>
                    <xdr:rowOff>9525</xdr:rowOff>
                  </from>
                  <to>
                    <xdr:col>6</xdr:col>
                    <xdr:colOff>219075</xdr:colOff>
                    <xdr:row>90</xdr:row>
                    <xdr:rowOff>171450</xdr:rowOff>
                  </to>
                </anchor>
              </controlPr>
            </control>
          </mc:Choice>
        </mc:AlternateContent>
        <mc:AlternateContent xmlns:mc="http://schemas.openxmlformats.org/markup-compatibility/2006">
          <mc:Choice Requires="x14">
            <control shapeId="2335" r:id="rId238" name="Button 287">
              <controlPr defaultSize="0" print="0" autoFill="0" autoPict="0" macro="[0]!Add_item">
                <anchor moveWithCells="1" sizeWithCells="1">
                  <from>
                    <xdr:col>6</xdr:col>
                    <xdr:colOff>57150</xdr:colOff>
                    <xdr:row>91</xdr:row>
                    <xdr:rowOff>9525</xdr:rowOff>
                  </from>
                  <to>
                    <xdr:col>6</xdr:col>
                    <xdr:colOff>219075</xdr:colOff>
                    <xdr:row>91</xdr:row>
                    <xdr:rowOff>171450</xdr:rowOff>
                  </to>
                </anchor>
              </controlPr>
            </control>
          </mc:Choice>
        </mc:AlternateContent>
        <mc:AlternateContent xmlns:mc="http://schemas.openxmlformats.org/markup-compatibility/2006">
          <mc:Choice Requires="x14">
            <control shapeId="2336" r:id="rId239" name="Button 288">
              <controlPr defaultSize="0" print="0" autoFill="0" autoPict="0" macro="[0]!Add_item">
                <anchor moveWithCells="1" sizeWithCells="1">
                  <from>
                    <xdr:col>6</xdr:col>
                    <xdr:colOff>57150</xdr:colOff>
                    <xdr:row>92</xdr:row>
                    <xdr:rowOff>9525</xdr:rowOff>
                  </from>
                  <to>
                    <xdr:col>6</xdr:col>
                    <xdr:colOff>219075</xdr:colOff>
                    <xdr:row>92</xdr:row>
                    <xdr:rowOff>171450</xdr:rowOff>
                  </to>
                </anchor>
              </controlPr>
            </control>
          </mc:Choice>
        </mc:AlternateContent>
        <mc:AlternateContent xmlns:mc="http://schemas.openxmlformats.org/markup-compatibility/2006">
          <mc:Choice Requires="x14">
            <control shapeId="2337" r:id="rId240" name="Button 289">
              <controlPr defaultSize="0" print="0" autoFill="0" autoPict="0" macro="[0]!Add_item">
                <anchor moveWithCells="1" sizeWithCells="1">
                  <from>
                    <xdr:col>6</xdr:col>
                    <xdr:colOff>57150</xdr:colOff>
                    <xdr:row>93</xdr:row>
                    <xdr:rowOff>9525</xdr:rowOff>
                  </from>
                  <to>
                    <xdr:col>6</xdr:col>
                    <xdr:colOff>219075</xdr:colOff>
                    <xdr:row>93</xdr:row>
                    <xdr:rowOff>171450</xdr:rowOff>
                  </to>
                </anchor>
              </controlPr>
            </control>
          </mc:Choice>
        </mc:AlternateContent>
        <mc:AlternateContent xmlns:mc="http://schemas.openxmlformats.org/markup-compatibility/2006">
          <mc:Choice Requires="x14">
            <control shapeId="2338" r:id="rId241" name="Button 290">
              <controlPr defaultSize="0" print="0" autoFill="0" autoPict="0" macro="[0]!Add_item">
                <anchor moveWithCells="1" sizeWithCells="1">
                  <from>
                    <xdr:col>6</xdr:col>
                    <xdr:colOff>57150</xdr:colOff>
                    <xdr:row>94</xdr:row>
                    <xdr:rowOff>9525</xdr:rowOff>
                  </from>
                  <to>
                    <xdr:col>6</xdr:col>
                    <xdr:colOff>219075</xdr:colOff>
                    <xdr:row>94</xdr:row>
                    <xdr:rowOff>171450</xdr:rowOff>
                  </to>
                </anchor>
              </controlPr>
            </control>
          </mc:Choice>
        </mc:AlternateContent>
        <mc:AlternateContent xmlns:mc="http://schemas.openxmlformats.org/markup-compatibility/2006">
          <mc:Choice Requires="x14">
            <control shapeId="2339" r:id="rId242" name="Button 291">
              <controlPr defaultSize="0" print="0" autoFill="0" autoPict="0" macro="[0]!Add_item">
                <anchor moveWithCells="1" sizeWithCells="1">
                  <from>
                    <xdr:col>6</xdr:col>
                    <xdr:colOff>57150</xdr:colOff>
                    <xdr:row>95</xdr:row>
                    <xdr:rowOff>9525</xdr:rowOff>
                  </from>
                  <to>
                    <xdr:col>6</xdr:col>
                    <xdr:colOff>219075</xdr:colOff>
                    <xdr:row>95</xdr:row>
                    <xdr:rowOff>171450</xdr:rowOff>
                  </to>
                </anchor>
              </controlPr>
            </control>
          </mc:Choice>
        </mc:AlternateContent>
        <mc:AlternateContent xmlns:mc="http://schemas.openxmlformats.org/markup-compatibility/2006">
          <mc:Choice Requires="x14">
            <control shapeId="2340" r:id="rId243" name="Button 292">
              <controlPr defaultSize="0" print="0" autoFill="0" autoPict="0" macro="[0]!Add_item">
                <anchor moveWithCells="1" sizeWithCells="1">
                  <from>
                    <xdr:col>6</xdr:col>
                    <xdr:colOff>57150</xdr:colOff>
                    <xdr:row>96</xdr:row>
                    <xdr:rowOff>9525</xdr:rowOff>
                  </from>
                  <to>
                    <xdr:col>6</xdr:col>
                    <xdr:colOff>219075</xdr:colOff>
                    <xdr:row>96</xdr:row>
                    <xdr:rowOff>171450</xdr:rowOff>
                  </to>
                </anchor>
              </controlPr>
            </control>
          </mc:Choice>
        </mc:AlternateContent>
        <mc:AlternateContent xmlns:mc="http://schemas.openxmlformats.org/markup-compatibility/2006">
          <mc:Choice Requires="x14">
            <control shapeId="2341" r:id="rId244" name="Button 293">
              <controlPr defaultSize="0" print="0" autoFill="0" autoPict="0" macro="[0]!Add_item">
                <anchor moveWithCells="1" sizeWithCells="1">
                  <from>
                    <xdr:col>6</xdr:col>
                    <xdr:colOff>57150</xdr:colOff>
                    <xdr:row>97</xdr:row>
                    <xdr:rowOff>9525</xdr:rowOff>
                  </from>
                  <to>
                    <xdr:col>6</xdr:col>
                    <xdr:colOff>219075</xdr:colOff>
                    <xdr:row>97</xdr:row>
                    <xdr:rowOff>171450</xdr:rowOff>
                  </to>
                </anchor>
              </controlPr>
            </control>
          </mc:Choice>
        </mc:AlternateContent>
        <mc:AlternateContent xmlns:mc="http://schemas.openxmlformats.org/markup-compatibility/2006">
          <mc:Choice Requires="x14">
            <control shapeId="2342" r:id="rId245" name="Button 294">
              <controlPr defaultSize="0" print="0" autoFill="0" autoPict="0" macro="[0]!Add_item">
                <anchor moveWithCells="1" sizeWithCells="1">
                  <from>
                    <xdr:col>6</xdr:col>
                    <xdr:colOff>57150</xdr:colOff>
                    <xdr:row>98</xdr:row>
                    <xdr:rowOff>9525</xdr:rowOff>
                  </from>
                  <to>
                    <xdr:col>6</xdr:col>
                    <xdr:colOff>219075</xdr:colOff>
                    <xdr:row>98</xdr:row>
                    <xdr:rowOff>171450</xdr:rowOff>
                  </to>
                </anchor>
              </controlPr>
            </control>
          </mc:Choice>
        </mc:AlternateContent>
        <mc:AlternateContent xmlns:mc="http://schemas.openxmlformats.org/markup-compatibility/2006">
          <mc:Choice Requires="x14">
            <control shapeId="2343" r:id="rId246" name="Button 295">
              <controlPr defaultSize="0" print="0" autoFill="0" autoPict="0" macro="[0]!Add_item">
                <anchor moveWithCells="1" sizeWithCells="1">
                  <from>
                    <xdr:col>6</xdr:col>
                    <xdr:colOff>57150</xdr:colOff>
                    <xdr:row>99</xdr:row>
                    <xdr:rowOff>9525</xdr:rowOff>
                  </from>
                  <to>
                    <xdr:col>6</xdr:col>
                    <xdr:colOff>219075</xdr:colOff>
                    <xdr:row>99</xdr:row>
                    <xdr:rowOff>171450</xdr:rowOff>
                  </to>
                </anchor>
              </controlPr>
            </control>
          </mc:Choice>
        </mc:AlternateContent>
        <mc:AlternateContent xmlns:mc="http://schemas.openxmlformats.org/markup-compatibility/2006">
          <mc:Choice Requires="x14">
            <control shapeId="2344" r:id="rId247" name="Button 296">
              <controlPr defaultSize="0" print="0" autoFill="0" autoPict="0" macro="[0]!Add_item">
                <anchor moveWithCells="1" sizeWithCells="1">
                  <from>
                    <xdr:col>6</xdr:col>
                    <xdr:colOff>57150</xdr:colOff>
                    <xdr:row>100</xdr:row>
                    <xdr:rowOff>9525</xdr:rowOff>
                  </from>
                  <to>
                    <xdr:col>6</xdr:col>
                    <xdr:colOff>219075</xdr:colOff>
                    <xdr:row>100</xdr:row>
                    <xdr:rowOff>171450</xdr:rowOff>
                  </to>
                </anchor>
              </controlPr>
            </control>
          </mc:Choice>
        </mc:AlternateContent>
        <mc:AlternateContent xmlns:mc="http://schemas.openxmlformats.org/markup-compatibility/2006">
          <mc:Choice Requires="x14">
            <control shapeId="2345" r:id="rId248" name="Button 297">
              <controlPr defaultSize="0" print="0" autoFill="0" autoPict="0" macro="[0]!Add_item">
                <anchor moveWithCells="1" sizeWithCells="1">
                  <from>
                    <xdr:col>6</xdr:col>
                    <xdr:colOff>57150</xdr:colOff>
                    <xdr:row>101</xdr:row>
                    <xdr:rowOff>9525</xdr:rowOff>
                  </from>
                  <to>
                    <xdr:col>6</xdr:col>
                    <xdr:colOff>219075</xdr:colOff>
                    <xdr:row>101</xdr:row>
                    <xdr:rowOff>171450</xdr:rowOff>
                  </to>
                </anchor>
              </controlPr>
            </control>
          </mc:Choice>
        </mc:AlternateContent>
        <mc:AlternateContent xmlns:mc="http://schemas.openxmlformats.org/markup-compatibility/2006">
          <mc:Choice Requires="x14">
            <control shapeId="2346" r:id="rId249" name="Button 298">
              <controlPr defaultSize="0" print="0" autoFill="0" autoPict="0" macro="[0]!Add_item">
                <anchor moveWithCells="1" sizeWithCells="1">
                  <from>
                    <xdr:col>6</xdr:col>
                    <xdr:colOff>57150</xdr:colOff>
                    <xdr:row>102</xdr:row>
                    <xdr:rowOff>9525</xdr:rowOff>
                  </from>
                  <to>
                    <xdr:col>6</xdr:col>
                    <xdr:colOff>219075</xdr:colOff>
                    <xdr:row>102</xdr:row>
                    <xdr:rowOff>171450</xdr:rowOff>
                  </to>
                </anchor>
              </controlPr>
            </control>
          </mc:Choice>
        </mc:AlternateContent>
        <mc:AlternateContent xmlns:mc="http://schemas.openxmlformats.org/markup-compatibility/2006">
          <mc:Choice Requires="x14">
            <control shapeId="2347" r:id="rId250" name="Button 299">
              <controlPr defaultSize="0" print="0" autoFill="0" autoPict="0" macro="[0]!Add_item">
                <anchor moveWithCells="1" sizeWithCells="1">
                  <from>
                    <xdr:col>6</xdr:col>
                    <xdr:colOff>57150</xdr:colOff>
                    <xdr:row>103</xdr:row>
                    <xdr:rowOff>9525</xdr:rowOff>
                  </from>
                  <to>
                    <xdr:col>6</xdr:col>
                    <xdr:colOff>219075</xdr:colOff>
                    <xdr:row>103</xdr:row>
                    <xdr:rowOff>171450</xdr:rowOff>
                  </to>
                </anchor>
              </controlPr>
            </control>
          </mc:Choice>
        </mc:AlternateContent>
        <mc:AlternateContent xmlns:mc="http://schemas.openxmlformats.org/markup-compatibility/2006">
          <mc:Choice Requires="x14">
            <control shapeId="2348" r:id="rId251" name="Button 300">
              <controlPr defaultSize="0" print="0" autoFill="0" autoPict="0" macro="[0]!Add_item">
                <anchor moveWithCells="1" sizeWithCells="1">
                  <from>
                    <xdr:col>6</xdr:col>
                    <xdr:colOff>57150</xdr:colOff>
                    <xdr:row>104</xdr:row>
                    <xdr:rowOff>9525</xdr:rowOff>
                  </from>
                  <to>
                    <xdr:col>6</xdr:col>
                    <xdr:colOff>219075</xdr:colOff>
                    <xdr:row>104</xdr:row>
                    <xdr:rowOff>171450</xdr:rowOff>
                  </to>
                </anchor>
              </controlPr>
            </control>
          </mc:Choice>
        </mc:AlternateContent>
        <mc:AlternateContent xmlns:mc="http://schemas.openxmlformats.org/markup-compatibility/2006">
          <mc:Choice Requires="x14">
            <control shapeId="2349" r:id="rId252" name="Button 301">
              <controlPr defaultSize="0" print="0" autoFill="0" autoPict="0" macro="[0]!Add_item">
                <anchor moveWithCells="1" sizeWithCells="1">
                  <from>
                    <xdr:col>6</xdr:col>
                    <xdr:colOff>57150</xdr:colOff>
                    <xdr:row>105</xdr:row>
                    <xdr:rowOff>9525</xdr:rowOff>
                  </from>
                  <to>
                    <xdr:col>6</xdr:col>
                    <xdr:colOff>219075</xdr:colOff>
                    <xdr:row>105</xdr:row>
                    <xdr:rowOff>171450</xdr:rowOff>
                  </to>
                </anchor>
              </controlPr>
            </control>
          </mc:Choice>
        </mc:AlternateContent>
        <mc:AlternateContent xmlns:mc="http://schemas.openxmlformats.org/markup-compatibility/2006">
          <mc:Choice Requires="x14">
            <control shapeId="2350" r:id="rId253" name="Button 302">
              <controlPr defaultSize="0" print="0" autoFill="0" autoPict="0" macro="[0]!Add_item">
                <anchor moveWithCells="1" sizeWithCells="1">
                  <from>
                    <xdr:col>6</xdr:col>
                    <xdr:colOff>57150</xdr:colOff>
                    <xdr:row>106</xdr:row>
                    <xdr:rowOff>9525</xdr:rowOff>
                  </from>
                  <to>
                    <xdr:col>6</xdr:col>
                    <xdr:colOff>219075</xdr:colOff>
                    <xdr:row>106</xdr:row>
                    <xdr:rowOff>171450</xdr:rowOff>
                  </to>
                </anchor>
              </controlPr>
            </control>
          </mc:Choice>
        </mc:AlternateContent>
        <mc:AlternateContent xmlns:mc="http://schemas.openxmlformats.org/markup-compatibility/2006">
          <mc:Choice Requires="x14">
            <control shapeId="2351" r:id="rId254" name="Button 303">
              <controlPr defaultSize="0" print="0" autoFill="0" autoPict="0" macro="[0]!Add_item">
                <anchor moveWithCells="1" sizeWithCells="1">
                  <from>
                    <xdr:col>6</xdr:col>
                    <xdr:colOff>57150</xdr:colOff>
                    <xdr:row>107</xdr:row>
                    <xdr:rowOff>9525</xdr:rowOff>
                  </from>
                  <to>
                    <xdr:col>6</xdr:col>
                    <xdr:colOff>219075</xdr:colOff>
                    <xdr:row>107</xdr:row>
                    <xdr:rowOff>171450</xdr:rowOff>
                  </to>
                </anchor>
              </controlPr>
            </control>
          </mc:Choice>
        </mc:AlternateContent>
        <mc:AlternateContent xmlns:mc="http://schemas.openxmlformats.org/markup-compatibility/2006">
          <mc:Choice Requires="x14">
            <control shapeId="2352" r:id="rId255" name="Button 304">
              <controlPr defaultSize="0" print="0" autoFill="0" autoPict="0" macro="[0]!Add_item">
                <anchor moveWithCells="1" sizeWithCells="1">
                  <from>
                    <xdr:col>6</xdr:col>
                    <xdr:colOff>57150</xdr:colOff>
                    <xdr:row>108</xdr:row>
                    <xdr:rowOff>9525</xdr:rowOff>
                  </from>
                  <to>
                    <xdr:col>6</xdr:col>
                    <xdr:colOff>219075</xdr:colOff>
                    <xdr:row>108</xdr:row>
                    <xdr:rowOff>171450</xdr:rowOff>
                  </to>
                </anchor>
              </controlPr>
            </control>
          </mc:Choice>
        </mc:AlternateContent>
        <mc:AlternateContent xmlns:mc="http://schemas.openxmlformats.org/markup-compatibility/2006">
          <mc:Choice Requires="x14">
            <control shapeId="2353" r:id="rId256" name="Button 305">
              <controlPr defaultSize="0" print="0" autoFill="0" autoPict="0" macro="[0]!Add_item">
                <anchor moveWithCells="1" sizeWithCells="1">
                  <from>
                    <xdr:col>6</xdr:col>
                    <xdr:colOff>57150</xdr:colOff>
                    <xdr:row>109</xdr:row>
                    <xdr:rowOff>9525</xdr:rowOff>
                  </from>
                  <to>
                    <xdr:col>6</xdr:col>
                    <xdr:colOff>219075</xdr:colOff>
                    <xdr:row>109</xdr:row>
                    <xdr:rowOff>171450</xdr:rowOff>
                  </to>
                </anchor>
              </controlPr>
            </control>
          </mc:Choice>
        </mc:AlternateContent>
        <mc:AlternateContent xmlns:mc="http://schemas.openxmlformats.org/markup-compatibility/2006">
          <mc:Choice Requires="x14">
            <control shapeId="2354" r:id="rId257" name="Button 306">
              <controlPr defaultSize="0" print="0" autoFill="0" autoPict="0" macro="[0]!Add_item">
                <anchor moveWithCells="1" sizeWithCells="1">
                  <from>
                    <xdr:col>6</xdr:col>
                    <xdr:colOff>57150</xdr:colOff>
                    <xdr:row>110</xdr:row>
                    <xdr:rowOff>9525</xdr:rowOff>
                  </from>
                  <to>
                    <xdr:col>6</xdr:col>
                    <xdr:colOff>219075</xdr:colOff>
                    <xdr:row>110</xdr:row>
                    <xdr:rowOff>171450</xdr:rowOff>
                  </to>
                </anchor>
              </controlPr>
            </control>
          </mc:Choice>
        </mc:AlternateContent>
        <mc:AlternateContent xmlns:mc="http://schemas.openxmlformats.org/markup-compatibility/2006">
          <mc:Choice Requires="x14">
            <control shapeId="2355" r:id="rId258" name="Button 307">
              <controlPr defaultSize="0" print="0" autoFill="0" autoPict="0" macro="[0]!Add_item">
                <anchor moveWithCells="1" sizeWithCells="1">
                  <from>
                    <xdr:col>6</xdr:col>
                    <xdr:colOff>57150</xdr:colOff>
                    <xdr:row>111</xdr:row>
                    <xdr:rowOff>9525</xdr:rowOff>
                  </from>
                  <to>
                    <xdr:col>6</xdr:col>
                    <xdr:colOff>219075</xdr:colOff>
                    <xdr:row>111</xdr:row>
                    <xdr:rowOff>171450</xdr:rowOff>
                  </to>
                </anchor>
              </controlPr>
            </control>
          </mc:Choice>
        </mc:AlternateContent>
        <mc:AlternateContent xmlns:mc="http://schemas.openxmlformats.org/markup-compatibility/2006">
          <mc:Choice Requires="x14">
            <control shapeId="2356" r:id="rId259" name="Button 308">
              <controlPr defaultSize="0" print="0" autoFill="0" autoPict="0" macro="[0]!Add_item">
                <anchor moveWithCells="1" sizeWithCells="1">
                  <from>
                    <xdr:col>6</xdr:col>
                    <xdr:colOff>57150</xdr:colOff>
                    <xdr:row>112</xdr:row>
                    <xdr:rowOff>9525</xdr:rowOff>
                  </from>
                  <to>
                    <xdr:col>6</xdr:col>
                    <xdr:colOff>219075</xdr:colOff>
                    <xdr:row>112</xdr:row>
                    <xdr:rowOff>171450</xdr:rowOff>
                  </to>
                </anchor>
              </controlPr>
            </control>
          </mc:Choice>
        </mc:AlternateContent>
        <mc:AlternateContent xmlns:mc="http://schemas.openxmlformats.org/markup-compatibility/2006">
          <mc:Choice Requires="x14">
            <control shapeId="2357" r:id="rId260" name="Button 309">
              <controlPr defaultSize="0" print="0" autoFill="0" autoPict="0" macro="[0]!Add_item">
                <anchor moveWithCells="1" sizeWithCells="1">
                  <from>
                    <xdr:col>6</xdr:col>
                    <xdr:colOff>57150</xdr:colOff>
                    <xdr:row>113</xdr:row>
                    <xdr:rowOff>9525</xdr:rowOff>
                  </from>
                  <to>
                    <xdr:col>6</xdr:col>
                    <xdr:colOff>219075</xdr:colOff>
                    <xdr:row>113</xdr:row>
                    <xdr:rowOff>171450</xdr:rowOff>
                  </to>
                </anchor>
              </controlPr>
            </control>
          </mc:Choice>
        </mc:AlternateContent>
        <mc:AlternateContent xmlns:mc="http://schemas.openxmlformats.org/markup-compatibility/2006">
          <mc:Choice Requires="x14">
            <control shapeId="2358" r:id="rId261" name="Button 310">
              <controlPr defaultSize="0" print="0" autoFill="0" autoPict="0" macro="[0]!Add_item">
                <anchor moveWithCells="1" sizeWithCells="1">
                  <from>
                    <xdr:col>6</xdr:col>
                    <xdr:colOff>57150</xdr:colOff>
                    <xdr:row>114</xdr:row>
                    <xdr:rowOff>9525</xdr:rowOff>
                  </from>
                  <to>
                    <xdr:col>6</xdr:col>
                    <xdr:colOff>219075</xdr:colOff>
                    <xdr:row>114</xdr:row>
                    <xdr:rowOff>171450</xdr:rowOff>
                  </to>
                </anchor>
              </controlPr>
            </control>
          </mc:Choice>
        </mc:AlternateContent>
        <mc:AlternateContent xmlns:mc="http://schemas.openxmlformats.org/markup-compatibility/2006">
          <mc:Choice Requires="x14">
            <control shapeId="2359" r:id="rId262" name="Button 311">
              <controlPr defaultSize="0" print="0" autoFill="0" autoPict="0" macro="[0]!Add_item">
                <anchor moveWithCells="1" sizeWithCells="1">
                  <from>
                    <xdr:col>6</xdr:col>
                    <xdr:colOff>57150</xdr:colOff>
                    <xdr:row>115</xdr:row>
                    <xdr:rowOff>9525</xdr:rowOff>
                  </from>
                  <to>
                    <xdr:col>6</xdr:col>
                    <xdr:colOff>219075</xdr:colOff>
                    <xdr:row>115</xdr:row>
                    <xdr:rowOff>171450</xdr:rowOff>
                  </to>
                </anchor>
              </controlPr>
            </control>
          </mc:Choice>
        </mc:AlternateContent>
        <mc:AlternateContent xmlns:mc="http://schemas.openxmlformats.org/markup-compatibility/2006">
          <mc:Choice Requires="x14">
            <control shapeId="2360" r:id="rId263" name="Button 312">
              <controlPr defaultSize="0" print="0" autoFill="0" autoPict="0" macro="[0]!Add_item">
                <anchor moveWithCells="1" sizeWithCells="1">
                  <from>
                    <xdr:col>6</xdr:col>
                    <xdr:colOff>57150</xdr:colOff>
                    <xdr:row>116</xdr:row>
                    <xdr:rowOff>9525</xdr:rowOff>
                  </from>
                  <to>
                    <xdr:col>6</xdr:col>
                    <xdr:colOff>219075</xdr:colOff>
                    <xdr:row>116</xdr:row>
                    <xdr:rowOff>171450</xdr:rowOff>
                  </to>
                </anchor>
              </controlPr>
            </control>
          </mc:Choice>
        </mc:AlternateContent>
        <mc:AlternateContent xmlns:mc="http://schemas.openxmlformats.org/markup-compatibility/2006">
          <mc:Choice Requires="x14">
            <control shapeId="2361" r:id="rId264" name="Button 313">
              <controlPr defaultSize="0" print="0" autoFill="0" autoPict="0" macro="[0]!Add_item">
                <anchor moveWithCells="1" sizeWithCells="1">
                  <from>
                    <xdr:col>6</xdr:col>
                    <xdr:colOff>57150</xdr:colOff>
                    <xdr:row>117</xdr:row>
                    <xdr:rowOff>9525</xdr:rowOff>
                  </from>
                  <to>
                    <xdr:col>6</xdr:col>
                    <xdr:colOff>219075</xdr:colOff>
                    <xdr:row>117</xdr:row>
                    <xdr:rowOff>171450</xdr:rowOff>
                  </to>
                </anchor>
              </controlPr>
            </control>
          </mc:Choice>
        </mc:AlternateContent>
        <mc:AlternateContent xmlns:mc="http://schemas.openxmlformats.org/markup-compatibility/2006">
          <mc:Choice Requires="x14">
            <control shapeId="2362" r:id="rId265" name="Button 314">
              <controlPr defaultSize="0" print="0" autoFill="0" autoPict="0" macro="[0]!Add_item">
                <anchor moveWithCells="1" sizeWithCells="1">
                  <from>
                    <xdr:col>6</xdr:col>
                    <xdr:colOff>57150</xdr:colOff>
                    <xdr:row>118</xdr:row>
                    <xdr:rowOff>9525</xdr:rowOff>
                  </from>
                  <to>
                    <xdr:col>6</xdr:col>
                    <xdr:colOff>219075</xdr:colOff>
                    <xdr:row>118</xdr:row>
                    <xdr:rowOff>171450</xdr:rowOff>
                  </to>
                </anchor>
              </controlPr>
            </control>
          </mc:Choice>
        </mc:AlternateContent>
        <mc:AlternateContent xmlns:mc="http://schemas.openxmlformats.org/markup-compatibility/2006">
          <mc:Choice Requires="x14">
            <control shapeId="2363" r:id="rId266" name="Button 315">
              <controlPr defaultSize="0" print="0" autoFill="0" autoPict="0" macro="[0]!Add_item">
                <anchor moveWithCells="1" sizeWithCells="1">
                  <from>
                    <xdr:col>6</xdr:col>
                    <xdr:colOff>57150</xdr:colOff>
                    <xdr:row>119</xdr:row>
                    <xdr:rowOff>9525</xdr:rowOff>
                  </from>
                  <to>
                    <xdr:col>6</xdr:col>
                    <xdr:colOff>219075</xdr:colOff>
                    <xdr:row>119</xdr:row>
                    <xdr:rowOff>171450</xdr:rowOff>
                  </to>
                </anchor>
              </controlPr>
            </control>
          </mc:Choice>
        </mc:AlternateContent>
        <mc:AlternateContent xmlns:mc="http://schemas.openxmlformats.org/markup-compatibility/2006">
          <mc:Choice Requires="x14">
            <control shapeId="2364" r:id="rId267" name="Button 316">
              <controlPr defaultSize="0" print="0" autoFill="0" autoPict="0" macro="[0]!Add_item">
                <anchor moveWithCells="1" sizeWithCells="1">
                  <from>
                    <xdr:col>6</xdr:col>
                    <xdr:colOff>57150</xdr:colOff>
                    <xdr:row>120</xdr:row>
                    <xdr:rowOff>9525</xdr:rowOff>
                  </from>
                  <to>
                    <xdr:col>6</xdr:col>
                    <xdr:colOff>219075</xdr:colOff>
                    <xdr:row>120</xdr:row>
                    <xdr:rowOff>171450</xdr:rowOff>
                  </to>
                </anchor>
              </controlPr>
            </control>
          </mc:Choice>
        </mc:AlternateContent>
        <mc:AlternateContent xmlns:mc="http://schemas.openxmlformats.org/markup-compatibility/2006">
          <mc:Choice Requires="x14">
            <control shapeId="2365" r:id="rId268" name="Button 317">
              <controlPr defaultSize="0" print="0" autoFill="0" autoPict="0" macro="[0]!Add_item">
                <anchor moveWithCells="1" sizeWithCells="1">
                  <from>
                    <xdr:col>6</xdr:col>
                    <xdr:colOff>57150</xdr:colOff>
                    <xdr:row>121</xdr:row>
                    <xdr:rowOff>9525</xdr:rowOff>
                  </from>
                  <to>
                    <xdr:col>6</xdr:col>
                    <xdr:colOff>219075</xdr:colOff>
                    <xdr:row>121</xdr:row>
                    <xdr:rowOff>171450</xdr:rowOff>
                  </to>
                </anchor>
              </controlPr>
            </control>
          </mc:Choice>
        </mc:AlternateContent>
        <mc:AlternateContent xmlns:mc="http://schemas.openxmlformats.org/markup-compatibility/2006">
          <mc:Choice Requires="x14">
            <control shapeId="2366" r:id="rId269" name="Button 318">
              <controlPr defaultSize="0" print="0" autoFill="0" autoPict="0" macro="[0]!Add_item">
                <anchor moveWithCells="1" sizeWithCells="1">
                  <from>
                    <xdr:col>6</xdr:col>
                    <xdr:colOff>57150</xdr:colOff>
                    <xdr:row>122</xdr:row>
                    <xdr:rowOff>9525</xdr:rowOff>
                  </from>
                  <to>
                    <xdr:col>6</xdr:col>
                    <xdr:colOff>219075</xdr:colOff>
                    <xdr:row>122</xdr:row>
                    <xdr:rowOff>171450</xdr:rowOff>
                  </to>
                </anchor>
              </controlPr>
            </control>
          </mc:Choice>
        </mc:AlternateContent>
        <mc:AlternateContent xmlns:mc="http://schemas.openxmlformats.org/markup-compatibility/2006">
          <mc:Choice Requires="x14">
            <control shapeId="2367" r:id="rId270" name="Button 319">
              <controlPr defaultSize="0" print="0" autoFill="0" autoPict="0" macro="[0]!Add_item">
                <anchor moveWithCells="1" sizeWithCells="1">
                  <from>
                    <xdr:col>6</xdr:col>
                    <xdr:colOff>57150</xdr:colOff>
                    <xdr:row>123</xdr:row>
                    <xdr:rowOff>9525</xdr:rowOff>
                  </from>
                  <to>
                    <xdr:col>6</xdr:col>
                    <xdr:colOff>219075</xdr:colOff>
                    <xdr:row>123</xdr:row>
                    <xdr:rowOff>171450</xdr:rowOff>
                  </to>
                </anchor>
              </controlPr>
            </control>
          </mc:Choice>
        </mc:AlternateContent>
        <mc:AlternateContent xmlns:mc="http://schemas.openxmlformats.org/markup-compatibility/2006">
          <mc:Choice Requires="x14">
            <control shapeId="2368" r:id="rId271" name="Button 320">
              <controlPr defaultSize="0" print="0" autoFill="0" autoPict="0" macro="[0]!Add_item">
                <anchor moveWithCells="1" sizeWithCells="1">
                  <from>
                    <xdr:col>6</xdr:col>
                    <xdr:colOff>57150</xdr:colOff>
                    <xdr:row>124</xdr:row>
                    <xdr:rowOff>9525</xdr:rowOff>
                  </from>
                  <to>
                    <xdr:col>6</xdr:col>
                    <xdr:colOff>219075</xdr:colOff>
                    <xdr:row>124</xdr:row>
                    <xdr:rowOff>171450</xdr:rowOff>
                  </to>
                </anchor>
              </controlPr>
            </control>
          </mc:Choice>
        </mc:AlternateContent>
        <mc:AlternateContent xmlns:mc="http://schemas.openxmlformats.org/markup-compatibility/2006">
          <mc:Choice Requires="x14">
            <control shapeId="2369" r:id="rId272" name="Button 321">
              <controlPr defaultSize="0" print="0" autoFill="0" autoPict="0" macro="[0]!Add_item">
                <anchor moveWithCells="1" sizeWithCells="1">
                  <from>
                    <xdr:col>6</xdr:col>
                    <xdr:colOff>57150</xdr:colOff>
                    <xdr:row>125</xdr:row>
                    <xdr:rowOff>9525</xdr:rowOff>
                  </from>
                  <to>
                    <xdr:col>6</xdr:col>
                    <xdr:colOff>219075</xdr:colOff>
                    <xdr:row>125</xdr:row>
                    <xdr:rowOff>171450</xdr:rowOff>
                  </to>
                </anchor>
              </controlPr>
            </control>
          </mc:Choice>
        </mc:AlternateContent>
        <mc:AlternateContent xmlns:mc="http://schemas.openxmlformats.org/markup-compatibility/2006">
          <mc:Choice Requires="x14">
            <control shapeId="2370" r:id="rId273" name="Button 322">
              <controlPr defaultSize="0" print="0" autoFill="0" autoPict="0" macro="[0]!Add_item">
                <anchor moveWithCells="1" sizeWithCells="1">
                  <from>
                    <xdr:col>6</xdr:col>
                    <xdr:colOff>57150</xdr:colOff>
                    <xdr:row>126</xdr:row>
                    <xdr:rowOff>9525</xdr:rowOff>
                  </from>
                  <to>
                    <xdr:col>6</xdr:col>
                    <xdr:colOff>219075</xdr:colOff>
                    <xdr:row>126</xdr:row>
                    <xdr:rowOff>171450</xdr:rowOff>
                  </to>
                </anchor>
              </controlPr>
            </control>
          </mc:Choice>
        </mc:AlternateContent>
        <mc:AlternateContent xmlns:mc="http://schemas.openxmlformats.org/markup-compatibility/2006">
          <mc:Choice Requires="x14">
            <control shapeId="2371" r:id="rId274" name="Button 323">
              <controlPr defaultSize="0" print="0" autoFill="0" autoPict="0" macro="[0]!Add_item">
                <anchor moveWithCells="1" sizeWithCells="1">
                  <from>
                    <xdr:col>6</xdr:col>
                    <xdr:colOff>57150</xdr:colOff>
                    <xdr:row>127</xdr:row>
                    <xdr:rowOff>9525</xdr:rowOff>
                  </from>
                  <to>
                    <xdr:col>6</xdr:col>
                    <xdr:colOff>219075</xdr:colOff>
                    <xdr:row>127</xdr:row>
                    <xdr:rowOff>171450</xdr:rowOff>
                  </to>
                </anchor>
              </controlPr>
            </control>
          </mc:Choice>
        </mc:AlternateContent>
        <mc:AlternateContent xmlns:mc="http://schemas.openxmlformats.org/markup-compatibility/2006">
          <mc:Choice Requires="x14">
            <control shapeId="2372" r:id="rId275" name="Button 324">
              <controlPr defaultSize="0" print="0" autoFill="0" autoPict="0" macro="[0]!Add_item">
                <anchor moveWithCells="1" sizeWithCells="1">
                  <from>
                    <xdr:col>6</xdr:col>
                    <xdr:colOff>57150</xdr:colOff>
                    <xdr:row>128</xdr:row>
                    <xdr:rowOff>9525</xdr:rowOff>
                  </from>
                  <to>
                    <xdr:col>6</xdr:col>
                    <xdr:colOff>219075</xdr:colOff>
                    <xdr:row>128</xdr:row>
                    <xdr:rowOff>171450</xdr:rowOff>
                  </to>
                </anchor>
              </controlPr>
            </control>
          </mc:Choice>
        </mc:AlternateContent>
        <mc:AlternateContent xmlns:mc="http://schemas.openxmlformats.org/markup-compatibility/2006">
          <mc:Choice Requires="x14">
            <control shapeId="2373" r:id="rId276" name="Button 325">
              <controlPr defaultSize="0" print="0" autoFill="0" autoPict="0" macro="[0]!Add_item">
                <anchor moveWithCells="1" sizeWithCells="1">
                  <from>
                    <xdr:col>6</xdr:col>
                    <xdr:colOff>57150</xdr:colOff>
                    <xdr:row>129</xdr:row>
                    <xdr:rowOff>9525</xdr:rowOff>
                  </from>
                  <to>
                    <xdr:col>6</xdr:col>
                    <xdr:colOff>219075</xdr:colOff>
                    <xdr:row>129</xdr:row>
                    <xdr:rowOff>171450</xdr:rowOff>
                  </to>
                </anchor>
              </controlPr>
            </control>
          </mc:Choice>
        </mc:AlternateContent>
        <mc:AlternateContent xmlns:mc="http://schemas.openxmlformats.org/markup-compatibility/2006">
          <mc:Choice Requires="x14">
            <control shapeId="2374" r:id="rId277" name="Button 326">
              <controlPr defaultSize="0" print="0" autoFill="0" autoPict="0" macro="[0]!Add_item">
                <anchor moveWithCells="1" sizeWithCells="1">
                  <from>
                    <xdr:col>6</xdr:col>
                    <xdr:colOff>57150</xdr:colOff>
                    <xdr:row>130</xdr:row>
                    <xdr:rowOff>9525</xdr:rowOff>
                  </from>
                  <to>
                    <xdr:col>6</xdr:col>
                    <xdr:colOff>219075</xdr:colOff>
                    <xdr:row>130</xdr:row>
                    <xdr:rowOff>171450</xdr:rowOff>
                  </to>
                </anchor>
              </controlPr>
            </control>
          </mc:Choice>
        </mc:AlternateContent>
        <mc:AlternateContent xmlns:mc="http://schemas.openxmlformats.org/markup-compatibility/2006">
          <mc:Choice Requires="x14">
            <control shapeId="2375" r:id="rId278" name="Button 327">
              <controlPr defaultSize="0" print="0" autoFill="0" autoPict="0" macro="[0]!Add_item">
                <anchor moveWithCells="1" sizeWithCells="1">
                  <from>
                    <xdr:col>6</xdr:col>
                    <xdr:colOff>57150</xdr:colOff>
                    <xdr:row>131</xdr:row>
                    <xdr:rowOff>9525</xdr:rowOff>
                  </from>
                  <to>
                    <xdr:col>6</xdr:col>
                    <xdr:colOff>219075</xdr:colOff>
                    <xdr:row>131</xdr:row>
                    <xdr:rowOff>171450</xdr:rowOff>
                  </to>
                </anchor>
              </controlPr>
            </control>
          </mc:Choice>
        </mc:AlternateContent>
        <mc:AlternateContent xmlns:mc="http://schemas.openxmlformats.org/markup-compatibility/2006">
          <mc:Choice Requires="x14">
            <control shapeId="2376" r:id="rId279" name="Button 328">
              <controlPr defaultSize="0" print="0" autoFill="0" autoPict="0" macro="[0]!Add_item">
                <anchor moveWithCells="1" sizeWithCells="1">
                  <from>
                    <xdr:col>6</xdr:col>
                    <xdr:colOff>57150</xdr:colOff>
                    <xdr:row>132</xdr:row>
                    <xdr:rowOff>9525</xdr:rowOff>
                  </from>
                  <to>
                    <xdr:col>6</xdr:col>
                    <xdr:colOff>219075</xdr:colOff>
                    <xdr:row>132</xdr:row>
                    <xdr:rowOff>171450</xdr:rowOff>
                  </to>
                </anchor>
              </controlPr>
            </control>
          </mc:Choice>
        </mc:AlternateContent>
        <mc:AlternateContent xmlns:mc="http://schemas.openxmlformats.org/markup-compatibility/2006">
          <mc:Choice Requires="x14">
            <control shapeId="2377" r:id="rId280" name="Button 329">
              <controlPr defaultSize="0" print="0" autoFill="0" autoPict="0" macro="[0]!Add_item">
                <anchor moveWithCells="1" sizeWithCells="1">
                  <from>
                    <xdr:col>6</xdr:col>
                    <xdr:colOff>57150</xdr:colOff>
                    <xdr:row>133</xdr:row>
                    <xdr:rowOff>9525</xdr:rowOff>
                  </from>
                  <to>
                    <xdr:col>6</xdr:col>
                    <xdr:colOff>219075</xdr:colOff>
                    <xdr:row>133</xdr:row>
                    <xdr:rowOff>171450</xdr:rowOff>
                  </to>
                </anchor>
              </controlPr>
            </control>
          </mc:Choice>
        </mc:AlternateContent>
        <mc:AlternateContent xmlns:mc="http://schemas.openxmlformats.org/markup-compatibility/2006">
          <mc:Choice Requires="x14">
            <control shapeId="2378" r:id="rId281" name="Button 330">
              <controlPr defaultSize="0" print="0" autoFill="0" autoPict="0" macro="[0]!Add_item">
                <anchor moveWithCells="1" sizeWithCells="1">
                  <from>
                    <xdr:col>6</xdr:col>
                    <xdr:colOff>57150</xdr:colOff>
                    <xdr:row>134</xdr:row>
                    <xdr:rowOff>9525</xdr:rowOff>
                  </from>
                  <to>
                    <xdr:col>6</xdr:col>
                    <xdr:colOff>219075</xdr:colOff>
                    <xdr:row>134</xdr:row>
                    <xdr:rowOff>171450</xdr:rowOff>
                  </to>
                </anchor>
              </controlPr>
            </control>
          </mc:Choice>
        </mc:AlternateContent>
        <mc:AlternateContent xmlns:mc="http://schemas.openxmlformats.org/markup-compatibility/2006">
          <mc:Choice Requires="x14">
            <control shapeId="2379" r:id="rId282" name="Button 331">
              <controlPr defaultSize="0" print="0" autoFill="0" autoPict="0" macro="[0]!Add_item">
                <anchor moveWithCells="1" sizeWithCells="1">
                  <from>
                    <xdr:col>6</xdr:col>
                    <xdr:colOff>57150</xdr:colOff>
                    <xdr:row>135</xdr:row>
                    <xdr:rowOff>9525</xdr:rowOff>
                  </from>
                  <to>
                    <xdr:col>6</xdr:col>
                    <xdr:colOff>219075</xdr:colOff>
                    <xdr:row>135</xdr:row>
                    <xdr:rowOff>171450</xdr:rowOff>
                  </to>
                </anchor>
              </controlPr>
            </control>
          </mc:Choice>
        </mc:AlternateContent>
        <mc:AlternateContent xmlns:mc="http://schemas.openxmlformats.org/markup-compatibility/2006">
          <mc:Choice Requires="x14">
            <control shapeId="2380" r:id="rId283" name="Button 332">
              <controlPr defaultSize="0" print="0" autoFill="0" autoPict="0" macro="[0]!Add_item">
                <anchor moveWithCells="1" sizeWithCells="1">
                  <from>
                    <xdr:col>6</xdr:col>
                    <xdr:colOff>57150</xdr:colOff>
                    <xdr:row>136</xdr:row>
                    <xdr:rowOff>9525</xdr:rowOff>
                  </from>
                  <to>
                    <xdr:col>6</xdr:col>
                    <xdr:colOff>219075</xdr:colOff>
                    <xdr:row>136</xdr:row>
                    <xdr:rowOff>171450</xdr:rowOff>
                  </to>
                </anchor>
              </controlPr>
            </control>
          </mc:Choice>
        </mc:AlternateContent>
        <mc:AlternateContent xmlns:mc="http://schemas.openxmlformats.org/markup-compatibility/2006">
          <mc:Choice Requires="x14">
            <control shapeId="2381" r:id="rId284" name="Button 333">
              <controlPr defaultSize="0" print="0" autoFill="0" autoPict="0" macro="[0]!Add_item">
                <anchor moveWithCells="1" sizeWithCells="1">
                  <from>
                    <xdr:col>6</xdr:col>
                    <xdr:colOff>57150</xdr:colOff>
                    <xdr:row>137</xdr:row>
                    <xdr:rowOff>9525</xdr:rowOff>
                  </from>
                  <to>
                    <xdr:col>6</xdr:col>
                    <xdr:colOff>219075</xdr:colOff>
                    <xdr:row>137</xdr:row>
                    <xdr:rowOff>171450</xdr:rowOff>
                  </to>
                </anchor>
              </controlPr>
            </control>
          </mc:Choice>
        </mc:AlternateContent>
        <mc:AlternateContent xmlns:mc="http://schemas.openxmlformats.org/markup-compatibility/2006">
          <mc:Choice Requires="x14">
            <control shapeId="2382" r:id="rId285" name="Button 334">
              <controlPr defaultSize="0" print="0" autoFill="0" autoPict="0" macro="[0]!Add_item">
                <anchor moveWithCells="1" sizeWithCells="1">
                  <from>
                    <xdr:col>6</xdr:col>
                    <xdr:colOff>57150</xdr:colOff>
                    <xdr:row>138</xdr:row>
                    <xdr:rowOff>9525</xdr:rowOff>
                  </from>
                  <to>
                    <xdr:col>6</xdr:col>
                    <xdr:colOff>219075</xdr:colOff>
                    <xdr:row>138</xdr:row>
                    <xdr:rowOff>171450</xdr:rowOff>
                  </to>
                </anchor>
              </controlPr>
            </control>
          </mc:Choice>
        </mc:AlternateContent>
        <mc:AlternateContent xmlns:mc="http://schemas.openxmlformats.org/markup-compatibility/2006">
          <mc:Choice Requires="x14">
            <control shapeId="2383" r:id="rId286" name="Button 335">
              <controlPr defaultSize="0" print="0" autoFill="0" autoPict="0" macro="[0]!Add_item">
                <anchor moveWithCells="1" sizeWithCells="1">
                  <from>
                    <xdr:col>6</xdr:col>
                    <xdr:colOff>57150</xdr:colOff>
                    <xdr:row>139</xdr:row>
                    <xdr:rowOff>9525</xdr:rowOff>
                  </from>
                  <to>
                    <xdr:col>6</xdr:col>
                    <xdr:colOff>219075</xdr:colOff>
                    <xdr:row>139</xdr:row>
                    <xdr:rowOff>171450</xdr:rowOff>
                  </to>
                </anchor>
              </controlPr>
            </control>
          </mc:Choice>
        </mc:AlternateContent>
        <mc:AlternateContent xmlns:mc="http://schemas.openxmlformats.org/markup-compatibility/2006">
          <mc:Choice Requires="x14">
            <control shapeId="2384" r:id="rId287" name="Button 336">
              <controlPr defaultSize="0" print="0" autoFill="0" autoPict="0" macro="[0]!Add_item">
                <anchor moveWithCells="1" sizeWithCells="1">
                  <from>
                    <xdr:col>6</xdr:col>
                    <xdr:colOff>57150</xdr:colOff>
                    <xdr:row>140</xdr:row>
                    <xdr:rowOff>9525</xdr:rowOff>
                  </from>
                  <to>
                    <xdr:col>6</xdr:col>
                    <xdr:colOff>219075</xdr:colOff>
                    <xdr:row>140</xdr:row>
                    <xdr:rowOff>171450</xdr:rowOff>
                  </to>
                </anchor>
              </controlPr>
            </control>
          </mc:Choice>
        </mc:AlternateContent>
        <mc:AlternateContent xmlns:mc="http://schemas.openxmlformats.org/markup-compatibility/2006">
          <mc:Choice Requires="x14">
            <control shapeId="2385" r:id="rId288" name="Button 337">
              <controlPr defaultSize="0" print="0" autoFill="0" autoPict="0" macro="[0]!Add_item">
                <anchor moveWithCells="1" sizeWithCells="1">
                  <from>
                    <xdr:col>6</xdr:col>
                    <xdr:colOff>57150</xdr:colOff>
                    <xdr:row>141</xdr:row>
                    <xdr:rowOff>9525</xdr:rowOff>
                  </from>
                  <to>
                    <xdr:col>6</xdr:col>
                    <xdr:colOff>219075</xdr:colOff>
                    <xdr:row>141</xdr:row>
                    <xdr:rowOff>171450</xdr:rowOff>
                  </to>
                </anchor>
              </controlPr>
            </control>
          </mc:Choice>
        </mc:AlternateContent>
        <mc:AlternateContent xmlns:mc="http://schemas.openxmlformats.org/markup-compatibility/2006">
          <mc:Choice Requires="x14">
            <control shapeId="2386" r:id="rId289" name="Button 338">
              <controlPr defaultSize="0" print="0" autoFill="0" autoPict="0" macro="[0]!Add_item">
                <anchor moveWithCells="1" sizeWithCells="1">
                  <from>
                    <xdr:col>6</xdr:col>
                    <xdr:colOff>57150</xdr:colOff>
                    <xdr:row>142</xdr:row>
                    <xdr:rowOff>9525</xdr:rowOff>
                  </from>
                  <to>
                    <xdr:col>6</xdr:col>
                    <xdr:colOff>219075</xdr:colOff>
                    <xdr:row>142</xdr:row>
                    <xdr:rowOff>171450</xdr:rowOff>
                  </to>
                </anchor>
              </controlPr>
            </control>
          </mc:Choice>
        </mc:AlternateContent>
        <mc:AlternateContent xmlns:mc="http://schemas.openxmlformats.org/markup-compatibility/2006">
          <mc:Choice Requires="x14">
            <control shapeId="2387" r:id="rId290" name="Button 339">
              <controlPr defaultSize="0" print="0" autoFill="0" autoPict="0" macro="[0]!Add_item">
                <anchor moveWithCells="1" sizeWithCells="1">
                  <from>
                    <xdr:col>6</xdr:col>
                    <xdr:colOff>57150</xdr:colOff>
                    <xdr:row>143</xdr:row>
                    <xdr:rowOff>9525</xdr:rowOff>
                  </from>
                  <to>
                    <xdr:col>6</xdr:col>
                    <xdr:colOff>219075</xdr:colOff>
                    <xdr:row>143</xdr:row>
                    <xdr:rowOff>171450</xdr:rowOff>
                  </to>
                </anchor>
              </controlPr>
            </control>
          </mc:Choice>
        </mc:AlternateContent>
        <mc:AlternateContent xmlns:mc="http://schemas.openxmlformats.org/markup-compatibility/2006">
          <mc:Choice Requires="x14">
            <control shapeId="2388" r:id="rId291" name="Button 340">
              <controlPr defaultSize="0" print="0" autoFill="0" autoPict="0" macro="[0]!Add_item">
                <anchor moveWithCells="1" sizeWithCells="1">
                  <from>
                    <xdr:col>6</xdr:col>
                    <xdr:colOff>57150</xdr:colOff>
                    <xdr:row>144</xdr:row>
                    <xdr:rowOff>9525</xdr:rowOff>
                  </from>
                  <to>
                    <xdr:col>6</xdr:col>
                    <xdr:colOff>219075</xdr:colOff>
                    <xdr:row>144</xdr:row>
                    <xdr:rowOff>171450</xdr:rowOff>
                  </to>
                </anchor>
              </controlPr>
            </control>
          </mc:Choice>
        </mc:AlternateContent>
        <mc:AlternateContent xmlns:mc="http://schemas.openxmlformats.org/markup-compatibility/2006">
          <mc:Choice Requires="x14">
            <control shapeId="2389" r:id="rId292" name="Button 341">
              <controlPr defaultSize="0" print="0" autoFill="0" autoPict="0" macro="[0]!Add_item">
                <anchor moveWithCells="1" sizeWithCells="1">
                  <from>
                    <xdr:col>6</xdr:col>
                    <xdr:colOff>57150</xdr:colOff>
                    <xdr:row>145</xdr:row>
                    <xdr:rowOff>9525</xdr:rowOff>
                  </from>
                  <to>
                    <xdr:col>6</xdr:col>
                    <xdr:colOff>219075</xdr:colOff>
                    <xdr:row>145</xdr:row>
                    <xdr:rowOff>171450</xdr:rowOff>
                  </to>
                </anchor>
              </controlPr>
            </control>
          </mc:Choice>
        </mc:AlternateContent>
        <mc:AlternateContent xmlns:mc="http://schemas.openxmlformats.org/markup-compatibility/2006">
          <mc:Choice Requires="x14">
            <control shapeId="2390" r:id="rId293" name="Button 342">
              <controlPr defaultSize="0" print="0" autoFill="0" autoPict="0" macro="[0]!Add_item">
                <anchor moveWithCells="1" sizeWithCells="1">
                  <from>
                    <xdr:col>6</xdr:col>
                    <xdr:colOff>57150</xdr:colOff>
                    <xdr:row>146</xdr:row>
                    <xdr:rowOff>9525</xdr:rowOff>
                  </from>
                  <to>
                    <xdr:col>6</xdr:col>
                    <xdr:colOff>219075</xdr:colOff>
                    <xdr:row>146</xdr:row>
                    <xdr:rowOff>171450</xdr:rowOff>
                  </to>
                </anchor>
              </controlPr>
            </control>
          </mc:Choice>
        </mc:AlternateContent>
        <mc:AlternateContent xmlns:mc="http://schemas.openxmlformats.org/markup-compatibility/2006">
          <mc:Choice Requires="x14">
            <control shapeId="2391" r:id="rId294" name="Button 343">
              <controlPr defaultSize="0" print="0" autoFill="0" autoPict="0" macro="[0]!Add_item">
                <anchor moveWithCells="1" sizeWithCells="1">
                  <from>
                    <xdr:col>6</xdr:col>
                    <xdr:colOff>57150</xdr:colOff>
                    <xdr:row>147</xdr:row>
                    <xdr:rowOff>9525</xdr:rowOff>
                  </from>
                  <to>
                    <xdr:col>6</xdr:col>
                    <xdr:colOff>219075</xdr:colOff>
                    <xdr:row>147</xdr:row>
                    <xdr:rowOff>171450</xdr:rowOff>
                  </to>
                </anchor>
              </controlPr>
            </control>
          </mc:Choice>
        </mc:AlternateContent>
        <mc:AlternateContent xmlns:mc="http://schemas.openxmlformats.org/markup-compatibility/2006">
          <mc:Choice Requires="x14">
            <control shapeId="2392" r:id="rId295" name="Button 344">
              <controlPr defaultSize="0" print="0" autoFill="0" autoPict="0" macro="[0]!Add_item">
                <anchor moveWithCells="1" sizeWithCells="1">
                  <from>
                    <xdr:col>6</xdr:col>
                    <xdr:colOff>57150</xdr:colOff>
                    <xdr:row>148</xdr:row>
                    <xdr:rowOff>9525</xdr:rowOff>
                  </from>
                  <to>
                    <xdr:col>6</xdr:col>
                    <xdr:colOff>219075</xdr:colOff>
                    <xdr:row>148</xdr:row>
                    <xdr:rowOff>171450</xdr:rowOff>
                  </to>
                </anchor>
              </controlPr>
            </control>
          </mc:Choice>
        </mc:AlternateContent>
        <mc:AlternateContent xmlns:mc="http://schemas.openxmlformats.org/markup-compatibility/2006">
          <mc:Choice Requires="x14">
            <control shapeId="2393" r:id="rId296" name="Button 345">
              <controlPr defaultSize="0" print="0" autoFill="0" autoPict="0" macro="[0]!Add_item">
                <anchor moveWithCells="1" sizeWithCells="1">
                  <from>
                    <xdr:col>6</xdr:col>
                    <xdr:colOff>57150</xdr:colOff>
                    <xdr:row>149</xdr:row>
                    <xdr:rowOff>9525</xdr:rowOff>
                  </from>
                  <to>
                    <xdr:col>6</xdr:col>
                    <xdr:colOff>219075</xdr:colOff>
                    <xdr:row>149</xdr:row>
                    <xdr:rowOff>171450</xdr:rowOff>
                  </to>
                </anchor>
              </controlPr>
            </control>
          </mc:Choice>
        </mc:AlternateContent>
        <mc:AlternateContent xmlns:mc="http://schemas.openxmlformats.org/markup-compatibility/2006">
          <mc:Choice Requires="x14">
            <control shapeId="2394" r:id="rId297" name="Button 346">
              <controlPr defaultSize="0" print="0" autoFill="0" autoPict="0" macro="[0]!Add_item">
                <anchor moveWithCells="1" sizeWithCells="1">
                  <from>
                    <xdr:col>6</xdr:col>
                    <xdr:colOff>57150</xdr:colOff>
                    <xdr:row>150</xdr:row>
                    <xdr:rowOff>9525</xdr:rowOff>
                  </from>
                  <to>
                    <xdr:col>6</xdr:col>
                    <xdr:colOff>219075</xdr:colOff>
                    <xdr:row>150</xdr:row>
                    <xdr:rowOff>171450</xdr:rowOff>
                  </to>
                </anchor>
              </controlPr>
            </control>
          </mc:Choice>
        </mc:AlternateContent>
        <mc:AlternateContent xmlns:mc="http://schemas.openxmlformats.org/markup-compatibility/2006">
          <mc:Choice Requires="x14">
            <control shapeId="2396" r:id="rId298" name="Button 348">
              <controlPr defaultSize="0" print="0" autoFill="0" autoPict="0" macro="[0]!Add_item">
                <anchor moveWithCells="1" sizeWithCells="1">
                  <from>
                    <xdr:col>4</xdr:col>
                    <xdr:colOff>57150</xdr:colOff>
                    <xdr:row>151</xdr:row>
                    <xdr:rowOff>9525</xdr:rowOff>
                  </from>
                  <to>
                    <xdr:col>4</xdr:col>
                    <xdr:colOff>219075</xdr:colOff>
                    <xdr:row>151</xdr:row>
                    <xdr:rowOff>171450</xdr:rowOff>
                  </to>
                </anchor>
              </controlPr>
            </control>
          </mc:Choice>
        </mc:AlternateContent>
        <mc:AlternateContent xmlns:mc="http://schemas.openxmlformats.org/markup-compatibility/2006">
          <mc:Choice Requires="x14">
            <control shapeId="2397" r:id="rId299" name="Button 349">
              <controlPr defaultSize="0" print="0" autoFill="0" autoPict="0" macro="[0]!Add_item">
                <anchor moveWithCells="1" sizeWithCells="1">
                  <from>
                    <xdr:col>4</xdr:col>
                    <xdr:colOff>57150</xdr:colOff>
                    <xdr:row>152</xdr:row>
                    <xdr:rowOff>9525</xdr:rowOff>
                  </from>
                  <to>
                    <xdr:col>4</xdr:col>
                    <xdr:colOff>219075</xdr:colOff>
                    <xdr:row>152</xdr:row>
                    <xdr:rowOff>171450</xdr:rowOff>
                  </to>
                </anchor>
              </controlPr>
            </control>
          </mc:Choice>
        </mc:AlternateContent>
        <mc:AlternateContent xmlns:mc="http://schemas.openxmlformats.org/markup-compatibility/2006">
          <mc:Choice Requires="x14">
            <control shapeId="2398" r:id="rId300" name="Button 350">
              <controlPr defaultSize="0" print="0" autoFill="0" autoPict="0" macro="[0]!Add_item">
                <anchor moveWithCells="1" sizeWithCells="1">
                  <from>
                    <xdr:col>4</xdr:col>
                    <xdr:colOff>57150</xdr:colOff>
                    <xdr:row>153</xdr:row>
                    <xdr:rowOff>9525</xdr:rowOff>
                  </from>
                  <to>
                    <xdr:col>4</xdr:col>
                    <xdr:colOff>219075</xdr:colOff>
                    <xdr:row>153</xdr:row>
                    <xdr:rowOff>171450</xdr:rowOff>
                  </to>
                </anchor>
              </controlPr>
            </control>
          </mc:Choice>
        </mc:AlternateContent>
        <mc:AlternateContent xmlns:mc="http://schemas.openxmlformats.org/markup-compatibility/2006">
          <mc:Choice Requires="x14">
            <control shapeId="2399" r:id="rId301" name="Button 351">
              <controlPr defaultSize="0" print="0" autoFill="0" autoPict="0" macro="[0]!Add_item">
                <anchor moveWithCells="1" sizeWithCells="1">
                  <from>
                    <xdr:col>4</xdr:col>
                    <xdr:colOff>57150</xdr:colOff>
                    <xdr:row>154</xdr:row>
                    <xdr:rowOff>9525</xdr:rowOff>
                  </from>
                  <to>
                    <xdr:col>4</xdr:col>
                    <xdr:colOff>219075</xdr:colOff>
                    <xdr:row>154</xdr:row>
                    <xdr:rowOff>171450</xdr:rowOff>
                  </to>
                </anchor>
              </controlPr>
            </control>
          </mc:Choice>
        </mc:AlternateContent>
        <mc:AlternateContent xmlns:mc="http://schemas.openxmlformats.org/markup-compatibility/2006">
          <mc:Choice Requires="x14">
            <control shapeId="2400" r:id="rId302" name="Button 352">
              <controlPr defaultSize="0" print="0" autoFill="0" autoPict="0" macro="[0]!Add_item">
                <anchor moveWithCells="1" sizeWithCells="1">
                  <from>
                    <xdr:col>4</xdr:col>
                    <xdr:colOff>57150</xdr:colOff>
                    <xdr:row>155</xdr:row>
                    <xdr:rowOff>9525</xdr:rowOff>
                  </from>
                  <to>
                    <xdr:col>4</xdr:col>
                    <xdr:colOff>219075</xdr:colOff>
                    <xdr:row>155</xdr:row>
                    <xdr:rowOff>171450</xdr:rowOff>
                  </to>
                </anchor>
              </controlPr>
            </control>
          </mc:Choice>
        </mc:AlternateContent>
        <mc:AlternateContent xmlns:mc="http://schemas.openxmlformats.org/markup-compatibility/2006">
          <mc:Choice Requires="x14">
            <control shapeId="2401" r:id="rId303" name="Button 353">
              <controlPr defaultSize="0" print="0" autoFill="0" autoPict="0" macro="[0]!Add_item">
                <anchor moveWithCells="1" sizeWithCells="1">
                  <from>
                    <xdr:col>4</xdr:col>
                    <xdr:colOff>57150</xdr:colOff>
                    <xdr:row>156</xdr:row>
                    <xdr:rowOff>9525</xdr:rowOff>
                  </from>
                  <to>
                    <xdr:col>4</xdr:col>
                    <xdr:colOff>219075</xdr:colOff>
                    <xdr:row>156</xdr:row>
                    <xdr:rowOff>171450</xdr:rowOff>
                  </to>
                </anchor>
              </controlPr>
            </control>
          </mc:Choice>
        </mc:AlternateContent>
        <mc:AlternateContent xmlns:mc="http://schemas.openxmlformats.org/markup-compatibility/2006">
          <mc:Choice Requires="x14">
            <control shapeId="2402" r:id="rId304" name="Button 354">
              <controlPr defaultSize="0" print="0" autoFill="0" autoPict="0" macro="[0]!Add_item">
                <anchor moveWithCells="1" sizeWithCells="1">
                  <from>
                    <xdr:col>4</xdr:col>
                    <xdr:colOff>57150</xdr:colOff>
                    <xdr:row>157</xdr:row>
                    <xdr:rowOff>9525</xdr:rowOff>
                  </from>
                  <to>
                    <xdr:col>4</xdr:col>
                    <xdr:colOff>219075</xdr:colOff>
                    <xdr:row>157</xdr:row>
                    <xdr:rowOff>171450</xdr:rowOff>
                  </to>
                </anchor>
              </controlPr>
            </control>
          </mc:Choice>
        </mc:AlternateContent>
        <mc:AlternateContent xmlns:mc="http://schemas.openxmlformats.org/markup-compatibility/2006">
          <mc:Choice Requires="x14">
            <control shapeId="2403" r:id="rId305" name="Button 355">
              <controlPr defaultSize="0" print="0" autoFill="0" autoPict="0" macro="[0]!Add_item">
                <anchor moveWithCells="1" sizeWithCells="1">
                  <from>
                    <xdr:col>4</xdr:col>
                    <xdr:colOff>57150</xdr:colOff>
                    <xdr:row>158</xdr:row>
                    <xdr:rowOff>9525</xdr:rowOff>
                  </from>
                  <to>
                    <xdr:col>4</xdr:col>
                    <xdr:colOff>219075</xdr:colOff>
                    <xdr:row>158</xdr:row>
                    <xdr:rowOff>171450</xdr:rowOff>
                  </to>
                </anchor>
              </controlPr>
            </control>
          </mc:Choice>
        </mc:AlternateContent>
        <mc:AlternateContent xmlns:mc="http://schemas.openxmlformats.org/markup-compatibility/2006">
          <mc:Choice Requires="x14">
            <control shapeId="2404" r:id="rId306" name="Button 356">
              <controlPr defaultSize="0" print="0" autoFill="0" autoPict="0" macro="[0]!Add_item">
                <anchor moveWithCells="1" sizeWithCells="1">
                  <from>
                    <xdr:col>4</xdr:col>
                    <xdr:colOff>57150</xdr:colOff>
                    <xdr:row>159</xdr:row>
                    <xdr:rowOff>9525</xdr:rowOff>
                  </from>
                  <to>
                    <xdr:col>4</xdr:col>
                    <xdr:colOff>219075</xdr:colOff>
                    <xdr:row>159</xdr:row>
                    <xdr:rowOff>171450</xdr:rowOff>
                  </to>
                </anchor>
              </controlPr>
            </control>
          </mc:Choice>
        </mc:AlternateContent>
        <mc:AlternateContent xmlns:mc="http://schemas.openxmlformats.org/markup-compatibility/2006">
          <mc:Choice Requires="x14">
            <control shapeId="2405" r:id="rId307" name="Button 357">
              <controlPr defaultSize="0" print="0" autoFill="0" autoPict="0" macro="[0]!Add_item">
                <anchor moveWithCells="1" sizeWithCells="1">
                  <from>
                    <xdr:col>4</xdr:col>
                    <xdr:colOff>57150</xdr:colOff>
                    <xdr:row>160</xdr:row>
                    <xdr:rowOff>9525</xdr:rowOff>
                  </from>
                  <to>
                    <xdr:col>4</xdr:col>
                    <xdr:colOff>219075</xdr:colOff>
                    <xdr:row>160</xdr:row>
                    <xdr:rowOff>171450</xdr:rowOff>
                  </to>
                </anchor>
              </controlPr>
            </control>
          </mc:Choice>
        </mc:AlternateContent>
        <mc:AlternateContent xmlns:mc="http://schemas.openxmlformats.org/markup-compatibility/2006">
          <mc:Choice Requires="x14">
            <control shapeId="2406" r:id="rId308" name="Button 358">
              <controlPr defaultSize="0" print="0" autoFill="0" autoPict="0" macro="[0]!Add_item">
                <anchor moveWithCells="1" sizeWithCells="1">
                  <from>
                    <xdr:col>4</xdr:col>
                    <xdr:colOff>57150</xdr:colOff>
                    <xdr:row>161</xdr:row>
                    <xdr:rowOff>9525</xdr:rowOff>
                  </from>
                  <to>
                    <xdr:col>4</xdr:col>
                    <xdr:colOff>219075</xdr:colOff>
                    <xdr:row>161</xdr:row>
                    <xdr:rowOff>171450</xdr:rowOff>
                  </to>
                </anchor>
              </controlPr>
            </control>
          </mc:Choice>
        </mc:AlternateContent>
        <mc:AlternateContent xmlns:mc="http://schemas.openxmlformats.org/markup-compatibility/2006">
          <mc:Choice Requires="x14">
            <control shapeId="2407" r:id="rId309" name="Button 359">
              <controlPr defaultSize="0" print="0" autoFill="0" autoPict="0" macro="[0]!Add_item">
                <anchor moveWithCells="1" sizeWithCells="1">
                  <from>
                    <xdr:col>4</xdr:col>
                    <xdr:colOff>57150</xdr:colOff>
                    <xdr:row>162</xdr:row>
                    <xdr:rowOff>9525</xdr:rowOff>
                  </from>
                  <to>
                    <xdr:col>4</xdr:col>
                    <xdr:colOff>219075</xdr:colOff>
                    <xdr:row>162</xdr:row>
                    <xdr:rowOff>171450</xdr:rowOff>
                  </to>
                </anchor>
              </controlPr>
            </control>
          </mc:Choice>
        </mc:AlternateContent>
        <mc:AlternateContent xmlns:mc="http://schemas.openxmlformats.org/markup-compatibility/2006">
          <mc:Choice Requires="x14">
            <control shapeId="2408" r:id="rId310" name="Button 360">
              <controlPr defaultSize="0" print="0" autoFill="0" autoPict="0" macro="[0]!Add_item">
                <anchor moveWithCells="1" sizeWithCells="1">
                  <from>
                    <xdr:col>4</xdr:col>
                    <xdr:colOff>57150</xdr:colOff>
                    <xdr:row>163</xdr:row>
                    <xdr:rowOff>9525</xdr:rowOff>
                  </from>
                  <to>
                    <xdr:col>4</xdr:col>
                    <xdr:colOff>219075</xdr:colOff>
                    <xdr:row>163</xdr:row>
                    <xdr:rowOff>171450</xdr:rowOff>
                  </to>
                </anchor>
              </controlPr>
            </control>
          </mc:Choice>
        </mc:AlternateContent>
        <mc:AlternateContent xmlns:mc="http://schemas.openxmlformats.org/markup-compatibility/2006">
          <mc:Choice Requires="x14">
            <control shapeId="2409" r:id="rId311" name="Button 361">
              <controlPr defaultSize="0" print="0" autoFill="0" autoPict="0" macro="[0]!Add_item">
                <anchor moveWithCells="1" sizeWithCells="1">
                  <from>
                    <xdr:col>4</xdr:col>
                    <xdr:colOff>57150</xdr:colOff>
                    <xdr:row>164</xdr:row>
                    <xdr:rowOff>9525</xdr:rowOff>
                  </from>
                  <to>
                    <xdr:col>4</xdr:col>
                    <xdr:colOff>219075</xdr:colOff>
                    <xdr:row>164</xdr:row>
                    <xdr:rowOff>171450</xdr:rowOff>
                  </to>
                </anchor>
              </controlPr>
            </control>
          </mc:Choice>
        </mc:AlternateContent>
        <mc:AlternateContent xmlns:mc="http://schemas.openxmlformats.org/markup-compatibility/2006">
          <mc:Choice Requires="x14">
            <control shapeId="2410" r:id="rId312" name="Button 362">
              <controlPr defaultSize="0" print="0" autoFill="0" autoPict="0" macro="[0]!Add_item">
                <anchor moveWithCells="1" sizeWithCells="1">
                  <from>
                    <xdr:col>4</xdr:col>
                    <xdr:colOff>57150</xdr:colOff>
                    <xdr:row>165</xdr:row>
                    <xdr:rowOff>9525</xdr:rowOff>
                  </from>
                  <to>
                    <xdr:col>4</xdr:col>
                    <xdr:colOff>219075</xdr:colOff>
                    <xdr:row>165</xdr:row>
                    <xdr:rowOff>171450</xdr:rowOff>
                  </to>
                </anchor>
              </controlPr>
            </control>
          </mc:Choice>
        </mc:AlternateContent>
        <mc:AlternateContent xmlns:mc="http://schemas.openxmlformats.org/markup-compatibility/2006">
          <mc:Choice Requires="x14">
            <control shapeId="2411" r:id="rId313" name="Button 363">
              <controlPr defaultSize="0" print="0" autoFill="0" autoPict="0" macro="[0]!Add_item">
                <anchor moveWithCells="1" sizeWithCells="1">
                  <from>
                    <xdr:col>4</xdr:col>
                    <xdr:colOff>57150</xdr:colOff>
                    <xdr:row>166</xdr:row>
                    <xdr:rowOff>9525</xdr:rowOff>
                  </from>
                  <to>
                    <xdr:col>4</xdr:col>
                    <xdr:colOff>219075</xdr:colOff>
                    <xdr:row>166</xdr:row>
                    <xdr:rowOff>171450</xdr:rowOff>
                  </to>
                </anchor>
              </controlPr>
            </control>
          </mc:Choice>
        </mc:AlternateContent>
        <mc:AlternateContent xmlns:mc="http://schemas.openxmlformats.org/markup-compatibility/2006">
          <mc:Choice Requires="x14">
            <control shapeId="2412" r:id="rId314" name="Button 364">
              <controlPr defaultSize="0" print="0" autoFill="0" autoPict="0" macro="[0]!Add_item">
                <anchor moveWithCells="1" sizeWithCells="1">
                  <from>
                    <xdr:col>4</xdr:col>
                    <xdr:colOff>57150</xdr:colOff>
                    <xdr:row>167</xdr:row>
                    <xdr:rowOff>9525</xdr:rowOff>
                  </from>
                  <to>
                    <xdr:col>4</xdr:col>
                    <xdr:colOff>219075</xdr:colOff>
                    <xdr:row>167</xdr:row>
                    <xdr:rowOff>171450</xdr:rowOff>
                  </to>
                </anchor>
              </controlPr>
            </control>
          </mc:Choice>
        </mc:AlternateContent>
        <mc:AlternateContent xmlns:mc="http://schemas.openxmlformats.org/markup-compatibility/2006">
          <mc:Choice Requires="x14">
            <control shapeId="2413" r:id="rId315" name="Button 365">
              <controlPr defaultSize="0" print="0" autoFill="0" autoPict="0" macro="[0]!Add_item">
                <anchor moveWithCells="1" sizeWithCells="1">
                  <from>
                    <xdr:col>4</xdr:col>
                    <xdr:colOff>57150</xdr:colOff>
                    <xdr:row>168</xdr:row>
                    <xdr:rowOff>9525</xdr:rowOff>
                  </from>
                  <to>
                    <xdr:col>4</xdr:col>
                    <xdr:colOff>219075</xdr:colOff>
                    <xdr:row>168</xdr:row>
                    <xdr:rowOff>171450</xdr:rowOff>
                  </to>
                </anchor>
              </controlPr>
            </control>
          </mc:Choice>
        </mc:AlternateContent>
        <mc:AlternateContent xmlns:mc="http://schemas.openxmlformats.org/markup-compatibility/2006">
          <mc:Choice Requires="x14">
            <control shapeId="2414" r:id="rId316" name="Button 366">
              <controlPr defaultSize="0" print="0" autoFill="0" autoPict="0" macro="[0]!Add_item">
                <anchor moveWithCells="1" sizeWithCells="1">
                  <from>
                    <xdr:col>4</xdr:col>
                    <xdr:colOff>57150</xdr:colOff>
                    <xdr:row>169</xdr:row>
                    <xdr:rowOff>9525</xdr:rowOff>
                  </from>
                  <to>
                    <xdr:col>4</xdr:col>
                    <xdr:colOff>219075</xdr:colOff>
                    <xdr:row>169</xdr:row>
                    <xdr:rowOff>171450</xdr:rowOff>
                  </to>
                </anchor>
              </controlPr>
            </control>
          </mc:Choice>
        </mc:AlternateContent>
        <mc:AlternateContent xmlns:mc="http://schemas.openxmlformats.org/markup-compatibility/2006">
          <mc:Choice Requires="x14">
            <control shapeId="2415" r:id="rId317" name="Button 367">
              <controlPr defaultSize="0" print="0" autoFill="0" autoPict="0" macro="[0]!Add_item">
                <anchor moveWithCells="1" sizeWithCells="1">
                  <from>
                    <xdr:col>4</xdr:col>
                    <xdr:colOff>57150</xdr:colOff>
                    <xdr:row>170</xdr:row>
                    <xdr:rowOff>9525</xdr:rowOff>
                  </from>
                  <to>
                    <xdr:col>4</xdr:col>
                    <xdr:colOff>219075</xdr:colOff>
                    <xdr:row>170</xdr:row>
                    <xdr:rowOff>171450</xdr:rowOff>
                  </to>
                </anchor>
              </controlPr>
            </control>
          </mc:Choice>
        </mc:AlternateContent>
        <mc:AlternateContent xmlns:mc="http://schemas.openxmlformats.org/markup-compatibility/2006">
          <mc:Choice Requires="x14">
            <control shapeId="2416" r:id="rId318" name="Button 368">
              <controlPr defaultSize="0" print="0" autoFill="0" autoPict="0" macro="[0]!Add_item">
                <anchor moveWithCells="1" sizeWithCells="1">
                  <from>
                    <xdr:col>4</xdr:col>
                    <xdr:colOff>57150</xdr:colOff>
                    <xdr:row>171</xdr:row>
                    <xdr:rowOff>9525</xdr:rowOff>
                  </from>
                  <to>
                    <xdr:col>4</xdr:col>
                    <xdr:colOff>219075</xdr:colOff>
                    <xdr:row>171</xdr:row>
                    <xdr:rowOff>171450</xdr:rowOff>
                  </to>
                </anchor>
              </controlPr>
            </control>
          </mc:Choice>
        </mc:AlternateContent>
        <mc:AlternateContent xmlns:mc="http://schemas.openxmlformats.org/markup-compatibility/2006">
          <mc:Choice Requires="x14">
            <control shapeId="2417" r:id="rId319" name="Button 369">
              <controlPr defaultSize="0" print="0" autoFill="0" autoPict="0" macro="[0]!Add_item">
                <anchor moveWithCells="1" sizeWithCells="1">
                  <from>
                    <xdr:col>4</xdr:col>
                    <xdr:colOff>57150</xdr:colOff>
                    <xdr:row>172</xdr:row>
                    <xdr:rowOff>9525</xdr:rowOff>
                  </from>
                  <to>
                    <xdr:col>4</xdr:col>
                    <xdr:colOff>219075</xdr:colOff>
                    <xdr:row>172</xdr:row>
                    <xdr:rowOff>171450</xdr:rowOff>
                  </to>
                </anchor>
              </controlPr>
            </control>
          </mc:Choice>
        </mc:AlternateContent>
        <mc:AlternateContent xmlns:mc="http://schemas.openxmlformats.org/markup-compatibility/2006">
          <mc:Choice Requires="x14">
            <control shapeId="2418" r:id="rId320" name="Button 370">
              <controlPr defaultSize="0" print="0" autoFill="0" autoPict="0" macro="[0]!Add_item">
                <anchor moveWithCells="1" sizeWithCells="1">
                  <from>
                    <xdr:col>4</xdr:col>
                    <xdr:colOff>57150</xdr:colOff>
                    <xdr:row>173</xdr:row>
                    <xdr:rowOff>9525</xdr:rowOff>
                  </from>
                  <to>
                    <xdr:col>4</xdr:col>
                    <xdr:colOff>219075</xdr:colOff>
                    <xdr:row>173</xdr:row>
                    <xdr:rowOff>171450</xdr:rowOff>
                  </to>
                </anchor>
              </controlPr>
            </control>
          </mc:Choice>
        </mc:AlternateContent>
        <mc:AlternateContent xmlns:mc="http://schemas.openxmlformats.org/markup-compatibility/2006">
          <mc:Choice Requires="x14">
            <control shapeId="2419" r:id="rId321" name="Button 371">
              <controlPr defaultSize="0" print="0" autoFill="0" autoPict="0" macro="[0]!Add_item">
                <anchor moveWithCells="1" sizeWithCells="1">
                  <from>
                    <xdr:col>4</xdr:col>
                    <xdr:colOff>57150</xdr:colOff>
                    <xdr:row>174</xdr:row>
                    <xdr:rowOff>9525</xdr:rowOff>
                  </from>
                  <to>
                    <xdr:col>4</xdr:col>
                    <xdr:colOff>219075</xdr:colOff>
                    <xdr:row>174</xdr:row>
                    <xdr:rowOff>171450</xdr:rowOff>
                  </to>
                </anchor>
              </controlPr>
            </control>
          </mc:Choice>
        </mc:AlternateContent>
        <mc:AlternateContent xmlns:mc="http://schemas.openxmlformats.org/markup-compatibility/2006">
          <mc:Choice Requires="x14">
            <control shapeId="2420" r:id="rId322" name="Button 372">
              <controlPr defaultSize="0" print="0" autoFill="0" autoPict="0" macro="[0]!Add_item">
                <anchor moveWithCells="1" sizeWithCells="1">
                  <from>
                    <xdr:col>4</xdr:col>
                    <xdr:colOff>57150</xdr:colOff>
                    <xdr:row>175</xdr:row>
                    <xdr:rowOff>9525</xdr:rowOff>
                  </from>
                  <to>
                    <xdr:col>4</xdr:col>
                    <xdr:colOff>219075</xdr:colOff>
                    <xdr:row>175</xdr:row>
                    <xdr:rowOff>171450</xdr:rowOff>
                  </to>
                </anchor>
              </controlPr>
            </control>
          </mc:Choice>
        </mc:AlternateContent>
        <mc:AlternateContent xmlns:mc="http://schemas.openxmlformats.org/markup-compatibility/2006">
          <mc:Choice Requires="x14">
            <control shapeId="2421" r:id="rId323" name="Button 373">
              <controlPr defaultSize="0" print="0" autoFill="0" autoPict="0" macro="[0]!Add_item">
                <anchor moveWithCells="1" sizeWithCells="1">
                  <from>
                    <xdr:col>4</xdr:col>
                    <xdr:colOff>57150</xdr:colOff>
                    <xdr:row>176</xdr:row>
                    <xdr:rowOff>9525</xdr:rowOff>
                  </from>
                  <to>
                    <xdr:col>4</xdr:col>
                    <xdr:colOff>219075</xdr:colOff>
                    <xdr:row>176</xdr:row>
                    <xdr:rowOff>171450</xdr:rowOff>
                  </to>
                </anchor>
              </controlPr>
            </control>
          </mc:Choice>
        </mc:AlternateContent>
        <mc:AlternateContent xmlns:mc="http://schemas.openxmlformats.org/markup-compatibility/2006">
          <mc:Choice Requires="x14">
            <control shapeId="2422" r:id="rId324" name="Button 374">
              <controlPr defaultSize="0" print="0" autoFill="0" autoPict="0" macro="[0]!Add_item">
                <anchor moveWithCells="1" sizeWithCells="1">
                  <from>
                    <xdr:col>4</xdr:col>
                    <xdr:colOff>57150</xdr:colOff>
                    <xdr:row>177</xdr:row>
                    <xdr:rowOff>9525</xdr:rowOff>
                  </from>
                  <to>
                    <xdr:col>4</xdr:col>
                    <xdr:colOff>219075</xdr:colOff>
                    <xdr:row>177</xdr:row>
                    <xdr:rowOff>171450</xdr:rowOff>
                  </to>
                </anchor>
              </controlPr>
            </control>
          </mc:Choice>
        </mc:AlternateContent>
        <mc:AlternateContent xmlns:mc="http://schemas.openxmlformats.org/markup-compatibility/2006">
          <mc:Choice Requires="x14">
            <control shapeId="2423" r:id="rId325" name="Button 375">
              <controlPr defaultSize="0" print="0" autoFill="0" autoPict="0" macro="[0]!Add_item">
                <anchor moveWithCells="1" sizeWithCells="1">
                  <from>
                    <xdr:col>4</xdr:col>
                    <xdr:colOff>57150</xdr:colOff>
                    <xdr:row>178</xdr:row>
                    <xdr:rowOff>9525</xdr:rowOff>
                  </from>
                  <to>
                    <xdr:col>4</xdr:col>
                    <xdr:colOff>219075</xdr:colOff>
                    <xdr:row>178</xdr:row>
                    <xdr:rowOff>171450</xdr:rowOff>
                  </to>
                </anchor>
              </controlPr>
            </control>
          </mc:Choice>
        </mc:AlternateContent>
        <mc:AlternateContent xmlns:mc="http://schemas.openxmlformats.org/markup-compatibility/2006">
          <mc:Choice Requires="x14">
            <control shapeId="2424" r:id="rId326" name="Button 376">
              <controlPr defaultSize="0" print="0" autoFill="0" autoPict="0" macro="[0]!Add_item">
                <anchor moveWithCells="1" sizeWithCells="1">
                  <from>
                    <xdr:col>4</xdr:col>
                    <xdr:colOff>57150</xdr:colOff>
                    <xdr:row>179</xdr:row>
                    <xdr:rowOff>9525</xdr:rowOff>
                  </from>
                  <to>
                    <xdr:col>4</xdr:col>
                    <xdr:colOff>219075</xdr:colOff>
                    <xdr:row>179</xdr:row>
                    <xdr:rowOff>171450</xdr:rowOff>
                  </to>
                </anchor>
              </controlPr>
            </control>
          </mc:Choice>
        </mc:AlternateContent>
        <mc:AlternateContent xmlns:mc="http://schemas.openxmlformats.org/markup-compatibility/2006">
          <mc:Choice Requires="x14">
            <control shapeId="2425" r:id="rId327" name="Button 377">
              <controlPr defaultSize="0" print="0" autoFill="0" autoPict="0" macro="[0]!Add_item">
                <anchor moveWithCells="1" sizeWithCells="1">
                  <from>
                    <xdr:col>4</xdr:col>
                    <xdr:colOff>57150</xdr:colOff>
                    <xdr:row>180</xdr:row>
                    <xdr:rowOff>9525</xdr:rowOff>
                  </from>
                  <to>
                    <xdr:col>4</xdr:col>
                    <xdr:colOff>219075</xdr:colOff>
                    <xdr:row>180</xdr:row>
                    <xdr:rowOff>171450</xdr:rowOff>
                  </to>
                </anchor>
              </controlPr>
            </control>
          </mc:Choice>
        </mc:AlternateContent>
        <mc:AlternateContent xmlns:mc="http://schemas.openxmlformats.org/markup-compatibility/2006">
          <mc:Choice Requires="x14">
            <control shapeId="2426" r:id="rId328" name="Button 378">
              <controlPr defaultSize="0" print="0" autoFill="0" autoPict="0" macro="[0]!Add_item">
                <anchor moveWithCells="1" sizeWithCells="1">
                  <from>
                    <xdr:col>4</xdr:col>
                    <xdr:colOff>57150</xdr:colOff>
                    <xdr:row>181</xdr:row>
                    <xdr:rowOff>9525</xdr:rowOff>
                  </from>
                  <to>
                    <xdr:col>4</xdr:col>
                    <xdr:colOff>219075</xdr:colOff>
                    <xdr:row>181</xdr:row>
                    <xdr:rowOff>171450</xdr:rowOff>
                  </to>
                </anchor>
              </controlPr>
            </control>
          </mc:Choice>
        </mc:AlternateContent>
        <mc:AlternateContent xmlns:mc="http://schemas.openxmlformats.org/markup-compatibility/2006">
          <mc:Choice Requires="x14">
            <control shapeId="2427" r:id="rId329" name="Button 379">
              <controlPr defaultSize="0" print="0" autoFill="0" autoPict="0" macro="[0]!Add_item">
                <anchor moveWithCells="1" sizeWithCells="1">
                  <from>
                    <xdr:col>4</xdr:col>
                    <xdr:colOff>57150</xdr:colOff>
                    <xdr:row>182</xdr:row>
                    <xdr:rowOff>9525</xdr:rowOff>
                  </from>
                  <to>
                    <xdr:col>4</xdr:col>
                    <xdr:colOff>219075</xdr:colOff>
                    <xdr:row>182</xdr:row>
                    <xdr:rowOff>171450</xdr:rowOff>
                  </to>
                </anchor>
              </controlPr>
            </control>
          </mc:Choice>
        </mc:AlternateContent>
        <mc:AlternateContent xmlns:mc="http://schemas.openxmlformats.org/markup-compatibility/2006">
          <mc:Choice Requires="x14">
            <control shapeId="2428" r:id="rId330" name="Button 380">
              <controlPr defaultSize="0" print="0" autoFill="0" autoPict="0" macro="[0]!Add_item">
                <anchor moveWithCells="1" sizeWithCells="1">
                  <from>
                    <xdr:col>4</xdr:col>
                    <xdr:colOff>57150</xdr:colOff>
                    <xdr:row>183</xdr:row>
                    <xdr:rowOff>9525</xdr:rowOff>
                  </from>
                  <to>
                    <xdr:col>4</xdr:col>
                    <xdr:colOff>219075</xdr:colOff>
                    <xdr:row>183</xdr:row>
                    <xdr:rowOff>171450</xdr:rowOff>
                  </to>
                </anchor>
              </controlPr>
            </control>
          </mc:Choice>
        </mc:AlternateContent>
        <mc:AlternateContent xmlns:mc="http://schemas.openxmlformats.org/markup-compatibility/2006">
          <mc:Choice Requires="x14">
            <control shapeId="2429" r:id="rId331" name="Button 381">
              <controlPr defaultSize="0" print="0" autoFill="0" autoPict="0" macro="[0]!Add_item">
                <anchor moveWithCells="1" sizeWithCells="1">
                  <from>
                    <xdr:col>4</xdr:col>
                    <xdr:colOff>57150</xdr:colOff>
                    <xdr:row>184</xdr:row>
                    <xdr:rowOff>9525</xdr:rowOff>
                  </from>
                  <to>
                    <xdr:col>4</xdr:col>
                    <xdr:colOff>219075</xdr:colOff>
                    <xdr:row>184</xdr:row>
                    <xdr:rowOff>171450</xdr:rowOff>
                  </to>
                </anchor>
              </controlPr>
            </control>
          </mc:Choice>
        </mc:AlternateContent>
        <mc:AlternateContent xmlns:mc="http://schemas.openxmlformats.org/markup-compatibility/2006">
          <mc:Choice Requires="x14">
            <control shapeId="2430" r:id="rId332" name="Button 382">
              <controlPr defaultSize="0" print="0" autoFill="0" autoPict="0" macro="[0]!Add_item">
                <anchor moveWithCells="1" sizeWithCells="1">
                  <from>
                    <xdr:col>4</xdr:col>
                    <xdr:colOff>57150</xdr:colOff>
                    <xdr:row>185</xdr:row>
                    <xdr:rowOff>9525</xdr:rowOff>
                  </from>
                  <to>
                    <xdr:col>4</xdr:col>
                    <xdr:colOff>219075</xdr:colOff>
                    <xdr:row>185</xdr:row>
                    <xdr:rowOff>171450</xdr:rowOff>
                  </to>
                </anchor>
              </controlPr>
            </control>
          </mc:Choice>
        </mc:AlternateContent>
        <mc:AlternateContent xmlns:mc="http://schemas.openxmlformats.org/markup-compatibility/2006">
          <mc:Choice Requires="x14">
            <control shapeId="2431" r:id="rId333" name="Button 383">
              <controlPr defaultSize="0" print="0" autoFill="0" autoPict="0" macro="[0]!Add_item">
                <anchor moveWithCells="1" sizeWithCells="1">
                  <from>
                    <xdr:col>4</xdr:col>
                    <xdr:colOff>57150</xdr:colOff>
                    <xdr:row>186</xdr:row>
                    <xdr:rowOff>9525</xdr:rowOff>
                  </from>
                  <to>
                    <xdr:col>4</xdr:col>
                    <xdr:colOff>219075</xdr:colOff>
                    <xdr:row>186</xdr:row>
                    <xdr:rowOff>171450</xdr:rowOff>
                  </to>
                </anchor>
              </controlPr>
            </control>
          </mc:Choice>
        </mc:AlternateContent>
        <mc:AlternateContent xmlns:mc="http://schemas.openxmlformats.org/markup-compatibility/2006">
          <mc:Choice Requires="x14">
            <control shapeId="2432" r:id="rId334" name="Button 384">
              <controlPr defaultSize="0" print="0" autoFill="0" autoPict="0" macro="[0]!Add_item">
                <anchor moveWithCells="1" sizeWithCells="1">
                  <from>
                    <xdr:col>4</xdr:col>
                    <xdr:colOff>57150</xdr:colOff>
                    <xdr:row>187</xdr:row>
                    <xdr:rowOff>9525</xdr:rowOff>
                  </from>
                  <to>
                    <xdr:col>4</xdr:col>
                    <xdr:colOff>219075</xdr:colOff>
                    <xdr:row>187</xdr:row>
                    <xdr:rowOff>171450</xdr:rowOff>
                  </to>
                </anchor>
              </controlPr>
            </control>
          </mc:Choice>
        </mc:AlternateContent>
        <mc:AlternateContent xmlns:mc="http://schemas.openxmlformats.org/markup-compatibility/2006">
          <mc:Choice Requires="x14">
            <control shapeId="2433" r:id="rId335" name="Button 385">
              <controlPr defaultSize="0" print="0" autoFill="0" autoPict="0" macro="[0]!Add_item">
                <anchor moveWithCells="1" sizeWithCells="1">
                  <from>
                    <xdr:col>4</xdr:col>
                    <xdr:colOff>57150</xdr:colOff>
                    <xdr:row>188</xdr:row>
                    <xdr:rowOff>9525</xdr:rowOff>
                  </from>
                  <to>
                    <xdr:col>4</xdr:col>
                    <xdr:colOff>219075</xdr:colOff>
                    <xdr:row>188</xdr:row>
                    <xdr:rowOff>171450</xdr:rowOff>
                  </to>
                </anchor>
              </controlPr>
            </control>
          </mc:Choice>
        </mc:AlternateContent>
        <mc:AlternateContent xmlns:mc="http://schemas.openxmlformats.org/markup-compatibility/2006">
          <mc:Choice Requires="x14">
            <control shapeId="2434" r:id="rId336" name="Button 386">
              <controlPr defaultSize="0" print="0" autoFill="0" autoPict="0" macro="[0]!Add_item">
                <anchor moveWithCells="1" sizeWithCells="1">
                  <from>
                    <xdr:col>4</xdr:col>
                    <xdr:colOff>57150</xdr:colOff>
                    <xdr:row>189</xdr:row>
                    <xdr:rowOff>9525</xdr:rowOff>
                  </from>
                  <to>
                    <xdr:col>4</xdr:col>
                    <xdr:colOff>219075</xdr:colOff>
                    <xdr:row>189</xdr:row>
                    <xdr:rowOff>171450</xdr:rowOff>
                  </to>
                </anchor>
              </controlPr>
            </control>
          </mc:Choice>
        </mc:AlternateContent>
        <mc:AlternateContent xmlns:mc="http://schemas.openxmlformats.org/markup-compatibility/2006">
          <mc:Choice Requires="x14">
            <control shapeId="2435" r:id="rId337" name="Button 387">
              <controlPr defaultSize="0" print="0" autoFill="0" autoPict="0" macro="[0]!Add_item">
                <anchor moveWithCells="1" sizeWithCells="1">
                  <from>
                    <xdr:col>4</xdr:col>
                    <xdr:colOff>57150</xdr:colOff>
                    <xdr:row>190</xdr:row>
                    <xdr:rowOff>9525</xdr:rowOff>
                  </from>
                  <to>
                    <xdr:col>4</xdr:col>
                    <xdr:colOff>219075</xdr:colOff>
                    <xdr:row>190</xdr:row>
                    <xdr:rowOff>171450</xdr:rowOff>
                  </to>
                </anchor>
              </controlPr>
            </control>
          </mc:Choice>
        </mc:AlternateContent>
        <mc:AlternateContent xmlns:mc="http://schemas.openxmlformats.org/markup-compatibility/2006">
          <mc:Choice Requires="x14">
            <control shapeId="2436" r:id="rId338" name="Button 388">
              <controlPr defaultSize="0" print="0" autoFill="0" autoPict="0" macro="[0]!Add_item">
                <anchor moveWithCells="1" sizeWithCells="1">
                  <from>
                    <xdr:col>4</xdr:col>
                    <xdr:colOff>57150</xdr:colOff>
                    <xdr:row>191</xdr:row>
                    <xdr:rowOff>9525</xdr:rowOff>
                  </from>
                  <to>
                    <xdr:col>4</xdr:col>
                    <xdr:colOff>219075</xdr:colOff>
                    <xdr:row>191</xdr:row>
                    <xdr:rowOff>171450</xdr:rowOff>
                  </to>
                </anchor>
              </controlPr>
            </control>
          </mc:Choice>
        </mc:AlternateContent>
        <mc:AlternateContent xmlns:mc="http://schemas.openxmlformats.org/markup-compatibility/2006">
          <mc:Choice Requires="x14">
            <control shapeId="2437" r:id="rId339" name="Button 389">
              <controlPr defaultSize="0" print="0" autoFill="0" autoPict="0" macro="[0]!Add_item">
                <anchor moveWithCells="1" sizeWithCells="1">
                  <from>
                    <xdr:col>4</xdr:col>
                    <xdr:colOff>57150</xdr:colOff>
                    <xdr:row>192</xdr:row>
                    <xdr:rowOff>9525</xdr:rowOff>
                  </from>
                  <to>
                    <xdr:col>4</xdr:col>
                    <xdr:colOff>219075</xdr:colOff>
                    <xdr:row>192</xdr:row>
                    <xdr:rowOff>171450</xdr:rowOff>
                  </to>
                </anchor>
              </controlPr>
            </control>
          </mc:Choice>
        </mc:AlternateContent>
        <mc:AlternateContent xmlns:mc="http://schemas.openxmlformats.org/markup-compatibility/2006">
          <mc:Choice Requires="x14">
            <control shapeId="2438" r:id="rId340" name="Button 390">
              <controlPr defaultSize="0" print="0" autoFill="0" autoPict="0" macro="[0]!Add_item">
                <anchor moveWithCells="1" sizeWithCells="1">
                  <from>
                    <xdr:col>4</xdr:col>
                    <xdr:colOff>57150</xdr:colOff>
                    <xdr:row>193</xdr:row>
                    <xdr:rowOff>9525</xdr:rowOff>
                  </from>
                  <to>
                    <xdr:col>4</xdr:col>
                    <xdr:colOff>219075</xdr:colOff>
                    <xdr:row>193</xdr:row>
                    <xdr:rowOff>171450</xdr:rowOff>
                  </to>
                </anchor>
              </controlPr>
            </control>
          </mc:Choice>
        </mc:AlternateContent>
        <mc:AlternateContent xmlns:mc="http://schemas.openxmlformats.org/markup-compatibility/2006">
          <mc:Choice Requires="x14">
            <control shapeId="2439" r:id="rId341" name="Button 391">
              <controlPr defaultSize="0" print="0" autoFill="0" autoPict="0" macro="[0]!Add_item">
                <anchor moveWithCells="1" sizeWithCells="1">
                  <from>
                    <xdr:col>4</xdr:col>
                    <xdr:colOff>57150</xdr:colOff>
                    <xdr:row>194</xdr:row>
                    <xdr:rowOff>9525</xdr:rowOff>
                  </from>
                  <to>
                    <xdr:col>4</xdr:col>
                    <xdr:colOff>219075</xdr:colOff>
                    <xdr:row>194</xdr:row>
                    <xdr:rowOff>171450</xdr:rowOff>
                  </to>
                </anchor>
              </controlPr>
            </control>
          </mc:Choice>
        </mc:AlternateContent>
        <mc:AlternateContent xmlns:mc="http://schemas.openxmlformats.org/markup-compatibility/2006">
          <mc:Choice Requires="x14">
            <control shapeId="2440" r:id="rId342" name="Button 392">
              <controlPr defaultSize="0" print="0" autoFill="0" autoPict="0" macro="[0]!Add_item">
                <anchor moveWithCells="1" sizeWithCells="1">
                  <from>
                    <xdr:col>6</xdr:col>
                    <xdr:colOff>57150</xdr:colOff>
                    <xdr:row>151</xdr:row>
                    <xdr:rowOff>9525</xdr:rowOff>
                  </from>
                  <to>
                    <xdr:col>6</xdr:col>
                    <xdr:colOff>219075</xdr:colOff>
                    <xdr:row>151</xdr:row>
                    <xdr:rowOff>171450</xdr:rowOff>
                  </to>
                </anchor>
              </controlPr>
            </control>
          </mc:Choice>
        </mc:AlternateContent>
        <mc:AlternateContent xmlns:mc="http://schemas.openxmlformats.org/markup-compatibility/2006">
          <mc:Choice Requires="x14">
            <control shapeId="2441" r:id="rId343" name="Button 393">
              <controlPr defaultSize="0" print="0" autoFill="0" autoPict="0" macro="[0]!Add_item">
                <anchor moveWithCells="1" sizeWithCells="1">
                  <from>
                    <xdr:col>6</xdr:col>
                    <xdr:colOff>57150</xdr:colOff>
                    <xdr:row>152</xdr:row>
                    <xdr:rowOff>9525</xdr:rowOff>
                  </from>
                  <to>
                    <xdr:col>6</xdr:col>
                    <xdr:colOff>219075</xdr:colOff>
                    <xdr:row>152</xdr:row>
                    <xdr:rowOff>171450</xdr:rowOff>
                  </to>
                </anchor>
              </controlPr>
            </control>
          </mc:Choice>
        </mc:AlternateContent>
        <mc:AlternateContent xmlns:mc="http://schemas.openxmlformats.org/markup-compatibility/2006">
          <mc:Choice Requires="x14">
            <control shapeId="2442" r:id="rId344" name="Button 394">
              <controlPr defaultSize="0" print="0" autoFill="0" autoPict="0" macro="[0]!Add_item">
                <anchor moveWithCells="1" sizeWithCells="1">
                  <from>
                    <xdr:col>6</xdr:col>
                    <xdr:colOff>57150</xdr:colOff>
                    <xdr:row>153</xdr:row>
                    <xdr:rowOff>9525</xdr:rowOff>
                  </from>
                  <to>
                    <xdr:col>6</xdr:col>
                    <xdr:colOff>219075</xdr:colOff>
                    <xdr:row>153</xdr:row>
                    <xdr:rowOff>171450</xdr:rowOff>
                  </to>
                </anchor>
              </controlPr>
            </control>
          </mc:Choice>
        </mc:AlternateContent>
        <mc:AlternateContent xmlns:mc="http://schemas.openxmlformats.org/markup-compatibility/2006">
          <mc:Choice Requires="x14">
            <control shapeId="2443" r:id="rId345" name="Button 395">
              <controlPr defaultSize="0" print="0" autoFill="0" autoPict="0" macro="[0]!Add_item">
                <anchor moveWithCells="1" sizeWithCells="1">
                  <from>
                    <xdr:col>6</xdr:col>
                    <xdr:colOff>57150</xdr:colOff>
                    <xdr:row>154</xdr:row>
                    <xdr:rowOff>9525</xdr:rowOff>
                  </from>
                  <to>
                    <xdr:col>6</xdr:col>
                    <xdr:colOff>219075</xdr:colOff>
                    <xdr:row>154</xdr:row>
                    <xdr:rowOff>171450</xdr:rowOff>
                  </to>
                </anchor>
              </controlPr>
            </control>
          </mc:Choice>
        </mc:AlternateContent>
        <mc:AlternateContent xmlns:mc="http://schemas.openxmlformats.org/markup-compatibility/2006">
          <mc:Choice Requires="x14">
            <control shapeId="2444" r:id="rId346" name="Button 396">
              <controlPr defaultSize="0" print="0" autoFill="0" autoPict="0" macro="[0]!Add_item">
                <anchor moveWithCells="1" sizeWithCells="1">
                  <from>
                    <xdr:col>6</xdr:col>
                    <xdr:colOff>57150</xdr:colOff>
                    <xdr:row>155</xdr:row>
                    <xdr:rowOff>9525</xdr:rowOff>
                  </from>
                  <to>
                    <xdr:col>6</xdr:col>
                    <xdr:colOff>219075</xdr:colOff>
                    <xdr:row>155</xdr:row>
                    <xdr:rowOff>171450</xdr:rowOff>
                  </to>
                </anchor>
              </controlPr>
            </control>
          </mc:Choice>
        </mc:AlternateContent>
        <mc:AlternateContent xmlns:mc="http://schemas.openxmlformats.org/markup-compatibility/2006">
          <mc:Choice Requires="x14">
            <control shapeId="2445" r:id="rId347" name="Button 397">
              <controlPr defaultSize="0" print="0" autoFill="0" autoPict="0" macro="[0]!Add_item">
                <anchor moveWithCells="1" sizeWithCells="1">
                  <from>
                    <xdr:col>6</xdr:col>
                    <xdr:colOff>57150</xdr:colOff>
                    <xdr:row>156</xdr:row>
                    <xdr:rowOff>9525</xdr:rowOff>
                  </from>
                  <to>
                    <xdr:col>6</xdr:col>
                    <xdr:colOff>219075</xdr:colOff>
                    <xdr:row>156</xdr:row>
                    <xdr:rowOff>171450</xdr:rowOff>
                  </to>
                </anchor>
              </controlPr>
            </control>
          </mc:Choice>
        </mc:AlternateContent>
        <mc:AlternateContent xmlns:mc="http://schemas.openxmlformats.org/markup-compatibility/2006">
          <mc:Choice Requires="x14">
            <control shapeId="2446" r:id="rId348" name="Button 398">
              <controlPr defaultSize="0" print="0" autoFill="0" autoPict="0" macro="[0]!Add_item">
                <anchor moveWithCells="1" sizeWithCells="1">
                  <from>
                    <xdr:col>6</xdr:col>
                    <xdr:colOff>57150</xdr:colOff>
                    <xdr:row>157</xdr:row>
                    <xdr:rowOff>9525</xdr:rowOff>
                  </from>
                  <to>
                    <xdr:col>6</xdr:col>
                    <xdr:colOff>219075</xdr:colOff>
                    <xdr:row>157</xdr:row>
                    <xdr:rowOff>171450</xdr:rowOff>
                  </to>
                </anchor>
              </controlPr>
            </control>
          </mc:Choice>
        </mc:AlternateContent>
        <mc:AlternateContent xmlns:mc="http://schemas.openxmlformats.org/markup-compatibility/2006">
          <mc:Choice Requires="x14">
            <control shapeId="2447" r:id="rId349" name="Button 399">
              <controlPr defaultSize="0" print="0" autoFill="0" autoPict="0" macro="[0]!Add_item">
                <anchor moveWithCells="1" sizeWithCells="1">
                  <from>
                    <xdr:col>6</xdr:col>
                    <xdr:colOff>57150</xdr:colOff>
                    <xdr:row>158</xdr:row>
                    <xdr:rowOff>9525</xdr:rowOff>
                  </from>
                  <to>
                    <xdr:col>6</xdr:col>
                    <xdr:colOff>219075</xdr:colOff>
                    <xdr:row>158</xdr:row>
                    <xdr:rowOff>171450</xdr:rowOff>
                  </to>
                </anchor>
              </controlPr>
            </control>
          </mc:Choice>
        </mc:AlternateContent>
        <mc:AlternateContent xmlns:mc="http://schemas.openxmlformats.org/markup-compatibility/2006">
          <mc:Choice Requires="x14">
            <control shapeId="2448" r:id="rId350" name="Button 400">
              <controlPr defaultSize="0" print="0" autoFill="0" autoPict="0" macro="[0]!Add_item">
                <anchor moveWithCells="1" sizeWithCells="1">
                  <from>
                    <xdr:col>6</xdr:col>
                    <xdr:colOff>57150</xdr:colOff>
                    <xdr:row>159</xdr:row>
                    <xdr:rowOff>9525</xdr:rowOff>
                  </from>
                  <to>
                    <xdr:col>6</xdr:col>
                    <xdr:colOff>219075</xdr:colOff>
                    <xdr:row>159</xdr:row>
                    <xdr:rowOff>171450</xdr:rowOff>
                  </to>
                </anchor>
              </controlPr>
            </control>
          </mc:Choice>
        </mc:AlternateContent>
        <mc:AlternateContent xmlns:mc="http://schemas.openxmlformats.org/markup-compatibility/2006">
          <mc:Choice Requires="x14">
            <control shapeId="2449" r:id="rId351" name="Button 401">
              <controlPr defaultSize="0" print="0" autoFill="0" autoPict="0" macro="[0]!Add_item">
                <anchor moveWithCells="1" sizeWithCells="1">
                  <from>
                    <xdr:col>6</xdr:col>
                    <xdr:colOff>57150</xdr:colOff>
                    <xdr:row>160</xdr:row>
                    <xdr:rowOff>9525</xdr:rowOff>
                  </from>
                  <to>
                    <xdr:col>6</xdr:col>
                    <xdr:colOff>219075</xdr:colOff>
                    <xdr:row>160</xdr:row>
                    <xdr:rowOff>171450</xdr:rowOff>
                  </to>
                </anchor>
              </controlPr>
            </control>
          </mc:Choice>
        </mc:AlternateContent>
        <mc:AlternateContent xmlns:mc="http://schemas.openxmlformats.org/markup-compatibility/2006">
          <mc:Choice Requires="x14">
            <control shapeId="2450" r:id="rId352" name="Button 402">
              <controlPr defaultSize="0" print="0" autoFill="0" autoPict="0" macro="[0]!Add_item">
                <anchor moveWithCells="1" sizeWithCells="1">
                  <from>
                    <xdr:col>6</xdr:col>
                    <xdr:colOff>57150</xdr:colOff>
                    <xdr:row>161</xdr:row>
                    <xdr:rowOff>9525</xdr:rowOff>
                  </from>
                  <to>
                    <xdr:col>6</xdr:col>
                    <xdr:colOff>219075</xdr:colOff>
                    <xdr:row>161</xdr:row>
                    <xdr:rowOff>171450</xdr:rowOff>
                  </to>
                </anchor>
              </controlPr>
            </control>
          </mc:Choice>
        </mc:AlternateContent>
        <mc:AlternateContent xmlns:mc="http://schemas.openxmlformats.org/markup-compatibility/2006">
          <mc:Choice Requires="x14">
            <control shapeId="2451" r:id="rId353" name="Button 403">
              <controlPr defaultSize="0" print="0" autoFill="0" autoPict="0" macro="[0]!Add_item">
                <anchor moveWithCells="1" sizeWithCells="1">
                  <from>
                    <xdr:col>6</xdr:col>
                    <xdr:colOff>57150</xdr:colOff>
                    <xdr:row>162</xdr:row>
                    <xdr:rowOff>9525</xdr:rowOff>
                  </from>
                  <to>
                    <xdr:col>6</xdr:col>
                    <xdr:colOff>219075</xdr:colOff>
                    <xdr:row>162</xdr:row>
                    <xdr:rowOff>171450</xdr:rowOff>
                  </to>
                </anchor>
              </controlPr>
            </control>
          </mc:Choice>
        </mc:AlternateContent>
        <mc:AlternateContent xmlns:mc="http://schemas.openxmlformats.org/markup-compatibility/2006">
          <mc:Choice Requires="x14">
            <control shapeId="2452" r:id="rId354" name="Button 404">
              <controlPr defaultSize="0" print="0" autoFill="0" autoPict="0" macro="[0]!Add_item">
                <anchor moveWithCells="1" sizeWithCells="1">
                  <from>
                    <xdr:col>6</xdr:col>
                    <xdr:colOff>57150</xdr:colOff>
                    <xdr:row>163</xdr:row>
                    <xdr:rowOff>9525</xdr:rowOff>
                  </from>
                  <to>
                    <xdr:col>6</xdr:col>
                    <xdr:colOff>219075</xdr:colOff>
                    <xdr:row>163</xdr:row>
                    <xdr:rowOff>171450</xdr:rowOff>
                  </to>
                </anchor>
              </controlPr>
            </control>
          </mc:Choice>
        </mc:AlternateContent>
        <mc:AlternateContent xmlns:mc="http://schemas.openxmlformats.org/markup-compatibility/2006">
          <mc:Choice Requires="x14">
            <control shapeId="2453" r:id="rId355" name="Button 405">
              <controlPr defaultSize="0" print="0" autoFill="0" autoPict="0" macro="[0]!Add_item">
                <anchor moveWithCells="1" sizeWithCells="1">
                  <from>
                    <xdr:col>6</xdr:col>
                    <xdr:colOff>57150</xdr:colOff>
                    <xdr:row>164</xdr:row>
                    <xdr:rowOff>9525</xdr:rowOff>
                  </from>
                  <to>
                    <xdr:col>6</xdr:col>
                    <xdr:colOff>219075</xdr:colOff>
                    <xdr:row>164</xdr:row>
                    <xdr:rowOff>171450</xdr:rowOff>
                  </to>
                </anchor>
              </controlPr>
            </control>
          </mc:Choice>
        </mc:AlternateContent>
        <mc:AlternateContent xmlns:mc="http://schemas.openxmlformats.org/markup-compatibility/2006">
          <mc:Choice Requires="x14">
            <control shapeId="2454" r:id="rId356" name="Button 406">
              <controlPr defaultSize="0" print="0" autoFill="0" autoPict="0" macro="[0]!Add_item">
                <anchor moveWithCells="1" sizeWithCells="1">
                  <from>
                    <xdr:col>6</xdr:col>
                    <xdr:colOff>57150</xdr:colOff>
                    <xdr:row>165</xdr:row>
                    <xdr:rowOff>9525</xdr:rowOff>
                  </from>
                  <to>
                    <xdr:col>6</xdr:col>
                    <xdr:colOff>219075</xdr:colOff>
                    <xdr:row>165</xdr:row>
                    <xdr:rowOff>171450</xdr:rowOff>
                  </to>
                </anchor>
              </controlPr>
            </control>
          </mc:Choice>
        </mc:AlternateContent>
        <mc:AlternateContent xmlns:mc="http://schemas.openxmlformats.org/markup-compatibility/2006">
          <mc:Choice Requires="x14">
            <control shapeId="2455" r:id="rId357" name="Button 407">
              <controlPr defaultSize="0" print="0" autoFill="0" autoPict="0" macro="[0]!Add_item">
                <anchor moveWithCells="1" sizeWithCells="1">
                  <from>
                    <xdr:col>6</xdr:col>
                    <xdr:colOff>57150</xdr:colOff>
                    <xdr:row>166</xdr:row>
                    <xdr:rowOff>9525</xdr:rowOff>
                  </from>
                  <to>
                    <xdr:col>6</xdr:col>
                    <xdr:colOff>219075</xdr:colOff>
                    <xdr:row>166</xdr:row>
                    <xdr:rowOff>171450</xdr:rowOff>
                  </to>
                </anchor>
              </controlPr>
            </control>
          </mc:Choice>
        </mc:AlternateContent>
        <mc:AlternateContent xmlns:mc="http://schemas.openxmlformats.org/markup-compatibility/2006">
          <mc:Choice Requires="x14">
            <control shapeId="2456" r:id="rId358" name="Button 408">
              <controlPr defaultSize="0" print="0" autoFill="0" autoPict="0" macro="[0]!Add_item">
                <anchor moveWithCells="1" sizeWithCells="1">
                  <from>
                    <xdr:col>6</xdr:col>
                    <xdr:colOff>57150</xdr:colOff>
                    <xdr:row>167</xdr:row>
                    <xdr:rowOff>9525</xdr:rowOff>
                  </from>
                  <to>
                    <xdr:col>6</xdr:col>
                    <xdr:colOff>219075</xdr:colOff>
                    <xdr:row>167</xdr:row>
                    <xdr:rowOff>171450</xdr:rowOff>
                  </to>
                </anchor>
              </controlPr>
            </control>
          </mc:Choice>
        </mc:AlternateContent>
        <mc:AlternateContent xmlns:mc="http://schemas.openxmlformats.org/markup-compatibility/2006">
          <mc:Choice Requires="x14">
            <control shapeId="2457" r:id="rId359" name="Button 409">
              <controlPr defaultSize="0" print="0" autoFill="0" autoPict="0" macro="[0]!Add_item">
                <anchor moveWithCells="1" sizeWithCells="1">
                  <from>
                    <xdr:col>6</xdr:col>
                    <xdr:colOff>57150</xdr:colOff>
                    <xdr:row>168</xdr:row>
                    <xdr:rowOff>9525</xdr:rowOff>
                  </from>
                  <to>
                    <xdr:col>6</xdr:col>
                    <xdr:colOff>219075</xdr:colOff>
                    <xdr:row>168</xdr:row>
                    <xdr:rowOff>171450</xdr:rowOff>
                  </to>
                </anchor>
              </controlPr>
            </control>
          </mc:Choice>
        </mc:AlternateContent>
        <mc:AlternateContent xmlns:mc="http://schemas.openxmlformats.org/markup-compatibility/2006">
          <mc:Choice Requires="x14">
            <control shapeId="2458" r:id="rId360" name="Button 410">
              <controlPr defaultSize="0" print="0" autoFill="0" autoPict="0" macro="[0]!Add_item">
                <anchor moveWithCells="1" sizeWithCells="1">
                  <from>
                    <xdr:col>6</xdr:col>
                    <xdr:colOff>57150</xdr:colOff>
                    <xdr:row>169</xdr:row>
                    <xdr:rowOff>9525</xdr:rowOff>
                  </from>
                  <to>
                    <xdr:col>6</xdr:col>
                    <xdr:colOff>219075</xdr:colOff>
                    <xdr:row>169</xdr:row>
                    <xdr:rowOff>171450</xdr:rowOff>
                  </to>
                </anchor>
              </controlPr>
            </control>
          </mc:Choice>
        </mc:AlternateContent>
        <mc:AlternateContent xmlns:mc="http://schemas.openxmlformats.org/markup-compatibility/2006">
          <mc:Choice Requires="x14">
            <control shapeId="2459" r:id="rId361" name="Button 411">
              <controlPr defaultSize="0" print="0" autoFill="0" autoPict="0" macro="[0]!Add_item">
                <anchor moveWithCells="1" sizeWithCells="1">
                  <from>
                    <xdr:col>6</xdr:col>
                    <xdr:colOff>57150</xdr:colOff>
                    <xdr:row>170</xdr:row>
                    <xdr:rowOff>9525</xdr:rowOff>
                  </from>
                  <to>
                    <xdr:col>6</xdr:col>
                    <xdr:colOff>219075</xdr:colOff>
                    <xdr:row>170</xdr:row>
                    <xdr:rowOff>171450</xdr:rowOff>
                  </to>
                </anchor>
              </controlPr>
            </control>
          </mc:Choice>
        </mc:AlternateContent>
        <mc:AlternateContent xmlns:mc="http://schemas.openxmlformats.org/markup-compatibility/2006">
          <mc:Choice Requires="x14">
            <control shapeId="2460" r:id="rId362" name="Button 412">
              <controlPr defaultSize="0" print="0" autoFill="0" autoPict="0" macro="[0]!Add_item">
                <anchor moveWithCells="1" sizeWithCells="1">
                  <from>
                    <xdr:col>6</xdr:col>
                    <xdr:colOff>57150</xdr:colOff>
                    <xdr:row>171</xdr:row>
                    <xdr:rowOff>9525</xdr:rowOff>
                  </from>
                  <to>
                    <xdr:col>6</xdr:col>
                    <xdr:colOff>219075</xdr:colOff>
                    <xdr:row>171</xdr:row>
                    <xdr:rowOff>171450</xdr:rowOff>
                  </to>
                </anchor>
              </controlPr>
            </control>
          </mc:Choice>
        </mc:AlternateContent>
        <mc:AlternateContent xmlns:mc="http://schemas.openxmlformats.org/markup-compatibility/2006">
          <mc:Choice Requires="x14">
            <control shapeId="2471" r:id="rId363" name="Button 423">
              <controlPr defaultSize="0" print="0" autoFill="0" autoPict="0" macro="[0]!Add_item">
                <anchor moveWithCells="1" sizeWithCells="1">
                  <from>
                    <xdr:col>4</xdr:col>
                    <xdr:colOff>57150</xdr:colOff>
                    <xdr:row>195</xdr:row>
                    <xdr:rowOff>9525</xdr:rowOff>
                  </from>
                  <to>
                    <xdr:col>4</xdr:col>
                    <xdr:colOff>219075</xdr:colOff>
                    <xdr:row>195</xdr:row>
                    <xdr:rowOff>171450</xdr:rowOff>
                  </to>
                </anchor>
              </controlPr>
            </control>
          </mc:Choice>
        </mc:AlternateContent>
        <mc:AlternateContent xmlns:mc="http://schemas.openxmlformats.org/markup-compatibility/2006">
          <mc:Choice Requires="x14">
            <control shapeId="2472" r:id="rId364" name="Button 424">
              <controlPr defaultSize="0" print="0" autoFill="0" autoPict="0" macro="[0]!Add_item">
                <anchor moveWithCells="1" sizeWithCells="1">
                  <from>
                    <xdr:col>4</xdr:col>
                    <xdr:colOff>57150</xdr:colOff>
                    <xdr:row>196</xdr:row>
                    <xdr:rowOff>9525</xdr:rowOff>
                  </from>
                  <to>
                    <xdr:col>4</xdr:col>
                    <xdr:colOff>219075</xdr:colOff>
                    <xdr:row>196</xdr:row>
                    <xdr:rowOff>171450</xdr:rowOff>
                  </to>
                </anchor>
              </controlPr>
            </control>
          </mc:Choice>
        </mc:AlternateContent>
        <mc:AlternateContent xmlns:mc="http://schemas.openxmlformats.org/markup-compatibility/2006">
          <mc:Choice Requires="x14">
            <control shapeId="2473" r:id="rId365" name="Button 425">
              <controlPr defaultSize="0" print="0" autoFill="0" autoPict="0" macro="[0]!Add_item">
                <anchor moveWithCells="1" sizeWithCells="1">
                  <from>
                    <xdr:col>4</xdr:col>
                    <xdr:colOff>57150</xdr:colOff>
                    <xdr:row>197</xdr:row>
                    <xdr:rowOff>9525</xdr:rowOff>
                  </from>
                  <to>
                    <xdr:col>4</xdr:col>
                    <xdr:colOff>219075</xdr:colOff>
                    <xdr:row>197</xdr:row>
                    <xdr:rowOff>171450</xdr:rowOff>
                  </to>
                </anchor>
              </controlPr>
            </control>
          </mc:Choice>
        </mc:AlternateContent>
        <mc:AlternateContent xmlns:mc="http://schemas.openxmlformats.org/markup-compatibility/2006">
          <mc:Choice Requires="x14">
            <control shapeId="2474" r:id="rId366" name="Button 426">
              <controlPr defaultSize="0" print="0" autoFill="0" autoPict="0" macro="[0]!Add_item">
                <anchor moveWithCells="1" sizeWithCells="1">
                  <from>
                    <xdr:col>4</xdr:col>
                    <xdr:colOff>57150</xdr:colOff>
                    <xdr:row>198</xdr:row>
                    <xdr:rowOff>9525</xdr:rowOff>
                  </from>
                  <to>
                    <xdr:col>4</xdr:col>
                    <xdr:colOff>219075</xdr:colOff>
                    <xdr:row>198</xdr:row>
                    <xdr:rowOff>171450</xdr:rowOff>
                  </to>
                </anchor>
              </controlPr>
            </control>
          </mc:Choice>
        </mc:AlternateContent>
        <mc:AlternateContent xmlns:mc="http://schemas.openxmlformats.org/markup-compatibility/2006">
          <mc:Choice Requires="x14">
            <control shapeId="2475" r:id="rId367" name="Button 427">
              <controlPr defaultSize="0" print="0" autoFill="0" autoPict="0" macro="[0]!Add_item">
                <anchor moveWithCells="1" sizeWithCells="1">
                  <from>
                    <xdr:col>4</xdr:col>
                    <xdr:colOff>57150</xdr:colOff>
                    <xdr:row>200</xdr:row>
                    <xdr:rowOff>9525</xdr:rowOff>
                  </from>
                  <to>
                    <xdr:col>4</xdr:col>
                    <xdr:colOff>219075</xdr:colOff>
                    <xdr:row>200</xdr:row>
                    <xdr:rowOff>171450</xdr:rowOff>
                  </to>
                </anchor>
              </controlPr>
            </control>
          </mc:Choice>
        </mc:AlternateContent>
        <mc:AlternateContent xmlns:mc="http://schemas.openxmlformats.org/markup-compatibility/2006">
          <mc:Choice Requires="x14">
            <control shapeId="2476" r:id="rId368" name="Button 428">
              <controlPr defaultSize="0" print="0" autoFill="0" autoPict="0" macro="[0]!Add_item">
                <anchor moveWithCells="1" sizeWithCells="1">
                  <from>
                    <xdr:col>4</xdr:col>
                    <xdr:colOff>57150</xdr:colOff>
                    <xdr:row>199</xdr:row>
                    <xdr:rowOff>9525</xdr:rowOff>
                  </from>
                  <to>
                    <xdr:col>4</xdr:col>
                    <xdr:colOff>219075</xdr:colOff>
                    <xdr:row>199</xdr:row>
                    <xdr:rowOff>171450</xdr:rowOff>
                  </to>
                </anchor>
              </controlPr>
            </control>
          </mc:Choice>
        </mc:AlternateContent>
        <mc:AlternateContent xmlns:mc="http://schemas.openxmlformats.org/markup-compatibility/2006">
          <mc:Choice Requires="x14">
            <control shapeId="2478" r:id="rId369" name="Button 430">
              <controlPr defaultSize="0" print="0" autoFill="0" autoPict="0" macro="[0]!Add_item">
                <anchor moveWithCells="1" sizeWithCells="1">
                  <from>
                    <xdr:col>4</xdr:col>
                    <xdr:colOff>57150</xdr:colOff>
                    <xdr:row>201</xdr:row>
                    <xdr:rowOff>9525</xdr:rowOff>
                  </from>
                  <to>
                    <xdr:col>4</xdr:col>
                    <xdr:colOff>219075</xdr:colOff>
                    <xdr:row>201</xdr:row>
                    <xdr:rowOff>171450</xdr:rowOff>
                  </to>
                </anchor>
              </controlPr>
            </control>
          </mc:Choice>
        </mc:AlternateContent>
        <mc:AlternateContent xmlns:mc="http://schemas.openxmlformats.org/markup-compatibility/2006">
          <mc:Choice Requires="x14">
            <control shapeId="2479" r:id="rId370" name="Button 431">
              <controlPr defaultSize="0" print="0" autoFill="0" autoPict="0" macro="[0]!Add_item">
                <anchor moveWithCells="1" sizeWithCells="1">
                  <from>
                    <xdr:col>4</xdr:col>
                    <xdr:colOff>57150</xdr:colOff>
                    <xdr:row>202</xdr:row>
                    <xdr:rowOff>9525</xdr:rowOff>
                  </from>
                  <to>
                    <xdr:col>4</xdr:col>
                    <xdr:colOff>219075</xdr:colOff>
                    <xdr:row>202</xdr:row>
                    <xdr:rowOff>171450</xdr:rowOff>
                  </to>
                </anchor>
              </controlPr>
            </control>
          </mc:Choice>
        </mc:AlternateContent>
        <mc:AlternateContent xmlns:mc="http://schemas.openxmlformats.org/markup-compatibility/2006">
          <mc:Choice Requires="x14">
            <control shapeId="2480" r:id="rId371" name="Button 432">
              <controlPr defaultSize="0" print="0" autoFill="0" autoPict="0" macro="[0]!Add_item">
                <anchor moveWithCells="1" sizeWithCells="1">
                  <from>
                    <xdr:col>4</xdr:col>
                    <xdr:colOff>57150</xdr:colOff>
                    <xdr:row>203</xdr:row>
                    <xdr:rowOff>9525</xdr:rowOff>
                  </from>
                  <to>
                    <xdr:col>4</xdr:col>
                    <xdr:colOff>219075</xdr:colOff>
                    <xdr:row>203</xdr:row>
                    <xdr:rowOff>171450</xdr:rowOff>
                  </to>
                </anchor>
              </controlPr>
            </control>
          </mc:Choice>
        </mc:AlternateContent>
        <mc:AlternateContent xmlns:mc="http://schemas.openxmlformats.org/markup-compatibility/2006">
          <mc:Choice Requires="x14">
            <control shapeId="2481" r:id="rId372" name="Button 433">
              <controlPr defaultSize="0" print="0" autoFill="0" autoPict="0" macro="[0]!Add_item">
                <anchor moveWithCells="1" sizeWithCells="1">
                  <from>
                    <xdr:col>4</xdr:col>
                    <xdr:colOff>57150</xdr:colOff>
                    <xdr:row>204</xdr:row>
                    <xdr:rowOff>9525</xdr:rowOff>
                  </from>
                  <to>
                    <xdr:col>4</xdr:col>
                    <xdr:colOff>219075</xdr:colOff>
                    <xdr:row>204</xdr:row>
                    <xdr:rowOff>171450</xdr:rowOff>
                  </to>
                </anchor>
              </controlPr>
            </control>
          </mc:Choice>
        </mc:AlternateContent>
        <mc:AlternateContent xmlns:mc="http://schemas.openxmlformats.org/markup-compatibility/2006">
          <mc:Choice Requires="x14">
            <control shapeId="2482" r:id="rId373" name="Button 434">
              <controlPr defaultSize="0" print="0" autoFill="0" autoPict="0" macro="[0]!Add_item">
                <anchor moveWithCells="1" sizeWithCells="1">
                  <from>
                    <xdr:col>4</xdr:col>
                    <xdr:colOff>57150</xdr:colOff>
                    <xdr:row>205</xdr:row>
                    <xdr:rowOff>9525</xdr:rowOff>
                  </from>
                  <to>
                    <xdr:col>4</xdr:col>
                    <xdr:colOff>219075</xdr:colOff>
                    <xdr:row>205</xdr:row>
                    <xdr:rowOff>171450</xdr:rowOff>
                  </to>
                </anchor>
              </controlPr>
            </control>
          </mc:Choice>
        </mc:AlternateContent>
        <mc:AlternateContent xmlns:mc="http://schemas.openxmlformats.org/markup-compatibility/2006">
          <mc:Choice Requires="x14">
            <control shapeId="2483" r:id="rId374" name="Button 435">
              <controlPr defaultSize="0" print="0" autoFill="0" autoPict="0" macro="[0]!Add_item">
                <anchor moveWithCells="1" sizeWithCells="1">
                  <from>
                    <xdr:col>4</xdr:col>
                    <xdr:colOff>57150</xdr:colOff>
                    <xdr:row>206</xdr:row>
                    <xdr:rowOff>9525</xdr:rowOff>
                  </from>
                  <to>
                    <xdr:col>4</xdr:col>
                    <xdr:colOff>219075</xdr:colOff>
                    <xdr:row>206</xdr:row>
                    <xdr:rowOff>171450</xdr:rowOff>
                  </to>
                </anchor>
              </controlPr>
            </control>
          </mc:Choice>
        </mc:AlternateContent>
        <mc:AlternateContent xmlns:mc="http://schemas.openxmlformats.org/markup-compatibility/2006">
          <mc:Choice Requires="x14">
            <control shapeId="2484" r:id="rId375" name="Button 436">
              <controlPr defaultSize="0" print="0" autoFill="0" autoPict="0" macro="[0]!Add_item">
                <anchor moveWithCells="1" sizeWithCells="1">
                  <from>
                    <xdr:col>4</xdr:col>
                    <xdr:colOff>57150</xdr:colOff>
                    <xdr:row>207</xdr:row>
                    <xdr:rowOff>9525</xdr:rowOff>
                  </from>
                  <to>
                    <xdr:col>4</xdr:col>
                    <xdr:colOff>219075</xdr:colOff>
                    <xdr:row>207</xdr:row>
                    <xdr:rowOff>171450</xdr:rowOff>
                  </to>
                </anchor>
              </controlPr>
            </control>
          </mc:Choice>
        </mc:AlternateContent>
        <mc:AlternateContent xmlns:mc="http://schemas.openxmlformats.org/markup-compatibility/2006">
          <mc:Choice Requires="x14">
            <control shapeId="2485" r:id="rId376" name="Button 437">
              <controlPr defaultSize="0" print="0" autoFill="0" autoPict="0" macro="[0]!Add_item">
                <anchor moveWithCells="1" sizeWithCells="1">
                  <from>
                    <xdr:col>4</xdr:col>
                    <xdr:colOff>57150</xdr:colOff>
                    <xdr:row>208</xdr:row>
                    <xdr:rowOff>9525</xdr:rowOff>
                  </from>
                  <to>
                    <xdr:col>4</xdr:col>
                    <xdr:colOff>219075</xdr:colOff>
                    <xdr:row>208</xdr:row>
                    <xdr:rowOff>171450</xdr:rowOff>
                  </to>
                </anchor>
              </controlPr>
            </control>
          </mc:Choice>
        </mc:AlternateContent>
        <mc:AlternateContent xmlns:mc="http://schemas.openxmlformats.org/markup-compatibility/2006">
          <mc:Choice Requires="x14">
            <control shapeId="2487" r:id="rId377" name="Button 439">
              <controlPr defaultSize="0" print="0" autoFill="0" autoPict="0" macro="[0]!Add_item">
                <anchor moveWithCells="1" sizeWithCells="1">
                  <from>
                    <xdr:col>4</xdr:col>
                    <xdr:colOff>57150</xdr:colOff>
                    <xdr:row>209</xdr:row>
                    <xdr:rowOff>9525</xdr:rowOff>
                  </from>
                  <to>
                    <xdr:col>4</xdr:col>
                    <xdr:colOff>219075</xdr:colOff>
                    <xdr:row>209</xdr:row>
                    <xdr:rowOff>171450</xdr:rowOff>
                  </to>
                </anchor>
              </controlPr>
            </control>
          </mc:Choice>
        </mc:AlternateContent>
        <mc:AlternateContent xmlns:mc="http://schemas.openxmlformats.org/markup-compatibility/2006">
          <mc:Choice Requires="x14">
            <control shapeId="2488" r:id="rId378" name="Button 440">
              <controlPr defaultSize="0" print="0" autoFill="0" autoPict="0" macro="[0]!Add_item">
                <anchor moveWithCells="1" sizeWithCells="1">
                  <from>
                    <xdr:col>4</xdr:col>
                    <xdr:colOff>57150</xdr:colOff>
                    <xdr:row>210</xdr:row>
                    <xdr:rowOff>9525</xdr:rowOff>
                  </from>
                  <to>
                    <xdr:col>4</xdr:col>
                    <xdr:colOff>219075</xdr:colOff>
                    <xdr:row>210</xdr:row>
                    <xdr:rowOff>171450</xdr:rowOff>
                  </to>
                </anchor>
              </controlPr>
            </control>
          </mc:Choice>
        </mc:AlternateContent>
        <mc:AlternateContent xmlns:mc="http://schemas.openxmlformats.org/markup-compatibility/2006">
          <mc:Choice Requires="x14">
            <control shapeId="2489" r:id="rId379" name="Button 441">
              <controlPr defaultSize="0" print="0" autoFill="0" autoPict="0" macro="[0]!Add_item">
                <anchor moveWithCells="1" sizeWithCells="1">
                  <from>
                    <xdr:col>4</xdr:col>
                    <xdr:colOff>57150</xdr:colOff>
                    <xdr:row>211</xdr:row>
                    <xdr:rowOff>9525</xdr:rowOff>
                  </from>
                  <to>
                    <xdr:col>4</xdr:col>
                    <xdr:colOff>219075</xdr:colOff>
                    <xdr:row>211</xdr:row>
                    <xdr:rowOff>171450</xdr:rowOff>
                  </to>
                </anchor>
              </controlPr>
            </control>
          </mc:Choice>
        </mc:AlternateContent>
        <mc:AlternateContent xmlns:mc="http://schemas.openxmlformats.org/markup-compatibility/2006">
          <mc:Choice Requires="x14">
            <control shapeId="2490" r:id="rId380" name="Button 442">
              <controlPr defaultSize="0" print="0" autoFill="0" autoPict="0" macro="[0]!Add_item">
                <anchor moveWithCells="1" sizeWithCells="1">
                  <from>
                    <xdr:col>4</xdr:col>
                    <xdr:colOff>57150</xdr:colOff>
                    <xdr:row>212</xdr:row>
                    <xdr:rowOff>9525</xdr:rowOff>
                  </from>
                  <to>
                    <xdr:col>4</xdr:col>
                    <xdr:colOff>219075</xdr:colOff>
                    <xdr:row>212</xdr:row>
                    <xdr:rowOff>171450</xdr:rowOff>
                  </to>
                </anchor>
              </controlPr>
            </control>
          </mc:Choice>
        </mc:AlternateContent>
        <mc:AlternateContent xmlns:mc="http://schemas.openxmlformats.org/markup-compatibility/2006">
          <mc:Choice Requires="x14">
            <control shapeId="2493" r:id="rId381" name="Button 445">
              <controlPr defaultSize="0" print="0" autoFill="0" autoPict="0" macro="[0]!Add_item">
                <anchor moveWithCells="1" sizeWithCells="1">
                  <from>
                    <xdr:col>4</xdr:col>
                    <xdr:colOff>57150</xdr:colOff>
                    <xdr:row>213</xdr:row>
                    <xdr:rowOff>9525</xdr:rowOff>
                  </from>
                  <to>
                    <xdr:col>4</xdr:col>
                    <xdr:colOff>219075</xdr:colOff>
                    <xdr:row>213</xdr:row>
                    <xdr:rowOff>171450</xdr:rowOff>
                  </to>
                </anchor>
              </controlPr>
            </control>
          </mc:Choice>
        </mc:AlternateContent>
        <mc:AlternateContent xmlns:mc="http://schemas.openxmlformats.org/markup-compatibility/2006">
          <mc:Choice Requires="x14">
            <control shapeId="2494" r:id="rId382" name="Button 446">
              <controlPr defaultSize="0" print="0" autoFill="0" autoPict="0" macro="[0]!Add_item">
                <anchor moveWithCells="1" sizeWithCells="1">
                  <from>
                    <xdr:col>4</xdr:col>
                    <xdr:colOff>57150</xdr:colOff>
                    <xdr:row>214</xdr:row>
                    <xdr:rowOff>9525</xdr:rowOff>
                  </from>
                  <to>
                    <xdr:col>4</xdr:col>
                    <xdr:colOff>219075</xdr:colOff>
                    <xdr:row>214</xdr:row>
                    <xdr:rowOff>171450</xdr:rowOff>
                  </to>
                </anchor>
              </controlPr>
            </control>
          </mc:Choice>
        </mc:AlternateContent>
        <mc:AlternateContent xmlns:mc="http://schemas.openxmlformats.org/markup-compatibility/2006">
          <mc:Choice Requires="x14">
            <control shapeId="2495" r:id="rId383" name="Button 447">
              <controlPr defaultSize="0" print="0" autoFill="0" autoPict="0" macro="[0]!Add_item">
                <anchor moveWithCells="1" sizeWithCells="1">
                  <from>
                    <xdr:col>4</xdr:col>
                    <xdr:colOff>57150</xdr:colOff>
                    <xdr:row>215</xdr:row>
                    <xdr:rowOff>9525</xdr:rowOff>
                  </from>
                  <to>
                    <xdr:col>4</xdr:col>
                    <xdr:colOff>219075</xdr:colOff>
                    <xdr:row>215</xdr:row>
                    <xdr:rowOff>171450</xdr:rowOff>
                  </to>
                </anchor>
              </controlPr>
            </control>
          </mc:Choice>
        </mc:AlternateContent>
        <mc:AlternateContent xmlns:mc="http://schemas.openxmlformats.org/markup-compatibility/2006">
          <mc:Choice Requires="x14">
            <control shapeId="2496" r:id="rId384" name="Button 448">
              <controlPr defaultSize="0" print="0" autoFill="0" autoPict="0" macro="[0]!Add_item">
                <anchor moveWithCells="1" sizeWithCells="1">
                  <from>
                    <xdr:col>4</xdr:col>
                    <xdr:colOff>57150</xdr:colOff>
                    <xdr:row>216</xdr:row>
                    <xdr:rowOff>9525</xdr:rowOff>
                  </from>
                  <to>
                    <xdr:col>4</xdr:col>
                    <xdr:colOff>219075</xdr:colOff>
                    <xdr:row>216</xdr:row>
                    <xdr:rowOff>171450</xdr:rowOff>
                  </to>
                </anchor>
              </controlPr>
            </control>
          </mc:Choice>
        </mc:AlternateContent>
        <mc:AlternateContent xmlns:mc="http://schemas.openxmlformats.org/markup-compatibility/2006">
          <mc:Choice Requires="x14">
            <control shapeId="2497" r:id="rId385" name="Button 449">
              <controlPr defaultSize="0" print="0" autoFill="0" autoPict="0" macro="[0]!Add_item">
                <anchor moveWithCells="1" sizeWithCells="1">
                  <from>
                    <xdr:col>4</xdr:col>
                    <xdr:colOff>57150</xdr:colOff>
                    <xdr:row>217</xdr:row>
                    <xdr:rowOff>9525</xdr:rowOff>
                  </from>
                  <to>
                    <xdr:col>4</xdr:col>
                    <xdr:colOff>219075</xdr:colOff>
                    <xdr:row>217</xdr:row>
                    <xdr:rowOff>171450</xdr:rowOff>
                  </to>
                </anchor>
              </controlPr>
            </control>
          </mc:Choice>
        </mc:AlternateContent>
        <mc:AlternateContent xmlns:mc="http://schemas.openxmlformats.org/markup-compatibility/2006">
          <mc:Choice Requires="x14">
            <control shapeId="2498" r:id="rId386" name="Button 450">
              <controlPr defaultSize="0" print="0" autoFill="0" autoPict="0" macro="[0]!Add_item">
                <anchor moveWithCells="1" sizeWithCells="1">
                  <from>
                    <xdr:col>4</xdr:col>
                    <xdr:colOff>57150</xdr:colOff>
                    <xdr:row>218</xdr:row>
                    <xdr:rowOff>9525</xdr:rowOff>
                  </from>
                  <to>
                    <xdr:col>4</xdr:col>
                    <xdr:colOff>219075</xdr:colOff>
                    <xdr:row>218</xdr:row>
                    <xdr:rowOff>171450</xdr:rowOff>
                  </to>
                </anchor>
              </controlPr>
            </control>
          </mc:Choice>
        </mc:AlternateContent>
        <mc:AlternateContent xmlns:mc="http://schemas.openxmlformats.org/markup-compatibility/2006">
          <mc:Choice Requires="x14">
            <control shapeId="2499" r:id="rId387" name="Button 451">
              <controlPr defaultSize="0" print="0" autoFill="0" autoPict="0" macro="[0]!Add_item">
                <anchor moveWithCells="1" sizeWithCells="1">
                  <from>
                    <xdr:col>4</xdr:col>
                    <xdr:colOff>57150</xdr:colOff>
                    <xdr:row>219</xdr:row>
                    <xdr:rowOff>9525</xdr:rowOff>
                  </from>
                  <to>
                    <xdr:col>4</xdr:col>
                    <xdr:colOff>219075</xdr:colOff>
                    <xdr:row>219</xdr:row>
                    <xdr:rowOff>171450</xdr:rowOff>
                  </to>
                </anchor>
              </controlPr>
            </control>
          </mc:Choice>
        </mc:AlternateContent>
        <mc:AlternateContent xmlns:mc="http://schemas.openxmlformats.org/markup-compatibility/2006">
          <mc:Choice Requires="x14">
            <control shapeId="2500" r:id="rId388" name="Button 452">
              <controlPr defaultSize="0" print="0" autoFill="0" autoPict="0" macro="[0]!Add_item">
                <anchor moveWithCells="1" sizeWithCells="1">
                  <from>
                    <xdr:col>4</xdr:col>
                    <xdr:colOff>57150</xdr:colOff>
                    <xdr:row>220</xdr:row>
                    <xdr:rowOff>9525</xdr:rowOff>
                  </from>
                  <to>
                    <xdr:col>4</xdr:col>
                    <xdr:colOff>219075</xdr:colOff>
                    <xdr:row>220</xdr:row>
                    <xdr:rowOff>171450</xdr:rowOff>
                  </to>
                </anchor>
              </controlPr>
            </control>
          </mc:Choice>
        </mc:AlternateContent>
        <mc:AlternateContent xmlns:mc="http://schemas.openxmlformats.org/markup-compatibility/2006">
          <mc:Choice Requires="x14">
            <control shapeId="2501" r:id="rId389" name="Button 453">
              <controlPr defaultSize="0" print="0" autoFill="0" autoPict="0" macro="[0]!Add_item">
                <anchor moveWithCells="1" sizeWithCells="1">
                  <from>
                    <xdr:col>4</xdr:col>
                    <xdr:colOff>57150</xdr:colOff>
                    <xdr:row>221</xdr:row>
                    <xdr:rowOff>9525</xdr:rowOff>
                  </from>
                  <to>
                    <xdr:col>4</xdr:col>
                    <xdr:colOff>219075</xdr:colOff>
                    <xdr:row>221</xdr:row>
                    <xdr:rowOff>171450</xdr:rowOff>
                  </to>
                </anchor>
              </controlPr>
            </control>
          </mc:Choice>
        </mc:AlternateContent>
        <mc:AlternateContent xmlns:mc="http://schemas.openxmlformats.org/markup-compatibility/2006">
          <mc:Choice Requires="x14">
            <control shapeId="2502" r:id="rId390" name="Button 454">
              <controlPr defaultSize="0" print="0" autoFill="0" autoPict="0" macro="[0]!Add_item">
                <anchor moveWithCells="1" sizeWithCells="1">
                  <from>
                    <xdr:col>4</xdr:col>
                    <xdr:colOff>57150</xdr:colOff>
                    <xdr:row>222</xdr:row>
                    <xdr:rowOff>9525</xdr:rowOff>
                  </from>
                  <to>
                    <xdr:col>4</xdr:col>
                    <xdr:colOff>219075</xdr:colOff>
                    <xdr:row>222</xdr:row>
                    <xdr:rowOff>171450</xdr:rowOff>
                  </to>
                </anchor>
              </controlPr>
            </control>
          </mc:Choice>
        </mc:AlternateContent>
        <mc:AlternateContent xmlns:mc="http://schemas.openxmlformats.org/markup-compatibility/2006">
          <mc:Choice Requires="x14">
            <control shapeId="2503" r:id="rId391" name="Button 455">
              <controlPr defaultSize="0" print="0" autoFill="0" autoPict="0" macro="[0]!Add_item">
                <anchor moveWithCells="1" sizeWithCells="1">
                  <from>
                    <xdr:col>4</xdr:col>
                    <xdr:colOff>57150</xdr:colOff>
                    <xdr:row>223</xdr:row>
                    <xdr:rowOff>9525</xdr:rowOff>
                  </from>
                  <to>
                    <xdr:col>4</xdr:col>
                    <xdr:colOff>219075</xdr:colOff>
                    <xdr:row>223</xdr:row>
                    <xdr:rowOff>171450</xdr:rowOff>
                  </to>
                </anchor>
              </controlPr>
            </control>
          </mc:Choice>
        </mc:AlternateContent>
        <mc:AlternateContent xmlns:mc="http://schemas.openxmlformats.org/markup-compatibility/2006">
          <mc:Choice Requires="x14">
            <control shapeId="2504" r:id="rId392" name="Button 456">
              <controlPr defaultSize="0" print="0" autoFill="0" autoPict="0" macro="[0]!Add_item">
                <anchor moveWithCells="1" sizeWithCells="1">
                  <from>
                    <xdr:col>4</xdr:col>
                    <xdr:colOff>57150</xdr:colOff>
                    <xdr:row>224</xdr:row>
                    <xdr:rowOff>9525</xdr:rowOff>
                  </from>
                  <to>
                    <xdr:col>4</xdr:col>
                    <xdr:colOff>219075</xdr:colOff>
                    <xdr:row>224</xdr:row>
                    <xdr:rowOff>171450</xdr:rowOff>
                  </to>
                </anchor>
              </controlPr>
            </control>
          </mc:Choice>
        </mc:AlternateContent>
        <mc:AlternateContent xmlns:mc="http://schemas.openxmlformats.org/markup-compatibility/2006">
          <mc:Choice Requires="x14">
            <control shapeId="2505" r:id="rId393" name="Button 457">
              <controlPr defaultSize="0" print="0" autoFill="0" autoPict="0" macro="[0]!Add_item">
                <anchor moveWithCells="1" sizeWithCells="1">
                  <from>
                    <xdr:col>4</xdr:col>
                    <xdr:colOff>57150</xdr:colOff>
                    <xdr:row>225</xdr:row>
                    <xdr:rowOff>9525</xdr:rowOff>
                  </from>
                  <to>
                    <xdr:col>4</xdr:col>
                    <xdr:colOff>219075</xdr:colOff>
                    <xdr:row>225</xdr:row>
                    <xdr:rowOff>171450</xdr:rowOff>
                  </to>
                </anchor>
              </controlPr>
            </control>
          </mc:Choice>
        </mc:AlternateContent>
        <mc:AlternateContent xmlns:mc="http://schemas.openxmlformats.org/markup-compatibility/2006">
          <mc:Choice Requires="x14">
            <control shapeId="2506" r:id="rId394" name="Button 458">
              <controlPr defaultSize="0" print="0" autoFill="0" autoPict="0" macro="[0]!Add_item">
                <anchor moveWithCells="1" sizeWithCells="1">
                  <from>
                    <xdr:col>4</xdr:col>
                    <xdr:colOff>57150</xdr:colOff>
                    <xdr:row>226</xdr:row>
                    <xdr:rowOff>9525</xdr:rowOff>
                  </from>
                  <to>
                    <xdr:col>4</xdr:col>
                    <xdr:colOff>219075</xdr:colOff>
                    <xdr:row>226</xdr:row>
                    <xdr:rowOff>171450</xdr:rowOff>
                  </to>
                </anchor>
              </controlPr>
            </control>
          </mc:Choice>
        </mc:AlternateContent>
        <mc:AlternateContent xmlns:mc="http://schemas.openxmlformats.org/markup-compatibility/2006">
          <mc:Choice Requires="x14">
            <control shapeId="2507" r:id="rId395" name="Button 459">
              <controlPr defaultSize="0" print="0" autoFill="0" autoPict="0" macro="[0]!Add_item">
                <anchor moveWithCells="1" sizeWithCells="1">
                  <from>
                    <xdr:col>4</xdr:col>
                    <xdr:colOff>57150</xdr:colOff>
                    <xdr:row>227</xdr:row>
                    <xdr:rowOff>9525</xdr:rowOff>
                  </from>
                  <to>
                    <xdr:col>4</xdr:col>
                    <xdr:colOff>219075</xdr:colOff>
                    <xdr:row>227</xdr:row>
                    <xdr:rowOff>171450</xdr:rowOff>
                  </to>
                </anchor>
              </controlPr>
            </control>
          </mc:Choice>
        </mc:AlternateContent>
        <mc:AlternateContent xmlns:mc="http://schemas.openxmlformats.org/markup-compatibility/2006">
          <mc:Choice Requires="x14">
            <control shapeId="2508" r:id="rId396" name="Button 460">
              <controlPr defaultSize="0" print="0" autoFill="0" autoPict="0" macro="[0]!Add_item">
                <anchor moveWithCells="1" sizeWithCells="1">
                  <from>
                    <xdr:col>4</xdr:col>
                    <xdr:colOff>57150</xdr:colOff>
                    <xdr:row>229</xdr:row>
                    <xdr:rowOff>9525</xdr:rowOff>
                  </from>
                  <to>
                    <xdr:col>4</xdr:col>
                    <xdr:colOff>219075</xdr:colOff>
                    <xdr:row>229</xdr:row>
                    <xdr:rowOff>171450</xdr:rowOff>
                  </to>
                </anchor>
              </controlPr>
            </control>
          </mc:Choice>
        </mc:AlternateContent>
        <mc:AlternateContent xmlns:mc="http://schemas.openxmlformats.org/markup-compatibility/2006">
          <mc:Choice Requires="x14">
            <control shapeId="2509" r:id="rId397" name="Button 461">
              <controlPr defaultSize="0" print="0" autoFill="0" autoPict="0" macro="[0]!Add_item">
                <anchor moveWithCells="1" sizeWithCells="1">
                  <from>
                    <xdr:col>4</xdr:col>
                    <xdr:colOff>57150</xdr:colOff>
                    <xdr:row>230</xdr:row>
                    <xdr:rowOff>9525</xdr:rowOff>
                  </from>
                  <to>
                    <xdr:col>4</xdr:col>
                    <xdr:colOff>219075</xdr:colOff>
                    <xdr:row>230</xdr:row>
                    <xdr:rowOff>171450</xdr:rowOff>
                  </to>
                </anchor>
              </controlPr>
            </control>
          </mc:Choice>
        </mc:AlternateContent>
        <mc:AlternateContent xmlns:mc="http://schemas.openxmlformats.org/markup-compatibility/2006">
          <mc:Choice Requires="x14">
            <control shapeId="2510" r:id="rId398" name="Button 462">
              <controlPr defaultSize="0" print="0" autoFill="0" autoPict="0" macro="[0]!Add_item">
                <anchor moveWithCells="1" sizeWithCells="1">
                  <from>
                    <xdr:col>4</xdr:col>
                    <xdr:colOff>57150</xdr:colOff>
                    <xdr:row>231</xdr:row>
                    <xdr:rowOff>9525</xdr:rowOff>
                  </from>
                  <to>
                    <xdr:col>4</xdr:col>
                    <xdr:colOff>219075</xdr:colOff>
                    <xdr:row>231</xdr:row>
                    <xdr:rowOff>171450</xdr:rowOff>
                  </to>
                </anchor>
              </controlPr>
            </control>
          </mc:Choice>
        </mc:AlternateContent>
        <mc:AlternateContent xmlns:mc="http://schemas.openxmlformats.org/markup-compatibility/2006">
          <mc:Choice Requires="x14">
            <control shapeId="2511" r:id="rId399" name="Button 463">
              <controlPr defaultSize="0" print="0" autoFill="0" autoPict="0" macro="[0]!Add_item">
                <anchor moveWithCells="1" sizeWithCells="1">
                  <from>
                    <xdr:col>4</xdr:col>
                    <xdr:colOff>57150</xdr:colOff>
                    <xdr:row>232</xdr:row>
                    <xdr:rowOff>9525</xdr:rowOff>
                  </from>
                  <to>
                    <xdr:col>4</xdr:col>
                    <xdr:colOff>219075</xdr:colOff>
                    <xdr:row>232</xdr:row>
                    <xdr:rowOff>171450</xdr:rowOff>
                  </to>
                </anchor>
              </controlPr>
            </control>
          </mc:Choice>
        </mc:AlternateContent>
        <mc:AlternateContent xmlns:mc="http://schemas.openxmlformats.org/markup-compatibility/2006">
          <mc:Choice Requires="x14">
            <control shapeId="2512" r:id="rId400" name="Button 464">
              <controlPr defaultSize="0" print="0" autoFill="0" autoPict="0" macro="[0]!Add_item">
                <anchor moveWithCells="1" sizeWithCells="1">
                  <from>
                    <xdr:col>4</xdr:col>
                    <xdr:colOff>57150</xdr:colOff>
                    <xdr:row>233</xdr:row>
                    <xdr:rowOff>9525</xdr:rowOff>
                  </from>
                  <to>
                    <xdr:col>4</xdr:col>
                    <xdr:colOff>219075</xdr:colOff>
                    <xdr:row>233</xdr:row>
                    <xdr:rowOff>171450</xdr:rowOff>
                  </to>
                </anchor>
              </controlPr>
            </control>
          </mc:Choice>
        </mc:AlternateContent>
        <mc:AlternateContent xmlns:mc="http://schemas.openxmlformats.org/markup-compatibility/2006">
          <mc:Choice Requires="x14">
            <control shapeId="2513" r:id="rId401" name="Button 465">
              <controlPr defaultSize="0" print="0" autoFill="0" autoPict="0" macro="[0]!Add_item">
                <anchor moveWithCells="1" sizeWithCells="1">
                  <from>
                    <xdr:col>4</xdr:col>
                    <xdr:colOff>57150</xdr:colOff>
                    <xdr:row>234</xdr:row>
                    <xdr:rowOff>9525</xdr:rowOff>
                  </from>
                  <to>
                    <xdr:col>4</xdr:col>
                    <xdr:colOff>219075</xdr:colOff>
                    <xdr:row>234</xdr:row>
                    <xdr:rowOff>171450</xdr:rowOff>
                  </to>
                </anchor>
              </controlPr>
            </control>
          </mc:Choice>
        </mc:AlternateContent>
        <mc:AlternateContent xmlns:mc="http://schemas.openxmlformats.org/markup-compatibility/2006">
          <mc:Choice Requires="x14">
            <control shapeId="2514" r:id="rId402" name="Button 466">
              <controlPr defaultSize="0" print="0" autoFill="0" autoPict="0" macro="[0]!Add_item">
                <anchor moveWithCells="1" sizeWithCells="1">
                  <from>
                    <xdr:col>4</xdr:col>
                    <xdr:colOff>57150</xdr:colOff>
                    <xdr:row>235</xdr:row>
                    <xdr:rowOff>9525</xdr:rowOff>
                  </from>
                  <to>
                    <xdr:col>4</xdr:col>
                    <xdr:colOff>219075</xdr:colOff>
                    <xdr:row>235</xdr:row>
                    <xdr:rowOff>171450</xdr:rowOff>
                  </to>
                </anchor>
              </controlPr>
            </control>
          </mc:Choice>
        </mc:AlternateContent>
        <mc:AlternateContent xmlns:mc="http://schemas.openxmlformats.org/markup-compatibility/2006">
          <mc:Choice Requires="x14">
            <control shapeId="2515" r:id="rId403" name="Button 467">
              <controlPr defaultSize="0" print="0" autoFill="0" autoPict="0" macro="[0]!Add_item">
                <anchor moveWithCells="1" sizeWithCells="1">
                  <from>
                    <xdr:col>4</xdr:col>
                    <xdr:colOff>57150</xdr:colOff>
                    <xdr:row>236</xdr:row>
                    <xdr:rowOff>9525</xdr:rowOff>
                  </from>
                  <to>
                    <xdr:col>4</xdr:col>
                    <xdr:colOff>219075</xdr:colOff>
                    <xdr:row>236</xdr:row>
                    <xdr:rowOff>171450</xdr:rowOff>
                  </to>
                </anchor>
              </controlPr>
            </control>
          </mc:Choice>
        </mc:AlternateContent>
        <mc:AlternateContent xmlns:mc="http://schemas.openxmlformats.org/markup-compatibility/2006">
          <mc:Choice Requires="x14">
            <control shapeId="2516" r:id="rId404" name="Button 468">
              <controlPr defaultSize="0" print="0" autoFill="0" autoPict="0" macro="[0]!Add_item">
                <anchor moveWithCells="1" sizeWithCells="1">
                  <from>
                    <xdr:col>4</xdr:col>
                    <xdr:colOff>57150</xdr:colOff>
                    <xdr:row>237</xdr:row>
                    <xdr:rowOff>9525</xdr:rowOff>
                  </from>
                  <to>
                    <xdr:col>4</xdr:col>
                    <xdr:colOff>219075</xdr:colOff>
                    <xdr:row>237</xdr:row>
                    <xdr:rowOff>171450</xdr:rowOff>
                  </to>
                </anchor>
              </controlPr>
            </control>
          </mc:Choice>
        </mc:AlternateContent>
        <mc:AlternateContent xmlns:mc="http://schemas.openxmlformats.org/markup-compatibility/2006">
          <mc:Choice Requires="x14">
            <control shapeId="2517" r:id="rId405" name="Button 469">
              <controlPr defaultSize="0" print="0" autoFill="0" autoPict="0" macro="[0]!Add_item">
                <anchor moveWithCells="1" sizeWithCells="1">
                  <from>
                    <xdr:col>4</xdr:col>
                    <xdr:colOff>57150</xdr:colOff>
                    <xdr:row>238</xdr:row>
                    <xdr:rowOff>19050</xdr:rowOff>
                  </from>
                  <to>
                    <xdr:col>4</xdr:col>
                    <xdr:colOff>219075</xdr:colOff>
                    <xdr:row>238</xdr:row>
                    <xdr:rowOff>180975</xdr:rowOff>
                  </to>
                </anchor>
              </controlPr>
            </control>
          </mc:Choice>
        </mc:AlternateContent>
        <mc:AlternateContent xmlns:mc="http://schemas.openxmlformats.org/markup-compatibility/2006">
          <mc:Choice Requires="x14">
            <control shapeId="2518" r:id="rId406" name="Button 470">
              <controlPr defaultSize="0" print="0" autoFill="0" autoPict="0" macro="[0]!Add_item">
                <anchor moveWithCells="1" sizeWithCells="1">
                  <from>
                    <xdr:col>4</xdr:col>
                    <xdr:colOff>57150</xdr:colOff>
                    <xdr:row>239</xdr:row>
                    <xdr:rowOff>9525</xdr:rowOff>
                  </from>
                  <to>
                    <xdr:col>4</xdr:col>
                    <xdr:colOff>219075</xdr:colOff>
                    <xdr:row>239</xdr:row>
                    <xdr:rowOff>171450</xdr:rowOff>
                  </to>
                </anchor>
              </controlPr>
            </control>
          </mc:Choice>
        </mc:AlternateContent>
        <mc:AlternateContent xmlns:mc="http://schemas.openxmlformats.org/markup-compatibility/2006">
          <mc:Choice Requires="x14">
            <control shapeId="2519" r:id="rId407" name="Button 471">
              <controlPr defaultSize="0" print="0" autoFill="0" autoPict="0" macro="[0]!Add_item">
                <anchor moveWithCells="1" sizeWithCells="1">
                  <from>
                    <xdr:col>4</xdr:col>
                    <xdr:colOff>57150</xdr:colOff>
                    <xdr:row>240</xdr:row>
                    <xdr:rowOff>9525</xdr:rowOff>
                  </from>
                  <to>
                    <xdr:col>4</xdr:col>
                    <xdr:colOff>219075</xdr:colOff>
                    <xdr:row>240</xdr:row>
                    <xdr:rowOff>171450</xdr:rowOff>
                  </to>
                </anchor>
              </controlPr>
            </control>
          </mc:Choice>
        </mc:AlternateContent>
        <mc:AlternateContent xmlns:mc="http://schemas.openxmlformats.org/markup-compatibility/2006">
          <mc:Choice Requires="x14">
            <control shapeId="2520" r:id="rId408" name="Button 472">
              <controlPr defaultSize="0" print="0" autoFill="0" autoPict="0" macro="[0]!Add_item">
                <anchor moveWithCells="1" sizeWithCells="1">
                  <from>
                    <xdr:col>4</xdr:col>
                    <xdr:colOff>57150</xdr:colOff>
                    <xdr:row>241</xdr:row>
                    <xdr:rowOff>9525</xdr:rowOff>
                  </from>
                  <to>
                    <xdr:col>4</xdr:col>
                    <xdr:colOff>219075</xdr:colOff>
                    <xdr:row>241</xdr:row>
                    <xdr:rowOff>171450</xdr:rowOff>
                  </to>
                </anchor>
              </controlPr>
            </control>
          </mc:Choice>
        </mc:AlternateContent>
        <mc:AlternateContent xmlns:mc="http://schemas.openxmlformats.org/markup-compatibility/2006">
          <mc:Choice Requires="x14">
            <control shapeId="2521" r:id="rId409" name="Button 473">
              <controlPr defaultSize="0" print="0" autoFill="0" autoPict="0" macro="[0]!Add_item">
                <anchor moveWithCells="1" sizeWithCells="1">
                  <from>
                    <xdr:col>4</xdr:col>
                    <xdr:colOff>57150</xdr:colOff>
                    <xdr:row>242</xdr:row>
                    <xdr:rowOff>9525</xdr:rowOff>
                  </from>
                  <to>
                    <xdr:col>4</xdr:col>
                    <xdr:colOff>219075</xdr:colOff>
                    <xdr:row>242</xdr:row>
                    <xdr:rowOff>171450</xdr:rowOff>
                  </to>
                </anchor>
              </controlPr>
            </control>
          </mc:Choice>
        </mc:AlternateContent>
        <mc:AlternateContent xmlns:mc="http://schemas.openxmlformats.org/markup-compatibility/2006">
          <mc:Choice Requires="x14">
            <control shapeId="2522" r:id="rId410" name="Button 474">
              <controlPr defaultSize="0" print="0" autoFill="0" autoPict="0" macro="[0]!Add_item">
                <anchor moveWithCells="1" sizeWithCells="1">
                  <from>
                    <xdr:col>4</xdr:col>
                    <xdr:colOff>57150</xdr:colOff>
                    <xdr:row>243</xdr:row>
                    <xdr:rowOff>9525</xdr:rowOff>
                  </from>
                  <to>
                    <xdr:col>4</xdr:col>
                    <xdr:colOff>219075</xdr:colOff>
                    <xdr:row>243</xdr:row>
                    <xdr:rowOff>171450</xdr:rowOff>
                  </to>
                </anchor>
              </controlPr>
            </control>
          </mc:Choice>
        </mc:AlternateContent>
        <mc:AlternateContent xmlns:mc="http://schemas.openxmlformats.org/markup-compatibility/2006">
          <mc:Choice Requires="x14">
            <control shapeId="2523" r:id="rId411" name="Button 475">
              <controlPr defaultSize="0" print="0" autoFill="0" autoPict="0" macro="[0]!Add_item">
                <anchor moveWithCells="1" sizeWithCells="1">
                  <from>
                    <xdr:col>4</xdr:col>
                    <xdr:colOff>57150</xdr:colOff>
                    <xdr:row>244</xdr:row>
                    <xdr:rowOff>9525</xdr:rowOff>
                  </from>
                  <to>
                    <xdr:col>4</xdr:col>
                    <xdr:colOff>219075</xdr:colOff>
                    <xdr:row>244</xdr:row>
                    <xdr:rowOff>171450</xdr:rowOff>
                  </to>
                </anchor>
              </controlPr>
            </control>
          </mc:Choice>
        </mc:AlternateContent>
        <mc:AlternateContent xmlns:mc="http://schemas.openxmlformats.org/markup-compatibility/2006">
          <mc:Choice Requires="x14">
            <control shapeId="2524" r:id="rId412" name="Button 476">
              <controlPr defaultSize="0" print="0" autoFill="0" autoPict="0" macro="[0]!Add_item">
                <anchor moveWithCells="1" sizeWithCells="1">
                  <from>
                    <xdr:col>4</xdr:col>
                    <xdr:colOff>57150</xdr:colOff>
                    <xdr:row>245</xdr:row>
                    <xdr:rowOff>9525</xdr:rowOff>
                  </from>
                  <to>
                    <xdr:col>4</xdr:col>
                    <xdr:colOff>219075</xdr:colOff>
                    <xdr:row>245</xdr:row>
                    <xdr:rowOff>171450</xdr:rowOff>
                  </to>
                </anchor>
              </controlPr>
            </control>
          </mc:Choice>
        </mc:AlternateContent>
        <mc:AlternateContent xmlns:mc="http://schemas.openxmlformats.org/markup-compatibility/2006">
          <mc:Choice Requires="x14">
            <control shapeId="2525" r:id="rId413" name="Button 477">
              <controlPr defaultSize="0" print="0" autoFill="0" autoPict="0" macro="[0]!Add_item">
                <anchor moveWithCells="1" sizeWithCells="1">
                  <from>
                    <xdr:col>4</xdr:col>
                    <xdr:colOff>57150</xdr:colOff>
                    <xdr:row>246</xdr:row>
                    <xdr:rowOff>9525</xdr:rowOff>
                  </from>
                  <to>
                    <xdr:col>4</xdr:col>
                    <xdr:colOff>219075</xdr:colOff>
                    <xdr:row>246</xdr:row>
                    <xdr:rowOff>171450</xdr:rowOff>
                  </to>
                </anchor>
              </controlPr>
            </control>
          </mc:Choice>
        </mc:AlternateContent>
        <mc:AlternateContent xmlns:mc="http://schemas.openxmlformats.org/markup-compatibility/2006">
          <mc:Choice Requires="x14">
            <control shapeId="2526" r:id="rId414" name="Button 478">
              <controlPr defaultSize="0" print="0" autoFill="0" autoPict="0" macro="[0]!Add_item">
                <anchor moveWithCells="1" sizeWithCells="1">
                  <from>
                    <xdr:col>4</xdr:col>
                    <xdr:colOff>57150</xdr:colOff>
                    <xdr:row>247</xdr:row>
                    <xdr:rowOff>9525</xdr:rowOff>
                  </from>
                  <to>
                    <xdr:col>4</xdr:col>
                    <xdr:colOff>219075</xdr:colOff>
                    <xdr:row>247</xdr:row>
                    <xdr:rowOff>171450</xdr:rowOff>
                  </to>
                </anchor>
              </controlPr>
            </control>
          </mc:Choice>
        </mc:AlternateContent>
        <mc:AlternateContent xmlns:mc="http://schemas.openxmlformats.org/markup-compatibility/2006">
          <mc:Choice Requires="x14">
            <control shapeId="2527" r:id="rId415" name="Button 479">
              <controlPr defaultSize="0" print="0" autoFill="0" autoPict="0" macro="[0]!Add_item">
                <anchor moveWithCells="1" sizeWithCells="1">
                  <from>
                    <xdr:col>4</xdr:col>
                    <xdr:colOff>57150</xdr:colOff>
                    <xdr:row>248</xdr:row>
                    <xdr:rowOff>9525</xdr:rowOff>
                  </from>
                  <to>
                    <xdr:col>4</xdr:col>
                    <xdr:colOff>219075</xdr:colOff>
                    <xdr:row>248</xdr:row>
                    <xdr:rowOff>171450</xdr:rowOff>
                  </to>
                </anchor>
              </controlPr>
            </control>
          </mc:Choice>
        </mc:AlternateContent>
        <mc:AlternateContent xmlns:mc="http://schemas.openxmlformats.org/markup-compatibility/2006">
          <mc:Choice Requires="x14">
            <control shapeId="2528" r:id="rId416" name="Button 480">
              <controlPr defaultSize="0" print="0" autoFill="0" autoPict="0" macro="[0]!Add_item">
                <anchor moveWithCells="1" sizeWithCells="1">
                  <from>
                    <xdr:col>4</xdr:col>
                    <xdr:colOff>57150</xdr:colOff>
                    <xdr:row>249</xdr:row>
                    <xdr:rowOff>9525</xdr:rowOff>
                  </from>
                  <to>
                    <xdr:col>4</xdr:col>
                    <xdr:colOff>219075</xdr:colOff>
                    <xdr:row>249</xdr:row>
                    <xdr:rowOff>171450</xdr:rowOff>
                  </to>
                </anchor>
              </controlPr>
            </control>
          </mc:Choice>
        </mc:AlternateContent>
        <mc:AlternateContent xmlns:mc="http://schemas.openxmlformats.org/markup-compatibility/2006">
          <mc:Choice Requires="x14">
            <control shapeId="2529" r:id="rId417" name="Button 481">
              <controlPr defaultSize="0" print="0" autoFill="0" autoPict="0" macro="[0]!Add_item">
                <anchor moveWithCells="1" sizeWithCells="1">
                  <from>
                    <xdr:col>4</xdr:col>
                    <xdr:colOff>57150</xdr:colOff>
                    <xdr:row>250</xdr:row>
                    <xdr:rowOff>9525</xdr:rowOff>
                  </from>
                  <to>
                    <xdr:col>4</xdr:col>
                    <xdr:colOff>219075</xdr:colOff>
                    <xdr:row>250</xdr:row>
                    <xdr:rowOff>171450</xdr:rowOff>
                  </to>
                </anchor>
              </controlPr>
            </control>
          </mc:Choice>
        </mc:AlternateContent>
        <mc:AlternateContent xmlns:mc="http://schemas.openxmlformats.org/markup-compatibility/2006">
          <mc:Choice Requires="x14">
            <control shapeId="2530" r:id="rId418" name="Button 482">
              <controlPr defaultSize="0" print="0" autoFill="0" autoPict="0" macro="[0]!Add_item">
                <anchor moveWithCells="1" sizeWithCells="1">
                  <from>
                    <xdr:col>4</xdr:col>
                    <xdr:colOff>57150</xdr:colOff>
                    <xdr:row>251</xdr:row>
                    <xdr:rowOff>9525</xdr:rowOff>
                  </from>
                  <to>
                    <xdr:col>4</xdr:col>
                    <xdr:colOff>219075</xdr:colOff>
                    <xdr:row>251</xdr:row>
                    <xdr:rowOff>171450</xdr:rowOff>
                  </to>
                </anchor>
              </controlPr>
            </control>
          </mc:Choice>
        </mc:AlternateContent>
        <mc:AlternateContent xmlns:mc="http://schemas.openxmlformats.org/markup-compatibility/2006">
          <mc:Choice Requires="x14">
            <control shapeId="2531" r:id="rId419" name="Button 483">
              <controlPr defaultSize="0" print="0" autoFill="0" autoPict="0" macro="[0]!Add_item">
                <anchor moveWithCells="1" sizeWithCells="1">
                  <from>
                    <xdr:col>4</xdr:col>
                    <xdr:colOff>57150</xdr:colOff>
                    <xdr:row>252</xdr:row>
                    <xdr:rowOff>9525</xdr:rowOff>
                  </from>
                  <to>
                    <xdr:col>4</xdr:col>
                    <xdr:colOff>219075</xdr:colOff>
                    <xdr:row>252</xdr:row>
                    <xdr:rowOff>171450</xdr:rowOff>
                  </to>
                </anchor>
              </controlPr>
            </control>
          </mc:Choice>
        </mc:AlternateContent>
        <mc:AlternateContent xmlns:mc="http://schemas.openxmlformats.org/markup-compatibility/2006">
          <mc:Choice Requires="x14">
            <control shapeId="2532" r:id="rId420" name="Button 484">
              <controlPr defaultSize="0" print="0" autoFill="0" autoPict="0" macro="[0]!Add_item">
                <anchor moveWithCells="1" sizeWithCells="1">
                  <from>
                    <xdr:col>4</xdr:col>
                    <xdr:colOff>57150</xdr:colOff>
                    <xdr:row>253</xdr:row>
                    <xdr:rowOff>19050</xdr:rowOff>
                  </from>
                  <to>
                    <xdr:col>4</xdr:col>
                    <xdr:colOff>219075</xdr:colOff>
                    <xdr:row>253</xdr:row>
                    <xdr:rowOff>180975</xdr:rowOff>
                  </to>
                </anchor>
              </controlPr>
            </control>
          </mc:Choice>
        </mc:AlternateContent>
        <mc:AlternateContent xmlns:mc="http://schemas.openxmlformats.org/markup-compatibility/2006">
          <mc:Choice Requires="x14">
            <control shapeId="2533" r:id="rId421" name="Button 485">
              <controlPr defaultSize="0" print="0" autoFill="0" autoPict="0" macro="[0]!Add_item">
                <anchor moveWithCells="1" sizeWithCells="1">
                  <from>
                    <xdr:col>4</xdr:col>
                    <xdr:colOff>57150</xdr:colOff>
                    <xdr:row>253</xdr:row>
                    <xdr:rowOff>9525</xdr:rowOff>
                  </from>
                  <to>
                    <xdr:col>4</xdr:col>
                    <xdr:colOff>219075</xdr:colOff>
                    <xdr:row>253</xdr:row>
                    <xdr:rowOff>171450</xdr:rowOff>
                  </to>
                </anchor>
              </controlPr>
            </control>
          </mc:Choice>
        </mc:AlternateContent>
        <mc:AlternateContent xmlns:mc="http://schemas.openxmlformats.org/markup-compatibility/2006">
          <mc:Choice Requires="x14">
            <control shapeId="2534" r:id="rId422" name="Button 486">
              <controlPr defaultSize="0" print="0" autoFill="0" autoPict="0" macro="[0]!Add_item">
                <anchor moveWithCells="1" sizeWithCells="1">
                  <from>
                    <xdr:col>4</xdr:col>
                    <xdr:colOff>57150</xdr:colOff>
                    <xdr:row>254</xdr:row>
                    <xdr:rowOff>9525</xdr:rowOff>
                  </from>
                  <to>
                    <xdr:col>4</xdr:col>
                    <xdr:colOff>219075</xdr:colOff>
                    <xdr:row>254</xdr:row>
                    <xdr:rowOff>171450</xdr:rowOff>
                  </to>
                </anchor>
              </controlPr>
            </control>
          </mc:Choice>
        </mc:AlternateContent>
        <mc:AlternateContent xmlns:mc="http://schemas.openxmlformats.org/markup-compatibility/2006">
          <mc:Choice Requires="x14">
            <control shapeId="2535" r:id="rId423" name="Button 487">
              <controlPr defaultSize="0" print="0" autoFill="0" autoPict="0" macro="[0]!Add_item">
                <anchor moveWithCells="1" sizeWithCells="1">
                  <from>
                    <xdr:col>4</xdr:col>
                    <xdr:colOff>57150</xdr:colOff>
                    <xdr:row>255</xdr:row>
                    <xdr:rowOff>9525</xdr:rowOff>
                  </from>
                  <to>
                    <xdr:col>4</xdr:col>
                    <xdr:colOff>219075</xdr:colOff>
                    <xdr:row>255</xdr:row>
                    <xdr:rowOff>171450</xdr:rowOff>
                  </to>
                </anchor>
              </controlPr>
            </control>
          </mc:Choice>
        </mc:AlternateContent>
        <mc:AlternateContent xmlns:mc="http://schemas.openxmlformats.org/markup-compatibility/2006">
          <mc:Choice Requires="x14">
            <control shapeId="2536" r:id="rId424" name="Button 488">
              <controlPr defaultSize="0" print="0" autoFill="0" autoPict="0" macro="[0]!Add_item">
                <anchor moveWithCells="1" sizeWithCells="1">
                  <from>
                    <xdr:col>4</xdr:col>
                    <xdr:colOff>57150</xdr:colOff>
                    <xdr:row>256</xdr:row>
                    <xdr:rowOff>9525</xdr:rowOff>
                  </from>
                  <to>
                    <xdr:col>4</xdr:col>
                    <xdr:colOff>219075</xdr:colOff>
                    <xdr:row>256</xdr:row>
                    <xdr:rowOff>171450</xdr:rowOff>
                  </to>
                </anchor>
              </controlPr>
            </control>
          </mc:Choice>
        </mc:AlternateContent>
        <mc:AlternateContent xmlns:mc="http://schemas.openxmlformats.org/markup-compatibility/2006">
          <mc:Choice Requires="x14">
            <control shapeId="2537" r:id="rId425" name="Button 489">
              <controlPr defaultSize="0" print="0" autoFill="0" autoPict="0" macro="[0]!Add_item">
                <anchor moveWithCells="1" sizeWithCells="1">
                  <from>
                    <xdr:col>4</xdr:col>
                    <xdr:colOff>57150</xdr:colOff>
                    <xdr:row>257</xdr:row>
                    <xdr:rowOff>9525</xdr:rowOff>
                  </from>
                  <to>
                    <xdr:col>4</xdr:col>
                    <xdr:colOff>219075</xdr:colOff>
                    <xdr:row>257</xdr:row>
                    <xdr:rowOff>171450</xdr:rowOff>
                  </to>
                </anchor>
              </controlPr>
            </control>
          </mc:Choice>
        </mc:AlternateContent>
        <mc:AlternateContent xmlns:mc="http://schemas.openxmlformats.org/markup-compatibility/2006">
          <mc:Choice Requires="x14">
            <control shapeId="2538" r:id="rId426" name="Button 490">
              <controlPr defaultSize="0" print="0" autoFill="0" autoPict="0" macro="[0]!Add_item">
                <anchor moveWithCells="1" sizeWithCells="1">
                  <from>
                    <xdr:col>4</xdr:col>
                    <xdr:colOff>57150</xdr:colOff>
                    <xdr:row>258</xdr:row>
                    <xdr:rowOff>9525</xdr:rowOff>
                  </from>
                  <to>
                    <xdr:col>4</xdr:col>
                    <xdr:colOff>219075</xdr:colOff>
                    <xdr:row>258</xdr:row>
                    <xdr:rowOff>171450</xdr:rowOff>
                  </to>
                </anchor>
              </controlPr>
            </control>
          </mc:Choice>
        </mc:AlternateContent>
      </controls>
    </mc:Choice>
  </mc:AlternateContent>
  <tableParts count="1">
    <tablePart r:id="rId427"/>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Categorias!$M$9:$M$27</xm:f>
          </x14:formula1>
          <xm:sqref>A7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C00000"/>
  </sheetPr>
  <dimension ref="A1:I1868"/>
  <sheetViews>
    <sheetView showGridLines="0" workbookViewId="0">
      <pane xSplit="2" ySplit="2" topLeftCell="C3" activePane="bottomRight" state="frozen"/>
      <selection pane="topRight" activeCell="C1" sqref="C1"/>
      <selection pane="bottomLeft" activeCell="A3" sqref="A3"/>
      <selection pane="bottomRight" activeCell="D10" sqref="D10"/>
    </sheetView>
  </sheetViews>
  <sheetFormatPr defaultRowHeight="15" x14ac:dyDescent="0.25"/>
  <cols>
    <col min="1" max="1" width="30.42578125" style="24" customWidth="1"/>
    <col min="2" max="2" width="2.5703125" style="24" customWidth="1"/>
    <col min="3" max="3" width="2.28515625" customWidth="1"/>
    <col min="4" max="4" width="24" customWidth="1"/>
    <col min="5" max="5" width="11" bestFit="1" customWidth="1"/>
    <col min="6" max="6" width="33.42578125" customWidth="1"/>
    <col min="8" max="8" width="23.140625" customWidth="1"/>
    <col min="9" max="9" width="22.7109375" customWidth="1"/>
    <col min="11" max="11" width="10" bestFit="1" customWidth="1"/>
    <col min="13" max="13" width="12" bestFit="1" customWidth="1"/>
  </cols>
  <sheetData>
    <row r="1" spans="1:9" ht="21" customHeight="1" x14ac:dyDescent="0.35">
      <c r="D1" s="27" t="s">
        <v>102</v>
      </c>
      <c r="E1" s="82" t="str">
        <f>A7</f>
        <v>Savegnago Maffei</v>
      </c>
      <c r="F1" s="83"/>
    </row>
    <row r="2" spans="1:9" x14ac:dyDescent="0.25">
      <c r="D2" s="24"/>
      <c r="E2" s="24"/>
      <c r="F2" s="24"/>
      <c r="G2" s="24"/>
      <c r="H2" s="24"/>
    </row>
    <row r="3" spans="1:9" x14ac:dyDescent="0.25">
      <c r="A3" s="84" t="s">
        <v>101</v>
      </c>
      <c r="B3" s="84"/>
      <c r="C3" s="36"/>
    </row>
    <row r="4" spans="1:9" x14ac:dyDescent="0.25">
      <c r="A4" s="27"/>
      <c r="B4" s="27"/>
      <c r="D4" s="39" t="s">
        <v>385</v>
      </c>
      <c r="F4" t="s">
        <v>26</v>
      </c>
      <c r="G4" t="s">
        <v>236</v>
      </c>
      <c r="H4" t="s">
        <v>1196</v>
      </c>
      <c r="I4" s="24" t="s">
        <v>416</v>
      </c>
    </row>
    <row r="5" spans="1:9" x14ac:dyDescent="0.25">
      <c r="A5" s="27"/>
      <c r="B5" s="27"/>
      <c r="D5" s="45"/>
      <c r="F5" s="67" t="s">
        <v>62</v>
      </c>
      <c r="G5" s="24">
        <v>1</v>
      </c>
      <c r="H5" s="24" t="s">
        <v>1328</v>
      </c>
      <c r="I5" s="46">
        <v>43358.90315972222</v>
      </c>
    </row>
    <row r="6" spans="1:9" x14ac:dyDescent="0.25">
      <c r="A6" s="84" t="s">
        <v>103</v>
      </c>
      <c r="B6" s="84"/>
      <c r="E6" s="40"/>
      <c r="F6" s="67" t="s">
        <v>121</v>
      </c>
      <c r="G6" s="24">
        <v>1</v>
      </c>
      <c r="H6" s="24" t="s">
        <v>1328</v>
      </c>
      <c r="I6" s="46">
        <v>43358.903067129628</v>
      </c>
    </row>
    <row r="7" spans="1:9" x14ac:dyDescent="0.25">
      <c r="A7" s="20" t="s">
        <v>1322</v>
      </c>
      <c r="B7" s="21"/>
      <c r="D7" s="39" t="s">
        <v>391</v>
      </c>
      <c r="F7" s="67" t="s">
        <v>160</v>
      </c>
      <c r="G7" s="24">
        <v>1</v>
      </c>
      <c r="H7" s="24" t="s">
        <v>1328</v>
      </c>
      <c r="I7" s="46">
        <v>43358.902951388889</v>
      </c>
    </row>
    <row r="8" spans="1:9" x14ac:dyDescent="0.25">
      <c r="D8" s="45"/>
      <c r="F8" s="67" t="s">
        <v>266</v>
      </c>
      <c r="G8" s="24">
        <v>1</v>
      </c>
      <c r="H8" s="24" t="s">
        <v>1328</v>
      </c>
      <c r="I8" s="46">
        <v>43358.902824074074</v>
      </c>
    </row>
    <row r="9" spans="1:9" x14ac:dyDescent="0.25">
      <c r="A9" s="85" t="s">
        <v>104</v>
      </c>
      <c r="B9" s="85"/>
      <c r="F9" s="67" t="s">
        <v>266</v>
      </c>
      <c r="G9" s="24">
        <v>1</v>
      </c>
      <c r="H9" s="24" t="s">
        <v>1328</v>
      </c>
      <c r="I9" s="46">
        <v>43358.902592592596</v>
      </c>
    </row>
    <row r="10" spans="1:9" x14ac:dyDescent="0.25">
      <c r="B10" s="14"/>
      <c r="D10" s="44" t="s">
        <v>1865</v>
      </c>
      <c r="F10" s="67" t="s">
        <v>146</v>
      </c>
      <c r="G10" s="24">
        <v>1</v>
      </c>
      <c r="H10" s="24" t="s">
        <v>1328</v>
      </c>
      <c r="I10" s="46">
        <v>43358.902118055557</v>
      </c>
    </row>
    <row r="11" spans="1:9" x14ac:dyDescent="0.25">
      <c r="F11" s="67" t="s">
        <v>168</v>
      </c>
      <c r="G11" s="24">
        <v>1</v>
      </c>
      <c r="H11" s="24" t="s">
        <v>1328</v>
      </c>
      <c r="I11" s="46">
        <v>43358.902002314811</v>
      </c>
    </row>
    <row r="12" spans="1:9" x14ac:dyDescent="0.25">
      <c r="D12" s="40"/>
      <c r="F12" s="67" t="s">
        <v>168</v>
      </c>
      <c r="G12" s="24">
        <v>1</v>
      </c>
      <c r="H12" s="24" t="s">
        <v>1328</v>
      </c>
      <c r="I12" s="46">
        <v>43358.901886574073</v>
      </c>
    </row>
    <row r="13" spans="1:9" x14ac:dyDescent="0.25">
      <c r="F13" s="67" t="s">
        <v>29</v>
      </c>
      <c r="G13" s="24">
        <v>2</v>
      </c>
      <c r="H13" s="24" t="s">
        <v>1328</v>
      </c>
      <c r="I13" s="46">
        <v>43358.901504629626</v>
      </c>
    </row>
    <row r="14" spans="1:9" x14ac:dyDescent="0.25">
      <c r="F14" s="67" t="s">
        <v>1333</v>
      </c>
      <c r="G14" s="24">
        <v>1</v>
      </c>
      <c r="H14" s="24" t="s">
        <v>1328</v>
      </c>
      <c r="I14" s="46">
        <v>43358.901388888888</v>
      </c>
    </row>
    <row r="15" spans="1:9" x14ac:dyDescent="0.25">
      <c r="D15" s="36"/>
      <c r="F15" s="67" t="s">
        <v>149</v>
      </c>
      <c r="G15" s="24">
        <v>3</v>
      </c>
      <c r="H15" s="24" t="s">
        <v>1328</v>
      </c>
      <c r="I15" s="46">
        <v>43358.901134259257</v>
      </c>
    </row>
    <row r="16" spans="1:9" x14ac:dyDescent="0.25">
      <c r="F16" s="67" t="s">
        <v>21</v>
      </c>
      <c r="G16" s="24">
        <v>2</v>
      </c>
      <c r="H16" s="24" t="s">
        <v>1328</v>
      </c>
      <c r="I16" s="46">
        <v>43358.90084490741</v>
      </c>
    </row>
    <row r="17" spans="6:9" x14ac:dyDescent="0.25">
      <c r="F17" s="67" t="s">
        <v>39</v>
      </c>
      <c r="G17" s="24">
        <v>5</v>
      </c>
      <c r="H17" s="24" t="s">
        <v>1328</v>
      </c>
      <c r="I17" s="46">
        <v>43358.900601851848</v>
      </c>
    </row>
    <row r="18" spans="6:9" x14ac:dyDescent="0.25">
      <c r="F18" s="67" t="s">
        <v>369</v>
      </c>
      <c r="G18" s="24">
        <v>4</v>
      </c>
      <c r="H18" s="24" t="s">
        <v>1328</v>
      </c>
      <c r="I18" s="46">
        <v>43358.90042824074</v>
      </c>
    </row>
    <row r="19" spans="6:9" x14ac:dyDescent="0.25">
      <c r="F19" s="67" t="s">
        <v>50</v>
      </c>
      <c r="G19" s="24">
        <v>1</v>
      </c>
      <c r="H19" s="24" t="s">
        <v>1328</v>
      </c>
      <c r="I19" s="46">
        <v>43358.899930555555</v>
      </c>
    </row>
    <row r="20" spans="6:9" x14ac:dyDescent="0.25">
      <c r="F20" s="67" t="s">
        <v>53</v>
      </c>
      <c r="G20" s="24">
        <v>2</v>
      </c>
      <c r="H20" s="24" t="s">
        <v>1328</v>
      </c>
      <c r="I20" s="46">
        <v>43358.899826388886</v>
      </c>
    </row>
    <row r="21" spans="6:9" x14ac:dyDescent="0.25">
      <c r="F21" s="67" t="s">
        <v>146</v>
      </c>
      <c r="G21" s="24">
        <v>6</v>
      </c>
      <c r="H21" s="24" t="s">
        <v>1328</v>
      </c>
      <c r="I21" s="46">
        <v>43358.899699074071</v>
      </c>
    </row>
    <row r="22" spans="6:9" x14ac:dyDescent="0.25">
      <c r="F22" s="67" t="s">
        <v>349</v>
      </c>
      <c r="G22" s="24">
        <v>10</v>
      </c>
      <c r="H22" s="24" t="s">
        <v>1328</v>
      </c>
      <c r="I22" s="46">
        <v>43358.899594907409</v>
      </c>
    </row>
    <row r="23" spans="6:9" x14ac:dyDescent="0.25">
      <c r="F23" s="67" t="s">
        <v>58</v>
      </c>
      <c r="G23" s="24">
        <v>4</v>
      </c>
      <c r="H23" s="24" t="s">
        <v>1328</v>
      </c>
      <c r="I23" s="46">
        <v>43358.89947916667</v>
      </c>
    </row>
    <row r="24" spans="6:9" x14ac:dyDescent="0.25">
      <c r="F24" s="67" t="s">
        <v>122</v>
      </c>
      <c r="G24" s="24">
        <v>1</v>
      </c>
      <c r="H24" s="24" t="s">
        <v>1328</v>
      </c>
      <c r="I24" s="46">
        <v>43358.899363425924</v>
      </c>
    </row>
    <row r="25" spans="6:9" x14ac:dyDescent="0.25">
      <c r="F25" s="67" t="s">
        <v>11</v>
      </c>
      <c r="G25" s="24">
        <v>1</v>
      </c>
      <c r="H25" s="24" t="s">
        <v>1328</v>
      </c>
      <c r="I25" s="46">
        <v>43358.899236111109</v>
      </c>
    </row>
    <row r="26" spans="6:9" x14ac:dyDescent="0.25">
      <c r="F26" s="67" t="s">
        <v>144</v>
      </c>
      <c r="G26" s="24">
        <v>2</v>
      </c>
      <c r="H26" s="24" t="s">
        <v>1328</v>
      </c>
      <c r="I26" s="46">
        <v>43358.89912037037</v>
      </c>
    </row>
    <row r="27" spans="6:9" x14ac:dyDescent="0.25">
      <c r="F27" s="67" t="s">
        <v>121</v>
      </c>
      <c r="G27" s="24">
        <v>3</v>
      </c>
      <c r="H27" s="24" t="s">
        <v>1328</v>
      </c>
      <c r="I27" s="46">
        <v>43358.898935185185</v>
      </c>
    </row>
    <row r="28" spans="6:9" x14ac:dyDescent="0.25">
      <c r="F28" s="67" t="s">
        <v>2</v>
      </c>
      <c r="G28" s="24">
        <v>1</v>
      </c>
      <c r="H28" s="24" t="s">
        <v>1328</v>
      </c>
      <c r="I28" s="46">
        <v>43358.898773148147</v>
      </c>
    </row>
    <row r="29" spans="6:9" x14ac:dyDescent="0.25">
      <c r="F29" s="67" t="s">
        <v>4</v>
      </c>
      <c r="G29" s="24">
        <v>1</v>
      </c>
      <c r="H29" s="24" t="s">
        <v>1328</v>
      </c>
      <c r="I29" s="46">
        <v>43358.898657407408</v>
      </c>
    </row>
    <row r="30" spans="6:9" x14ac:dyDescent="0.25">
      <c r="F30" s="67" t="s">
        <v>149</v>
      </c>
      <c r="G30" s="24">
        <v>2</v>
      </c>
      <c r="H30" s="24" t="s">
        <v>1328</v>
      </c>
      <c r="I30" s="46">
        <v>43358.898506944446</v>
      </c>
    </row>
    <row r="31" spans="6:9" x14ac:dyDescent="0.25">
      <c r="F31" s="40" t="s">
        <v>39</v>
      </c>
      <c r="G31" s="24">
        <v>2</v>
      </c>
      <c r="H31" s="24" t="s">
        <v>1321</v>
      </c>
      <c r="I31" s="46">
        <v>43358.854988425926</v>
      </c>
    </row>
    <row r="32" spans="6:9" x14ac:dyDescent="0.25">
      <c r="F32" s="40" t="s">
        <v>132</v>
      </c>
      <c r="G32" s="24">
        <v>1</v>
      </c>
      <c r="H32" s="24" t="s">
        <v>1321</v>
      </c>
      <c r="I32" s="46">
        <v>43358.854745370372</v>
      </c>
    </row>
    <row r="33" spans="6:9" x14ac:dyDescent="0.25">
      <c r="F33" s="40" t="s">
        <v>151</v>
      </c>
      <c r="G33" s="24">
        <v>1</v>
      </c>
      <c r="H33" s="24" t="s">
        <v>1321</v>
      </c>
      <c r="I33" s="46">
        <v>43358.854629629626</v>
      </c>
    </row>
    <row r="34" spans="6:9" x14ac:dyDescent="0.25">
      <c r="F34" s="40" t="s">
        <v>155</v>
      </c>
      <c r="G34" s="24">
        <v>2</v>
      </c>
      <c r="H34" s="24" t="s">
        <v>1321</v>
      </c>
      <c r="I34" s="46">
        <v>43358.854479166665</v>
      </c>
    </row>
    <row r="35" spans="6:9" x14ac:dyDescent="0.25">
      <c r="F35" s="40" t="s">
        <v>216</v>
      </c>
      <c r="G35" s="24">
        <v>2</v>
      </c>
      <c r="H35" s="24" t="s">
        <v>1321</v>
      </c>
      <c r="I35" s="46">
        <v>43358.854363425926</v>
      </c>
    </row>
    <row r="36" spans="6:9" x14ac:dyDescent="0.25">
      <c r="F36" s="40" t="s">
        <v>200</v>
      </c>
      <c r="G36" s="24">
        <v>1</v>
      </c>
      <c r="H36" s="24" t="s">
        <v>1321</v>
      </c>
      <c r="I36" s="46">
        <v>43358.854166666664</v>
      </c>
    </row>
    <row r="37" spans="6:9" x14ac:dyDescent="0.25">
      <c r="F37" s="40" t="s">
        <v>1574</v>
      </c>
      <c r="G37" s="24">
        <v>1</v>
      </c>
      <c r="H37" s="24" t="s">
        <v>1321</v>
      </c>
      <c r="I37" s="46">
        <v>43358.853935185187</v>
      </c>
    </row>
    <row r="38" spans="6:9" x14ac:dyDescent="0.25">
      <c r="F38" s="40" t="s">
        <v>1311</v>
      </c>
      <c r="G38" s="24">
        <v>1</v>
      </c>
      <c r="H38" s="24" t="s">
        <v>1321</v>
      </c>
      <c r="I38" s="46">
        <v>43358.85328703704</v>
      </c>
    </row>
    <row r="39" spans="6:9" x14ac:dyDescent="0.25">
      <c r="F39" s="40" t="s">
        <v>182</v>
      </c>
      <c r="G39" s="24">
        <v>1</v>
      </c>
      <c r="H39" s="24" t="s">
        <v>1321</v>
      </c>
      <c r="I39" s="46">
        <v>43358.852986111109</v>
      </c>
    </row>
    <row r="40" spans="6:9" x14ac:dyDescent="0.25">
      <c r="F40" s="40" t="s">
        <v>144</v>
      </c>
      <c r="G40" s="24">
        <v>1</v>
      </c>
      <c r="H40" s="24" t="s">
        <v>1321</v>
      </c>
      <c r="I40" s="46">
        <v>43358.852824074071</v>
      </c>
    </row>
    <row r="41" spans="6:9" x14ac:dyDescent="0.25">
      <c r="F41" s="40" t="s">
        <v>11</v>
      </c>
      <c r="G41" s="24">
        <v>1</v>
      </c>
      <c r="H41" s="24" t="s">
        <v>1321</v>
      </c>
      <c r="I41" s="46">
        <v>43358.852662037039</v>
      </c>
    </row>
    <row r="42" spans="6:9" x14ac:dyDescent="0.25">
      <c r="F42" s="40" t="s">
        <v>121</v>
      </c>
      <c r="G42" s="24">
        <v>1</v>
      </c>
      <c r="H42" s="24" t="s">
        <v>1321</v>
      </c>
      <c r="I42" s="46">
        <v>43358.85229166667</v>
      </c>
    </row>
    <row r="43" spans="6:9" x14ac:dyDescent="0.25">
      <c r="F43" s="40" t="s">
        <v>257</v>
      </c>
      <c r="G43" s="24">
        <v>2</v>
      </c>
      <c r="H43" s="24" t="s">
        <v>1321</v>
      </c>
      <c r="I43" s="46">
        <v>43358.852129629631</v>
      </c>
    </row>
    <row r="44" spans="6:9" x14ac:dyDescent="0.25">
      <c r="F44" s="40" t="s">
        <v>37</v>
      </c>
      <c r="G44" s="24">
        <v>1</v>
      </c>
      <c r="H44" s="24" t="s">
        <v>1321</v>
      </c>
      <c r="I44" s="46">
        <v>43358.851967592593</v>
      </c>
    </row>
    <row r="45" spans="6:9" x14ac:dyDescent="0.25">
      <c r="F45" s="40" t="s">
        <v>1367</v>
      </c>
      <c r="G45" s="24">
        <v>2</v>
      </c>
      <c r="H45" s="24" t="s">
        <v>1321</v>
      </c>
      <c r="I45" s="46">
        <v>43358.851724537039</v>
      </c>
    </row>
    <row r="46" spans="6:9" x14ac:dyDescent="0.25">
      <c r="F46" s="40" t="s">
        <v>232</v>
      </c>
      <c r="G46" s="24">
        <v>4</v>
      </c>
      <c r="H46" s="24" t="s">
        <v>1321</v>
      </c>
      <c r="I46" s="46">
        <v>43358.851215277777</v>
      </c>
    </row>
    <row r="47" spans="6:9" x14ac:dyDescent="0.25">
      <c r="F47" s="40" t="s">
        <v>231</v>
      </c>
      <c r="G47" s="24">
        <v>1</v>
      </c>
      <c r="H47" s="24" t="s">
        <v>1321</v>
      </c>
      <c r="I47" s="46">
        <v>43358.851111111115</v>
      </c>
    </row>
    <row r="48" spans="6:9" x14ac:dyDescent="0.25">
      <c r="F48" s="40" t="s">
        <v>265</v>
      </c>
      <c r="G48" s="24">
        <v>10</v>
      </c>
      <c r="H48" s="24" t="s">
        <v>1321</v>
      </c>
      <c r="I48" s="46">
        <v>43358.85083333333</v>
      </c>
    </row>
    <row r="49" spans="6:9" x14ac:dyDescent="0.25">
      <c r="F49" s="40" t="s">
        <v>371</v>
      </c>
      <c r="G49" s="24">
        <v>2</v>
      </c>
      <c r="H49" s="24" t="s">
        <v>1321</v>
      </c>
      <c r="I49" s="46">
        <v>43358.850300925929</v>
      </c>
    </row>
    <row r="50" spans="6:9" x14ac:dyDescent="0.25">
      <c r="F50" s="40" t="s">
        <v>371</v>
      </c>
      <c r="G50" s="24">
        <v>3</v>
      </c>
      <c r="H50" s="24" t="s">
        <v>1321</v>
      </c>
      <c r="I50" s="46">
        <v>43358.850162037037</v>
      </c>
    </row>
    <row r="51" spans="6:9" x14ac:dyDescent="0.25">
      <c r="F51" s="40" t="s">
        <v>344</v>
      </c>
      <c r="G51" s="24">
        <v>3</v>
      </c>
      <c r="H51" s="24" t="s">
        <v>1321</v>
      </c>
      <c r="I51" s="46">
        <v>43358.850011574075</v>
      </c>
    </row>
    <row r="52" spans="6:9" x14ac:dyDescent="0.25">
      <c r="F52" s="40" t="s">
        <v>1575</v>
      </c>
      <c r="G52" s="24">
        <v>3</v>
      </c>
      <c r="H52" s="24" t="s">
        <v>1321</v>
      </c>
      <c r="I52" s="46">
        <v>43358.84988425926</v>
      </c>
    </row>
    <row r="53" spans="6:9" x14ac:dyDescent="0.25">
      <c r="F53" s="40" t="s">
        <v>355</v>
      </c>
      <c r="G53" s="24">
        <v>1</v>
      </c>
      <c r="H53" s="24" t="s">
        <v>1321</v>
      </c>
      <c r="I53" s="46">
        <v>43358.849722222221</v>
      </c>
    </row>
    <row r="54" spans="6:9" x14ac:dyDescent="0.25">
      <c r="F54" s="40" t="s">
        <v>355</v>
      </c>
      <c r="G54" s="24">
        <v>6</v>
      </c>
      <c r="H54" s="24" t="s">
        <v>1321</v>
      </c>
      <c r="I54" s="46">
        <v>43358.849479166667</v>
      </c>
    </row>
    <row r="55" spans="6:9" x14ac:dyDescent="0.25">
      <c r="F55" s="40" t="s">
        <v>59</v>
      </c>
      <c r="G55" s="24">
        <v>13</v>
      </c>
      <c r="H55" s="24" t="s">
        <v>1321</v>
      </c>
      <c r="I55" s="46">
        <v>43358.848877314813</v>
      </c>
    </row>
    <row r="56" spans="6:9" x14ac:dyDescent="0.25">
      <c r="F56" s="40" t="s">
        <v>1384</v>
      </c>
      <c r="G56" s="24">
        <v>2</v>
      </c>
      <c r="H56" s="24" t="s">
        <v>1321</v>
      </c>
      <c r="I56" s="46">
        <v>43358.848738425928</v>
      </c>
    </row>
    <row r="57" spans="6:9" x14ac:dyDescent="0.25">
      <c r="F57" s="40" t="s">
        <v>266</v>
      </c>
      <c r="G57" s="24">
        <v>2</v>
      </c>
      <c r="H57" s="24" t="s">
        <v>1322</v>
      </c>
      <c r="I57" s="46">
        <v>43358.848645833335</v>
      </c>
    </row>
    <row r="58" spans="6:9" x14ac:dyDescent="0.25">
      <c r="F58" s="40" t="s">
        <v>39</v>
      </c>
      <c r="G58" s="24">
        <v>6</v>
      </c>
      <c r="H58" s="24" t="s">
        <v>1322</v>
      </c>
      <c r="I58" s="46">
        <v>43358.848530092589</v>
      </c>
    </row>
    <row r="59" spans="6:9" x14ac:dyDescent="0.25">
      <c r="F59" s="40" t="s">
        <v>149</v>
      </c>
      <c r="G59" s="24">
        <v>3</v>
      </c>
      <c r="H59" s="24" t="s">
        <v>1321</v>
      </c>
      <c r="I59" s="46">
        <v>43358.848425925928</v>
      </c>
    </row>
    <row r="60" spans="6:9" x14ac:dyDescent="0.25">
      <c r="F60" s="40" t="s">
        <v>151</v>
      </c>
      <c r="G60" s="24">
        <v>5</v>
      </c>
      <c r="H60" s="24" t="s">
        <v>1322</v>
      </c>
      <c r="I60" s="46">
        <v>43358.848344907405</v>
      </c>
    </row>
    <row r="61" spans="6:9" x14ac:dyDescent="0.25">
      <c r="F61" s="40" t="s">
        <v>11</v>
      </c>
      <c r="G61" s="24">
        <v>12</v>
      </c>
      <c r="H61" s="24" t="s">
        <v>1322</v>
      </c>
      <c r="I61" s="46">
        <v>43358.848252314812</v>
      </c>
    </row>
    <row r="62" spans="6:9" x14ac:dyDescent="0.25">
      <c r="F62" s="40" t="s">
        <v>58</v>
      </c>
      <c r="G62" s="24">
        <v>15</v>
      </c>
      <c r="H62" s="24" t="s">
        <v>1321</v>
      </c>
      <c r="I62" s="46">
        <v>43358.848171296297</v>
      </c>
    </row>
    <row r="63" spans="6:9" x14ac:dyDescent="0.25">
      <c r="F63" s="40" t="s">
        <v>11</v>
      </c>
      <c r="G63" s="24">
        <v>14</v>
      </c>
      <c r="H63" s="24" t="s">
        <v>1321</v>
      </c>
      <c r="I63" s="46">
        <v>43358.847939814812</v>
      </c>
    </row>
    <row r="64" spans="6:9" x14ac:dyDescent="0.25">
      <c r="F64" s="40" t="s">
        <v>21</v>
      </c>
      <c r="G64" s="24">
        <v>3</v>
      </c>
      <c r="H64" s="24" t="s">
        <v>1321</v>
      </c>
      <c r="I64" s="46">
        <v>43358.84783564815</v>
      </c>
    </row>
    <row r="65" spans="6:9" x14ac:dyDescent="0.25">
      <c r="F65" s="40" t="s">
        <v>160</v>
      </c>
      <c r="G65" s="24">
        <v>1</v>
      </c>
      <c r="H65" s="24" t="s">
        <v>1322</v>
      </c>
      <c r="I65" s="46">
        <v>43358.847777777781</v>
      </c>
    </row>
    <row r="66" spans="6:9" x14ac:dyDescent="0.25">
      <c r="F66" s="40" t="s">
        <v>39</v>
      </c>
      <c r="G66" s="24">
        <v>11</v>
      </c>
      <c r="H66" s="24" t="s">
        <v>1321</v>
      </c>
      <c r="I66" s="46">
        <v>43358.847719907404</v>
      </c>
    </row>
    <row r="67" spans="6:9" x14ac:dyDescent="0.25">
      <c r="F67" s="40" t="s">
        <v>138</v>
      </c>
      <c r="G67" s="24">
        <v>1</v>
      </c>
      <c r="H67" s="24" t="s">
        <v>1322</v>
      </c>
      <c r="I67" s="46">
        <v>43358.847696759258</v>
      </c>
    </row>
    <row r="68" spans="6:9" x14ac:dyDescent="0.25">
      <c r="F68" s="40" t="s">
        <v>1021</v>
      </c>
      <c r="G68" s="24">
        <v>1</v>
      </c>
      <c r="H68" s="24" t="s">
        <v>1322</v>
      </c>
      <c r="I68" s="46">
        <v>43358.847592592596</v>
      </c>
    </row>
    <row r="69" spans="6:9" x14ac:dyDescent="0.25">
      <c r="F69" s="40" t="s">
        <v>4</v>
      </c>
      <c r="G69" s="24">
        <v>1</v>
      </c>
      <c r="H69" s="24" t="s">
        <v>1321</v>
      </c>
      <c r="I69" s="46">
        <v>43358.847581018519</v>
      </c>
    </row>
    <row r="70" spans="6:9" x14ac:dyDescent="0.25">
      <c r="F70" s="40" t="s">
        <v>2</v>
      </c>
      <c r="G70" s="24">
        <v>10</v>
      </c>
      <c r="H70" s="24" t="s">
        <v>1321</v>
      </c>
      <c r="I70" s="46">
        <v>43358.84747685185</v>
      </c>
    </row>
    <row r="71" spans="6:9" x14ac:dyDescent="0.25">
      <c r="F71" s="40" t="s">
        <v>127</v>
      </c>
      <c r="G71" s="24">
        <v>1</v>
      </c>
      <c r="H71" s="24" t="s">
        <v>1322</v>
      </c>
      <c r="I71" s="46">
        <v>43358.847187500003</v>
      </c>
    </row>
    <row r="72" spans="6:9" x14ac:dyDescent="0.25">
      <c r="F72" s="40" t="s">
        <v>348</v>
      </c>
      <c r="G72" s="24">
        <v>1</v>
      </c>
      <c r="H72" s="24" t="s">
        <v>1321</v>
      </c>
      <c r="I72" s="46">
        <v>43358.847187500003</v>
      </c>
    </row>
    <row r="73" spans="6:9" x14ac:dyDescent="0.25">
      <c r="F73" s="40" t="s">
        <v>1380</v>
      </c>
      <c r="G73" s="24">
        <v>50</v>
      </c>
      <c r="H73" s="24" t="s">
        <v>1321</v>
      </c>
      <c r="I73" s="46">
        <v>43358.846909722219</v>
      </c>
    </row>
    <row r="74" spans="6:9" x14ac:dyDescent="0.25">
      <c r="F74" s="40" t="s">
        <v>120</v>
      </c>
      <c r="G74" s="24">
        <v>1</v>
      </c>
      <c r="H74" s="24" t="s">
        <v>1322</v>
      </c>
      <c r="I74" s="46">
        <v>43358.846724537034</v>
      </c>
    </row>
    <row r="75" spans="6:9" x14ac:dyDescent="0.25">
      <c r="F75" s="40" t="s">
        <v>146</v>
      </c>
      <c r="G75" s="24">
        <v>16</v>
      </c>
      <c r="H75" s="24" t="s">
        <v>1321</v>
      </c>
      <c r="I75" s="46">
        <v>43358.846331018518</v>
      </c>
    </row>
    <row r="76" spans="6:9" x14ac:dyDescent="0.25">
      <c r="F76" s="40" t="s">
        <v>11</v>
      </c>
      <c r="G76" s="24">
        <v>6</v>
      </c>
      <c r="H76" s="24" t="s">
        <v>1321</v>
      </c>
      <c r="I76" s="46">
        <v>43358.846215277779</v>
      </c>
    </row>
    <row r="77" spans="6:9" x14ac:dyDescent="0.25">
      <c r="F77" s="40" t="s">
        <v>155</v>
      </c>
      <c r="G77" s="24">
        <v>58</v>
      </c>
      <c r="H77" s="24" t="s">
        <v>1322</v>
      </c>
      <c r="I77" s="46">
        <v>43358.84611111111</v>
      </c>
    </row>
    <row r="78" spans="6:9" x14ac:dyDescent="0.25">
      <c r="F78" s="40" t="s">
        <v>121</v>
      </c>
      <c r="G78" s="24">
        <v>3</v>
      </c>
      <c r="H78" s="24" t="s">
        <v>1321</v>
      </c>
      <c r="I78" s="46">
        <v>43358.846099537041</v>
      </c>
    </row>
    <row r="79" spans="6:9" x14ac:dyDescent="0.25">
      <c r="F79" s="40" t="s">
        <v>50</v>
      </c>
      <c r="G79" s="24">
        <v>3</v>
      </c>
      <c r="H79" s="24" t="s">
        <v>1322</v>
      </c>
      <c r="I79" s="46">
        <v>43358.846018518518</v>
      </c>
    </row>
    <row r="80" spans="6:9" x14ac:dyDescent="0.25">
      <c r="F80" s="40" t="s">
        <v>11</v>
      </c>
      <c r="G80" s="24">
        <v>2</v>
      </c>
      <c r="H80" s="24" t="s">
        <v>1321</v>
      </c>
      <c r="I80" s="46">
        <v>43358.845972222225</v>
      </c>
    </row>
    <row r="81" spans="6:9" x14ac:dyDescent="0.25">
      <c r="F81" s="40" t="s">
        <v>1550</v>
      </c>
      <c r="G81" s="24">
        <v>2</v>
      </c>
      <c r="H81" s="24" t="s">
        <v>1322</v>
      </c>
      <c r="I81" s="46">
        <v>43358.845902777779</v>
      </c>
    </row>
    <row r="82" spans="6:9" x14ac:dyDescent="0.25">
      <c r="F82" s="40" t="s">
        <v>30</v>
      </c>
      <c r="G82" s="24">
        <v>2</v>
      </c>
      <c r="H82" s="24" t="s">
        <v>1321</v>
      </c>
      <c r="I82" s="46">
        <v>43358.845821759256</v>
      </c>
    </row>
    <row r="83" spans="6:9" x14ac:dyDescent="0.25">
      <c r="F83" s="40" t="s">
        <v>155</v>
      </c>
      <c r="G83" s="24">
        <v>22</v>
      </c>
      <c r="H83" s="24" t="s">
        <v>1321</v>
      </c>
      <c r="I83" s="46">
        <v>43358.845717592594</v>
      </c>
    </row>
    <row r="84" spans="6:9" x14ac:dyDescent="0.25">
      <c r="F84" s="40" t="s">
        <v>222</v>
      </c>
      <c r="G84" s="24">
        <v>2</v>
      </c>
      <c r="H84" s="24" t="s">
        <v>1321</v>
      </c>
      <c r="I84" s="46">
        <v>43358.845509259256</v>
      </c>
    </row>
    <row r="85" spans="6:9" x14ac:dyDescent="0.25">
      <c r="F85" s="40" t="s">
        <v>349</v>
      </c>
      <c r="G85" s="24">
        <v>2</v>
      </c>
      <c r="H85" s="24" t="s">
        <v>1322</v>
      </c>
      <c r="I85" s="46">
        <v>43358.845486111109</v>
      </c>
    </row>
    <row r="86" spans="6:9" x14ac:dyDescent="0.25">
      <c r="F86" s="40" t="s">
        <v>265</v>
      </c>
      <c r="G86" s="24">
        <v>3</v>
      </c>
      <c r="H86" s="24" t="s">
        <v>1322</v>
      </c>
      <c r="I86" s="46">
        <v>43358.845381944448</v>
      </c>
    </row>
    <row r="87" spans="6:9" x14ac:dyDescent="0.25">
      <c r="F87" s="40" t="s">
        <v>209</v>
      </c>
      <c r="G87" s="24">
        <v>1</v>
      </c>
      <c r="H87" s="24" t="s">
        <v>1321</v>
      </c>
      <c r="I87" s="46">
        <v>43358.845370370371</v>
      </c>
    </row>
    <row r="88" spans="6:9" x14ac:dyDescent="0.25">
      <c r="F88" s="40" t="s">
        <v>1548</v>
      </c>
      <c r="G88" s="24">
        <v>1</v>
      </c>
      <c r="H88" s="24" t="s">
        <v>1322</v>
      </c>
      <c r="I88" s="46">
        <v>43358.845289351855</v>
      </c>
    </row>
    <row r="89" spans="6:9" x14ac:dyDescent="0.25">
      <c r="F89" s="40" t="s">
        <v>182</v>
      </c>
      <c r="G89" s="24">
        <v>10</v>
      </c>
      <c r="H89" s="24" t="s">
        <v>1321</v>
      </c>
      <c r="I89" s="46">
        <v>43358.845069444447</v>
      </c>
    </row>
    <row r="90" spans="6:9" x14ac:dyDescent="0.25">
      <c r="F90" s="40" t="s">
        <v>336</v>
      </c>
      <c r="G90" s="24">
        <v>1</v>
      </c>
      <c r="H90" s="24" t="s">
        <v>1321</v>
      </c>
      <c r="I90" s="46">
        <v>43358.84479166667</v>
      </c>
    </row>
    <row r="91" spans="6:9" x14ac:dyDescent="0.25">
      <c r="F91" s="40" t="s">
        <v>58</v>
      </c>
      <c r="G91" s="24">
        <v>12</v>
      </c>
      <c r="H91" s="24" t="s">
        <v>1322</v>
      </c>
      <c r="I91" s="46">
        <v>43358.84447916667</v>
      </c>
    </row>
    <row r="92" spans="6:9" x14ac:dyDescent="0.25">
      <c r="F92" s="40" t="s">
        <v>120</v>
      </c>
      <c r="G92" s="24">
        <v>1</v>
      </c>
      <c r="H92" s="24" t="s">
        <v>1321</v>
      </c>
      <c r="I92" s="46">
        <v>43358.844305555554</v>
      </c>
    </row>
    <row r="93" spans="6:9" x14ac:dyDescent="0.25">
      <c r="F93" s="40" t="s">
        <v>58</v>
      </c>
      <c r="G93" s="24">
        <v>21</v>
      </c>
      <c r="H93" s="24" t="s">
        <v>1322</v>
      </c>
      <c r="I93" s="46">
        <v>43358.844212962962</v>
      </c>
    </row>
    <row r="94" spans="6:9" x14ac:dyDescent="0.25">
      <c r="F94" s="40" t="s">
        <v>53</v>
      </c>
      <c r="G94" s="24">
        <v>1</v>
      </c>
      <c r="H94" s="24" t="s">
        <v>1321</v>
      </c>
      <c r="I94" s="46">
        <v>43358.844189814816</v>
      </c>
    </row>
    <row r="95" spans="6:9" x14ac:dyDescent="0.25">
      <c r="F95" s="40" t="s">
        <v>4</v>
      </c>
      <c r="G95" s="24">
        <v>2</v>
      </c>
      <c r="H95" s="24" t="s">
        <v>1322</v>
      </c>
      <c r="I95" s="46">
        <v>43358.844050925924</v>
      </c>
    </row>
    <row r="96" spans="6:9" x14ac:dyDescent="0.25">
      <c r="F96" s="40" t="s">
        <v>50</v>
      </c>
      <c r="G96" s="24">
        <v>2</v>
      </c>
      <c r="H96" s="24" t="s">
        <v>1321</v>
      </c>
      <c r="I96" s="46">
        <v>43358.844050925924</v>
      </c>
    </row>
    <row r="97" spans="6:9" x14ac:dyDescent="0.25">
      <c r="F97" s="40" t="s">
        <v>121</v>
      </c>
      <c r="G97" s="24">
        <v>4</v>
      </c>
      <c r="H97" s="24" t="s">
        <v>1322</v>
      </c>
      <c r="I97" s="46">
        <v>43358.843912037039</v>
      </c>
    </row>
    <row r="98" spans="6:9" x14ac:dyDescent="0.25">
      <c r="F98" s="40" t="s">
        <v>11</v>
      </c>
      <c r="G98" s="24">
        <v>12</v>
      </c>
      <c r="H98" s="24" t="s">
        <v>1321</v>
      </c>
      <c r="I98" s="46">
        <v>43358.843819444446</v>
      </c>
    </row>
    <row r="99" spans="6:9" x14ac:dyDescent="0.25">
      <c r="F99" s="40" t="s">
        <v>40</v>
      </c>
      <c r="G99" s="24">
        <v>1</v>
      </c>
      <c r="H99" s="24" t="s">
        <v>1321</v>
      </c>
      <c r="I99" s="46">
        <v>43358.843692129631</v>
      </c>
    </row>
    <row r="100" spans="6:9" x14ac:dyDescent="0.25">
      <c r="F100" s="40" t="s">
        <v>3</v>
      </c>
      <c r="G100" s="24">
        <v>1</v>
      </c>
      <c r="H100" s="24" t="s">
        <v>1322</v>
      </c>
      <c r="I100" s="46">
        <v>43358.843576388892</v>
      </c>
    </row>
    <row r="101" spans="6:9" x14ac:dyDescent="0.25">
      <c r="F101" s="40" t="s">
        <v>149</v>
      </c>
      <c r="G101" s="24">
        <v>21</v>
      </c>
      <c r="H101" s="24" t="s">
        <v>1322</v>
      </c>
      <c r="I101" s="46">
        <v>43358.843460648146</v>
      </c>
    </row>
    <row r="102" spans="6:9" x14ac:dyDescent="0.25">
      <c r="F102" s="40" t="s">
        <v>42</v>
      </c>
      <c r="G102" s="24">
        <v>1</v>
      </c>
      <c r="H102" s="24" t="s">
        <v>1321</v>
      </c>
      <c r="I102" s="46">
        <v>43358.843414351853</v>
      </c>
    </row>
    <row r="103" spans="6:9" x14ac:dyDescent="0.25">
      <c r="F103" s="40" t="s">
        <v>40</v>
      </c>
      <c r="G103" s="24">
        <v>1</v>
      </c>
      <c r="H103" s="24" t="s">
        <v>1321</v>
      </c>
      <c r="I103" s="46">
        <v>43358.843298611115</v>
      </c>
    </row>
    <row r="104" spans="6:9" x14ac:dyDescent="0.25">
      <c r="F104" s="40" t="s">
        <v>146</v>
      </c>
      <c r="G104" s="24">
        <v>21</v>
      </c>
      <c r="H104" s="24" t="s">
        <v>1322</v>
      </c>
      <c r="I104" s="46">
        <v>43358.843159722222</v>
      </c>
    </row>
    <row r="105" spans="6:9" x14ac:dyDescent="0.25">
      <c r="F105" s="40" t="s">
        <v>123</v>
      </c>
      <c r="G105" s="24">
        <v>2</v>
      </c>
      <c r="H105" s="24" t="s">
        <v>1321</v>
      </c>
      <c r="I105" s="46">
        <v>43358.843113425923</v>
      </c>
    </row>
    <row r="106" spans="6:9" x14ac:dyDescent="0.25">
      <c r="F106" s="40" t="s">
        <v>4</v>
      </c>
      <c r="G106" s="24">
        <v>6</v>
      </c>
      <c r="H106" s="24" t="s">
        <v>1321</v>
      </c>
      <c r="I106" s="46">
        <v>43358.842997685184</v>
      </c>
    </row>
    <row r="107" spans="6:9" x14ac:dyDescent="0.25">
      <c r="F107" s="40" t="s">
        <v>21</v>
      </c>
      <c r="G107" s="24">
        <v>14</v>
      </c>
      <c r="H107" s="24" t="s">
        <v>1321</v>
      </c>
      <c r="I107" s="46">
        <v>43358.842858796299</v>
      </c>
    </row>
    <row r="108" spans="6:9" x14ac:dyDescent="0.25">
      <c r="F108" s="40" t="s">
        <v>149</v>
      </c>
      <c r="G108" s="24">
        <v>12</v>
      </c>
      <c r="H108" s="24" t="s">
        <v>1321</v>
      </c>
      <c r="I108" s="46">
        <v>43358.842731481483</v>
      </c>
    </row>
    <row r="109" spans="6:9" x14ac:dyDescent="0.25">
      <c r="F109" s="40" t="s">
        <v>4</v>
      </c>
      <c r="G109" s="24">
        <v>1</v>
      </c>
      <c r="H109" s="24" t="s">
        <v>1326</v>
      </c>
      <c r="I109" s="46">
        <v>43358.842465277776</v>
      </c>
    </row>
    <row r="110" spans="6:9" x14ac:dyDescent="0.25">
      <c r="F110" s="40" t="s">
        <v>3</v>
      </c>
      <c r="G110" s="24">
        <v>1</v>
      </c>
      <c r="H110" s="24" t="s">
        <v>1326</v>
      </c>
      <c r="I110" s="46">
        <v>43358.842256944445</v>
      </c>
    </row>
    <row r="111" spans="6:9" x14ac:dyDescent="0.25">
      <c r="F111" s="40" t="s">
        <v>62</v>
      </c>
      <c r="G111" s="24">
        <v>1</v>
      </c>
      <c r="H111" s="24" t="s">
        <v>1326</v>
      </c>
      <c r="I111" s="46">
        <v>43358.842083333337</v>
      </c>
    </row>
    <row r="112" spans="6:9" x14ac:dyDescent="0.25">
      <c r="F112" s="40" t="s">
        <v>266</v>
      </c>
      <c r="G112" s="24">
        <v>1</v>
      </c>
      <c r="H112" s="24" t="s">
        <v>1326</v>
      </c>
      <c r="I112" s="46">
        <v>43358.841967592591</v>
      </c>
    </row>
    <row r="113" spans="6:9" x14ac:dyDescent="0.25">
      <c r="F113" s="40" t="s">
        <v>39</v>
      </c>
      <c r="G113" s="24">
        <v>5</v>
      </c>
      <c r="H113" s="24" t="s">
        <v>1326</v>
      </c>
      <c r="I113" s="46">
        <v>43358.841412037036</v>
      </c>
    </row>
    <row r="114" spans="6:9" x14ac:dyDescent="0.25">
      <c r="F114" s="40" t="s">
        <v>59</v>
      </c>
      <c r="G114" s="24">
        <v>7</v>
      </c>
      <c r="H114" s="24" t="s">
        <v>1326</v>
      </c>
      <c r="I114" s="46">
        <v>43358.841307870367</v>
      </c>
    </row>
    <row r="115" spans="6:9" x14ac:dyDescent="0.25">
      <c r="F115" s="40" t="s">
        <v>118</v>
      </c>
      <c r="G115" s="24">
        <v>3</v>
      </c>
      <c r="H115" s="24" t="s">
        <v>1326</v>
      </c>
      <c r="I115" s="46">
        <v>43358.841087962966</v>
      </c>
    </row>
    <row r="116" spans="6:9" x14ac:dyDescent="0.25">
      <c r="F116" s="40" t="s">
        <v>349</v>
      </c>
      <c r="G116" s="24">
        <v>1</v>
      </c>
      <c r="H116" s="24" t="s">
        <v>1326</v>
      </c>
      <c r="I116" s="46">
        <v>43358.840949074074</v>
      </c>
    </row>
    <row r="117" spans="6:9" x14ac:dyDescent="0.25">
      <c r="F117" s="40" t="s">
        <v>151</v>
      </c>
      <c r="G117" s="24">
        <v>1</v>
      </c>
      <c r="H117" s="24" t="s">
        <v>1326</v>
      </c>
      <c r="I117" s="46">
        <v>43358.840763888889</v>
      </c>
    </row>
    <row r="118" spans="6:9" x14ac:dyDescent="0.25">
      <c r="F118" s="40" t="s">
        <v>160</v>
      </c>
      <c r="G118" s="24">
        <v>1</v>
      </c>
      <c r="H118" s="24" t="s">
        <v>1326</v>
      </c>
      <c r="I118" s="46">
        <v>43358.840567129628</v>
      </c>
    </row>
    <row r="119" spans="6:9" x14ac:dyDescent="0.25">
      <c r="F119" s="40" t="s">
        <v>140</v>
      </c>
      <c r="G119" s="24">
        <v>1</v>
      </c>
      <c r="H119" s="24" t="s">
        <v>1326</v>
      </c>
      <c r="I119" s="46">
        <v>43358.840428240743</v>
      </c>
    </row>
    <row r="120" spans="6:9" x14ac:dyDescent="0.25">
      <c r="F120" s="40" t="s">
        <v>349</v>
      </c>
      <c r="G120" s="24">
        <v>8</v>
      </c>
      <c r="H120" s="24" t="s">
        <v>1326</v>
      </c>
      <c r="I120" s="46">
        <v>43358.840300925927</v>
      </c>
    </row>
    <row r="121" spans="6:9" x14ac:dyDescent="0.25">
      <c r="F121" s="40" t="s">
        <v>174</v>
      </c>
      <c r="G121" s="24">
        <v>2</v>
      </c>
      <c r="H121" s="24" t="s">
        <v>1326</v>
      </c>
      <c r="I121" s="46">
        <v>43358.840173611112</v>
      </c>
    </row>
    <row r="122" spans="6:9" x14ac:dyDescent="0.25">
      <c r="F122" s="40" t="s">
        <v>21</v>
      </c>
      <c r="G122" s="24">
        <v>3</v>
      </c>
      <c r="H122" s="24" t="s">
        <v>1326</v>
      </c>
      <c r="I122" s="46">
        <v>43358.839918981481</v>
      </c>
    </row>
    <row r="123" spans="6:9" x14ac:dyDescent="0.25">
      <c r="F123" s="40" t="s">
        <v>232</v>
      </c>
      <c r="G123" s="24">
        <v>1</v>
      </c>
      <c r="H123" s="24" t="s">
        <v>1318</v>
      </c>
      <c r="I123" s="46">
        <v>43358.839849537035</v>
      </c>
    </row>
    <row r="124" spans="6:9" x14ac:dyDescent="0.25">
      <c r="F124" s="40" t="s">
        <v>186</v>
      </c>
      <c r="G124" s="24">
        <v>5</v>
      </c>
      <c r="H124" s="24" t="s">
        <v>1326</v>
      </c>
      <c r="I124" s="46">
        <v>43358.839791666665</v>
      </c>
    </row>
    <row r="125" spans="6:9" x14ac:dyDescent="0.25">
      <c r="F125" s="40" t="s">
        <v>265</v>
      </c>
      <c r="G125" s="24">
        <v>3</v>
      </c>
      <c r="H125" s="24" t="s">
        <v>1318</v>
      </c>
      <c r="I125" s="46">
        <v>43358.839768518519</v>
      </c>
    </row>
    <row r="126" spans="6:9" x14ac:dyDescent="0.25">
      <c r="F126" s="40" t="s">
        <v>168</v>
      </c>
      <c r="G126" s="24">
        <v>1</v>
      </c>
      <c r="H126" s="24" t="s">
        <v>1318</v>
      </c>
      <c r="I126" s="46">
        <v>43358.839618055557</v>
      </c>
    </row>
    <row r="127" spans="6:9" x14ac:dyDescent="0.25">
      <c r="F127" s="40" t="s">
        <v>21</v>
      </c>
      <c r="G127" s="24">
        <v>3</v>
      </c>
      <c r="H127" s="24" t="s">
        <v>1318</v>
      </c>
      <c r="I127" s="46">
        <v>43358.839363425926</v>
      </c>
    </row>
    <row r="128" spans="6:9" x14ac:dyDescent="0.25">
      <c r="F128" s="40" t="s">
        <v>182</v>
      </c>
      <c r="G128" s="24">
        <v>22</v>
      </c>
      <c r="H128" s="24" t="s">
        <v>1326</v>
      </c>
      <c r="I128" s="46">
        <v>43358.839282407411</v>
      </c>
    </row>
    <row r="129" spans="6:9" x14ac:dyDescent="0.25">
      <c r="F129" s="40" t="s">
        <v>191</v>
      </c>
      <c r="G129" s="24">
        <v>2</v>
      </c>
      <c r="H129" s="24" t="s">
        <v>1318</v>
      </c>
      <c r="I129" s="46">
        <v>43358.839259259257</v>
      </c>
    </row>
    <row r="130" spans="6:9" x14ac:dyDescent="0.25">
      <c r="F130" s="40" t="s">
        <v>121</v>
      </c>
      <c r="G130" s="24">
        <v>4</v>
      </c>
      <c r="H130" s="24" t="s">
        <v>1326</v>
      </c>
      <c r="I130" s="46">
        <v>43358.839108796295</v>
      </c>
    </row>
    <row r="131" spans="6:9" x14ac:dyDescent="0.25">
      <c r="F131" s="40" t="s">
        <v>243</v>
      </c>
      <c r="G131" s="24">
        <v>1</v>
      </c>
      <c r="H131" s="24" t="s">
        <v>1318</v>
      </c>
      <c r="I131" s="46">
        <v>43358.839097222219</v>
      </c>
    </row>
    <row r="132" spans="6:9" x14ac:dyDescent="0.25">
      <c r="F132" s="40" t="s">
        <v>146</v>
      </c>
      <c r="G132" s="24">
        <v>10</v>
      </c>
      <c r="H132" s="24" t="s">
        <v>1326</v>
      </c>
      <c r="I132" s="46">
        <v>43358.83898148148</v>
      </c>
    </row>
    <row r="133" spans="6:9" x14ac:dyDescent="0.25">
      <c r="F133" s="40" t="s">
        <v>155</v>
      </c>
      <c r="G133" s="24">
        <v>39</v>
      </c>
      <c r="H133" s="24" t="s">
        <v>1326</v>
      </c>
      <c r="I133" s="46">
        <v>43358.838831018518</v>
      </c>
    </row>
    <row r="134" spans="6:9" x14ac:dyDescent="0.25">
      <c r="F134" s="40" t="s">
        <v>39</v>
      </c>
      <c r="G134" s="24">
        <v>5</v>
      </c>
      <c r="H134" s="24" t="s">
        <v>1318</v>
      </c>
      <c r="I134" s="46">
        <v>43358.838773148149</v>
      </c>
    </row>
    <row r="135" spans="6:9" x14ac:dyDescent="0.25">
      <c r="F135" s="40" t="s">
        <v>11</v>
      </c>
      <c r="G135" s="24">
        <v>12</v>
      </c>
      <c r="H135" s="24" t="s">
        <v>1326</v>
      </c>
      <c r="I135" s="46">
        <v>43358.83865740741</v>
      </c>
    </row>
    <row r="136" spans="6:9" x14ac:dyDescent="0.25">
      <c r="F136" s="40" t="s">
        <v>1380</v>
      </c>
      <c r="G136" s="24">
        <v>29</v>
      </c>
      <c r="H136" s="24" t="s">
        <v>1318</v>
      </c>
      <c r="I136" s="46">
        <v>43358.838645833333</v>
      </c>
    </row>
    <row r="137" spans="6:9" x14ac:dyDescent="0.25">
      <c r="F137" s="40" t="s">
        <v>42</v>
      </c>
      <c r="G137" s="24">
        <v>1</v>
      </c>
      <c r="H137" s="24" t="s">
        <v>1326</v>
      </c>
      <c r="I137" s="46">
        <v>43358.838553240741</v>
      </c>
    </row>
    <row r="138" spans="6:9" x14ac:dyDescent="0.25">
      <c r="F138" s="40" t="s">
        <v>40</v>
      </c>
      <c r="G138" s="24">
        <v>1</v>
      </c>
      <c r="H138" s="24" t="s">
        <v>1326</v>
      </c>
      <c r="I138" s="46">
        <v>43358.838425925926</v>
      </c>
    </row>
    <row r="139" spans="6:9" x14ac:dyDescent="0.25">
      <c r="F139" s="40" t="s">
        <v>175</v>
      </c>
      <c r="G139" s="24">
        <v>1</v>
      </c>
      <c r="H139" s="24" t="s">
        <v>1326</v>
      </c>
      <c r="I139" s="46">
        <v>43358.83829861111</v>
      </c>
    </row>
    <row r="140" spans="6:9" x14ac:dyDescent="0.25">
      <c r="F140" s="40" t="s">
        <v>146</v>
      </c>
      <c r="G140" s="24">
        <v>2</v>
      </c>
      <c r="H140" s="24" t="s">
        <v>1318</v>
      </c>
      <c r="I140" s="46">
        <v>43358.838275462964</v>
      </c>
    </row>
    <row r="141" spans="6:9" x14ac:dyDescent="0.25">
      <c r="F141" s="40" t="s">
        <v>2</v>
      </c>
      <c r="G141" s="24">
        <v>1</v>
      </c>
      <c r="H141" s="24" t="s">
        <v>1318</v>
      </c>
      <c r="I141" s="46">
        <v>43358.838182870371</v>
      </c>
    </row>
    <row r="142" spans="6:9" x14ac:dyDescent="0.25">
      <c r="F142" s="40" t="s">
        <v>265</v>
      </c>
      <c r="G142" s="24">
        <v>2</v>
      </c>
      <c r="H142" s="24" t="s">
        <v>1326</v>
      </c>
      <c r="I142" s="46">
        <v>43358.838182870371</v>
      </c>
    </row>
    <row r="143" spans="6:9" x14ac:dyDescent="0.25">
      <c r="F143" s="40" t="s">
        <v>59</v>
      </c>
      <c r="G143" s="24">
        <v>3</v>
      </c>
      <c r="H143" s="24" t="s">
        <v>1318</v>
      </c>
      <c r="I143" s="46">
        <v>43358.837962962964</v>
      </c>
    </row>
    <row r="144" spans="6:9" x14ac:dyDescent="0.25">
      <c r="F144" s="40" t="s">
        <v>57</v>
      </c>
      <c r="G144" s="24">
        <v>2</v>
      </c>
      <c r="H144" s="24" t="s">
        <v>1318</v>
      </c>
      <c r="I144" s="46">
        <v>43358.837893518517</v>
      </c>
    </row>
    <row r="145" spans="6:9" x14ac:dyDescent="0.25">
      <c r="F145" s="40" t="s">
        <v>149</v>
      </c>
      <c r="G145" s="24">
        <v>10</v>
      </c>
      <c r="H145" s="24" t="s">
        <v>1326</v>
      </c>
      <c r="I145" s="46">
        <v>43358.837881944448</v>
      </c>
    </row>
    <row r="146" spans="6:9" x14ac:dyDescent="0.25">
      <c r="F146" s="40" t="s">
        <v>151</v>
      </c>
      <c r="G146" s="24">
        <v>2</v>
      </c>
      <c r="H146" s="24" t="s">
        <v>1326</v>
      </c>
      <c r="I146" s="46">
        <v>43358.837719907409</v>
      </c>
    </row>
    <row r="147" spans="6:9" x14ac:dyDescent="0.25">
      <c r="F147" s="40" t="s">
        <v>58</v>
      </c>
      <c r="G147" s="24">
        <v>1</v>
      </c>
      <c r="H147" s="24" t="s">
        <v>1318</v>
      </c>
      <c r="I147" s="46">
        <v>43358.837650462963</v>
      </c>
    </row>
    <row r="148" spans="6:9" x14ac:dyDescent="0.25">
      <c r="F148" s="40" t="s">
        <v>132</v>
      </c>
      <c r="G148" s="24">
        <v>1</v>
      </c>
      <c r="H148" s="24" t="s">
        <v>1326</v>
      </c>
      <c r="I148" s="46">
        <v>43358.837592592594</v>
      </c>
    </row>
    <row r="149" spans="6:9" x14ac:dyDescent="0.25">
      <c r="F149" s="40" t="s">
        <v>371</v>
      </c>
      <c r="G149" s="24">
        <v>1</v>
      </c>
      <c r="H149" s="24" t="s">
        <v>1318</v>
      </c>
      <c r="I149" s="46">
        <v>43358.837569444448</v>
      </c>
    </row>
    <row r="150" spans="6:9" x14ac:dyDescent="0.25">
      <c r="F150" s="40" t="s">
        <v>147</v>
      </c>
      <c r="G150" s="24">
        <v>2</v>
      </c>
      <c r="H150" s="24" t="s">
        <v>1326</v>
      </c>
      <c r="I150" s="46">
        <v>43358.837465277778</v>
      </c>
    </row>
    <row r="151" spans="6:9" x14ac:dyDescent="0.25">
      <c r="F151" s="40" t="s">
        <v>371</v>
      </c>
      <c r="G151" s="24">
        <v>2</v>
      </c>
      <c r="H151" s="24" t="s">
        <v>1318</v>
      </c>
      <c r="I151" s="46">
        <v>43358.837395833332</v>
      </c>
    </row>
    <row r="152" spans="6:9" x14ac:dyDescent="0.25">
      <c r="F152" s="40" t="s">
        <v>355</v>
      </c>
      <c r="G152" s="24">
        <v>3</v>
      </c>
      <c r="H152" s="24" t="s">
        <v>1318</v>
      </c>
      <c r="I152" s="46">
        <v>43358.837199074071</v>
      </c>
    </row>
    <row r="153" spans="6:9" x14ac:dyDescent="0.25">
      <c r="F153" s="40" t="s">
        <v>149</v>
      </c>
      <c r="G153" s="24">
        <v>14</v>
      </c>
      <c r="H153" s="24" t="s">
        <v>1326</v>
      </c>
      <c r="I153" s="46">
        <v>43358.837060185186</v>
      </c>
    </row>
    <row r="154" spans="6:9" x14ac:dyDescent="0.25">
      <c r="F154" s="40" t="s">
        <v>149</v>
      </c>
      <c r="G154" s="24">
        <v>28</v>
      </c>
      <c r="H154" s="24" t="s">
        <v>1318</v>
      </c>
      <c r="I154" s="46">
        <v>43358.837037037039</v>
      </c>
    </row>
    <row r="155" spans="6:9" x14ac:dyDescent="0.25">
      <c r="F155" s="40" t="s">
        <v>155</v>
      </c>
      <c r="G155" s="24">
        <v>11</v>
      </c>
      <c r="H155" s="24" t="s">
        <v>1318</v>
      </c>
      <c r="I155" s="46">
        <v>43358.836944444447</v>
      </c>
    </row>
    <row r="156" spans="6:9" x14ac:dyDescent="0.25">
      <c r="F156" s="40" t="s">
        <v>21</v>
      </c>
      <c r="G156" s="24">
        <v>1</v>
      </c>
      <c r="H156" s="24" t="s">
        <v>1318</v>
      </c>
      <c r="I156" s="46">
        <v>43358.836828703701</v>
      </c>
    </row>
    <row r="157" spans="6:9" x14ac:dyDescent="0.25">
      <c r="F157" s="40" t="s">
        <v>369</v>
      </c>
      <c r="G157" s="24">
        <v>2</v>
      </c>
      <c r="H157" s="24" t="s">
        <v>1318</v>
      </c>
      <c r="I157" s="46">
        <v>43358.836724537039</v>
      </c>
    </row>
    <row r="158" spans="6:9" x14ac:dyDescent="0.25">
      <c r="F158" s="40" t="s">
        <v>29</v>
      </c>
      <c r="G158" s="24">
        <v>2</v>
      </c>
      <c r="H158" s="24" t="s">
        <v>1326</v>
      </c>
      <c r="I158" s="46">
        <v>43358.836678240739</v>
      </c>
    </row>
    <row r="159" spans="6:9" x14ac:dyDescent="0.25">
      <c r="F159" s="40" t="s">
        <v>170</v>
      </c>
      <c r="G159" s="24">
        <v>1</v>
      </c>
      <c r="H159" s="24" t="s">
        <v>1326</v>
      </c>
      <c r="I159" s="46">
        <v>43358.836562500001</v>
      </c>
    </row>
    <row r="160" spans="6:9" x14ac:dyDescent="0.25">
      <c r="F160" s="40" t="s">
        <v>144</v>
      </c>
      <c r="G160" s="24">
        <v>2</v>
      </c>
      <c r="H160" s="24" t="s">
        <v>1318</v>
      </c>
      <c r="I160" s="46">
        <v>43358.836469907408</v>
      </c>
    </row>
    <row r="161" spans="6:9" x14ac:dyDescent="0.25">
      <c r="F161" s="40" t="s">
        <v>54</v>
      </c>
      <c r="G161" s="24">
        <v>1</v>
      </c>
      <c r="H161" s="24" t="s">
        <v>1326</v>
      </c>
      <c r="I161" s="46">
        <v>43358.836423611108</v>
      </c>
    </row>
    <row r="162" spans="6:9" x14ac:dyDescent="0.25">
      <c r="F162" s="40" t="s">
        <v>186</v>
      </c>
      <c r="G162" s="24">
        <v>5</v>
      </c>
      <c r="H162" s="24" t="s">
        <v>1318</v>
      </c>
      <c r="I162" s="46">
        <v>43358.836365740739</v>
      </c>
    </row>
    <row r="163" spans="6:9" x14ac:dyDescent="0.25">
      <c r="F163" s="40" t="s">
        <v>53</v>
      </c>
      <c r="G163" s="24">
        <v>1</v>
      </c>
      <c r="H163" s="24" t="s">
        <v>1326</v>
      </c>
      <c r="I163" s="46">
        <v>43358.836226851854</v>
      </c>
    </row>
    <row r="164" spans="6:9" x14ac:dyDescent="0.25">
      <c r="F164" s="40" t="s">
        <v>184</v>
      </c>
      <c r="G164" s="24">
        <v>5</v>
      </c>
      <c r="H164" s="24" t="s">
        <v>1318</v>
      </c>
      <c r="I164" s="46">
        <v>43358.836157407408</v>
      </c>
    </row>
    <row r="165" spans="6:9" x14ac:dyDescent="0.25">
      <c r="F165" s="40" t="s">
        <v>50</v>
      </c>
      <c r="G165" s="24">
        <v>6</v>
      </c>
      <c r="H165" s="24" t="s">
        <v>1326</v>
      </c>
      <c r="I165" s="46">
        <v>43358.8359837963</v>
      </c>
    </row>
    <row r="166" spans="6:9" x14ac:dyDescent="0.25">
      <c r="F166" s="40" t="s">
        <v>11</v>
      </c>
      <c r="G166" s="24">
        <v>13</v>
      </c>
      <c r="H166" s="24" t="s">
        <v>1318</v>
      </c>
      <c r="I166" s="46">
        <v>43358.8358912037</v>
      </c>
    </row>
    <row r="167" spans="6:9" x14ac:dyDescent="0.25">
      <c r="F167" s="40" t="s">
        <v>122</v>
      </c>
      <c r="G167" s="24">
        <v>2</v>
      </c>
      <c r="H167" s="24" t="s">
        <v>1326</v>
      </c>
      <c r="I167" s="46">
        <v>43358.835798611108</v>
      </c>
    </row>
    <row r="168" spans="6:9" x14ac:dyDescent="0.25">
      <c r="F168" s="40" t="s">
        <v>12</v>
      </c>
      <c r="G168" s="24">
        <v>3</v>
      </c>
      <c r="H168" s="24" t="s">
        <v>1318</v>
      </c>
      <c r="I168" s="46">
        <v>43358.835787037038</v>
      </c>
    </row>
    <row r="169" spans="6:9" x14ac:dyDescent="0.25">
      <c r="F169" s="40" t="s">
        <v>121</v>
      </c>
      <c r="G169" s="24">
        <v>3</v>
      </c>
      <c r="H169" s="24" t="s">
        <v>1326</v>
      </c>
      <c r="I169" s="46">
        <v>43358.8356712963</v>
      </c>
    </row>
    <row r="170" spans="6:9" x14ac:dyDescent="0.25">
      <c r="F170" s="40" t="s">
        <v>160</v>
      </c>
      <c r="G170" s="24">
        <v>2</v>
      </c>
      <c r="H170" s="24" t="s">
        <v>1326</v>
      </c>
      <c r="I170" s="46">
        <v>43358.835532407407</v>
      </c>
    </row>
    <row r="171" spans="6:9" x14ac:dyDescent="0.25">
      <c r="F171" s="40" t="s">
        <v>140</v>
      </c>
      <c r="G171" s="24">
        <v>3</v>
      </c>
      <c r="H171" s="24" t="s">
        <v>1326</v>
      </c>
      <c r="I171" s="46">
        <v>43358.835428240738</v>
      </c>
    </row>
    <row r="172" spans="6:9" x14ac:dyDescent="0.25">
      <c r="F172" s="40" t="s">
        <v>146</v>
      </c>
      <c r="G172" s="24">
        <v>9</v>
      </c>
      <c r="H172" s="24" t="s">
        <v>1318</v>
      </c>
      <c r="I172" s="46">
        <v>43358.835324074076</v>
      </c>
    </row>
    <row r="173" spans="6:9" x14ac:dyDescent="0.25">
      <c r="F173" s="40" t="s">
        <v>201</v>
      </c>
      <c r="G173" s="24">
        <v>1</v>
      </c>
      <c r="H173" s="24" t="s">
        <v>1318</v>
      </c>
      <c r="I173" s="46">
        <v>43358.835034722222</v>
      </c>
    </row>
    <row r="174" spans="6:9" x14ac:dyDescent="0.25">
      <c r="F174" s="40" t="s">
        <v>4</v>
      </c>
      <c r="G174" s="24">
        <v>3</v>
      </c>
      <c r="H174" s="24" t="s">
        <v>1318</v>
      </c>
      <c r="I174" s="46">
        <v>43358.834930555553</v>
      </c>
    </row>
    <row r="175" spans="6:9" x14ac:dyDescent="0.25">
      <c r="F175" s="40" t="s">
        <v>3</v>
      </c>
      <c r="G175" s="24">
        <v>3</v>
      </c>
      <c r="H175" s="24" t="s">
        <v>1318</v>
      </c>
      <c r="I175" s="46">
        <v>43358.834791666668</v>
      </c>
    </row>
    <row r="176" spans="6:9" x14ac:dyDescent="0.25">
      <c r="F176" s="67" t="s">
        <v>62</v>
      </c>
      <c r="G176" s="24">
        <v>1</v>
      </c>
      <c r="H176" s="24" t="s">
        <v>1327</v>
      </c>
      <c r="I176" s="46">
        <v>43358.807337962964</v>
      </c>
    </row>
    <row r="177" spans="6:9" x14ac:dyDescent="0.25">
      <c r="F177" s="67" t="s">
        <v>169</v>
      </c>
      <c r="G177" s="24">
        <v>1</v>
      </c>
      <c r="H177" s="24" t="s">
        <v>1327</v>
      </c>
      <c r="I177" s="46">
        <v>43358.807245370372</v>
      </c>
    </row>
    <row r="178" spans="6:9" x14ac:dyDescent="0.25">
      <c r="F178" s="67" t="s">
        <v>33</v>
      </c>
      <c r="G178" s="24">
        <v>1</v>
      </c>
      <c r="H178" s="24" t="s">
        <v>1327</v>
      </c>
      <c r="I178" s="46">
        <v>43358.807129629633</v>
      </c>
    </row>
    <row r="179" spans="6:9" x14ac:dyDescent="0.25">
      <c r="F179" s="67" t="s">
        <v>170</v>
      </c>
      <c r="G179" s="24">
        <v>1</v>
      </c>
      <c r="H179" s="24" t="s">
        <v>1327</v>
      </c>
      <c r="I179" s="46">
        <v>43358.807013888887</v>
      </c>
    </row>
    <row r="180" spans="6:9" x14ac:dyDescent="0.25">
      <c r="F180" s="67" t="s">
        <v>201</v>
      </c>
      <c r="G180" s="24">
        <v>1</v>
      </c>
      <c r="H180" s="24" t="s">
        <v>1327</v>
      </c>
      <c r="I180" s="46">
        <v>43358.80667824074</v>
      </c>
    </row>
    <row r="181" spans="6:9" x14ac:dyDescent="0.25">
      <c r="F181" s="67" t="s">
        <v>1559</v>
      </c>
      <c r="G181" s="24">
        <v>1</v>
      </c>
      <c r="H181" s="24" t="s">
        <v>1327</v>
      </c>
      <c r="I181" s="46">
        <v>43358.806469907409</v>
      </c>
    </row>
    <row r="182" spans="6:9" x14ac:dyDescent="0.25">
      <c r="F182" s="67" t="s">
        <v>138</v>
      </c>
      <c r="G182" s="24">
        <v>1</v>
      </c>
      <c r="H182" s="24" t="s">
        <v>1327</v>
      </c>
      <c r="I182" s="46">
        <v>43358.805949074071</v>
      </c>
    </row>
    <row r="183" spans="6:9" x14ac:dyDescent="0.25">
      <c r="F183" s="67" t="s">
        <v>121</v>
      </c>
      <c r="G183" s="24">
        <v>4</v>
      </c>
      <c r="H183" s="24" t="s">
        <v>1327</v>
      </c>
      <c r="I183" s="46">
        <v>43358.805787037039</v>
      </c>
    </row>
    <row r="184" spans="6:9" x14ac:dyDescent="0.25">
      <c r="F184" s="67" t="s">
        <v>2</v>
      </c>
      <c r="G184" s="24">
        <v>1</v>
      </c>
      <c r="H184" s="24" t="s">
        <v>1327</v>
      </c>
      <c r="I184" s="46">
        <v>43358.805659722224</v>
      </c>
    </row>
    <row r="185" spans="6:9" x14ac:dyDescent="0.25">
      <c r="F185" s="67" t="s">
        <v>11</v>
      </c>
      <c r="G185" s="24">
        <v>4</v>
      </c>
      <c r="H185" s="24" t="s">
        <v>1327</v>
      </c>
      <c r="I185" s="46">
        <v>43358.805509259262</v>
      </c>
    </row>
    <row r="186" spans="6:9" x14ac:dyDescent="0.25">
      <c r="F186" s="67" t="s">
        <v>371</v>
      </c>
      <c r="G186" s="24">
        <v>1</v>
      </c>
      <c r="H186" s="24" t="s">
        <v>1327</v>
      </c>
      <c r="I186" s="46">
        <v>43358.804363425923</v>
      </c>
    </row>
    <row r="187" spans="6:9" x14ac:dyDescent="0.25">
      <c r="F187" s="67" t="s">
        <v>1560</v>
      </c>
      <c r="G187" s="24">
        <v>1</v>
      </c>
      <c r="H187" s="24" t="s">
        <v>1327</v>
      </c>
      <c r="I187" s="46">
        <v>43358.804236111115</v>
      </c>
    </row>
    <row r="188" spans="6:9" x14ac:dyDescent="0.25">
      <c r="F188" s="67" t="s">
        <v>155</v>
      </c>
      <c r="G188" s="24">
        <v>5</v>
      </c>
      <c r="H188" s="24" t="s">
        <v>1327</v>
      </c>
      <c r="I188" s="46">
        <v>43358.802858796298</v>
      </c>
    </row>
    <row r="189" spans="6:9" x14ac:dyDescent="0.25">
      <c r="F189" s="67" t="s">
        <v>265</v>
      </c>
      <c r="G189" s="24">
        <v>1</v>
      </c>
      <c r="H189" s="24" t="s">
        <v>1327</v>
      </c>
      <c r="I189" s="46">
        <v>43358.802430555559</v>
      </c>
    </row>
    <row r="190" spans="6:9" x14ac:dyDescent="0.25">
      <c r="F190" s="67" t="s">
        <v>59</v>
      </c>
      <c r="G190" s="24">
        <v>3</v>
      </c>
      <c r="H190" s="24" t="s">
        <v>1327</v>
      </c>
      <c r="I190" s="46">
        <v>43358.802152777775</v>
      </c>
    </row>
    <row r="191" spans="6:9" x14ac:dyDescent="0.25">
      <c r="F191" s="67" t="s">
        <v>1311</v>
      </c>
      <c r="G191" s="24">
        <v>1</v>
      </c>
      <c r="H191" s="24" t="s">
        <v>1327</v>
      </c>
      <c r="I191" s="46">
        <v>43358.801990740743</v>
      </c>
    </row>
    <row r="192" spans="6:9" x14ac:dyDescent="0.25">
      <c r="F192" s="67" t="s">
        <v>1380</v>
      </c>
      <c r="G192" s="24">
        <v>37</v>
      </c>
      <c r="H192" s="24" t="s">
        <v>1327</v>
      </c>
      <c r="I192" s="46">
        <v>43358.801689814813</v>
      </c>
    </row>
    <row r="193" spans="6:9" x14ac:dyDescent="0.25">
      <c r="F193" s="67" t="s">
        <v>183</v>
      </c>
      <c r="G193" s="24">
        <v>1</v>
      </c>
      <c r="H193" s="24" t="s">
        <v>1327</v>
      </c>
      <c r="I193" s="46">
        <v>43358.797939814816</v>
      </c>
    </row>
    <row r="194" spans="6:9" x14ac:dyDescent="0.25">
      <c r="F194" s="67" t="s">
        <v>197</v>
      </c>
      <c r="G194" s="24">
        <v>3</v>
      </c>
      <c r="H194" s="24" t="s">
        <v>1327</v>
      </c>
      <c r="I194" s="46">
        <v>43358.797789351855</v>
      </c>
    </row>
    <row r="195" spans="6:9" x14ac:dyDescent="0.25">
      <c r="F195" s="67" t="s">
        <v>184</v>
      </c>
      <c r="G195" s="24">
        <v>2</v>
      </c>
      <c r="H195" s="24" t="s">
        <v>1327</v>
      </c>
      <c r="I195" s="46">
        <v>43358.797465277778</v>
      </c>
    </row>
    <row r="196" spans="6:9" x14ac:dyDescent="0.25">
      <c r="F196" s="67" t="s">
        <v>146</v>
      </c>
      <c r="G196" s="24">
        <v>2</v>
      </c>
      <c r="H196" s="24" t="s">
        <v>1327</v>
      </c>
      <c r="I196" s="46">
        <v>43358.79724537037</v>
      </c>
    </row>
    <row r="197" spans="6:9" x14ac:dyDescent="0.25">
      <c r="F197" s="67" t="s">
        <v>149</v>
      </c>
      <c r="G197" s="24">
        <v>12</v>
      </c>
      <c r="H197" s="24" t="s">
        <v>1327</v>
      </c>
      <c r="I197" s="46">
        <v>43358.796620370369</v>
      </c>
    </row>
    <row r="198" spans="6:9" x14ac:dyDescent="0.25">
      <c r="F198" s="67" t="s">
        <v>21</v>
      </c>
      <c r="G198" s="24">
        <v>9</v>
      </c>
      <c r="H198" s="24" t="s">
        <v>1327</v>
      </c>
      <c r="I198" s="46">
        <v>43358.796446759261</v>
      </c>
    </row>
    <row r="199" spans="6:9" x14ac:dyDescent="0.25">
      <c r="F199" s="67" t="s">
        <v>39</v>
      </c>
      <c r="G199" s="24">
        <v>6</v>
      </c>
      <c r="H199" s="24" t="s">
        <v>1327</v>
      </c>
      <c r="I199" s="46">
        <v>43358.796261574076</v>
      </c>
    </row>
    <row r="200" spans="6:9" x14ac:dyDescent="0.25">
      <c r="F200" s="67" t="s">
        <v>146</v>
      </c>
      <c r="G200" s="24">
        <v>14</v>
      </c>
      <c r="H200" s="24" t="s">
        <v>1327</v>
      </c>
      <c r="I200" s="46">
        <v>43358.795949074076</v>
      </c>
    </row>
    <row r="201" spans="6:9" x14ac:dyDescent="0.25">
      <c r="F201" s="67" t="s">
        <v>50</v>
      </c>
      <c r="G201" s="24">
        <v>2</v>
      </c>
      <c r="H201" s="24" t="s">
        <v>1327</v>
      </c>
      <c r="I201" s="46">
        <v>43358.795706018522</v>
      </c>
    </row>
    <row r="202" spans="6:9" x14ac:dyDescent="0.25">
      <c r="F202" s="67" t="s">
        <v>1381</v>
      </c>
      <c r="G202" s="24">
        <v>1</v>
      </c>
      <c r="H202" s="24" t="s">
        <v>1327</v>
      </c>
      <c r="I202" s="46">
        <v>43358.795590277776</v>
      </c>
    </row>
    <row r="203" spans="6:9" x14ac:dyDescent="0.25">
      <c r="F203" s="67" t="s">
        <v>1561</v>
      </c>
      <c r="G203" s="24">
        <v>1</v>
      </c>
      <c r="H203" s="24" t="s">
        <v>1327</v>
      </c>
      <c r="I203" s="46">
        <v>43358.795289351852</v>
      </c>
    </row>
    <row r="204" spans="6:9" x14ac:dyDescent="0.25">
      <c r="F204" s="67" t="s">
        <v>59</v>
      </c>
      <c r="G204" s="24">
        <v>2</v>
      </c>
      <c r="H204" s="24" t="s">
        <v>1327</v>
      </c>
      <c r="I204" s="46">
        <v>43358.795138888891</v>
      </c>
    </row>
    <row r="205" spans="6:9" x14ac:dyDescent="0.25">
      <c r="F205" s="40" t="s">
        <v>371</v>
      </c>
      <c r="G205" s="24">
        <v>3</v>
      </c>
      <c r="H205" s="24" t="s">
        <v>1321</v>
      </c>
      <c r="I205" s="46">
        <v>43358.795011574075</v>
      </c>
    </row>
    <row r="206" spans="6:9" x14ac:dyDescent="0.25">
      <c r="F206" s="40" t="s">
        <v>1575</v>
      </c>
      <c r="G206" s="24">
        <v>2</v>
      </c>
      <c r="H206" s="24" t="s">
        <v>1321</v>
      </c>
      <c r="I206" s="46">
        <v>43358.794803240744</v>
      </c>
    </row>
    <row r="207" spans="6:9" x14ac:dyDescent="0.25">
      <c r="F207" s="67" t="s">
        <v>1311</v>
      </c>
      <c r="G207" s="24">
        <v>2</v>
      </c>
      <c r="H207" s="24" t="s">
        <v>1327</v>
      </c>
      <c r="I207" s="46">
        <v>43358.794791666667</v>
      </c>
    </row>
    <row r="208" spans="6:9" x14ac:dyDescent="0.25">
      <c r="F208" s="40" t="s">
        <v>344</v>
      </c>
      <c r="G208" s="24">
        <v>5</v>
      </c>
      <c r="H208" s="24" t="s">
        <v>1321</v>
      </c>
      <c r="I208" s="46">
        <v>43358.794548611113</v>
      </c>
    </row>
    <row r="209" spans="6:9" x14ac:dyDescent="0.25">
      <c r="F209" s="67" t="s">
        <v>369</v>
      </c>
      <c r="G209" s="24">
        <v>1</v>
      </c>
      <c r="H209" s="24" t="s">
        <v>1327</v>
      </c>
      <c r="I209" s="46">
        <v>43358.79451388889</v>
      </c>
    </row>
    <row r="210" spans="6:9" x14ac:dyDescent="0.25">
      <c r="F210" s="40" t="s">
        <v>355</v>
      </c>
      <c r="G210" s="24">
        <v>5</v>
      </c>
      <c r="H210" s="24" t="s">
        <v>1321</v>
      </c>
      <c r="I210" s="46">
        <v>43358.794421296298</v>
      </c>
    </row>
    <row r="211" spans="6:9" x14ac:dyDescent="0.25">
      <c r="F211" s="67" t="s">
        <v>138</v>
      </c>
      <c r="G211" s="24">
        <v>1</v>
      </c>
      <c r="H211" s="24" t="s">
        <v>1327</v>
      </c>
      <c r="I211" s="46">
        <v>43358.794270833336</v>
      </c>
    </row>
    <row r="212" spans="6:9" x14ac:dyDescent="0.25">
      <c r="F212" s="67" t="s">
        <v>140</v>
      </c>
      <c r="G212" s="24">
        <v>1</v>
      </c>
      <c r="H212" s="24" t="s">
        <v>1327</v>
      </c>
      <c r="I212" s="46">
        <v>43358.794108796297</v>
      </c>
    </row>
    <row r="213" spans="6:9" x14ac:dyDescent="0.25">
      <c r="F213" s="40" t="s">
        <v>144</v>
      </c>
      <c r="G213" s="24">
        <v>2</v>
      </c>
      <c r="H213" s="24" t="s">
        <v>1321</v>
      </c>
      <c r="I213" s="46">
        <v>43358.79409722222</v>
      </c>
    </row>
    <row r="214" spans="6:9" x14ac:dyDescent="0.25">
      <c r="F214" s="67" t="s">
        <v>1314</v>
      </c>
      <c r="G214" s="24">
        <v>1</v>
      </c>
      <c r="H214" s="24" t="s">
        <v>1327</v>
      </c>
      <c r="I214" s="46">
        <v>43358.794016203705</v>
      </c>
    </row>
    <row r="215" spans="6:9" x14ac:dyDescent="0.25">
      <c r="F215" s="40" t="s">
        <v>138</v>
      </c>
      <c r="G215" s="24">
        <v>1</v>
      </c>
      <c r="H215" s="24" t="s">
        <v>1321</v>
      </c>
      <c r="I215" s="46">
        <v>43358.794004629628</v>
      </c>
    </row>
    <row r="216" spans="6:9" x14ac:dyDescent="0.25">
      <c r="F216" s="67" t="s">
        <v>127</v>
      </c>
      <c r="G216" s="24">
        <v>1</v>
      </c>
      <c r="H216" s="24" t="s">
        <v>1327</v>
      </c>
      <c r="I216" s="46">
        <v>43358.793923611112</v>
      </c>
    </row>
    <row r="217" spans="6:9" x14ac:dyDescent="0.25">
      <c r="F217" s="40" t="s">
        <v>140</v>
      </c>
      <c r="G217" s="24">
        <v>1</v>
      </c>
      <c r="H217" s="24" t="s">
        <v>1321</v>
      </c>
      <c r="I217" s="46">
        <v>43358.793865740743</v>
      </c>
    </row>
    <row r="218" spans="6:9" x14ac:dyDescent="0.25">
      <c r="F218" s="67" t="s">
        <v>186</v>
      </c>
      <c r="G218" s="24">
        <v>1</v>
      </c>
      <c r="H218" s="24" t="s">
        <v>1327</v>
      </c>
      <c r="I218" s="46">
        <v>43358.79378472222</v>
      </c>
    </row>
    <row r="219" spans="6:9" x14ac:dyDescent="0.25">
      <c r="F219" s="40" t="s">
        <v>186</v>
      </c>
      <c r="G219" s="24">
        <v>1</v>
      </c>
      <c r="H219" s="24" t="s">
        <v>1321</v>
      </c>
      <c r="I219" s="46">
        <v>43358.793738425928</v>
      </c>
    </row>
    <row r="220" spans="6:9" x14ac:dyDescent="0.25">
      <c r="F220" s="67" t="s">
        <v>197</v>
      </c>
      <c r="G220" s="24">
        <v>2</v>
      </c>
      <c r="H220" s="24" t="s">
        <v>1327</v>
      </c>
      <c r="I220" s="46">
        <v>43358.793692129628</v>
      </c>
    </row>
    <row r="221" spans="6:9" x14ac:dyDescent="0.25">
      <c r="F221" s="40" t="s">
        <v>222</v>
      </c>
      <c r="G221" s="24">
        <v>1</v>
      </c>
      <c r="H221" s="24" t="s">
        <v>1321</v>
      </c>
      <c r="I221" s="46">
        <v>43358.793634259258</v>
      </c>
    </row>
    <row r="222" spans="6:9" x14ac:dyDescent="0.25">
      <c r="F222" s="67" t="s">
        <v>183</v>
      </c>
      <c r="G222" s="24">
        <v>2</v>
      </c>
      <c r="H222" s="24" t="s">
        <v>1327</v>
      </c>
      <c r="I222" s="46">
        <v>43358.793587962966</v>
      </c>
    </row>
    <row r="223" spans="6:9" x14ac:dyDescent="0.25">
      <c r="F223" s="40" t="s">
        <v>198</v>
      </c>
      <c r="G223" s="24">
        <v>1</v>
      </c>
      <c r="H223" s="24" t="s">
        <v>1321</v>
      </c>
      <c r="I223" s="46">
        <v>43358.793495370373</v>
      </c>
    </row>
    <row r="224" spans="6:9" x14ac:dyDescent="0.25">
      <c r="F224" s="67" t="s">
        <v>184</v>
      </c>
      <c r="G224" s="24">
        <v>1</v>
      </c>
      <c r="H224" s="24" t="s">
        <v>1327</v>
      </c>
      <c r="I224" s="46">
        <v>43358.793333333335</v>
      </c>
    </row>
    <row r="225" spans="6:9" x14ac:dyDescent="0.25">
      <c r="F225" s="67" t="s">
        <v>184</v>
      </c>
      <c r="G225" s="24">
        <v>2</v>
      </c>
      <c r="H225" s="24" t="s">
        <v>1327</v>
      </c>
      <c r="I225" s="46">
        <v>43358.79315972222</v>
      </c>
    </row>
    <row r="226" spans="6:9" x14ac:dyDescent="0.25">
      <c r="F226" s="40" t="s">
        <v>1369</v>
      </c>
      <c r="G226" s="24">
        <v>1</v>
      </c>
      <c r="H226" s="24" t="s">
        <v>1321</v>
      </c>
      <c r="I226" s="46">
        <v>43358.793055555558</v>
      </c>
    </row>
    <row r="227" spans="6:9" x14ac:dyDescent="0.25">
      <c r="F227" s="40" t="s">
        <v>170</v>
      </c>
      <c r="G227" s="24">
        <v>2</v>
      </c>
      <c r="H227" s="24" t="s">
        <v>1317</v>
      </c>
      <c r="I227" s="46">
        <v>43358.792997685188</v>
      </c>
    </row>
    <row r="228" spans="6:9" x14ac:dyDescent="0.25">
      <c r="F228" s="67" t="s">
        <v>149</v>
      </c>
      <c r="G228" s="24">
        <v>3</v>
      </c>
      <c r="H228" s="24" t="s">
        <v>1327</v>
      </c>
      <c r="I228" s="46">
        <v>43358.792986111112</v>
      </c>
    </row>
    <row r="229" spans="6:9" x14ac:dyDescent="0.25">
      <c r="F229" s="40" t="s">
        <v>170</v>
      </c>
      <c r="G229" s="24">
        <v>1</v>
      </c>
      <c r="H229" s="24" t="s">
        <v>1321</v>
      </c>
      <c r="I229" s="46">
        <v>43358.792916666665</v>
      </c>
    </row>
    <row r="230" spans="6:9" x14ac:dyDescent="0.25">
      <c r="F230" s="67" t="s">
        <v>121</v>
      </c>
      <c r="G230" s="24">
        <v>9</v>
      </c>
      <c r="H230" s="24" t="s">
        <v>1327</v>
      </c>
      <c r="I230" s="46">
        <v>43358.792870370373</v>
      </c>
    </row>
    <row r="231" spans="6:9" x14ac:dyDescent="0.25">
      <c r="F231" s="40" t="s">
        <v>39</v>
      </c>
      <c r="G231" s="24">
        <v>2</v>
      </c>
      <c r="H231" s="24" t="s">
        <v>1321</v>
      </c>
      <c r="I231" s="46">
        <v>43358.79277777778</v>
      </c>
    </row>
    <row r="232" spans="6:9" x14ac:dyDescent="0.25">
      <c r="F232" s="40" t="s">
        <v>29</v>
      </c>
      <c r="G232" s="24">
        <v>1</v>
      </c>
      <c r="H232" s="24" t="s">
        <v>1317</v>
      </c>
      <c r="I232" s="46">
        <v>43358.792743055557</v>
      </c>
    </row>
    <row r="233" spans="6:9" x14ac:dyDescent="0.25">
      <c r="F233" s="67" t="s">
        <v>2</v>
      </c>
      <c r="G233" s="24">
        <v>2</v>
      </c>
      <c r="H233" s="24" t="s">
        <v>1327</v>
      </c>
      <c r="I233" s="46">
        <v>43358.792604166665</v>
      </c>
    </row>
    <row r="234" spans="6:9" x14ac:dyDescent="0.25">
      <c r="F234" s="40" t="s">
        <v>160</v>
      </c>
      <c r="G234" s="24">
        <v>1</v>
      </c>
      <c r="H234" s="24" t="s">
        <v>1317</v>
      </c>
      <c r="I234" s="46">
        <v>43358.792534722219</v>
      </c>
    </row>
    <row r="235" spans="6:9" x14ac:dyDescent="0.25">
      <c r="F235" s="40" t="s">
        <v>340</v>
      </c>
      <c r="G235" s="24">
        <v>1</v>
      </c>
      <c r="H235" s="24" t="s">
        <v>1317</v>
      </c>
      <c r="I235" s="46">
        <v>43358.792442129627</v>
      </c>
    </row>
    <row r="236" spans="6:9" x14ac:dyDescent="0.25">
      <c r="F236" s="67" t="s">
        <v>21</v>
      </c>
      <c r="G236" s="24">
        <v>5</v>
      </c>
      <c r="H236" s="24" t="s">
        <v>1327</v>
      </c>
      <c r="I236" s="46">
        <v>43358.792430555557</v>
      </c>
    </row>
    <row r="237" spans="6:9" x14ac:dyDescent="0.25">
      <c r="F237" s="40" t="s">
        <v>243</v>
      </c>
      <c r="G237" s="24">
        <v>1</v>
      </c>
      <c r="H237" s="24" t="s">
        <v>1321</v>
      </c>
      <c r="I237" s="46">
        <v>43358.792430555557</v>
      </c>
    </row>
    <row r="238" spans="6:9" x14ac:dyDescent="0.25">
      <c r="F238" s="40" t="s">
        <v>138</v>
      </c>
      <c r="G238" s="24">
        <v>1</v>
      </c>
      <c r="H238" s="24" t="s">
        <v>1317</v>
      </c>
      <c r="I238" s="46">
        <v>43358.792372685188</v>
      </c>
    </row>
    <row r="239" spans="6:9" x14ac:dyDescent="0.25">
      <c r="F239" s="40" t="s">
        <v>127</v>
      </c>
      <c r="G239" s="24">
        <v>1</v>
      </c>
      <c r="H239" s="24" t="s">
        <v>1317</v>
      </c>
      <c r="I239" s="46">
        <v>43358.792291666665</v>
      </c>
    </row>
    <row r="240" spans="6:9" x14ac:dyDescent="0.25">
      <c r="F240" s="67" t="s">
        <v>155</v>
      </c>
      <c r="G240" s="24">
        <v>12</v>
      </c>
      <c r="H240" s="24" t="s">
        <v>1327</v>
      </c>
      <c r="I240" s="46">
        <v>43358.792233796295</v>
      </c>
    </row>
    <row r="241" spans="6:9" x14ac:dyDescent="0.25">
      <c r="F241" s="40" t="s">
        <v>67</v>
      </c>
      <c r="G241" s="24">
        <v>8</v>
      </c>
      <c r="H241" s="24" t="s">
        <v>1317</v>
      </c>
      <c r="I241" s="46">
        <v>43358.792164351849</v>
      </c>
    </row>
    <row r="242" spans="6:9" x14ac:dyDescent="0.25">
      <c r="F242" s="40" t="s">
        <v>146</v>
      </c>
      <c r="G242" s="24">
        <v>2</v>
      </c>
      <c r="H242" s="24" t="s">
        <v>1321</v>
      </c>
      <c r="I242" s="46">
        <v>43358.792071759257</v>
      </c>
    </row>
    <row r="243" spans="6:9" x14ac:dyDescent="0.25">
      <c r="F243" s="40" t="s">
        <v>200</v>
      </c>
      <c r="G243" s="24">
        <v>1</v>
      </c>
      <c r="H243" s="24" t="s">
        <v>1317</v>
      </c>
      <c r="I243" s="46">
        <v>43358.791956018518</v>
      </c>
    </row>
    <row r="244" spans="6:9" x14ac:dyDescent="0.25">
      <c r="F244" s="40" t="s">
        <v>155</v>
      </c>
      <c r="G244" s="24">
        <v>3</v>
      </c>
      <c r="H244" s="24" t="s">
        <v>1321</v>
      </c>
      <c r="I244" s="46">
        <v>43358.791956018518</v>
      </c>
    </row>
    <row r="245" spans="6:9" x14ac:dyDescent="0.25">
      <c r="F245" s="40" t="s">
        <v>2</v>
      </c>
      <c r="G245" s="24">
        <v>4</v>
      </c>
      <c r="H245" s="24" t="s">
        <v>1321</v>
      </c>
      <c r="I245" s="46">
        <v>43358.79184027778</v>
      </c>
    </row>
    <row r="246" spans="6:9" x14ac:dyDescent="0.25">
      <c r="F246" s="40" t="s">
        <v>21</v>
      </c>
      <c r="G246" s="24">
        <v>2</v>
      </c>
      <c r="H246" s="24" t="s">
        <v>1317</v>
      </c>
      <c r="I246" s="46">
        <v>43358.79179398148</v>
      </c>
    </row>
    <row r="247" spans="6:9" x14ac:dyDescent="0.25">
      <c r="F247" s="40" t="s">
        <v>50</v>
      </c>
      <c r="G247" s="24">
        <v>2</v>
      </c>
      <c r="H247" s="24" t="s">
        <v>1317</v>
      </c>
      <c r="I247" s="46">
        <v>43358.791712962964</v>
      </c>
    </row>
    <row r="248" spans="6:9" x14ac:dyDescent="0.25">
      <c r="F248" s="67" t="s">
        <v>146</v>
      </c>
      <c r="G248" s="24">
        <v>24</v>
      </c>
      <c r="H248" s="24" t="s">
        <v>1327</v>
      </c>
      <c r="I248" s="46">
        <v>43358.791678240741</v>
      </c>
    </row>
    <row r="249" spans="6:9" x14ac:dyDescent="0.25">
      <c r="F249" s="40" t="s">
        <v>123</v>
      </c>
      <c r="G249" s="24">
        <v>1</v>
      </c>
      <c r="H249" s="24" t="s">
        <v>1321</v>
      </c>
      <c r="I249" s="46">
        <v>43358.791666666664</v>
      </c>
    </row>
    <row r="250" spans="6:9" x14ac:dyDescent="0.25">
      <c r="F250" s="40" t="s">
        <v>349</v>
      </c>
      <c r="G250" s="24">
        <v>19</v>
      </c>
      <c r="H250" s="24" t="s">
        <v>1317</v>
      </c>
      <c r="I250" s="46">
        <v>43358.791585648149</v>
      </c>
    </row>
    <row r="251" spans="6:9" x14ac:dyDescent="0.25">
      <c r="F251" s="40" t="s">
        <v>51</v>
      </c>
      <c r="G251" s="24">
        <v>1</v>
      </c>
      <c r="H251" s="24" t="s">
        <v>1321</v>
      </c>
      <c r="I251" s="46">
        <v>43358.791562500002</v>
      </c>
    </row>
    <row r="252" spans="6:9" x14ac:dyDescent="0.25">
      <c r="F252" s="67" t="s">
        <v>149</v>
      </c>
      <c r="G252" s="24">
        <v>5</v>
      </c>
      <c r="H252" s="24" t="s">
        <v>1327</v>
      </c>
      <c r="I252" s="46">
        <v>43358.791539351849</v>
      </c>
    </row>
    <row r="253" spans="6:9" x14ac:dyDescent="0.25">
      <c r="F253" s="40" t="s">
        <v>59</v>
      </c>
      <c r="G253" s="24">
        <v>5</v>
      </c>
      <c r="H253" s="24" t="s">
        <v>1317</v>
      </c>
      <c r="I253" s="46">
        <v>43358.791504629633</v>
      </c>
    </row>
    <row r="254" spans="6:9" x14ac:dyDescent="0.25">
      <c r="F254" s="67" t="s">
        <v>155</v>
      </c>
      <c r="G254" s="24">
        <v>4</v>
      </c>
      <c r="H254" s="24" t="s">
        <v>1327</v>
      </c>
      <c r="I254" s="46">
        <v>43358.79146990741</v>
      </c>
    </row>
    <row r="255" spans="6:9" x14ac:dyDescent="0.25">
      <c r="F255" s="67" t="s">
        <v>11</v>
      </c>
      <c r="G255" s="24">
        <v>9</v>
      </c>
      <c r="H255" s="24" t="s">
        <v>1327</v>
      </c>
      <c r="I255" s="46">
        <v>43358.791388888887</v>
      </c>
    </row>
    <row r="256" spans="6:9" x14ac:dyDescent="0.25">
      <c r="F256" s="40" t="s">
        <v>371</v>
      </c>
      <c r="G256" s="24">
        <v>12</v>
      </c>
      <c r="H256" s="24" t="s">
        <v>1317</v>
      </c>
      <c r="I256" s="46">
        <v>43358.791365740741</v>
      </c>
    </row>
    <row r="257" spans="6:9" x14ac:dyDescent="0.25">
      <c r="F257" s="40" t="s">
        <v>21</v>
      </c>
      <c r="G257" s="24">
        <v>9</v>
      </c>
      <c r="H257" s="24" t="s">
        <v>1321</v>
      </c>
      <c r="I257" s="46">
        <v>43358.791342592594</v>
      </c>
    </row>
    <row r="258" spans="6:9" x14ac:dyDescent="0.25">
      <c r="F258" s="40" t="s">
        <v>65</v>
      </c>
      <c r="G258" s="24">
        <v>2</v>
      </c>
      <c r="H258" s="24" t="s">
        <v>1321</v>
      </c>
      <c r="I258" s="46">
        <v>43358.791203703702</v>
      </c>
    </row>
    <row r="259" spans="6:9" x14ac:dyDescent="0.25">
      <c r="F259" s="40" t="s">
        <v>186</v>
      </c>
      <c r="G259" s="24">
        <v>2</v>
      </c>
      <c r="H259" s="24" t="s">
        <v>1317</v>
      </c>
      <c r="I259" s="46">
        <v>43358.791087962964</v>
      </c>
    </row>
    <row r="260" spans="6:9" x14ac:dyDescent="0.25">
      <c r="F260" s="67" t="s">
        <v>154</v>
      </c>
      <c r="G260" s="24">
        <v>1</v>
      </c>
      <c r="H260" s="24" t="s">
        <v>1325</v>
      </c>
      <c r="I260" s="46">
        <v>43358.79105324074</v>
      </c>
    </row>
    <row r="261" spans="6:9" x14ac:dyDescent="0.25">
      <c r="F261" s="40" t="s">
        <v>198</v>
      </c>
      <c r="G261" s="24">
        <v>3</v>
      </c>
      <c r="H261" s="24" t="s">
        <v>1317</v>
      </c>
      <c r="I261" s="46">
        <v>43358.791006944448</v>
      </c>
    </row>
    <row r="262" spans="6:9" x14ac:dyDescent="0.25">
      <c r="F262" s="40" t="s">
        <v>1380</v>
      </c>
      <c r="G262" s="24">
        <v>2</v>
      </c>
      <c r="H262" s="24" t="s">
        <v>1321</v>
      </c>
      <c r="I262" s="46">
        <v>43358.790972222225</v>
      </c>
    </row>
    <row r="263" spans="6:9" x14ac:dyDescent="0.25">
      <c r="F263" s="67" t="s">
        <v>1277</v>
      </c>
      <c r="G263" s="24">
        <v>1</v>
      </c>
      <c r="H263" s="24" t="s">
        <v>1325</v>
      </c>
      <c r="I263" s="46">
        <v>43358.790960648148</v>
      </c>
    </row>
    <row r="264" spans="6:9" x14ac:dyDescent="0.25">
      <c r="F264" s="40" t="s">
        <v>187</v>
      </c>
      <c r="G264" s="24">
        <v>1</v>
      </c>
      <c r="H264" s="24" t="s">
        <v>1317</v>
      </c>
      <c r="I264" s="46">
        <v>43358.790937500002</v>
      </c>
    </row>
    <row r="265" spans="6:9" x14ac:dyDescent="0.25">
      <c r="F265" s="40" t="s">
        <v>183</v>
      </c>
      <c r="G265" s="24">
        <v>5</v>
      </c>
      <c r="H265" s="24" t="s">
        <v>1317</v>
      </c>
      <c r="I265" s="46">
        <v>43358.790868055556</v>
      </c>
    </row>
    <row r="266" spans="6:9" x14ac:dyDescent="0.25">
      <c r="F266" s="67" t="s">
        <v>140</v>
      </c>
      <c r="G266" s="24">
        <v>1</v>
      </c>
      <c r="H266" s="24" t="s">
        <v>1325</v>
      </c>
      <c r="I266" s="46">
        <v>43358.790694444448</v>
      </c>
    </row>
    <row r="267" spans="6:9" x14ac:dyDescent="0.25">
      <c r="F267" s="40" t="s">
        <v>1379</v>
      </c>
      <c r="G267" s="24">
        <v>1</v>
      </c>
      <c r="H267" s="24" t="s">
        <v>1321</v>
      </c>
      <c r="I267" s="46">
        <v>43358.790659722225</v>
      </c>
    </row>
    <row r="268" spans="6:9" x14ac:dyDescent="0.25">
      <c r="F268" s="40" t="s">
        <v>183</v>
      </c>
      <c r="G268" s="24">
        <v>1</v>
      </c>
      <c r="H268" s="24" t="s">
        <v>1317</v>
      </c>
      <c r="I268" s="46">
        <v>43358.790601851855</v>
      </c>
    </row>
    <row r="269" spans="6:9" x14ac:dyDescent="0.25">
      <c r="F269" s="67" t="s">
        <v>2</v>
      </c>
      <c r="G269" s="24">
        <v>1</v>
      </c>
      <c r="H269" s="24" t="s">
        <v>1325</v>
      </c>
      <c r="I269" s="46">
        <v>43358.790601851855</v>
      </c>
    </row>
    <row r="270" spans="6:9" x14ac:dyDescent="0.25">
      <c r="F270" s="67" t="s">
        <v>3</v>
      </c>
      <c r="G270" s="24">
        <v>1</v>
      </c>
      <c r="H270" s="24" t="s">
        <v>1325</v>
      </c>
      <c r="I270" s="46">
        <v>43358.790520833332</v>
      </c>
    </row>
    <row r="271" spans="6:9" x14ac:dyDescent="0.25">
      <c r="F271" s="40" t="s">
        <v>65</v>
      </c>
      <c r="G271" s="24">
        <v>5</v>
      </c>
      <c r="H271" s="24" t="s">
        <v>1321</v>
      </c>
      <c r="I271" s="46">
        <v>43358.790509259263</v>
      </c>
    </row>
    <row r="272" spans="6:9" x14ac:dyDescent="0.25">
      <c r="F272" s="40" t="s">
        <v>210</v>
      </c>
      <c r="G272" s="24">
        <v>1</v>
      </c>
      <c r="H272" s="24" t="s">
        <v>1317</v>
      </c>
      <c r="I272" s="46">
        <v>43358.790370370371</v>
      </c>
    </row>
    <row r="273" spans="6:9" x14ac:dyDescent="0.25">
      <c r="F273" s="67" t="s">
        <v>149</v>
      </c>
      <c r="G273" s="24">
        <v>16</v>
      </c>
      <c r="H273" s="24" t="s">
        <v>1327</v>
      </c>
      <c r="I273" s="46">
        <v>43358.790231481478</v>
      </c>
    </row>
    <row r="274" spans="6:9" x14ac:dyDescent="0.25">
      <c r="F274" s="40" t="s">
        <v>36</v>
      </c>
      <c r="G274" s="24">
        <v>1</v>
      </c>
      <c r="H274" s="24" t="s">
        <v>1321</v>
      </c>
      <c r="I274" s="46">
        <v>43358.790219907409</v>
      </c>
    </row>
    <row r="275" spans="6:9" x14ac:dyDescent="0.25">
      <c r="F275" s="40" t="s">
        <v>59</v>
      </c>
      <c r="G275" s="24">
        <v>13</v>
      </c>
      <c r="H275" s="24" t="s">
        <v>1321</v>
      </c>
      <c r="I275" s="46">
        <v>43358.790127314816</v>
      </c>
    </row>
    <row r="276" spans="6:9" x14ac:dyDescent="0.25">
      <c r="F276" s="40" t="s">
        <v>184</v>
      </c>
      <c r="G276" s="24">
        <v>2</v>
      </c>
      <c r="H276" s="24" t="s">
        <v>1317</v>
      </c>
      <c r="I276" s="46">
        <v>43358.79011574074</v>
      </c>
    </row>
    <row r="277" spans="6:9" x14ac:dyDescent="0.25">
      <c r="F277" s="67" t="s">
        <v>349</v>
      </c>
      <c r="G277" s="24">
        <v>12</v>
      </c>
      <c r="H277" s="24" t="s">
        <v>1327</v>
      </c>
      <c r="I277" s="46">
        <v>43358.79010416667</v>
      </c>
    </row>
    <row r="278" spans="6:9" x14ac:dyDescent="0.25">
      <c r="F278" s="40" t="s">
        <v>184</v>
      </c>
      <c r="G278" s="24">
        <v>2</v>
      </c>
      <c r="H278" s="24" t="s">
        <v>1317</v>
      </c>
      <c r="I278" s="46">
        <v>43358.790046296293</v>
      </c>
    </row>
    <row r="279" spans="6:9" x14ac:dyDescent="0.25">
      <c r="F279" s="40" t="s">
        <v>11</v>
      </c>
      <c r="G279" s="24">
        <v>12</v>
      </c>
      <c r="H279" s="24" t="s">
        <v>1321</v>
      </c>
      <c r="I279" s="46">
        <v>43358.789965277778</v>
      </c>
    </row>
    <row r="280" spans="6:9" x14ac:dyDescent="0.25">
      <c r="F280" s="67" t="s">
        <v>39</v>
      </c>
      <c r="G280" s="24">
        <v>11</v>
      </c>
      <c r="H280" s="24" t="s">
        <v>1327</v>
      </c>
      <c r="I280" s="46">
        <v>43358.789884259262</v>
      </c>
    </row>
    <row r="281" spans="6:9" x14ac:dyDescent="0.25">
      <c r="F281" s="40" t="s">
        <v>4</v>
      </c>
      <c r="G281" s="24">
        <v>8</v>
      </c>
      <c r="H281" s="24" t="s">
        <v>1321</v>
      </c>
      <c r="I281" s="46">
        <v>43358.789884259262</v>
      </c>
    </row>
    <row r="282" spans="6:9" x14ac:dyDescent="0.25">
      <c r="F282" s="40" t="s">
        <v>138</v>
      </c>
      <c r="G282" s="24">
        <v>1</v>
      </c>
      <c r="H282" s="24" t="s">
        <v>1322</v>
      </c>
      <c r="I282" s="46">
        <v>43358.789687500001</v>
      </c>
    </row>
    <row r="283" spans="6:9" x14ac:dyDescent="0.25">
      <c r="F283" s="40" t="s">
        <v>39</v>
      </c>
      <c r="G283" s="24">
        <v>14</v>
      </c>
      <c r="H283" s="24" t="s">
        <v>1317</v>
      </c>
      <c r="I283" s="46">
        <v>43358.789594907408</v>
      </c>
    </row>
    <row r="284" spans="6:9" x14ac:dyDescent="0.25">
      <c r="F284" s="40" t="s">
        <v>118</v>
      </c>
      <c r="G284" s="24">
        <v>1</v>
      </c>
      <c r="H284" s="24" t="s">
        <v>1322</v>
      </c>
      <c r="I284" s="46">
        <v>43358.789571759262</v>
      </c>
    </row>
    <row r="285" spans="6:9" x14ac:dyDescent="0.25">
      <c r="F285" s="40" t="s">
        <v>230</v>
      </c>
      <c r="G285" s="24">
        <v>1</v>
      </c>
      <c r="H285" s="24" t="s">
        <v>1322</v>
      </c>
      <c r="I285" s="46">
        <v>43358.789444444446</v>
      </c>
    </row>
    <row r="286" spans="6:9" x14ac:dyDescent="0.25">
      <c r="F286" s="40" t="s">
        <v>231</v>
      </c>
      <c r="G286" s="24">
        <v>1</v>
      </c>
      <c r="H286" s="24" t="s">
        <v>1322</v>
      </c>
      <c r="I286" s="46">
        <v>43358.7893287037</v>
      </c>
    </row>
    <row r="287" spans="6:9" x14ac:dyDescent="0.25">
      <c r="F287" s="40" t="s">
        <v>155</v>
      </c>
      <c r="G287" s="24">
        <v>27</v>
      </c>
      <c r="H287" s="24" t="s">
        <v>1317</v>
      </c>
      <c r="I287" s="46">
        <v>43358.789305555554</v>
      </c>
    </row>
    <row r="288" spans="6:9" x14ac:dyDescent="0.25">
      <c r="F288" s="40" t="s">
        <v>232</v>
      </c>
      <c r="G288" s="24">
        <v>2</v>
      </c>
      <c r="H288" s="24" t="s">
        <v>1322</v>
      </c>
      <c r="I288" s="46">
        <v>43358.789097222223</v>
      </c>
    </row>
    <row r="289" spans="6:9" x14ac:dyDescent="0.25">
      <c r="F289" s="40" t="s">
        <v>369</v>
      </c>
      <c r="G289" s="24">
        <v>5</v>
      </c>
      <c r="H289" s="24" t="s">
        <v>1317</v>
      </c>
      <c r="I289" s="46">
        <v>43358.789074074077</v>
      </c>
    </row>
    <row r="290" spans="6:9" x14ac:dyDescent="0.25">
      <c r="F290" s="40" t="s">
        <v>174</v>
      </c>
      <c r="G290" s="24">
        <v>1</v>
      </c>
      <c r="H290" s="24" t="s">
        <v>1322</v>
      </c>
      <c r="I290" s="46">
        <v>43358.788958333331</v>
      </c>
    </row>
    <row r="291" spans="6:9" x14ac:dyDescent="0.25">
      <c r="F291" s="40" t="s">
        <v>149</v>
      </c>
      <c r="G291" s="24">
        <v>14</v>
      </c>
      <c r="H291" s="24" t="s">
        <v>1317</v>
      </c>
      <c r="I291" s="46">
        <v>43358.788842592592</v>
      </c>
    </row>
    <row r="292" spans="6:9" x14ac:dyDescent="0.25">
      <c r="F292" s="40" t="s">
        <v>1376</v>
      </c>
      <c r="G292" s="24">
        <v>3</v>
      </c>
      <c r="H292" s="24" t="s">
        <v>1322</v>
      </c>
      <c r="I292" s="46">
        <v>43358.78869212963</v>
      </c>
    </row>
    <row r="293" spans="6:9" x14ac:dyDescent="0.25">
      <c r="F293" s="40" t="s">
        <v>349</v>
      </c>
      <c r="G293" s="24">
        <v>2</v>
      </c>
      <c r="H293" s="24" t="s">
        <v>1322</v>
      </c>
      <c r="I293" s="46">
        <v>43358.788587962961</v>
      </c>
    </row>
    <row r="294" spans="6:9" x14ac:dyDescent="0.25">
      <c r="F294" s="40" t="s">
        <v>146</v>
      </c>
      <c r="G294" s="24">
        <v>16</v>
      </c>
      <c r="H294" s="24" t="s">
        <v>1317</v>
      </c>
      <c r="I294" s="46">
        <v>43358.788356481484</v>
      </c>
    </row>
    <row r="295" spans="6:9" x14ac:dyDescent="0.25">
      <c r="F295" s="40" t="s">
        <v>63</v>
      </c>
      <c r="G295" s="24">
        <v>1</v>
      </c>
      <c r="H295" s="24" t="s">
        <v>1322</v>
      </c>
      <c r="I295" s="46">
        <v>43358.788310185184</v>
      </c>
    </row>
    <row r="296" spans="6:9" x14ac:dyDescent="0.25">
      <c r="F296" s="40" t="s">
        <v>612</v>
      </c>
      <c r="G296" s="24">
        <v>2</v>
      </c>
      <c r="H296" s="24" t="s">
        <v>1322</v>
      </c>
      <c r="I296" s="46">
        <v>43358.788032407407</v>
      </c>
    </row>
    <row r="297" spans="6:9" x14ac:dyDescent="0.25">
      <c r="F297" s="40" t="s">
        <v>146</v>
      </c>
      <c r="G297" s="24">
        <v>12</v>
      </c>
      <c r="H297" s="24" t="s">
        <v>1317</v>
      </c>
      <c r="I297" s="46">
        <v>43358.787997685184</v>
      </c>
    </row>
    <row r="298" spans="6:9" x14ac:dyDescent="0.25">
      <c r="F298" s="40" t="s">
        <v>228</v>
      </c>
      <c r="G298" s="24">
        <v>1</v>
      </c>
      <c r="H298" s="24" t="s">
        <v>1322</v>
      </c>
      <c r="I298" s="46">
        <v>43358.787951388891</v>
      </c>
    </row>
    <row r="299" spans="6:9" x14ac:dyDescent="0.25">
      <c r="F299" s="40" t="s">
        <v>50</v>
      </c>
      <c r="G299" s="24">
        <v>1</v>
      </c>
      <c r="H299" s="24" t="s">
        <v>1322</v>
      </c>
      <c r="I299" s="46">
        <v>43358.787743055553</v>
      </c>
    </row>
    <row r="300" spans="6:9" x14ac:dyDescent="0.25">
      <c r="F300" s="40" t="s">
        <v>121</v>
      </c>
      <c r="G300" s="24">
        <v>11</v>
      </c>
      <c r="H300" s="24" t="s">
        <v>1317</v>
      </c>
      <c r="I300" s="46">
        <v>43358.787673611114</v>
      </c>
    </row>
    <row r="301" spans="6:9" x14ac:dyDescent="0.25">
      <c r="F301" s="40" t="s">
        <v>1576</v>
      </c>
      <c r="G301" s="24">
        <v>1</v>
      </c>
      <c r="H301" s="24" t="s">
        <v>1322</v>
      </c>
      <c r="I301" s="46">
        <v>43358.787627314814</v>
      </c>
    </row>
    <row r="302" spans="6:9" x14ac:dyDescent="0.25">
      <c r="F302" s="40" t="s">
        <v>3</v>
      </c>
      <c r="G302" s="24">
        <v>2</v>
      </c>
      <c r="H302" s="24" t="s">
        <v>1317</v>
      </c>
      <c r="I302" s="46">
        <v>43358.787592592591</v>
      </c>
    </row>
    <row r="303" spans="6:9" x14ac:dyDescent="0.25">
      <c r="F303" s="40" t="s">
        <v>52</v>
      </c>
      <c r="G303" s="24">
        <v>1</v>
      </c>
      <c r="H303" s="24" t="s">
        <v>1322</v>
      </c>
      <c r="I303" s="46">
        <v>43358.787476851852</v>
      </c>
    </row>
    <row r="304" spans="6:9" x14ac:dyDescent="0.25">
      <c r="F304" s="40" t="s">
        <v>122</v>
      </c>
      <c r="G304" s="24">
        <v>1</v>
      </c>
      <c r="H304" s="24" t="s">
        <v>1317</v>
      </c>
      <c r="I304" s="46">
        <v>43358.787453703706</v>
      </c>
    </row>
    <row r="305" spans="6:9" x14ac:dyDescent="0.25">
      <c r="F305" s="67" t="s">
        <v>1279</v>
      </c>
      <c r="G305" s="24">
        <v>3</v>
      </c>
      <c r="H305" s="24" t="s">
        <v>1325</v>
      </c>
      <c r="I305" s="46">
        <v>43358.78738425926</v>
      </c>
    </row>
    <row r="306" spans="6:9" x14ac:dyDescent="0.25">
      <c r="F306" s="40" t="s">
        <v>349</v>
      </c>
      <c r="G306" s="24">
        <v>16</v>
      </c>
      <c r="H306" s="24" t="s">
        <v>1317</v>
      </c>
      <c r="I306" s="46">
        <v>43358.787268518521</v>
      </c>
    </row>
    <row r="307" spans="6:9" x14ac:dyDescent="0.25">
      <c r="F307" s="67" t="s">
        <v>149</v>
      </c>
      <c r="G307" s="24">
        <v>3</v>
      </c>
      <c r="H307" s="24" t="s">
        <v>1325</v>
      </c>
      <c r="I307" s="46">
        <v>43358.787187499998</v>
      </c>
    </row>
    <row r="308" spans="6:9" x14ac:dyDescent="0.25">
      <c r="F308" s="40" t="s">
        <v>349</v>
      </c>
      <c r="G308" s="24">
        <v>25</v>
      </c>
      <c r="H308" s="24" t="s">
        <v>1317</v>
      </c>
      <c r="I308" s="46">
        <v>43358.787175925929</v>
      </c>
    </row>
    <row r="309" spans="6:9" x14ac:dyDescent="0.25">
      <c r="F309" s="40" t="s">
        <v>65</v>
      </c>
      <c r="G309" s="24">
        <v>41</v>
      </c>
      <c r="H309" s="24" t="s">
        <v>1317</v>
      </c>
      <c r="I309" s="46">
        <v>43358.787094907406</v>
      </c>
    </row>
    <row r="310" spans="6:9" x14ac:dyDescent="0.25">
      <c r="F310" s="40" t="s">
        <v>222</v>
      </c>
      <c r="G310" s="24">
        <v>1</v>
      </c>
      <c r="H310" s="24" t="s">
        <v>1322</v>
      </c>
      <c r="I310" s="46">
        <v>43358.787094907406</v>
      </c>
    </row>
    <row r="311" spans="6:9" x14ac:dyDescent="0.25">
      <c r="F311" s="67" t="s">
        <v>155</v>
      </c>
      <c r="G311" s="24">
        <v>4</v>
      </c>
      <c r="H311" s="24" t="s">
        <v>1325</v>
      </c>
      <c r="I311" s="46">
        <v>43358.78702546296</v>
      </c>
    </row>
    <row r="312" spans="6:9" x14ac:dyDescent="0.25">
      <c r="F312" s="40" t="s">
        <v>65</v>
      </c>
      <c r="G312" s="24">
        <v>1</v>
      </c>
      <c r="H312" s="24" t="s">
        <v>1317</v>
      </c>
      <c r="I312" s="46">
        <v>43358.786990740744</v>
      </c>
    </row>
    <row r="313" spans="6:9" x14ac:dyDescent="0.25">
      <c r="F313" s="40" t="s">
        <v>1577</v>
      </c>
      <c r="G313" s="24">
        <v>1</v>
      </c>
      <c r="H313" s="24" t="s">
        <v>1322</v>
      </c>
      <c r="I313" s="46">
        <v>43358.786990740744</v>
      </c>
    </row>
    <row r="314" spans="6:9" x14ac:dyDescent="0.25">
      <c r="F314" s="67" t="s">
        <v>160</v>
      </c>
      <c r="G314" s="24">
        <v>1</v>
      </c>
      <c r="H314" s="24" t="s">
        <v>1325</v>
      </c>
      <c r="I314" s="46">
        <v>43358.786921296298</v>
      </c>
    </row>
    <row r="315" spans="6:9" x14ac:dyDescent="0.25">
      <c r="F315" s="67" t="s">
        <v>132</v>
      </c>
      <c r="G315" s="24">
        <v>1</v>
      </c>
      <c r="H315" s="24" t="s">
        <v>1325</v>
      </c>
      <c r="I315" s="46">
        <v>43358.786828703705</v>
      </c>
    </row>
    <row r="316" spans="6:9" x14ac:dyDescent="0.25">
      <c r="F316" s="67" t="s">
        <v>151</v>
      </c>
      <c r="G316" s="24">
        <v>1</v>
      </c>
      <c r="H316" s="24" t="s">
        <v>1325</v>
      </c>
      <c r="I316" s="46">
        <v>43358.786724537036</v>
      </c>
    </row>
    <row r="317" spans="6:9" x14ac:dyDescent="0.25">
      <c r="F317" s="67" t="s">
        <v>266</v>
      </c>
      <c r="G317" s="24">
        <v>1</v>
      </c>
      <c r="H317" s="24" t="s">
        <v>1325</v>
      </c>
      <c r="I317" s="46">
        <v>43358.786597222221</v>
      </c>
    </row>
    <row r="318" spans="6:9" x14ac:dyDescent="0.25">
      <c r="F318" s="40" t="s">
        <v>149</v>
      </c>
      <c r="G318" s="24">
        <v>17</v>
      </c>
      <c r="H318" s="24" t="s">
        <v>1317</v>
      </c>
      <c r="I318" s="46">
        <v>43358.786516203705</v>
      </c>
    </row>
    <row r="319" spans="6:9" x14ac:dyDescent="0.25">
      <c r="F319" s="67" t="s">
        <v>40</v>
      </c>
      <c r="G319" s="24">
        <v>1</v>
      </c>
      <c r="H319" s="24" t="s">
        <v>1325</v>
      </c>
      <c r="I319" s="46">
        <v>43358.786504629628</v>
      </c>
    </row>
    <row r="320" spans="6:9" x14ac:dyDescent="0.25">
      <c r="F320" s="67" t="s">
        <v>62</v>
      </c>
      <c r="G320" s="24">
        <v>1</v>
      </c>
      <c r="H320" s="24" t="s">
        <v>1325</v>
      </c>
      <c r="I320" s="46">
        <v>43358.78638888889</v>
      </c>
    </row>
    <row r="321" spans="6:9" x14ac:dyDescent="0.25">
      <c r="F321" s="40" t="s">
        <v>11</v>
      </c>
      <c r="G321" s="24">
        <v>17</v>
      </c>
      <c r="H321" s="24" t="s">
        <v>1317</v>
      </c>
      <c r="I321" s="46">
        <v>43358.786365740743</v>
      </c>
    </row>
    <row r="322" spans="6:9" x14ac:dyDescent="0.25">
      <c r="F322" s="40" t="s">
        <v>118</v>
      </c>
      <c r="G322" s="24">
        <v>1</v>
      </c>
      <c r="H322" s="24" t="s">
        <v>1322</v>
      </c>
      <c r="I322" s="46">
        <v>43358.786319444444</v>
      </c>
    </row>
    <row r="323" spans="6:9" x14ac:dyDescent="0.25">
      <c r="F323" s="67" t="s">
        <v>39</v>
      </c>
      <c r="G323" s="24">
        <v>2</v>
      </c>
      <c r="H323" s="24" t="s">
        <v>1325</v>
      </c>
      <c r="I323" s="46">
        <v>43358.78628472222</v>
      </c>
    </row>
    <row r="324" spans="6:9" x14ac:dyDescent="0.25">
      <c r="F324" s="40" t="s">
        <v>146</v>
      </c>
      <c r="G324" s="24">
        <v>3</v>
      </c>
      <c r="H324" s="24" t="s">
        <v>1322</v>
      </c>
      <c r="I324" s="46">
        <v>43358.786192129628</v>
      </c>
    </row>
    <row r="325" spans="6:9" x14ac:dyDescent="0.25">
      <c r="F325" s="40" t="s">
        <v>12</v>
      </c>
      <c r="G325" s="24">
        <v>1</v>
      </c>
      <c r="H325" s="24" t="s">
        <v>1319</v>
      </c>
      <c r="I325" s="46">
        <v>43358.786145833335</v>
      </c>
    </row>
    <row r="326" spans="6:9" x14ac:dyDescent="0.25">
      <c r="F326" s="40" t="s">
        <v>151</v>
      </c>
      <c r="G326" s="24">
        <v>1</v>
      </c>
      <c r="H326" s="24" t="s">
        <v>1322</v>
      </c>
      <c r="I326" s="46">
        <v>43358.786076388889</v>
      </c>
    </row>
    <row r="327" spans="6:9" x14ac:dyDescent="0.25">
      <c r="F327" s="40" t="s">
        <v>160</v>
      </c>
      <c r="G327" s="24">
        <v>1</v>
      </c>
      <c r="H327" s="24" t="s">
        <v>1319</v>
      </c>
      <c r="I327" s="46">
        <v>43358.786064814813</v>
      </c>
    </row>
    <row r="328" spans="6:9" x14ac:dyDescent="0.25">
      <c r="F328" s="40" t="s">
        <v>162</v>
      </c>
      <c r="G328" s="24">
        <v>1</v>
      </c>
      <c r="H328" s="24" t="s">
        <v>1319</v>
      </c>
      <c r="I328" s="46">
        <v>43358.786006944443</v>
      </c>
    </row>
    <row r="329" spans="6:9" x14ac:dyDescent="0.25">
      <c r="F329" s="40" t="s">
        <v>371</v>
      </c>
      <c r="G329" s="24">
        <v>1</v>
      </c>
      <c r="H329" s="24" t="s">
        <v>1319</v>
      </c>
      <c r="I329" s="46">
        <v>43358.785937499997</v>
      </c>
    </row>
    <row r="330" spans="6:9" x14ac:dyDescent="0.25">
      <c r="F330" s="40" t="s">
        <v>59</v>
      </c>
      <c r="G330" s="24">
        <v>1</v>
      </c>
      <c r="H330" s="24" t="s">
        <v>1319</v>
      </c>
      <c r="I330" s="46">
        <v>43358.785879629628</v>
      </c>
    </row>
    <row r="331" spans="6:9" x14ac:dyDescent="0.25">
      <c r="F331" s="67" t="s">
        <v>50</v>
      </c>
      <c r="G331" s="24">
        <v>3</v>
      </c>
      <c r="H331" s="24" t="s">
        <v>1325</v>
      </c>
      <c r="I331" s="46">
        <v>43358.785844907405</v>
      </c>
    </row>
    <row r="332" spans="6:9" x14ac:dyDescent="0.25">
      <c r="F332" s="40" t="s">
        <v>11</v>
      </c>
      <c r="G332" s="24">
        <v>17</v>
      </c>
      <c r="H332" s="24" t="s">
        <v>1322</v>
      </c>
      <c r="I332" s="46">
        <v>43358.785844907405</v>
      </c>
    </row>
    <row r="333" spans="6:9" x14ac:dyDescent="0.25">
      <c r="F333" s="67" t="s">
        <v>53</v>
      </c>
      <c r="G333" s="24">
        <v>1</v>
      </c>
      <c r="H333" s="24" t="s">
        <v>1325</v>
      </c>
      <c r="I333" s="46">
        <v>43358.785740740743</v>
      </c>
    </row>
    <row r="334" spans="6:9" x14ac:dyDescent="0.25">
      <c r="F334" s="40" t="s">
        <v>155</v>
      </c>
      <c r="G334" s="24">
        <v>1</v>
      </c>
      <c r="H334" s="24" t="s">
        <v>1319</v>
      </c>
      <c r="I334" s="46">
        <v>43358.785717592589</v>
      </c>
    </row>
    <row r="335" spans="6:9" x14ac:dyDescent="0.25">
      <c r="F335" s="67" t="s">
        <v>52</v>
      </c>
      <c r="G335" s="24">
        <v>2</v>
      </c>
      <c r="H335" s="24" t="s">
        <v>1325</v>
      </c>
      <c r="I335" s="46">
        <v>43358.78564814815</v>
      </c>
    </row>
    <row r="336" spans="6:9" x14ac:dyDescent="0.25">
      <c r="F336" s="40" t="s">
        <v>184</v>
      </c>
      <c r="G336" s="24">
        <v>1</v>
      </c>
      <c r="H336" s="24" t="s">
        <v>1319</v>
      </c>
      <c r="I336" s="46">
        <v>43358.785636574074</v>
      </c>
    </row>
    <row r="337" spans="6:9" x14ac:dyDescent="0.25">
      <c r="F337" s="40" t="s">
        <v>138</v>
      </c>
      <c r="G337" s="24">
        <v>1</v>
      </c>
      <c r="H337" s="24" t="s">
        <v>1319</v>
      </c>
      <c r="I337" s="46">
        <v>43358.785543981481</v>
      </c>
    </row>
    <row r="338" spans="6:9" x14ac:dyDescent="0.25">
      <c r="F338" s="40" t="s">
        <v>138</v>
      </c>
      <c r="G338" s="24">
        <v>1</v>
      </c>
      <c r="H338" s="24" t="s">
        <v>1319</v>
      </c>
      <c r="I338" s="46">
        <v>43358.785486111112</v>
      </c>
    </row>
    <row r="339" spans="6:9" x14ac:dyDescent="0.25">
      <c r="F339" s="40" t="s">
        <v>39</v>
      </c>
      <c r="G339" s="24">
        <v>20</v>
      </c>
      <c r="H339" s="24" t="s">
        <v>1322</v>
      </c>
      <c r="I339" s="46">
        <v>43358.785462962966</v>
      </c>
    </row>
    <row r="340" spans="6:9" x14ac:dyDescent="0.25">
      <c r="F340" s="40" t="s">
        <v>136</v>
      </c>
      <c r="G340" s="24">
        <v>1</v>
      </c>
      <c r="H340" s="24" t="s">
        <v>1319</v>
      </c>
      <c r="I340" s="46">
        <v>43358.785393518519</v>
      </c>
    </row>
    <row r="341" spans="6:9" x14ac:dyDescent="0.25">
      <c r="F341" s="67" t="s">
        <v>51</v>
      </c>
      <c r="G341" s="24">
        <v>1</v>
      </c>
      <c r="H341" s="24" t="s">
        <v>1325</v>
      </c>
      <c r="I341" s="46">
        <v>43358.785393518519</v>
      </c>
    </row>
    <row r="342" spans="6:9" x14ac:dyDescent="0.25">
      <c r="F342" s="40" t="s">
        <v>146</v>
      </c>
      <c r="G342" s="24">
        <v>1</v>
      </c>
      <c r="H342" s="24" t="s">
        <v>1319</v>
      </c>
      <c r="I342" s="46">
        <v>43358.785300925927</v>
      </c>
    </row>
    <row r="343" spans="6:9" x14ac:dyDescent="0.25">
      <c r="F343" s="40" t="s">
        <v>227</v>
      </c>
      <c r="G343" s="24">
        <v>1</v>
      </c>
      <c r="H343" s="24" t="s">
        <v>1319</v>
      </c>
      <c r="I343" s="46">
        <v>43358.785231481481</v>
      </c>
    </row>
    <row r="344" spans="6:9" x14ac:dyDescent="0.25">
      <c r="F344" s="40" t="s">
        <v>1289</v>
      </c>
      <c r="G344" s="24">
        <v>1</v>
      </c>
      <c r="H344" s="24" t="s">
        <v>1319</v>
      </c>
      <c r="I344" s="46">
        <v>43358.785138888888</v>
      </c>
    </row>
    <row r="345" spans="6:9" x14ac:dyDescent="0.25">
      <c r="F345" s="67" t="s">
        <v>56</v>
      </c>
      <c r="G345" s="24">
        <v>1</v>
      </c>
      <c r="H345" s="24" t="s">
        <v>1325</v>
      </c>
      <c r="I345" s="46">
        <v>43358.785104166665</v>
      </c>
    </row>
    <row r="346" spans="6:9" x14ac:dyDescent="0.25">
      <c r="F346" s="67" t="s">
        <v>58</v>
      </c>
      <c r="G346" s="24">
        <v>4</v>
      </c>
      <c r="H346" s="24" t="s">
        <v>1325</v>
      </c>
      <c r="I346" s="46">
        <v>43358.785000000003</v>
      </c>
    </row>
    <row r="347" spans="6:9" x14ac:dyDescent="0.25">
      <c r="F347" s="40" t="s">
        <v>149</v>
      </c>
      <c r="G347" s="24">
        <v>13</v>
      </c>
      <c r="H347" s="24" t="s">
        <v>1321</v>
      </c>
      <c r="I347" s="46">
        <v>43358.784895833334</v>
      </c>
    </row>
    <row r="348" spans="6:9" x14ac:dyDescent="0.25">
      <c r="F348" s="67" t="s">
        <v>59</v>
      </c>
      <c r="G348" s="24">
        <v>6</v>
      </c>
      <c r="H348" s="24" t="s">
        <v>1325</v>
      </c>
      <c r="I348" s="46">
        <v>43358.784872685188</v>
      </c>
    </row>
    <row r="349" spans="6:9" x14ac:dyDescent="0.25">
      <c r="F349" s="40" t="s">
        <v>147</v>
      </c>
      <c r="G349" s="24">
        <v>1</v>
      </c>
      <c r="H349" s="24" t="s">
        <v>1319</v>
      </c>
      <c r="I349" s="46">
        <v>43358.784849537034</v>
      </c>
    </row>
    <row r="350" spans="6:9" x14ac:dyDescent="0.25">
      <c r="F350" s="67" t="s">
        <v>349</v>
      </c>
      <c r="G350" s="24">
        <v>37</v>
      </c>
      <c r="H350" s="24" t="s">
        <v>1325</v>
      </c>
      <c r="I350" s="46">
        <v>43358.784745370373</v>
      </c>
    </row>
    <row r="351" spans="6:9" x14ac:dyDescent="0.25">
      <c r="F351" s="40" t="s">
        <v>36</v>
      </c>
      <c r="G351" s="24">
        <v>1</v>
      </c>
      <c r="H351" s="24" t="s">
        <v>1319</v>
      </c>
      <c r="I351" s="46">
        <v>43358.78466435185</v>
      </c>
    </row>
    <row r="352" spans="6:9" x14ac:dyDescent="0.25">
      <c r="F352" s="40" t="s">
        <v>254</v>
      </c>
      <c r="G352" s="24">
        <v>1</v>
      </c>
      <c r="H352" s="24" t="s">
        <v>1322</v>
      </c>
      <c r="I352" s="46">
        <v>43358.784444444442</v>
      </c>
    </row>
    <row r="353" spans="6:9" x14ac:dyDescent="0.25">
      <c r="F353" s="40" t="s">
        <v>340</v>
      </c>
      <c r="G353" s="24">
        <v>1</v>
      </c>
      <c r="H353" s="24" t="s">
        <v>1319</v>
      </c>
      <c r="I353" s="46">
        <v>43358.784409722219</v>
      </c>
    </row>
    <row r="354" spans="6:9" x14ac:dyDescent="0.25">
      <c r="F354" s="40" t="s">
        <v>45</v>
      </c>
      <c r="G354" s="24">
        <v>1</v>
      </c>
      <c r="H354" s="24" t="s">
        <v>1322</v>
      </c>
      <c r="I354" s="46">
        <v>43358.78434027778</v>
      </c>
    </row>
    <row r="355" spans="6:9" x14ac:dyDescent="0.25">
      <c r="F355" s="40" t="s">
        <v>118</v>
      </c>
      <c r="G355" s="24">
        <v>1</v>
      </c>
      <c r="H355" s="24" t="s">
        <v>1319</v>
      </c>
      <c r="I355" s="46">
        <v>43358.784328703703</v>
      </c>
    </row>
    <row r="356" spans="6:9" x14ac:dyDescent="0.25">
      <c r="F356" s="67" t="s">
        <v>29</v>
      </c>
      <c r="G356" s="24">
        <v>1</v>
      </c>
      <c r="H356" s="24" t="s">
        <v>1325</v>
      </c>
      <c r="I356" s="46">
        <v>43358.784236111111</v>
      </c>
    </row>
    <row r="357" spans="6:9" x14ac:dyDescent="0.25">
      <c r="F357" s="40" t="s">
        <v>336</v>
      </c>
      <c r="G357" s="24">
        <v>1</v>
      </c>
      <c r="H357" s="24" t="s">
        <v>1319</v>
      </c>
      <c r="I357" s="46">
        <v>43358.784224537034</v>
      </c>
    </row>
    <row r="358" spans="6:9" x14ac:dyDescent="0.25">
      <c r="F358" s="40" t="s">
        <v>40</v>
      </c>
      <c r="G358" s="24">
        <v>1</v>
      </c>
      <c r="H358" s="24" t="s">
        <v>1322</v>
      </c>
      <c r="I358" s="46">
        <v>43358.784224537034</v>
      </c>
    </row>
    <row r="359" spans="6:9" x14ac:dyDescent="0.25">
      <c r="F359" s="67" t="s">
        <v>37</v>
      </c>
      <c r="G359" s="24">
        <v>1</v>
      </c>
      <c r="H359" s="24" t="s">
        <v>1325</v>
      </c>
      <c r="I359" s="46">
        <v>43358.784143518518</v>
      </c>
    </row>
    <row r="360" spans="6:9" x14ac:dyDescent="0.25">
      <c r="F360" s="40" t="s">
        <v>1279</v>
      </c>
      <c r="G360" s="24">
        <v>2</v>
      </c>
      <c r="H360" s="24" t="s">
        <v>1319</v>
      </c>
      <c r="I360" s="46">
        <v>43358.784131944441</v>
      </c>
    </row>
    <row r="361" spans="6:9" x14ac:dyDescent="0.25">
      <c r="F361" s="40" t="s">
        <v>42</v>
      </c>
      <c r="G361" s="24">
        <v>1</v>
      </c>
      <c r="H361" s="24" t="s">
        <v>1322</v>
      </c>
      <c r="I361" s="46">
        <v>43358.784108796295</v>
      </c>
    </row>
    <row r="362" spans="6:9" x14ac:dyDescent="0.25">
      <c r="F362" s="40" t="s">
        <v>21</v>
      </c>
      <c r="G362" s="24">
        <v>7</v>
      </c>
      <c r="H362" s="24" t="s">
        <v>1322</v>
      </c>
      <c r="I362" s="46">
        <v>43358.78392361111</v>
      </c>
    </row>
    <row r="363" spans="6:9" x14ac:dyDescent="0.25">
      <c r="F363" s="67" t="s">
        <v>168</v>
      </c>
      <c r="G363" s="24">
        <v>1</v>
      </c>
      <c r="H363" s="24" t="s">
        <v>1325</v>
      </c>
      <c r="I363" s="46">
        <v>43358.783888888887</v>
      </c>
    </row>
    <row r="364" spans="6:9" x14ac:dyDescent="0.25">
      <c r="F364" s="40" t="s">
        <v>39</v>
      </c>
      <c r="G364" s="24">
        <v>1</v>
      </c>
      <c r="H364" s="24" t="s">
        <v>1319</v>
      </c>
      <c r="I364" s="46">
        <v>43358.783877314818</v>
      </c>
    </row>
    <row r="365" spans="6:9" x14ac:dyDescent="0.25">
      <c r="F365" s="40" t="s">
        <v>149</v>
      </c>
      <c r="G365" s="24">
        <v>16</v>
      </c>
      <c r="H365" s="24" t="s">
        <v>1322</v>
      </c>
      <c r="I365" s="46">
        <v>43358.783819444441</v>
      </c>
    </row>
    <row r="366" spans="6:9" x14ac:dyDescent="0.25">
      <c r="F366" s="40" t="s">
        <v>149</v>
      </c>
      <c r="G366" s="24">
        <v>1</v>
      </c>
      <c r="H366" s="24" t="s">
        <v>1319</v>
      </c>
      <c r="I366" s="46">
        <v>43358.783807870372</v>
      </c>
    </row>
    <row r="367" spans="6:9" x14ac:dyDescent="0.25">
      <c r="F367" s="40" t="s">
        <v>1288</v>
      </c>
      <c r="G367" s="24">
        <v>1</v>
      </c>
      <c r="H367" s="24" t="s">
        <v>1319</v>
      </c>
      <c r="I367" s="46">
        <v>43358.783703703702</v>
      </c>
    </row>
    <row r="368" spans="6:9" x14ac:dyDescent="0.25">
      <c r="F368" s="67" t="s">
        <v>1562</v>
      </c>
      <c r="G368" s="24">
        <v>1</v>
      </c>
      <c r="H368" s="24" t="s">
        <v>1325</v>
      </c>
      <c r="I368" s="46">
        <v>43358.783622685187</v>
      </c>
    </row>
    <row r="369" spans="6:9" x14ac:dyDescent="0.25">
      <c r="F369" s="40" t="s">
        <v>168</v>
      </c>
      <c r="G369" s="24">
        <v>1</v>
      </c>
      <c r="H369" s="24" t="s">
        <v>1322</v>
      </c>
      <c r="I369" s="46">
        <v>43358.783587962964</v>
      </c>
    </row>
    <row r="370" spans="6:9" x14ac:dyDescent="0.25">
      <c r="F370" s="40" t="s">
        <v>29</v>
      </c>
      <c r="G370" s="24">
        <v>1</v>
      </c>
      <c r="H370" s="24" t="s">
        <v>1319</v>
      </c>
      <c r="I370" s="46">
        <v>43358.783356481479</v>
      </c>
    </row>
    <row r="371" spans="6:9" x14ac:dyDescent="0.25">
      <c r="F371" s="40" t="s">
        <v>1369</v>
      </c>
      <c r="G371" s="24">
        <v>1</v>
      </c>
      <c r="H371" s="24" t="s">
        <v>1322</v>
      </c>
      <c r="I371" s="46">
        <v>43358.783310185187</v>
      </c>
    </row>
    <row r="372" spans="6:9" x14ac:dyDescent="0.25">
      <c r="F372" s="40" t="s">
        <v>170</v>
      </c>
      <c r="G372" s="24">
        <v>1</v>
      </c>
      <c r="H372" s="24" t="s">
        <v>1322</v>
      </c>
      <c r="I372" s="46">
        <v>43358.783171296294</v>
      </c>
    </row>
    <row r="373" spans="6:9" x14ac:dyDescent="0.25">
      <c r="F373" s="67" t="s">
        <v>149</v>
      </c>
      <c r="G373" s="24">
        <v>4</v>
      </c>
      <c r="H373" s="24" t="s">
        <v>1325</v>
      </c>
      <c r="I373" s="46">
        <v>43358.783125000002</v>
      </c>
    </row>
    <row r="374" spans="6:9" x14ac:dyDescent="0.25">
      <c r="F374" s="40" t="s">
        <v>62</v>
      </c>
      <c r="G374" s="24">
        <v>5</v>
      </c>
      <c r="H374" s="24" t="s">
        <v>1319</v>
      </c>
      <c r="I374" s="46">
        <v>43358.783090277779</v>
      </c>
    </row>
    <row r="375" spans="6:9" x14ac:dyDescent="0.25">
      <c r="F375" s="40" t="s">
        <v>50</v>
      </c>
      <c r="G375" s="24">
        <v>3</v>
      </c>
      <c r="H375" s="24" t="s">
        <v>1319</v>
      </c>
      <c r="I375" s="46">
        <v>43358.783009259256</v>
      </c>
    </row>
    <row r="376" spans="6:9" x14ac:dyDescent="0.25">
      <c r="F376" s="40" t="s">
        <v>58</v>
      </c>
      <c r="G376" s="24">
        <v>3</v>
      </c>
      <c r="H376" s="24" t="s">
        <v>1322</v>
      </c>
      <c r="I376" s="46">
        <v>43358.78297453704</v>
      </c>
    </row>
    <row r="377" spans="6:9" x14ac:dyDescent="0.25">
      <c r="F377" s="67" t="s">
        <v>121</v>
      </c>
      <c r="G377" s="24">
        <v>11</v>
      </c>
      <c r="H377" s="24" t="s">
        <v>1325</v>
      </c>
      <c r="I377" s="46">
        <v>43358.782847222225</v>
      </c>
    </row>
    <row r="378" spans="6:9" x14ac:dyDescent="0.25">
      <c r="F378" s="67" t="s">
        <v>122</v>
      </c>
      <c r="G378" s="24">
        <v>1</v>
      </c>
      <c r="H378" s="24" t="s">
        <v>1325</v>
      </c>
      <c r="I378" s="46">
        <v>43358.782743055555</v>
      </c>
    </row>
    <row r="379" spans="6:9" x14ac:dyDescent="0.25">
      <c r="F379" s="40" t="s">
        <v>67</v>
      </c>
      <c r="G379" s="24">
        <v>1</v>
      </c>
      <c r="H379" s="24" t="s">
        <v>1319</v>
      </c>
      <c r="I379" s="46">
        <v>43358.782719907409</v>
      </c>
    </row>
    <row r="380" spans="6:9" x14ac:dyDescent="0.25">
      <c r="F380" s="40" t="s">
        <v>58</v>
      </c>
      <c r="G380" s="24">
        <v>3</v>
      </c>
      <c r="H380" s="24" t="s">
        <v>1322</v>
      </c>
      <c r="I380" s="46">
        <v>43358.78266203704</v>
      </c>
    </row>
    <row r="381" spans="6:9" x14ac:dyDescent="0.25">
      <c r="F381" s="67" t="s">
        <v>1563</v>
      </c>
      <c r="G381" s="24">
        <v>1</v>
      </c>
      <c r="H381" s="24" t="s">
        <v>1325</v>
      </c>
      <c r="I381" s="46">
        <v>43358.782534722224</v>
      </c>
    </row>
    <row r="382" spans="6:9" x14ac:dyDescent="0.25">
      <c r="F382" s="40" t="s">
        <v>58</v>
      </c>
      <c r="G382" s="24">
        <v>4</v>
      </c>
      <c r="H382" s="24" t="s">
        <v>1322</v>
      </c>
      <c r="I382" s="46">
        <v>43358.782523148147</v>
      </c>
    </row>
    <row r="383" spans="6:9" x14ac:dyDescent="0.25">
      <c r="F383" s="40" t="s">
        <v>59</v>
      </c>
      <c r="G383" s="24">
        <v>9</v>
      </c>
      <c r="H383" s="24" t="s">
        <v>1322</v>
      </c>
      <c r="I383" s="46">
        <v>43358.78230324074</v>
      </c>
    </row>
    <row r="384" spans="6:9" x14ac:dyDescent="0.25">
      <c r="F384" s="40" t="s">
        <v>1513</v>
      </c>
      <c r="G384" s="24">
        <v>1</v>
      </c>
      <c r="H384" s="24" t="s">
        <v>1319</v>
      </c>
      <c r="I384" s="46">
        <v>43358.782175925924</v>
      </c>
    </row>
    <row r="385" spans="6:9" x14ac:dyDescent="0.25">
      <c r="F385" s="40" t="s">
        <v>59</v>
      </c>
      <c r="G385" s="24">
        <v>8</v>
      </c>
      <c r="H385" s="24" t="s">
        <v>1322</v>
      </c>
      <c r="I385" s="46">
        <v>43358.782164351855</v>
      </c>
    </row>
    <row r="386" spans="6:9" x14ac:dyDescent="0.25">
      <c r="F386" s="40" t="s">
        <v>122</v>
      </c>
      <c r="G386" s="24">
        <v>1</v>
      </c>
      <c r="H386" s="24" t="s">
        <v>1322</v>
      </c>
      <c r="I386" s="46">
        <v>43358.782048611109</v>
      </c>
    </row>
    <row r="387" spans="6:9" x14ac:dyDescent="0.25">
      <c r="F387" s="40" t="s">
        <v>121</v>
      </c>
      <c r="G387" s="24">
        <v>2</v>
      </c>
      <c r="H387" s="24" t="s">
        <v>1322</v>
      </c>
      <c r="I387" s="46">
        <v>43358.781944444447</v>
      </c>
    </row>
    <row r="388" spans="6:9" x14ac:dyDescent="0.25">
      <c r="F388" s="40" t="s">
        <v>123</v>
      </c>
      <c r="G388" s="24">
        <v>1</v>
      </c>
      <c r="H388" s="24" t="s">
        <v>1322</v>
      </c>
      <c r="I388" s="46">
        <v>43358.781851851854</v>
      </c>
    </row>
    <row r="389" spans="6:9" x14ac:dyDescent="0.25">
      <c r="F389" s="40" t="s">
        <v>344</v>
      </c>
      <c r="G389" s="24">
        <v>5</v>
      </c>
      <c r="H389" s="24" t="s">
        <v>1322</v>
      </c>
      <c r="I389" s="46">
        <v>43358.781712962962</v>
      </c>
    </row>
    <row r="390" spans="6:9" x14ac:dyDescent="0.25">
      <c r="F390" s="40" t="s">
        <v>1371</v>
      </c>
      <c r="G390" s="24">
        <v>1</v>
      </c>
      <c r="H390" s="24" t="s">
        <v>1322</v>
      </c>
      <c r="I390" s="46">
        <v>43358.781597222223</v>
      </c>
    </row>
    <row r="391" spans="6:9" x14ac:dyDescent="0.25">
      <c r="F391" s="40" t="s">
        <v>200</v>
      </c>
      <c r="G391" s="24">
        <v>1</v>
      </c>
      <c r="H391" s="24" t="s">
        <v>1319</v>
      </c>
      <c r="I391" s="46">
        <v>43358.781539351854</v>
      </c>
    </row>
    <row r="392" spans="6:9" x14ac:dyDescent="0.25">
      <c r="F392" s="40" t="s">
        <v>1510</v>
      </c>
      <c r="G392" s="24">
        <v>1</v>
      </c>
      <c r="H392" s="24" t="s">
        <v>1319</v>
      </c>
      <c r="I392" s="46">
        <v>43358.781435185185</v>
      </c>
    </row>
    <row r="393" spans="6:9" x14ac:dyDescent="0.25">
      <c r="F393" s="40" t="s">
        <v>155</v>
      </c>
      <c r="G393" s="24">
        <v>5</v>
      </c>
      <c r="H393" s="24" t="s">
        <v>1322</v>
      </c>
      <c r="I393" s="46">
        <v>43358.78125</v>
      </c>
    </row>
    <row r="394" spans="6:9" x14ac:dyDescent="0.25">
      <c r="F394" s="40" t="s">
        <v>151</v>
      </c>
      <c r="G394" s="24">
        <v>2</v>
      </c>
      <c r="H394" s="24" t="s">
        <v>1322</v>
      </c>
      <c r="I394" s="46">
        <v>43358.781145833331</v>
      </c>
    </row>
    <row r="395" spans="6:9" x14ac:dyDescent="0.25">
      <c r="F395" s="40" t="s">
        <v>40</v>
      </c>
      <c r="G395" s="24">
        <v>1</v>
      </c>
      <c r="H395" s="24" t="s">
        <v>1322</v>
      </c>
      <c r="I395" s="46">
        <v>43358.781006944446</v>
      </c>
    </row>
    <row r="396" spans="6:9" x14ac:dyDescent="0.25">
      <c r="F396" s="40" t="s">
        <v>160</v>
      </c>
      <c r="G396" s="24">
        <v>2</v>
      </c>
      <c r="H396" s="24" t="s">
        <v>1322</v>
      </c>
      <c r="I396" s="46">
        <v>43358.78087962963</v>
      </c>
    </row>
    <row r="397" spans="6:9" x14ac:dyDescent="0.25">
      <c r="F397" s="67" t="s">
        <v>186</v>
      </c>
      <c r="G397" s="24">
        <v>1</v>
      </c>
      <c r="H397" s="24" t="s">
        <v>1325</v>
      </c>
      <c r="I397" s="46">
        <v>43358.780856481484</v>
      </c>
    </row>
    <row r="398" spans="6:9" x14ac:dyDescent="0.25">
      <c r="F398" s="67" t="s">
        <v>182</v>
      </c>
      <c r="G398" s="24">
        <v>1</v>
      </c>
      <c r="H398" s="24" t="s">
        <v>1325</v>
      </c>
      <c r="I398" s="46">
        <v>43358.780856481484</v>
      </c>
    </row>
    <row r="399" spans="6:9" x14ac:dyDescent="0.25">
      <c r="F399" s="67" t="s">
        <v>184</v>
      </c>
      <c r="G399" s="24">
        <v>1</v>
      </c>
      <c r="H399" s="24" t="s">
        <v>1325</v>
      </c>
      <c r="I399" s="46">
        <v>43358.780775462961</v>
      </c>
    </row>
    <row r="400" spans="6:9" x14ac:dyDescent="0.25">
      <c r="F400" s="40" t="s">
        <v>4</v>
      </c>
      <c r="G400" s="24">
        <v>1</v>
      </c>
      <c r="H400" s="24" t="s">
        <v>1322</v>
      </c>
      <c r="I400" s="46">
        <v>43358.780775462961</v>
      </c>
    </row>
    <row r="401" spans="6:9" x14ac:dyDescent="0.25">
      <c r="F401" s="67" t="s">
        <v>21</v>
      </c>
      <c r="G401" s="24">
        <v>1</v>
      </c>
      <c r="H401" s="24" t="s">
        <v>1325</v>
      </c>
      <c r="I401" s="46">
        <v>43358.780671296299</v>
      </c>
    </row>
    <row r="402" spans="6:9" x14ac:dyDescent="0.25">
      <c r="F402" s="40" t="s">
        <v>2</v>
      </c>
      <c r="G402" s="24">
        <v>1</v>
      </c>
      <c r="H402" s="24" t="s">
        <v>1322</v>
      </c>
      <c r="I402" s="46">
        <v>43358.780613425923</v>
      </c>
    </row>
    <row r="403" spans="6:9" x14ac:dyDescent="0.25">
      <c r="F403" s="67" t="s">
        <v>183</v>
      </c>
      <c r="G403" s="24">
        <v>2</v>
      </c>
      <c r="H403" s="24" t="s">
        <v>1325</v>
      </c>
      <c r="I403" s="46">
        <v>43358.780578703707</v>
      </c>
    </row>
    <row r="404" spans="6:9" x14ac:dyDescent="0.25">
      <c r="F404" s="40" t="s">
        <v>182</v>
      </c>
      <c r="G404" s="24">
        <v>36</v>
      </c>
      <c r="H404" s="24" t="s">
        <v>1322</v>
      </c>
      <c r="I404" s="46">
        <v>43358.780474537038</v>
      </c>
    </row>
    <row r="405" spans="6:9" x14ac:dyDescent="0.25">
      <c r="F405" s="40" t="s">
        <v>1383</v>
      </c>
      <c r="G405" s="24">
        <v>2</v>
      </c>
      <c r="H405" s="24" t="s">
        <v>1319</v>
      </c>
      <c r="I405" s="46">
        <v>43358.780381944445</v>
      </c>
    </row>
    <row r="406" spans="6:9" x14ac:dyDescent="0.25">
      <c r="F406" s="40" t="s">
        <v>170</v>
      </c>
      <c r="G406" s="24">
        <v>1</v>
      </c>
      <c r="H406" s="24" t="s">
        <v>1326</v>
      </c>
      <c r="I406" s="46">
        <v>43358.78019675926</v>
      </c>
    </row>
    <row r="407" spans="6:9" x14ac:dyDescent="0.25">
      <c r="F407" s="67" t="s">
        <v>155</v>
      </c>
      <c r="G407" s="24">
        <v>7</v>
      </c>
      <c r="H407" s="24" t="s">
        <v>1325</v>
      </c>
      <c r="I407" s="46">
        <v>43358.780173611114</v>
      </c>
    </row>
    <row r="408" spans="6:9" x14ac:dyDescent="0.25">
      <c r="F408" s="67" t="s">
        <v>146</v>
      </c>
      <c r="G408" s="24">
        <v>6</v>
      </c>
      <c r="H408" s="24" t="s">
        <v>1325</v>
      </c>
      <c r="I408" s="46">
        <v>43358.780092592591</v>
      </c>
    </row>
    <row r="409" spans="6:9" x14ac:dyDescent="0.25">
      <c r="F409" s="40" t="s">
        <v>612</v>
      </c>
      <c r="G409" s="24">
        <v>4</v>
      </c>
      <c r="H409" s="24" t="s">
        <v>1319</v>
      </c>
      <c r="I409" s="46">
        <v>43358.780069444445</v>
      </c>
    </row>
    <row r="410" spans="6:9" x14ac:dyDescent="0.25">
      <c r="F410" s="40" t="s">
        <v>37</v>
      </c>
      <c r="G410" s="24">
        <v>1</v>
      </c>
      <c r="H410" s="24" t="s">
        <v>1326</v>
      </c>
      <c r="I410" s="46">
        <v>43358.780023148145</v>
      </c>
    </row>
    <row r="411" spans="6:9" x14ac:dyDescent="0.25">
      <c r="F411" s="40" t="s">
        <v>198</v>
      </c>
      <c r="G411" s="24">
        <v>2</v>
      </c>
      <c r="H411" s="24" t="s">
        <v>1319</v>
      </c>
      <c r="I411" s="46">
        <v>43358.779849537037</v>
      </c>
    </row>
    <row r="412" spans="6:9" x14ac:dyDescent="0.25">
      <c r="F412" s="40" t="s">
        <v>62</v>
      </c>
      <c r="G412" s="24">
        <v>1</v>
      </c>
      <c r="H412" s="24" t="s">
        <v>1326</v>
      </c>
      <c r="I412" s="46">
        <v>43358.779814814814</v>
      </c>
    </row>
    <row r="413" spans="6:9" x14ac:dyDescent="0.25">
      <c r="F413" s="40" t="s">
        <v>184</v>
      </c>
      <c r="G413" s="24">
        <v>1</v>
      </c>
      <c r="H413" s="24" t="s">
        <v>1319</v>
      </c>
      <c r="I413" s="46">
        <v>43358.779791666668</v>
      </c>
    </row>
    <row r="414" spans="6:9" x14ac:dyDescent="0.25">
      <c r="F414" s="40" t="s">
        <v>183</v>
      </c>
      <c r="G414" s="24">
        <v>1</v>
      </c>
      <c r="H414" s="24" t="s">
        <v>1319</v>
      </c>
      <c r="I414" s="46">
        <v>43358.779722222222</v>
      </c>
    </row>
    <row r="415" spans="6:9" x14ac:dyDescent="0.25">
      <c r="F415" s="40" t="s">
        <v>168</v>
      </c>
      <c r="G415" s="24">
        <v>1</v>
      </c>
      <c r="H415" s="24" t="s">
        <v>1326</v>
      </c>
      <c r="I415" s="46">
        <v>43358.779699074075</v>
      </c>
    </row>
    <row r="416" spans="6:9" x14ac:dyDescent="0.25">
      <c r="F416" s="40" t="s">
        <v>184</v>
      </c>
      <c r="G416" s="24">
        <v>2</v>
      </c>
      <c r="H416" s="24" t="s">
        <v>1319</v>
      </c>
      <c r="I416" s="46">
        <v>43358.779432870368</v>
      </c>
    </row>
    <row r="417" spans="6:9" x14ac:dyDescent="0.25">
      <c r="F417" s="40" t="s">
        <v>38</v>
      </c>
      <c r="G417" s="24">
        <v>3</v>
      </c>
      <c r="H417" s="24" t="s">
        <v>1326</v>
      </c>
      <c r="I417" s="46">
        <v>43358.779398148145</v>
      </c>
    </row>
    <row r="418" spans="6:9" x14ac:dyDescent="0.25">
      <c r="F418" s="40" t="s">
        <v>186</v>
      </c>
      <c r="G418" s="24">
        <v>2</v>
      </c>
      <c r="H418" s="24" t="s">
        <v>1319</v>
      </c>
      <c r="I418" s="46">
        <v>43358.779363425929</v>
      </c>
    </row>
    <row r="419" spans="6:9" x14ac:dyDescent="0.25">
      <c r="F419" s="40" t="s">
        <v>62</v>
      </c>
      <c r="G419" s="24">
        <v>2</v>
      </c>
      <c r="H419" s="24" t="s">
        <v>1319</v>
      </c>
      <c r="I419" s="46">
        <v>43358.779224537036</v>
      </c>
    </row>
    <row r="420" spans="6:9" x14ac:dyDescent="0.25">
      <c r="F420" s="40" t="s">
        <v>65</v>
      </c>
      <c r="G420" s="24">
        <v>2</v>
      </c>
      <c r="H420" s="24" t="s">
        <v>1326</v>
      </c>
      <c r="I420" s="46">
        <v>43358.779097222221</v>
      </c>
    </row>
    <row r="421" spans="6:9" x14ac:dyDescent="0.25">
      <c r="F421" s="40" t="s">
        <v>39</v>
      </c>
      <c r="G421" s="24">
        <v>1</v>
      </c>
      <c r="H421" s="24" t="s">
        <v>1326</v>
      </c>
      <c r="I421" s="46">
        <v>43358.778993055559</v>
      </c>
    </row>
    <row r="422" spans="6:9" x14ac:dyDescent="0.25">
      <c r="F422" s="40" t="s">
        <v>39</v>
      </c>
      <c r="G422" s="24">
        <v>3</v>
      </c>
      <c r="H422" s="24" t="s">
        <v>1319</v>
      </c>
      <c r="I422" s="46">
        <v>43358.778923611113</v>
      </c>
    </row>
    <row r="423" spans="6:9" x14ac:dyDescent="0.25">
      <c r="F423" s="40" t="s">
        <v>1369</v>
      </c>
      <c r="G423" s="24">
        <v>1</v>
      </c>
      <c r="H423" s="24" t="s">
        <v>1326</v>
      </c>
      <c r="I423" s="46">
        <v>43358.778900462959</v>
      </c>
    </row>
    <row r="424" spans="6:9" x14ac:dyDescent="0.25">
      <c r="F424" s="40" t="s">
        <v>349</v>
      </c>
      <c r="G424" s="24">
        <v>21</v>
      </c>
      <c r="H424" s="24" t="s">
        <v>1319</v>
      </c>
      <c r="I424" s="46">
        <v>43358.77884259259</v>
      </c>
    </row>
    <row r="425" spans="6:9" x14ac:dyDescent="0.25">
      <c r="F425" s="40" t="s">
        <v>349</v>
      </c>
      <c r="G425" s="24">
        <v>14</v>
      </c>
      <c r="H425" s="24" t="s">
        <v>1319</v>
      </c>
      <c r="I425" s="46">
        <v>43358.778773148151</v>
      </c>
    </row>
    <row r="426" spans="6:9" x14ac:dyDescent="0.25">
      <c r="F426" s="67" t="s">
        <v>149</v>
      </c>
      <c r="G426" s="24">
        <v>9</v>
      </c>
      <c r="H426" s="24" t="s">
        <v>1323</v>
      </c>
      <c r="I426" s="46">
        <v>43358.778726851851</v>
      </c>
    </row>
    <row r="427" spans="6:9" x14ac:dyDescent="0.25">
      <c r="F427" s="40" t="s">
        <v>58</v>
      </c>
      <c r="G427" s="24">
        <v>14</v>
      </c>
      <c r="H427" s="24" t="s">
        <v>1319</v>
      </c>
      <c r="I427" s="46">
        <v>43358.778680555559</v>
      </c>
    </row>
    <row r="428" spans="6:9" x14ac:dyDescent="0.25">
      <c r="F428" s="40" t="s">
        <v>1367</v>
      </c>
      <c r="G428" s="24">
        <v>1</v>
      </c>
      <c r="H428" s="24" t="s">
        <v>1326</v>
      </c>
      <c r="I428" s="46">
        <v>43358.778645833336</v>
      </c>
    </row>
    <row r="429" spans="6:9" x14ac:dyDescent="0.25">
      <c r="F429" s="40" t="s">
        <v>160</v>
      </c>
      <c r="G429" s="24">
        <v>1</v>
      </c>
      <c r="H429" s="24" t="s">
        <v>1319</v>
      </c>
      <c r="I429" s="46">
        <v>43358.77851851852</v>
      </c>
    </row>
    <row r="430" spans="6:9" x14ac:dyDescent="0.25">
      <c r="F430" s="67" t="s">
        <v>11</v>
      </c>
      <c r="G430" s="24">
        <v>11</v>
      </c>
      <c r="H430" s="24" t="s">
        <v>1325</v>
      </c>
      <c r="I430" s="46">
        <v>43358.778495370374</v>
      </c>
    </row>
    <row r="431" spans="6:9" x14ac:dyDescent="0.25">
      <c r="F431" s="40" t="s">
        <v>122</v>
      </c>
      <c r="G431" s="24">
        <v>1</v>
      </c>
      <c r="H431" s="24" t="s">
        <v>1319</v>
      </c>
      <c r="I431" s="46">
        <v>43358.778449074074</v>
      </c>
    </row>
    <row r="432" spans="6:9" x14ac:dyDescent="0.25">
      <c r="F432" s="67" t="s">
        <v>12</v>
      </c>
      <c r="G432" s="24">
        <v>1</v>
      </c>
      <c r="H432" s="24" t="s">
        <v>1325</v>
      </c>
      <c r="I432" s="46">
        <v>43358.778402777774</v>
      </c>
    </row>
    <row r="433" spans="6:9" x14ac:dyDescent="0.25">
      <c r="F433" s="40" t="s">
        <v>121</v>
      </c>
      <c r="G433" s="24">
        <v>5</v>
      </c>
      <c r="H433" s="24" t="s">
        <v>1319</v>
      </c>
      <c r="I433" s="46">
        <v>43358.778368055559</v>
      </c>
    </row>
    <row r="434" spans="6:9" x14ac:dyDescent="0.25">
      <c r="F434" s="40" t="s">
        <v>136</v>
      </c>
      <c r="G434" s="24">
        <v>1</v>
      </c>
      <c r="H434" s="24" t="s">
        <v>1326</v>
      </c>
      <c r="I434" s="46">
        <v>43358.778310185182</v>
      </c>
    </row>
    <row r="435" spans="6:9" x14ac:dyDescent="0.25">
      <c r="F435" s="67" t="s">
        <v>39</v>
      </c>
      <c r="G435" s="24">
        <v>12</v>
      </c>
      <c r="H435" s="24" t="s">
        <v>1325</v>
      </c>
      <c r="I435" s="46">
        <v>43358.778275462966</v>
      </c>
    </row>
    <row r="436" spans="6:9" x14ac:dyDescent="0.25">
      <c r="F436" s="40" t="s">
        <v>3</v>
      </c>
      <c r="G436" s="24">
        <v>2</v>
      </c>
      <c r="H436" s="24" t="s">
        <v>1319</v>
      </c>
      <c r="I436" s="46">
        <v>43358.778240740743</v>
      </c>
    </row>
    <row r="437" spans="6:9" x14ac:dyDescent="0.25">
      <c r="F437" s="40" t="s">
        <v>155</v>
      </c>
      <c r="G437" s="24">
        <v>1</v>
      </c>
      <c r="H437" s="24" t="s">
        <v>1326</v>
      </c>
      <c r="I437" s="46">
        <v>43358.77820601852</v>
      </c>
    </row>
    <row r="438" spans="6:9" x14ac:dyDescent="0.25">
      <c r="F438" s="40" t="s">
        <v>125</v>
      </c>
      <c r="G438" s="24">
        <v>1</v>
      </c>
      <c r="H438" s="24" t="s">
        <v>1319</v>
      </c>
      <c r="I438" s="46">
        <v>43358.778148148151</v>
      </c>
    </row>
    <row r="439" spans="6:9" x14ac:dyDescent="0.25">
      <c r="F439" s="67" t="s">
        <v>21</v>
      </c>
      <c r="G439" s="24">
        <v>9</v>
      </c>
      <c r="H439" s="24" t="s">
        <v>1325</v>
      </c>
      <c r="I439" s="46">
        <v>43358.778148148151</v>
      </c>
    </row>
    <row r="440" spans="6:9" x14ac:dyDescent="0.25">
      <c r="F440" s="40" t="s">
        <v>369</v>
      </c>
      <c r="G440" s="24">
        <v>1</v>
      </c>
      <c r="H440" s="24" t="s">
        <v>1326</v>
      </c>
      <c r="I440" s="46">
        <v>43358.778090277781</v>
      </c>
    </row>
    <row r="441" spans="6:9" x14ac:dyDescent="0.25">
      <c r="F441" s="40" t="s">
        <v>2</v>
      </c>
      <c r="G441" s="24">
        <v>3</v>
      </c>
      <c r="H441" s="24" t="s">
        <v>1319</v>
      </c>
      <c r="I441" s="46">
        <v>43358.778055555558</v>
      </c>
    </row>
    <row r="442" spans="6:9" x14ac:dyDescent="0.25">
      <c r="F442" s="67" t="s">
        <v>265</v>
      </c>
      <c r="G442" s="24">
        <v>5</v>
      </c>
      <c r="H442" s="24" t="s">
        <v>1325</v>
      </c>
      <c r="I442" s="46">
        <v>43358.77783564815</v>
      </c>
    </row>
    <row r="443" spans="6:9" x14ac:dyDescent="0.25">
      <c r="F443" s="40" t="s">
        <v>1578</v>
      </c>
      <c r="G443" s="24">
        <v>1</v>
      </c>
      <c r="H443" s="24" t="s">
        <v>1326</v>
      </c>
      <c r="I443" s="46">
        <v>43358.777777777781</v>
      </c>
    </row>
    <row r="444" spans="6:9" x14ac:dyDescent="0.25">
      <c r="F444" s="67" t="s">
        <v>121</v>
      </c>
      <c r="G444" s="24">
        <v>5</v>
      </c>
      <c r="H444" s="24" t="s">
        <v>1325</v>
      </c>
      <c r="I444" s="46">
        <v>43358.777743055558</v>
      </c>
    </row>
    <row r="445" spans="6:9" x14ac:dyDescent="0.25">
      <c r="F445" s="67" t="s">
        <v>11</v>
      </c>
      <c r="G445" s="24">
        <v>3</v>
      </c>
      <c r="H445" s="24" t="s">
        <v>1325</v>
      </c>
      <c r="I445" s="46">
        <v>43358.777650462966</v>
      </c>
    </row>
    <row r="446" spans="6:9" x14ac:dyDescent="0.25">
      <c r="F446" s="40" t="s">
        <v>231</v>
      </c>
      <c r="G446" s="24">
        <v>1</v>
      </c>
      <c r="H446" s="24" t="s">
        <v>1326</v>
      </c>
      <c r="I446" s="46">
        <v>43358.777488425927</v>
      </c>
    </row>
    <row r="447" spans="6:9" x14ac:dyDescent="0.25">
      <c r="F447" s="40" t="s">
        <v>155</v>
      </c>
      <c r="G447" s="24">
        <v>6</v>
      </c>
      <c r="H447" s="24" t="s">
        <v>1319</v>
      </c>
      <c r="I447" s="46">
        <v>43358.777442129627</v>
      </c>
    </row>
    <row r="448" spans="6:9" x14ac:dyDescent="0.25">
      <c r="F448" s="40" t="s">
        <v>127</v>
      </c>
      <c r="G448" s="24">
        <v>2</v>
      </c>
      <c r="H448" s="24" t="s">
        <v>1319</v>
      </c>
      <c r="I448" s="46">
        <v>43358.777337962965</v>
      </c>
    </row>
    <row r="449" spans="6:9" x14ac:dyDescent="0.25">
      <c r="F449" s="40" t="s">
        <v>265</v>
      </c>
      <c r="G449" s="24">
        <v>2</v>
      </c>
      <c r="H449" s="24" t="s">
        <v>1326</v>
      </c>
      <c r="I449" s="46">
        <v>43358.777175925927</v>
      </c>
    </row>
    <row r="450" spans="6:9" x14ac:dyDescent="0.25">
      <c r="F450" s="67" t="s">
        <v>149</v>
      </c>
      <c r="G450" s="24">
        <v>11</v>
      </c>
      <c r="H450" s="24" t="s">
        <v>1325</v>
      </c>
      <c r="I450" s="46">
        <v>43358.777002314811</v>
      </c>
    </row>
    <row r="451" spans="6:9" x14ac:dyDescent="0.25">
      <c r="F451" s="40" t="s">
        <v>218</v>
      </c>
      <c r="G451" s="24">
        <v>3</v>
      </c>
      <c r="H451" s="24" t="s">
        <v>1326</v>
      </c>
      <c r="I451" s="46">
        <v>43358.776898148149</v>
      </c>
    </row>
    <row r="452" spans="6:9" x14ac:dyDescent="0.25">
      <c r="F452" s="67" t="s">
        <v>149</v>
      </c>
      <c r="G452" s="24">
        <v>10</v>
      </c>
      <c r="H452" s="24" t="s">
        <v>1325</v>
      </c>
      <c r="I452" s="46">
        <v>43358.776782407411</v>
      </c>
    </row>
    <row r="453" spans="6:9" x14ac:dyDescent="0.25">
      <c r="F453" s="40" t="s">
        <v>222</v>
      </c>
      <c r="G453" s="24">
        <v>1</v>
      </c>
      <c r="H453" s="24" t="s">
        <v>1326</v>
      </c>
      <c r="I453" s="46">
        <v>43358.776400462964</v>
      </c>
    </row>
    <row r="454" spans="6:9" x14ac:dyDescent="0.25">
      <c r="F454" s="67" t="s">
        <v>149</v>
      </c>
      <c r="G454" s="24">
        <v>11</v>
      </c>
      <c r="H454" s="24" t="s">
        <v>1323</v>
      </c>
      <c r="I454" s="46">
        <v>43358.77615740741</v>
      </c>
    </row>
    <row r="455" spans="6:9" x14ac:dyDescent="0.25">
      <c r="F455" s="40" t="s">
        <v>186</v>
      </c>
      <c r="G455" s="24">
        <v>2</v>
      </c>
      <c r="H455" s="24" t="s">
        <v>1326</v>
      </c>
      <c r="I455" s="46">
        <v>43358.776053240741</v>
      </c>
    </row>
    <row r="456" spans="6:9" x14ac:dyDescent="0.25">
      <c r="F456" s="40" t="s">
        <v>146</v>
      </c>
      <c r="G456" s="24">
        <v>7</v>
      </c>
      <c r="H456" s="24" t="s">
        <v>1319</v>
      </c>
      <c r="I456" s="46">
        <v>43358.775937500002</v>
      </c>
    </row>
    <row r="457" spans="6:9" x14ac:dyDescent="0.25">
      <c r="F457" s="67" t="s">
        <v>149</v>
      </c>
      <c r="G457" s="24">
        <v>8</v>
      </c>
      <c r="H457" s="24" t="s">
        <v>1323</v>
      </c>
      <c r="I457" s="46">
        <v>43358.775937500002</v>
      </c>
    </row>
    <row r="458" spans="6:9" x14ac:dyDescent="0.25">
      <c r="F458" s="40" t="s">
        <v>1379</v>
      </c>
      <c r="G458" s="24">
        <v>1</v>
      </c>
      <c r="H458" s="24" t="s">
        <v>1326</v>
      </c>
      <c r="I458" s="46">
        <v>43358.775925925926</v>
      </c>
    </row>
    <row r="459" spans="6:9" x14ac:dyDescent="0.25">
      <c r="F459" s="40" t="s">
        <v>21</v>
      </c>
      <c r="G459" s="24">
        <v>7</v>
      </c>
      <c r="H459" s="24" t="s">
        <v>1319</v>
      </c>
      <c r="I459" s="46">
        <v>43358.775833333333</v>
      </c>
    </row>
    <row r="460" spans="6:9" x14ac:dyDescent="0.25">
      <c r="F460" s="40" t="s">
        <v>121</v>
      </c>
      <c r="G460" s="24">
        <v>12</v>
      </c>
      <c r="H460" s="24" t="s">
        <v>1319</v>
      </c>
      <c r="I460" s="46">
        <v>43358.775671296295</v>
      </c>
    </row>
    <row r="461" spans="6:9" x14ac:dyDescent="0.25">
      <c r="F461" s="40" t="s">
        <v>1378</v>
      </c>
      <c r="G461" s="24">
        <v>1</v>
      </c>
      <c r="H461" s="24" t="s">
        <v>1326</v>
      </c>
      <c r="I461" s="46">
        <v>43358.775590277779</v>
      </c>
    </row>
    <row r="462" spans="6:9" x14ac:dyDescent="0.25">
      <c r="F462" s="40" t="s">
        <v>1377</v>
      </c>
      <c r="G462" s="24">
        <v>1</v>
      </c>
      <c r="H462" s="24" t="s">
        <v>1326</v>
      </c>
      <c r="I462" s="46">
        <v>43358.77548611111</v>
      </c>
    </row>
    <row r="463" spans="6:9" x14ac:dyDescent="0.25">
      <c r="F463" s="40" t="s">
        <v>149</v>
      </c>
      <c r="G463" s="24">
        <v>13</v>
      </c>
      <c r="H463" s="24" t="s">
        <v>1319</v>
      </c>
      <c r="I463" s="46">
        <v>43358.775439814817</v>
      </c>
    </row>
    <row r="464" spans="6:9" x14ac:dyDescent="0.25">
      <c r="F464" s="40" t="s">
        <v>349</v>
      </c>
      <c r="G464" s="24">
        <v>7</v>
      </c>
      <c r="H464" s="24" t="s">
        <v>1326</v>
      </c>
      <c r="I464" s="46">
        <v>43358.775231481479</v>
      </c>
    </row>
    <row r="465" spans="6:9" x14ac:dyDescent="0.25">
      <c r="F465" s="40" t="s">
        <v>11</v>
      </c>
      <c r="G465" s="24">
        <v>20</v>
      </c>
      <c r="H465" s="24" t="s">
        <v>1319</v>
      </c>
      <c r="I465" s="46">
        <v>43358.775069444448</v>
      </c>
    </row>
    <row r="466" spans="6:9" x14ac:dyDescent="0.25">
      <c r="F466" s="40" t="s">
        <v>155</v>
      </c>
      <c r="G466" s="24">
        <v>6</v>
      </c>
      <c r="H466" s="24" t="s">
        <v>1326</v>
      </c>
      <c r="I466" s="46">
        <v>43358.774976851855</v>
      </c>
    </row>
    <row r="467" spans="6:9" x14ac:dyDescent="0.25">
      <c r="F467" s="40" t="s">
        <v>4</v>
      </c>
      <c r="G467" s="24">
        <v>3</v>
      </c>
      <c r="H467" s="24" t="s">
        <v>1319</v>
      </c>
      <c r="I467" s="46">
        <v>43358.774895833332</v>
      </c>
    </row>
    <row r="468" spans="6:9" x14ac:dyDescent="0.25">
      <c r="F468" s="40" t="s">
        <v>120</v>
      </c>
      <c r="G468" s="24">
        <v>2</v>
      </c>
      <c r="H468" s="24" t="s">
        <v>1326</v>
      </c>
      <c r="I468" s="46">
        <v>43358.774861111109</v>
      </c>
    </row>
    <row r="469" spans="6:9" x14ac:dyDescent="0.25">
      <c r="F469" s="40" t="s">
        <v>118</v>
      </c>
      <c r="G469" s="24">
        <v>1</v>
      </c>
      <c r="H469" s="24" t="s">
        <v>1326</v>
      </c>
      <c r="I469" s="46">
        <v>43358.774699074071</v>
      </c>
    </row>
    <row r="470" spans="6:9" x14ac:dyDescent="0.25">
      <c r="F470" s="40" t="s">
        <v>151</v>
      </c>
      <c r="G470" s="24">
        <v>1</v>
      </c>
      <c r="H470" s="24" t="s">
        <v>1326</v>
      </c>
      <c r="I470" s="46">
        <v>43358.774444444447</v>
      </c>
    </row>
    <row r="471" spans="6:9" x14ac:dyDescent="0.25">
      <c r="F471" s="40" t="s">
        <v>149</v>
      </c>
      <c r="G471" s="24">
        <v>11</v>
      </c>
      <c r="H471" s="24" t="s">
        <v>1319</v>
      </c>
      <c r="I471" s="46">
        <v>43358.774375000001</v>
      </c>
    </row>
    <row r="472" spans="6:9" x14ac:dyDescent="0.25">
      <c r="F472" s="40" t="s">
        <v>369</v>
      </c>
      <c r="G472" s="24">
        <v>2</v>
      </c>
      <c r="H472" s="24" t="s">
        <v>1318</v>
      </c>
      <c r="I472" s="46">
        <v>43358.773344907408</v>
      </c>
    </row>
    <row r="473" spans="6:9" x14ac:dyDescent="0.25">
      <c r="F473" s="40" t="s">
        <v>29</v>
      </c>
      <c r="G473" s="24">
        <v>4</v>
      </c>
      <c r="H473" s="24" t="s">
        <v>1326</v>
      </c>
      <c r="I473" s="46">
        <v>43358.773310185185</v>
      </c>
    </row>
    <row r="474" spans="6:9" x14ac:dyDescent="0.25">
      <c r="F474" s="40" t="s">
        <v>149</v>
      </c>
      <c r="G474" s="24">
        <v>8</v>
      </c>
      <c r="H474" s="24" t="s">
        <v>1318</v>
      </c>
      <c r="I474" s="46">
        <v>43358.773090277777</v>
      </c>
    </row>
    <row r="475" spans="6:9" x14ac:dyDescent="0.25">
      <c r="F475" s="67" t="s">
        <v>50</v>
      </c>
      <c r="G475" s="24">
        <v>2</v>
      </c>
      <c r="H475" s="24" t="s">
        <v>1324</v>
      </c>
      <c r="I475" s="46">
        <v>43358.772962962961</v>
      </c>
    </row>
    <row r="476" spans="6:9" x14ac:dyDescent="0.25">
      <c r="F476" s="40" t="s">
        <v>182</v>
      </c>
      <c r="G476" s="24">
        <v>12</v>
      </c>
      <c r="H476" s="24" t="s">
        <v>1326</v>
      </c>
      <c r="I476" s="46">
        <v>43358.772870370369</v>
      </c>
    </row>
    <row r="477" spans="6:9" x14ac:dyDescent="0.25">
      <c r="F477" s="40" t="s">
        <v>136</v>
      </c>
      <c r="G477" s="24">
        <v>1</v>
      </c>
      <c r="H477" s="24" t="s">
        <v>1318</v>
      </c>
      <c r="I477" s="46">
        <v>43358.772858796299</v>
      </c>
    </row>
    <row r="478" spans="6:9" x14ac:dyDescent="0.25">
      <c r="F478" s="67" t="s">
        <v>164</v>
      </c>
      <c r="G478" s="24">
        <v>1</v>
      </c>
      <c r="H478" s="24" t="s">
        <v>1324</v>
      </c>
      <c r="I478" s="46">
        <v>43358.772847222222</v>
      </c>
    </row>
    <row r="479" spans="6:9" x14ac:dyDescent="0.25">
      <c r="F479" s="40" t="s">
        <v>155</v>
      </c>
      <c r="G479" s="24">
        <v>11</v>
      </c>
      <c r="H479" s="24" t="s">
        <v>1318</v>
      </c>
      <c r="I479" s="46">
        <v>43358.772777777776</v>
      </c>
    </row>
    <row r="480" spans="6:9" x14ac:dyDescent="0.25">
      <c r="F480" s="40" t="s">
        <v>149</v>
      </c>
      <c r="G480" s="24">
        <v>16</v>
      </c>
      <c r="H480" s="24" t="s">
        <v>1318</v>
      </c>
      <c r="I480" s="46">
        <v>43358.772685185184</v>
      </c>
    </row>
    <row r="481" spans="6:9" x14ac:dyDescent="0.25">
      <c r="F481" s="40" t="s">
        <v>123</v>
      </c>
      <c r="G481" s="24">
        <v>1</v>
      </c>
      <c r="H481" s="24" t="s">
        <v>1326</v>
      </c>
      <c r="I481" s="46">
        <v>43358.772673611114</v>
      </c>
    </row>
    <row r="482" spans="6:9" x14ac:dyDescent="0.25">
      <c r="F482" s="67" t="s">
        <v>340</v>
      </c>
      <c r="G482" s="24">
        <v>1</v>
      </c>
      <c r="H482" s="24" t="s">
        <v>1324</v>
      </c>
      <c r="I482" s="46">
        <v>43358.772534722222</v>
      </c>
    </row>
    <row r="483" spans="6:9" x14ac:dyDescent="0.25">
      <c r="F483" s="67" t="s">
        <v>1564</v>
      </c>
      <c r="G483" s="24">
        <v>1</v>
      </c>
      <c r="H483" s="24" t="s">
        <v>1324</v>
      </c>
      <c r="I483" s="46">
        <v>43358.772430555553</v>
      </c>
    </row>
    <row r="484" spans="6:9" x14ac:dyDescent="0.25">
      <c r="F484" s="40" t="s">
        <v>2</v>
      </c>
      <c r="G484" s="24">
        <v>2</v>
      </c>
      <c r="H484" s="24" t="s">
        <v>1318</v>
      </c>
      <c r="I484" s="46">
        <v>43358.772407407407</v>
      </c>
    </row>
    <row r="485" spans="6:9" x14ac:dyDescent="0.25">
      <c r="F485" s="40" t="s">
        <v>121</v>
      </c>
      <c r="G485" s="24">
        <v>2</v>
      </c>
      <c r="H485" s="24" t="s">
        <v>1326</v>
      </c>
      <c r="I485" s="46">
        <v>43358.772326388891</v>
      </c>
    </row>
    <row r="486" spans="6:9" x14ac:dyDescent="0.25">
      <c r="F486" s="40" t="s">
        <v>125</v>
      </c>
      <c r="G486" s="24">
        <v>1</v>
      </c>
      <c r="H486" s="24" t="s">
        <v>1318</v>
      </c>
      <c r="I486" s="46">
        <v>43358.772291666668</v>
      </c>
    </row>
    <row r="487" spans="6:9" x14ac:dyDescent="0.25">
      <c r="F487" s="67" t="s">
        <v>373</v>
      </c>
      <c r="G487" s="24">
        <v>1</v>
      </c>
      <c r="H487" s="24" t="s">
        <v>1324</v>
      </c>
      <c r="I487" s="46">
        <v>43358.772256944445</v>
      </c>
    </row>
    <row r="488" spans="6:9" x14ac:dyDescent="0.25">
      <c r="F488" s="40" t="s">
        <v>149</v>
      </c>
      <c r="G488" s="24">
        <v>8</v>
      </c>
      <c r="H488" s="24" t="s">
        <v>1326</v>
      </c>
      <c r="I488" s="46">
        <v>43358.772210648145</v>
      </c>
    </row>
    <row r="489" spans="6:9" x14ac:dyDescent="0.25">
      <c r="F489" s="40" t="s">
        <v>11</v>
      </c>
      <c r="G489" s="24">
        <v>2</v>
      </c>
      <c r="H489" s="24" t="s">
        <v>1318</v>
      </c>
      <c r="I489" s="46">
        <v>43358.772037037037</v>
      </c>
    </row>
    <row r="490" spans="6:9" x14ac:dyDescent="0.25">
      <c r="F490" s="67" t="s">
        <v>227</v>
      </c>
      <c r="G490" s="24">
        <v>1</v>
      </c>
      <c r="H490" s="24" t="s">
        <v>1324</v>
      </c>
      <c r="I490" s="46">
        <v>43358.771979166668</v>
      </c>
    </row>
    <row r="491" spans="6:9" x14ac:dyDescent="0.25">
      <c r="F491" s="40" t="s">
        <v>12</v>
      </c>
      <c r="G491" s="24">
        <v>1</v>
      </c>
      <c r="H491" s="24" t="s">
        <v>1318</v>
      </c>
      <c r="I491" s="46">
        <v>43358.771956018521</v>
      </c>
    </row>
    <row r="492" spans="6:9" x14ac:dyDescent="0.25">
      <c r="F492" s="40" t="s">
        <v>612</v>
      </c>
      <c r="G492" s="24">
        <v>2</v>
      </c>
      <c r="H492" s="24" t="s">
        <v>1326</v>
      </c>
      <c r="I492" s="46">
        <v>43358.771874999999</v>
      </c>
    </row>
    <row r="493" spans="6:9" x14ac:dyDescent="0.25">
      <c r="F493" s="67" t="s">
        <v>121</v>
      </c>
      <c r="G493" s="24">
        <v>1</v>
      </c>
      <c r="H493" s="24" t="s">
        <v>1324</v>
      </c>
      <c r="I493" s="46">
        <v>43358.771863425929</v>
      </c>
    </row>
    <row r="494" spans="6:9" x14ac:dyDescent="0.25">
      <c r="F494" s="40" t="s">
        <v>146</v>
      </c>
      <c r="G494" s="24">
        <v>1</v>
      </c>
      <c r="H494" s="24" t="s">
        <v>1318</v>
      </c>
      <c r="I494" s="46">
        <v>43358.771840277775</v>
      </c>
    </row>
    <row r="495" spans="6:9" x14ac:dyDescent="0.25">
      <c r="F495" s="40" t="s">
        <v>59</v>
      </c>
      <c r="G495" s="24">
        <v>4</v>
      </c>
      <c r="H495" s="24" t="s">
        <v>1326</v>
      </c>
      <c r="I495" s="46">
        <v>43358.771782407406</v>
      </c>
    </row>
    <row r="496" spans="6:9" x14ac:dyDescent="0.25">
      <c r="F496" s="67" t="s">
        <v>1383</v>
      </c>
      <c r="G496" s="24">
        <v>1</v>
      </c>
      <c r="H496" s="24" t="s">
        <v>1324</v>
      </c>
      <c r="I496" s="46">
        <v>43358.771747685183</v>
      </c>
    </row>
    <row r="497" spans="6:9" x14ac:dyDescent="0.25">
      <c r="F497" s="40" t="s">
        <v>51</v>
      </c>
      <c r="G497" s="24">
        <v>1</v>
      </c>
      <c r="H497" s="24" t="s">
        <v>1318</v>
      </c>
      <c r="I497" s="46">
        <v>43358.771689814814</v>
      </c>
    </row>
    <row r="498" spans="6:9" x14ac:dyDescent="0.25">
      <c r="F498" s="40" t="s">
        <v>58</v>
      </c>
      <c r="G498" s="24">
        <v>10</v>
      </c>
      <c r="H498" s="24" t="s">
        <v>1326</v>
      </c>
      <c r="I498" s="46">
        <v>43358.771643518521</v>
      </c>
    </row>
    <row r="499" spans="6:9" x14ac:dyDescent="0.25">
      <c r="F499" s="40" t="s">
        <v>29</v>
      </c>
      <c r="G499" s="24">
        <v>1</v>
      </c>
      <c r="H499" s="24" t="s">
        <v>1318</v>
      </c>
      <c r="I499" s="46">
        <v>43358.771574074075</v>
      </c>
    </row>
    <row r="500" spans="6:9" x14ac:dyDescent="0.25">
      <c r="F500" s="40" t="s">
        <v>50</v>
      </c>
      <c r="G500" s="24">
        <v>2</v>
      </c>
      <c r="H500" s="24" t="s">
        <v>1326</v>
      </c>
      <c r="I500" s="46">
        <v>43358.771539351852</v>
      </c>
    </row>
    <row r="501" spans="6:9" x14ac:dyDescent="0.25">
      <c r="F501" s="40" t="s">
        <v>353</v>
      </c>
      <c r="G501" s="24">
        <v>2</v>
      </c>
      <c r="H501" s="24" t="s">
        <v>1318</v>
      </c>
      <c r="I501" s="46">
        <v>43358.771516203706</v>
      </c>
    </row>
    <row r="502" spans="6:9" x14ac:dyDescent="0.25">
      <c r="F502" s="67" t="s">
        <v>38</v>
      </c>
      <c r="G502" s="24">
        <v>1</v>
      </c>
      <c r="H502" s="24" t="s">
        <v>1324</v>
      </c>
      <c r="I502" s="46">
        <v>43358.771435185183</v>
      </c>
    </row>
    <row r="503" spans="6:9" x14ac:dyDescent="0.25">
      <c r="F503" s="40" t="s">
        <v>21</v>
      </c>
      <c r="G503" s="24">
        <v>4</v>
      </c>
      <c r="H503" s="24" t="s">
        <v>1326</v>
      </c>
      <c r="I503" s="46">
        <v>43358.771377314813</v>
      </c>
    </row>
    <row r="504" spans="6:9" x14ac:dyDescent="0.25">
      <c r="F504" s="40" t="s">
        <v>138</v>
      </c>
      <c r="G504" s="24">
        <v>1</v>
      </c>
      <c r="H504" s="24" t="s">
        <v>1318</v>
      </c>
      <c r="I504" s="46">
        <v>43358.771273148152</v>
      </c>
    </row>
    <row r="505" spans="6:9" x14ac:dyDescent="0.25">
      <c r="F505" s="40" t="s">
        <v>58</v>
      </c>
      <c r="G505" s="24">
        <v>3</v>
      </c>
      <c r="H505" s="24" t="s">
        <v>1318</v>
      </c>
      <c r="I505" s="46">
        <v>43358.771192129629</v>
      </c>
    </row>
    <row r="506" spans="6:9" x14ac:dyDescent="0.25">
      <c r="F506" s="67" t="s">
        <v>612</v>
      </c>
      <c r="G506" s="24">
        <v>1</v>
      </c>
      <c r="H506" s="24" t="s">
        <v>1324</v>
      </c>
      <c r="I506" s="46">
        <v>43358.771192129629</v>
      </c>
    </row>
    <row r="507" spans="6:9" x14ac:dyDescent="0.25">
      <c r="F507" s="40" t="s">
        <v>12</v>
      </c>
      <c r="G507" s="24">
        <v>1</v>
      </c>
      <c r="H507" s="24" t="s">
        <v>1326</v>
      </c>
      <c r="I507" s="46">
        <v>43358.771180555559</v>
      </c>
    </row>
    <row r="508" spans="6:9" x14ac:dyDescent="0.25">
      <c r="F508" s="40" t="s">
        <v>39</v>
      </c>
      <c r="G508" s="24">
        <v>1</v>
      </c>
      <c r="H508" s="24" t="s">
        <v>1318</v>
      </c>
      <c r="I508" s="46">
        <v>43358.771122685182</v>
      </c>
    </row>
    <row r="509" spans="6:9" x14ac:dyDescent="0.25">
      <c r="F509" s="40" t="s">
        <v>11</v>
      </c>
      <c r="G509" s="24">
        <v>7</v>
      </c>
      <c r="H509" s="24" t="s">
        <v>1326</v>
      </c>
      <c r="I509" s="46">
        <v>43358.771064814813</v>
      </c>
    </row>
    <row r="510" spans="6:9" x14ac:dyDescent="0.25">
      <c r="F510" s="67" t="s">
        <v>21</v>
      </c>
      <c r="G510" s="24">
        <v>1</v>
      </c>
      <c r="H510" s="24" t="s">
        <v>1324</v>
      </c>
      <c r="I510" s="46">
        <v>43358.771053240744</v>
      </c>
    </row>
    <row r="511" spans="6:9" x14ac:dyDescent="0.25">
      <c r="F511" s="40" t="s">
        <v>355</v>
      </c>
      <c r="G511" s="24">
        <v>2</v>
      </c>
      <c r="H511" s="24" t="s">
        <v>1318</v>
      </c>
      <c r="I511" s="46">
        <v>43358.77103009259</v>
      </c>
    </row>
    <row r="512" spans="6:9" x14ac:dyDescent="0.25">
      <c r="F512" s="40" t="s">
        <v>344</v>
      </c>
      <c r="G512" s="24">
        <v>1</v>
      </c>
      <c r="H512" s="24" t="s">
        <v>1318</v>
      </c>
      <c r="I512" s="46">
        <v>43358.770960648151</v>
      </c>
    </row>
    <row r="513" spans="6:9" x14ac:dyDescent="0.25">
      <c r="F513" s="40" t="s">
        <v>4</v>
      </c>
      <c r="G513" s="24">
        <v>2</v>
      </c>
      <c r="H513" s="24" t="s">
        <v>1326</v>
      </c>
      <c r="I513" s="46">
        <v>43358.770949074074</v>
      </c>
    </row>
    <row r="514" spans="6:9" x14ac:dyDescent="0.25">
      <c r="F514" s="67" t="s">
        <v>138</v>
      </c>
      <c r="G514" s="24">
        <v>1</v>
      </c>
      <c r="H514" s="24" t="s">
        <v>1324</v>
      </c>
      <c r="I514" s="46">
        <v>43358.770937499998</v>
      </c>
    </row>
    <row r="515" spans="6:9" x14ac:dyDescent="0.25">
      <c r="F515" s="40" t="s">
        <v>257</v>
      </c>
      <c r="G515" s="24">
        <v>2</v>
      </c>
      <c r="H515" s="24" t="s">
        <v>1318</v>
      </c>
      <c r="I515" s="46">
        <v>43358.770891203705</v>
      </c>
    </row>
    <row r="516" spans="6:9" x14ac:dyDescent="0.25">
      <c r="F516" s="67" t="s">
        <v>151</v>
      </c>
      <c r="G516" s="24">
        <v>3</v>
      </c>
      <c r="H516" s="24" t="s">
        <v>1324</v>
      </c>
      <c r="I516" s="46">
        <v>43358.770833333336</v>
      </c>
    </row>
    <row r="517" spans="6:9" x14ac:dyDescent="0.25">
      <c r="F517" s="40" t="s">
        <v>2</v>
      </c>
      <c r="G517" s="24">
        <v>2</v>
      </c>
      <c r="H517" s="24" t="s">
        <v>1326</v>
      </c>
      <c r="I517" s="46">
        <v>43358.770775462966</v>
      </c>
    </row>
    <row r="518" spans="6:9" x14ac:dyDescent="0.25">
      <c r="F518" s="40" t="s">
        <v>349</v>
      </c>
      <c r="G518" s="24">
        <v>25</v>
      </c>
      <c r="H518" s="24" t="s">
        <v>1318</v>
      </c>
      <c r="I518" s="46">
        <v>43358.770752314813</v>
      </c>
    </row>
    <row r="519" spans="6:9" x14ac:dyDescent="0.25">
      <c r="F519" s="67" t="s">
        <v>118</v>
      </c>
      <c r="G519" s="24">
        <v>3</v>
      </c>
      <c r="H519" s="24" t="s">
        <v>1324</v>
      </c>
      <c r="I519" s="46">
        <v>43358.770729166667</v>
      </c>
    </row>
    <row r="520" spans="6:9" x14ac:dyDescent="0.25">
      <c r="F520" s="40" t="s">
        <v>122</v>
      </c>
      <c r="G520" s="24">
        <v>1</v>
      </c>
      <c r="H520" s="24" t="s">
        <v>1318</v>
      </c>
      <c r="I520" s="46">
        <v>43358.77065972222</v>
      </c>
    </row>
    <row r="521" spans="6:9" x14ac:dyDescent="0.25">
      <c r="F521" s="40" t="s">
        <v>121</v>
      </c>
      <c r="G521" s="24">
        <v>2</v>
      </c>
      <c r="H521" s="24" t="s">
        <v>1318</v>
      </c>
      <c r="I521" s="46">
        <v>43358.770578703705</v>
      </c>
    </row>
    <row r="522" spans="6:9" x14ac:dyDescent="0.25">
      <c r="F522" s="67" t="s">
        <v>155</v>
      </c>
      <c r="G522" s="24">
        <v>5</v>
      </c>
      <c r="H522" s="24" t="s">
        <v>1324</v>
      </c>
      <c r="I522" s="46">
        <v>43358.770497685182</v>
      </c>
    </row>
    <row r="523" spans="6:9" x14ac:dyDescent="0.25">
      <c r="F523" s="40" t="s">
        <v>149</v>
      </c>
      <c r="G523" s="24">
        <v>5</v>
      </c>
      <c r="H523" s="24" t="s">
        <v>1318</v>
      </c>
      <c r="I523" s="46">
        <v>43358.770416666666</v>
      </c>
    </row>
    <row r="524" spans="6:9" x14ac:dyDescent="0.25">
      <c r="F524" s="67" t="s">
        <v>62</v>
      </c>
      <c r="G524" s="24">
        <v>1</v>
      </c>
      <c r="H524" s="24" t="s">
        <v>1324</v>
      </c>
      <c r="I524" s="46">
        <v>43358.770381944443</v>
      </c>
    </row>
    <row r="525" spans="6:9" x14ac:dyDescent="0.25">
      <c r="F525" s="40" t="s">
        <v>149</v>
      </c>
      <c r="G525" s="24">
        <v>7</v>
      </c>
      <c r="H525" s="24" t="s">
        <v>1318</v>
      </c>
      <c r="I525" s="46">
        <v>43358.770150462966</v>
      </c>
    </row>
    <row r="526" spans="6:9" x14ac:dyDescent="0.25">
      <c r="F526" s="67" t="s">
        <v>170</v>
      </c>
      <c r="G526" s="24">
        <v>1</v>
      </c>
      <c r="H526" s="24" t="s">
        <v>1324</v>
      </c>
      <c r="I526" s="46">
        <v>43358.770092592589</v>
      </c>
    </row>
    <row r="527" spans="6:9" x14ac:dyDescent="0.25">
      <c r="F527" s="67" t="s">
        <v>61</v>
      </c>
      <c r="G527" s="24">
        <v>1</v>
      </c>
      <c r="H527" s="24" t="s">
        <v>1324</v>
      </c>
      <c r="I527" s="46">
        <v>43358.769988425927</v>
      </c>
    </row>
    <row r="528" spans="6:9" x14ac:dyDescent="0.25">
      <c r="F528" s="40" t="s">
        <v>202</v>
      </c>
      <c r="G528" s="24">
        <v>1</v>
      </c>
      <c r="H528" s="24" t="s">
        <v>1318</v>
      </c>
      <c r="I528" s="46">
        <v>43358.769953703704</v>
      </c>
    </row>
    <row r="529" spans="6:9" x14ac:dyDescent="0.25">
      <c r="F529" s="40" t="s">
        <v>11</v>
      </c>
      <c r="G529" s="24">
        <v>1</v>
      </c>
      <c r="H529" s="24" t="s">
        <v>1318</v>
      </c>
      <c r="I529" s="46">
        <v>43358.769884259258</v>
      </c>
    </row>
    <row r="530" spans="6:9" x14ac:dyDescent="0.25">
      <c r="F530" s="40" t="s">
        <v>149</v>
      </c>
      <c r="G530" s="24">
        <v>20</v>
      </c>
      <c r="H530" s="24" t="s">
        <v>1326</v>
      </c>
      <c r="I530" s="46">
        <v>43358.769826388889</v>
      </c>
    </row>
    <row r="531" spans="6:9" x14ac:dyDescent="0.25">
      <c r="F531" s="40" t="s">
        <v>3</v>
      </c>
      <c r="G531" s="24">
        <v>1</v>
      </c>
      <c r="H531" s="24" t="s">
        <v>1318</v>
      </c>
      <c r="I531" s="46">
        <v>43358.769803240742</v>
      </c>
    </row>
    <row r="532" spans="6:9" x14ac:dyDescent="0.25">
      <c r="F532" s="40" t="s">
        <v>2</v>
      </c>
      <c r="G532" s="24">
        <v>2</v>
      </c>
      <c r="H532" s="24" t="s">
        <v>1318</v>
      </c>
      <c r="I532" s="46">
        <v>43358.769699074073</v>
      </c>
    </row>
    <row r="533" spans="6:9" x14ac:dyDescent="0.25">
      <c r="F533" s="40" t="s">
        <v>4</v>
      </c>
      <c r="G533" s="24">
        <v>1</v>
      </c>
      <c r="H533" s="24" t="s">
        <v>1318</v>
      </c>
      <c r="I533" s="46">
        <v>43358.769618055558</v>
      </c>
    </row>
    <row r="534" spans="6:9" x14ac:dyDescent="0.25">
      <c r="F534" s="67" t="s">
        <v>371</v>
      </c>
      <c r="G534" s="24">
        <v>2</v>
      </c>
      <c r="H534" s="24" t="s">
        <v>1324</v>
      </c>
      <c r="I534" s="46">
        <v>43358.769606481481</v>
      </c>
    </row>
    <row r="535" spans="6:9" x14ac:dyDescent="0.25">
      <c r="F535" s="40" t="s">
        <v>121</v>
      </c>
      <c r="G535" s="24">
        <v>6</v>
      </c>
      <c r="H535" s="24" t="s">
        <v>1326</v>
      </c>
      <c r="I535" s="46">
        <v>43358.769571759258</v>
      </c>
    </row>
    <row r="536" spans="6:9" x14ac:dyDescent="0.25">
      <c r="F536" s="67" t="s">
        <v>344</v>
      </c>
      <c r="G536" s="24">
        <v>5</v>
      </c>
      <c r="H536" s="24" t="s">
        <v>1324</v>
      </c>
      <c r="I536" s="46">
        <v>43358.769490740742</v>
      </c>
    </row>
    <row r="537" spans="6:9" x14ac:dyDescent="0.25">
      <c r="F537" s="40" t="s">
        <v>1498</v>
      </c>
      <c r="G537" s="24">
        <v>2</v>
      </c>
      <c r="H537" s="24" t="s">
        <v>1318</v>
      </c>
      <c r="I537" s="46">
        <v>43358.769444444442</v>
      </c>
    </row>
    <row r="538" spans="6:9" x14ac:dyDescent="0.25">
      <c r="F538" s="67" t="s">
        <v>173</v>
      </c>
      <c r="G538" s="24">
        <v>5</v>
      </c>
      <c r="H538" s="24" t="s">
        <v>1324</v>
      </c>
      <c r="I538" s="46">
        <v>43358.769375000003</v>
      </c>
    </row>
    <row r="539" spans="6:9" x14ac:dyDescent="0.25">
      <c r="F539" s="40" t="s">
        <v>21</v>
      </c>
      <c r="G539" s="24">
        <v>11</v>
      </c>
      <c r="H539" s="24" t="s">
        <v>1326</v>
      </c>
      <c r="I539" s="46">
        <v>43358.769305555557</v>
      </c>
    </row>
    <row r="540" spans="6:9" x14ac:dyDescent="0.25">
      <c r="F540" s="67" t="s">
        <v>232</v>
      </c>
      <c r="G540" s="24">
        <v>1</v>
      </c>
      <c r="H540" s="24" t="s">
        <v>1324</v>
      </c>
      <c r="I540" s="46">
        <v>43358.769062500003</v>
      </c>
    </row>
    <row r="541" spans="6:9" x14ac:dyDescent="0.25">
      <c r="F541" s="67" t="s">
        <v>265</v>
      </c>
      <c r="G541" s="24">
        <v>2</v>
      </c>
      <c r="H541" s="24" t="s">
        <v>1324</v>
      </c>
      <c r="I541" s="46">
        <v>43358.768877314818</v>
      </c>
    </row>
    <row r="542" spans="6:9" x14ac:dyDescent="0.25">
      <c r="F542" s="67" t="s">
        <v>1381</v>
      </c>
      <c r="G542" s="24">
        <v>1</v>
      </c>
      <c r="H542" s="24" t="s">
        <v>1324</v>
      </c>
      <c r="I542" s="46">
        <v>43358.768761574072</v>
      </c>
    </row>
    <row r="543" spans="6:9" x14ac:dyDescent="0.25">
      <c r="F543" s="67" t="s">
        <v>1561</v>
      </c>
      <c r="G543" s="24">
        <v>1</v>
      </c>
      <c r="H543" s="24" t="s">
        <v>1324</v>
      </c>
      <c r="I543" s="46">
        <v>43358.768645833334</v>
      </c>
    </row>
    <row r="544" spans="6:9" x14ac:dyDescent="0.25">
      <c r="F544" s="67" t="s">
        <v>39</v>
      </c>
      <c r="G544" s="24">
        <v>9</v>
      </c>
      <c r="H544" s="24" t="s">
        <v>1324</v>
      </c>
      <c r="I544" s="46">
        <v>43358.768506944441</v>
      </c>
    </row>
    <row r="545" spans="6:9" x14ac:dyDescent="0.25">
      <c r="F545" s="40" t="s">
        <v>39</v>
      </c>
      <c r="G545" s="24">
        <v>10</v>
      </c>
      <c r="H545" s="24" t="s">
        <v>1326</v>
      </c>
      <c r="I545" s="46">
        <v>43358.768333333333</v>
      </c>
    </row>
    <row r="546" spans="6:9" x14ac:dyDescent="0.25">
      <c r="F546" s="67" t="s">
        <v>348</v>
      </c>
      <c r="G546" s="24">
        <v>1</v>
      </c>
      <c r="H546" s="24" t="s">
        <v>1324</v>
      </c>
      <c r="I546" s="46">
        <v>43358.767928240741</v>
      </c>
    </row>
    <row r="547" spans="6:9" x14ac:dyDescent="0.25">
      <c r="F547" s="40" t="s">
        <v>146</v>
      </c>
      <c r="G547" s="24">
        <v>23</v>
      </c>
      <c r="H547" s="24" t="s">
        <v>1326</v>
      </c>
      <c r="I547" s="46">
        <v>43358.76766203704</v>
      </c>
    </row>
    <row r="548" spans="6:9" x14ac:dyDescent="0.25">
      <c r="F548" s="67" t="s">
        <v>349</v>
      </c>
      <c r="G548" s="24">
        <v>1</v>
      </c>
      <c r="H548" s="24" t="s">
        <v>1324</v>
      </c>
      <c r="I548" s="46">
        <v>43358.767581018517</v>
      </c>
    </row>
    <row r="549" spans="6:9" x14ac:dyDescent="0.25">
      <c r="F549" s="67" t="s">
        <v>65</v>
      </c>
      <c r="G549" s="24">
        <v>19</v>
      </c>
      <c r="H549" s="24" t="s">
        <v>1324</v>
      </c>
      <c r="I549" s="46">
        <v>43358.767465277779</v>
      </c>
    </row>
    <row r="550" spans="6:9" x14ac:dyDescent="0.25">
      <c r="F550" s="67" t="s">
        <v>58</v>
      </c>
      <c r="G550" s="24">
        <v>22</v>
      </c>
      <c r="H550" s="24" t="s">
        <v>1324</v>
      </c>
      <c r="I550" s="46">
        <v>43358.76734953704</v>
      </c>
    </row>
    <row r="551" spans="6:9" x14ac:dyDescent="0.25">
      <c r="F551" s="67" t="s">
        <v>56</v>
      </c>
      <c r="G551" s="24">
        <v>1</v>
      </c>
      <c r="H551" s="24" t="s">
        <v>1324</v>
      </c>
      <c r="I551" s="46">
        <v>43358.767256944448</v>
      </c>
    </row>
    <row r="552" spans="6:9" x14ac:dyDescent="0.25">
      <c r="F552" s="67" t="s">
        <v>349</v>
      </c>
      <c r="G552" s="24">
        <v>41</v>
      </c>
      <c r="H552" s="24" t="s">
        <v>1324</v>
      </c>
      <c r="I552" s="46">
        <v>43358.767164351855</v>
      </c>
    </row>
    <row r="553" spans="6:9" x14ac:dyDescent="0.25">
      <c r="F553" s="67" t="s">
        <v>4</v>
      </c>
      <c r="G553" s="24">
        <v>2</v>
      </c>
      <c r="H553" s="24" t="s">
        <v>1324</v>
      </c>
      <c r="I553" s="46">
        <v>43358.766979166663</v>
      </c>
    </row>
    <row r="554" spans="6:9" x14ac:dyDescent="0.25">
      <c r="F554" s="67" t="s">
        <v>3</v>
      </c>
      <c r="G554" s="24">
        <v>1</v>
      </c>
      <c r="H554" s="24" t="s">
        <v>1324</v>
      </c>
      <c r="I554" s="46">
        <v>43358.766898148147</v>
      </c>
    </row>
    <row r="555" spans="6:9" x14ac:dyDescent="0.25">
      <c r="F555" s="67" t="s">
        <v>2</v>
      </c>
      <c r="G555" s="24">
        <v>1</v>
      </c>
      <c r="H555" s="24" t="s">
        <v>1324</v>
      </c>
      <c r="I555" s="46">
        <v>43358.766770833332</v>
      </c>
    </row>
    <row r="556" spans="6:9" x14ac:dyDescent="0.25">
      <c r="F556" s="67" t="s">
        <v>146</v>
      </c>
      <c r="G556" s="24">
        <v>6</v>
      </c>
      <c r="H556" s="24" t="s">
        <v>1324</v>
      </c>
      <c r="I556" s="46">
        <v>43358.766643518517</v>
      </c>
    </row>
    <row r="557" spans="6:9" x14ac:dyDescent="0.25">
      <c r="F557" s="67" t="s">
        <v>40</v>
      </c>
      <c r="G557" s="24">
        <v>3</v>
      </c>
      <c r="H557" s="24" t="s">
        <v>1324</v>
      </c>
      <c r="I557" s="46">
        <v>43358.766504629632</v>
      </c>
    </row>
    <row r="558" spans="6:9" x14ac:dyDescent="0.25">
      <c r="F558" s="67" t="s">
        <v>201</v>
      </c>
      <c r="G558" s="24">
        <v>1</v>
      </c>
      <c r="H558" s="24" t="s">
        <v>1324</v>
      </c>
      <c r="I558" s="46">
        <v>43358.766388888886</v>
      </c>
    </row>
    <row r="559" spans="6:9" x14ac:dyDescent="0.25">
      <c r="F559" s="67" t="s">
        <v>29</v>
      </c>
      <c r="G559" s="24">
        <v>2</v>
      </c>
      <c r="H559" s="24" t="s">
        <v>1324</v>
      </c>
      <c r="I559" s="46">
        <v>43358.766099537039</v>
      </c>
    </row>
    <row r="560" spans="6:9" x14ac:dyDescent="0.25">
      <c r="F560" s="67" t="s">
        <v>1347</v>
      </c>
      <c r="G560" s="24">
        <v>1</v>
      </c>
      <c r="H560" s="24" t="s">
        <v>1324</v>
      </c>
      <c r="I560" s="46">
        <v>43358.766006944446</v>
      </c>
    </row>
    <row r="561" spans="6:9" x14ac:dyDescent="0.25">
      <c r="F561" s="67" t="s">
        <v>170</v>
      </c>
      <c r="G561" s="24">
        <v>1</v>
      </c>
      <c r="H561" s="24" t="s">
        <v>1324</v>
      </c>
      <c r="I561" s="46">
        <v>43358.765763888892</v>
      </c>
    </row>
    <row r="562" spans="6:9" x14ac:dyDescent="0.25">
      <c r="F562" s="67" t="s">
        <v>11</v>
      </c>
      <c r="G562" s="24">
        <v>4</v>
      </c>
      <c r="H562" s="24" t="s">
        <v>1324</v>
      </c>
      <c r="I562" s="46">
        <v>43358.765648148146</v>
      </c>
    </row>
    <row r="563" spans="6:9" x14ac:dyDescent="0.25">
      <c r="F563" s="67" t="s">
        <v>222</v>
      </c>
      <c r="G563" s="24">
        <v>1</v>
      </c>
      <c r="H563" s="24" t="s">
        <v>1324</v>
      </c>
      <c r="I563" s="46">
        <v>43358.765555555554</v>
      </c>
    </row>
    <row r="564" spans="6:9" x14ac:dyDescent="0.25">
      <c r="F564" s="67" t="s">
        <v>184</v>
      </c>
      <c r="G564" s="24">
        <v>1</v>
      </c>
      <c r="H564" s="24" t="s">
        <v>1324</v>
      </c>
      <c r="I564" s="46">
        <v>43358.765428240738</v>
      </c>
    </row>
    <row r="565" spans="6:9" x14ac:dyDescent="0.25">
      <c r="F565" s="67" t="s">
        <v>186</v>
      </c>
      <c r="G565" s="24">
        <v>1</v>
      </c>
      <c r="H565" s="24" t="s">
        <v>1324</v>
      </c>
      <c r="I565" s="46">
        <v>43358.765335648146</v>
      </c>
    </row>
    <row r="566" spans="6:9" x14ac:dyDescent="0.25">
      <c r="F566" s="67" t="s">
        <v>199</v>
      </c>
      <c r="G566" s="24">
        <v>1</v>
      </c>
      <c r="H566" s="24" t="s">
        <v>1324</v>
      </c>
      <c r="I566" s="46">
        <v>43358.765046296299</v>
      </c>
    </row>
    <row r="567" spans="6:9" x14ac:dyDescent="0.25">
      <c r="F567" s="67" t="s">
        <v>186</v>
      </c>
      <c r="G567" s="24">
        <v>1</v>
      </c>
      <c r="H567" s="24" t="s">
        <v>1324</v>
      </c>
      <c r="I567" s="46">
        <v>43358.764930555553</v>
      </c>
    </row>
    <row r="568" spans="6:9" x14ac:dyDescent="0.25">
      <c r="F568" s="67" t="s">
        <v>21</v>
      </c>
      <c r="G568" s="24">
        <v>8</v>
      </c>
      <c r="H568" s="24" t="s">
        <v>1324</v>
      </c>
      <c r="I568" s="46">
        <v>43358.764826388891</v>
      </c>
    </row>
    <row r="569" spans="6:9" x14ac:dyDescent="0.25">
      <c r="F569" s="67" t="s">
        <v>149</v>
      </c>
      <c r="G569" s="24">
        <v>33</v>
      </c>
      <c r="H569" s="24" t="s">
        <v>1324</v>
      </c>
      <c r="I569" s="46">
        <v>43358.76462962963</v>
      </c>
    </row>
    <row r="570" spans="6:9" x14ac:dyDescent="0.25">
      <c r="F570" s="67" t="s">
        <v>155</v>
      </c>
      <c r="G570" s="24">
        <v>8</v>
      </c>
      <c r="H570" s="24" t="s">
        <v>1324</v>
      </c>
      <c r="I570" s="46">
        <v>43358.764050925929</v>
      </c>
    </row>
    <row r="571" spans="6:9" x14ac:dyDescent="0.25">
      <c r="F571" s="67" t="s">
        <v>11</v>
      </c>
      <c r="G571" s="24">
        <v>8</v>
      </c>
      <c r="H571" s="24" t="s">
        <v>1324</v>
      </c>
      <c r="I571" s="46">
        <v>43358.763784722221</v>
      </c>
    </row>
    <row r="572" spans="6:9" x14ac:dyDescent="0.25">
      <c r="F572" s="67" t="s">
        <v>12</v>
      </c>
      <c r="G572" s="24">
        <v>2</v>
      </c>
      <c r="H572" s="24" t="s">
        <v>1324</v>
      </c>
      <c r="I572" s="46">
        <v>43358.763680555552</v>
      </c>
    </row>
    <row r="573" spans="6:9" x14ac:dyDescent="0.25">
      <c r="F573" s="67" t="s">
        <v>3</v>
      </c>
      <c r="G573" s="24">
        <v>2</v>
      </c>
      <c r="H573" s="24" t="s">
        <v>1324</v>
      </c>
      <c r="I573" s="46">
        <v>43358.763553240744</v>
      </c>
    </row>
    <row r="574" spans="6:9" x14ac:dyDescent="0.25">
      <c r="F574" s="67" t="s">
        <v>121</v>
      </c>
      <c r="G574" s="24">
        <v>6</v>
      </c>
      <c r="H574" s="24" t="s">
        <v>1324</v>
      </c>
      <c r="I574" s="46">
        <v>43358.763148148151</v>
      </c>
    </row>
    <row r="575" spans="6:9" x14ac:dyDescent="0.25">
      <c r="F575" s="40" t="s">
        <v>1347</v>
      </c>
      <c r="G575" s="24">
        <v>1</v>
      </c>
      <c r="H575" s="24" t="s">
        <v>1320</v>
      </c>
      <c r="I575" s="46">
        <v>43358.758796296293</v>
      </c>
    </row>
    <row r="576" spans="6:9" x14ac:dyDescent="0.25">
      <c r="F576" s="40" t="s">
        <v>217</v>
      </c>
      <c r="G576" s="24">
        <v>1</v>
      </c>
      <c r="H576" s="24" t="s">
        <v>1320</v>
      </c>
      <c r="I576" s="46">
        <v>43358.758425925924</v>
      </c>
    </row>
    <row r="577" spans="6:9" x14ac:dyDescent="0.25">
      <c r="F577" s="40" t="s">
        <v>1377</v>
      </c>
      <c r="G577" s="24">
        <v>1</v>
      </c>
      <c r="H577" s="24" t="s">
        <v>1320</v>
      </c>
      <c r="I577" s="46">
        <v>43358.758125</v>
      </c>
    </row>
    <row r="578" spans="6:9" x14ac:dyDescent="0.25">
      <c r="F578" s="40" t="s">
        <v>65</v>
      </c>
      <c r="G578" s="24">
        <v>2</v>
      </c>
      <c r="H578" s="24" t="s">
        <v>1320</v>
      </c>
      <c r="I578" s="46">
        <v>43358.757986111108</v>
      </c>
    </row>
    <row r="579" spans="6:9" x14ac:dyDescent="0.25">
      <c r="F579" s="40" t="s">
        <v>349</v>
      </c>
      <c r="G579" s="24">
        <v>5</v>
      </c>
      <c r="H579" s="24" t="s">
        <v>1320</v>
      </c>
      <c r="I579" s="46">
        <v>43358.757708333331</v>
      </c>
    </row>
    <row r="580" spans="6:9" x14ac:dyDescent="0.25">
      <c r="F580" s="40" t="s">
        <v>51</v>
      </c>
      <c r="G580" s="24">
        <v>2</v>
      </c>
      <c r="H580" s="24" t="s">
        <v>1320</v>
      </c>
      <c r="I580" s="46">
        <v>43358.757430555554</v>
      </c>
    </row>
    <row r="581" spans="6:9" x14ac:dyDescent="0.25">
      <c r="F581" s="40" t="s">
        <v>62</v>
      </c>
      <c r="G581" s="24">
        <v>1</v>
      </c>
      <c r="H581" s="24" t="s">
        <v>1320</v>
      </c>
      <c r="I581" s="46">
        <v>43358.757210648146</v>
      </c>
    </row>
    <row r="582" spans="6:9" x14ac:dyDescent="0.25">
      <c r="F582" s="40" t="s">
        <v>265</v>
      </c>
      <c r="G582" s="24">
        <v>1</v>
      </c>
      <c r="H582" s="24" t="s">
        <v>1320</v>
      </c>
      <c r="I582" s="46">
        <v>43358.757118055553</v>
      </c>
    </row>
    <row r="583" spans="6:9" x14ac:dyDescent="0.25">
      <c r="F583" s="40" t="s">
        <v>257</v>
      </c>
      <c r="G583" s="24">
        <v>1</v>
      </c>
      <c r="H583" s="24" t="s">
        <v>1320</v>
      </c>
      <c r="I583" s="46">
        <v>43358.756932870368</v>
      </c>
    </row>
    <row r="584" spans="6:9" x14ac:dyDescent="0.25">
      <c r="F584" s="40" t="s">
        <v>123</v>
      </c>
      <c r="G584" s="24">
        <v>1</v>
      </c>
      <c r="H584" s="24" t="s">
        <v>1320</v>
      </c>
      <c r="I584" s="46">
        <v>43358.756724537037</v>
      </c>
    </row>
    <row r="585" spans="6:9" x14ac:dyDescent="0.25">
      <c r="F585" s="40" t="s">
        <v>121</v>
      </c>
      <c r="G585" s="24">
        <v>3</v>
      </c>
      <c r="H585" s="24" t="s">
        <v>1320</v>
      </c>
      <c r="I585" s="46">
        <v>43358.756643518522</v>
      </c>
    </row>
    <row r="586" spans="6:9" x14ac:dyDescent="0.25">
      <c r="F586" s="40" t="s">
        <v>183</v>
      </c>
      <c r="G586" s="24">
        <v>1</v>
      </c>
      <c r="H586" s="24" t="s">
        <v>1320</v>
      </c>
      <c r="I586" s="46">
        <v>43358.756550925929</v>
      </c>
    </row>
    <row r="587" spans="6:9" x14ac:dyDescent="0.25">
      <c r="F587" s="40" t="s">
        <v>182</v>
      </c>
      <c r="G587" s="24">
        <v>2</v>
      </c>
      <c r="H587" s="24" t="s">
        <v>1320</v>
      </c>
      <c r="I587" s="46">
        <v>43358.756458333337</v>
      </c>
    </row>
    <row r="588" spans="6:9" x14ac:dyDescent="0.25">
      <c r="F588" s="40" t="s">
        <v>127</v>
      </c>
      <c r="G588" s="24">
        <v>4</v>
      </c>
      <c r="H588" s="24" t="s">
        <v>1320</v>
      </c>
      <c r="I588" s="46">
        <v>43358.756377314814</v>
      </c>
    </row>
    <row r="589" spans="6:9" x14ac:dyDescent="0.25">
      <c r="F589" s="40" t="s">
        <v>149</v>
      </c>
      <c r="G589" s="24">
        <v>16</v>
      </c>
      <c r="H589" s="24" t="s">
        <v>1320</v>
      </c>
      <c r="I589" s="46">
        <v>43358.756192129629</v>
      </c>
    </row>
    <row r="590" spans="6:9" x14ac:dyDescent="0.25">
      <c r="F590" s="40" t="s">
        <v>155</v>
      </c>
      <c r="G590" s="24">
        <v>19</v>
      </c>
      <c r="H590" s="24" t="s">
        <v>1320</v>
      </c>
      <c r="I590" s="46">
        <v>43358.756041666667</v>
      </c>
    </row>
    <row r="591" spans="6:9" x14ac:dyDescent="0.25">
      <c r="F591" s="40" t="s">
        <v>11</v>
      </c>
      <c r="G591" s="24">
        <v>11</v>
      </c>
      <c r="H591" s="24" t="s">
        <v>1320</v>
      </c>
      <c r="I591" s="46">
        <v>43358.755868055552</v>
      </c>
    </row>
    <row r="592" spans="6:9" x14ac:dyDescent="0.25">
      <c r="F592" s="40" t="s">
        <v>59</v>
      </c>
      <c r="G592" s="24">
        <v>6</v>
      </c>
      <c r="H592" s="24" t="s">
        <v>1320</v>
      </c>
      <c r="I592" s="46">
        <v>43358.755439814813</v>
      </c>
    </row>
    <row r="593" spans="6:9" x14ac:dyDescent="0.25">
      <c r="F593" s="40" t="s">
        <v>59</v>
      </c>
      <c r="G593" s="24">
        <v>1</v>
      </c>
      <c r="H593" s="24" t="s">
        <v>1320</v>
      </c>
      <c r="I593" s="46">
        <v>43358.755289351851</v>
      </c>
    </row>
    <row r="594" spans="6:9" x14ac:dyDescent="0.25">
      <c r="F594" s="40" t="s">
        <v>349</v>
      </c>
      <c r="G594" s="24">
        <v>1</v>
      </c>
      <c r="H594" s="24" t="s">
        <v>1320</v>
      </c>
      <c r="I594" s="46">
        <v>43358.755196759259</v>
      </c>
    </row>
    <row r="595" spans="6:9" x14ac:dyDescent="0.25">
      <c r="F595" s="40" t="s">
        <v>349</v>
      </c>
      <c r="G595" s="24">
        <v>8</v>
      </c>
      <c r="H595" s="24" t="s">
        <v>1320</v>
      </c>
      <c r="I595" s="46">
        <v>43358.754999999997</v>
      </c>
    </row>
    <row r="596" spans="6:9" x14ac:dyDescent="0.25">
      <c r="F596" s="40" t="s">
        <v>349</v>
      </c>
      <c r="G596" s="24">
        <v>4</v>
      </c>
      <c r="H596" s="24" t="s">
        <v>1320</v>
      </c>
      <c r="I596" s="46">
        <v>43358.754849537036</v>
      </c>
    </row>
    <row r="597" spans="6:9" x14ac:dyDescent="0.25">
      <c r="F597" s="40" t="s">
        <v>146</v>
      </c>
      <c r="G597" s="24">
        <v>2</v>
      </c>
      <c r="H597" s="24" t="s">
        <v>1320</v>
      </c>
      <c r="I597" s="46">
        <v>43358.754710648151</v>
      </c>
    </row>
    <row r="598" spans="6:9" x14ac:dyDescent="0.25">
      <c r="F598" s="40" t="s">
        <v>21</v>
      </c>
      <c r="G598" s="24">
        <v>5</v>
      </c>
      <c r="H598" s="24" t="s">
        <v>1320</v>
      </c>
      <c r="I598" s="46">
        <v>43358.754618055558</v>
      </c>
    </row>
    <row r="599" spans="6:9" x14ac:dyDescent="0.25">
      <c r="F599" s="40" t="s">
        <v>4</v>
      </c>
      <c r="G599" s="24">
        <v>3</v>
      </c>
      <c r="H599" s="24" t="s">
        <v>1320</v>
      </c>
      <c r="I599" s="46">
        <v>43358.754537037035</v>
      </c>
    </row>
    <row r="600" spans="6:9" x14ac:dyDescent="0.25">
      <c r="F600" s="40" t="s">
        <v>3</v>
      </c>
      <c r="G600" s="24">
        <v>1</v>
      </c>
      <c r="H600" s="24" t="s">
        <v>1320</v>
      </c>
      <c r="I600" s="46">
        <v>43358.754374999997</v>
      </c>
    </row>
    <row r="601" spans="6:9" x14ac:dyDescent="0.25">
      <c r="F601" s="40" t="s">
        <v>2</v>
      </c>
      <c r="G601" s="24">
        <v>2</v>
      </c>
      <c r="H601" s="24" t="s">
        <v>1320</v>
      </c>
      <c r="I601" s="46">
        <v>43358.754259259258</v>
      </c>
    </row>
    <row r="602" spans="6:9" x14ac:dyDescent="0.25">
      <c r="F602" s="40" t="s">
        <v>39</v>
      </c>
      <c r="G602" s="24">
        <v>3</v>
      </c>
      <c r="H602" s="24" t="s">
        <v>1320</v>
      </c>
      <c r="I602" s="46">
        <v>43358.754166666666</v>
      </c>
    </row>
    <row r="603" spans="6:9" x14ac:dyDescent="0.25">
      <c r="F603" s="40" t="s">
        <v>693</v>
      </c>
      <c r="G603" s="24">
        <v>1</v>
      </c>
      <c r="H603" s="24" t="s">
        <v>1320</v>
      </c>
      <c r="I603" s="46">
        <v>43358.754062499997</v>
      </c>
    </row>
    <row r="604" spans="6:9" x14ac:dyDescent="0.25">
      <c r="F604" s="40" t="s">
        <v>265</v>
      </c>
      <c r="G604" s="24">
        <v>1</v>
      </c>
      <c r="H604" s="24" t="s">
        <v>1318</v>
      </c>
      <c r="I604" s="46">
        <v>43358.744791666664</v>
      </c>
    </row>
    <row r="605" spans="6:9" x14ac:dyDescent="0.25">
      <c r="F605" s="40" t="s">
        <v>371</v>
      </c>
      <c r="G605" s="24">
        <v>7</v>
      </c>
      <c r="H605" s="24" t="s">
        <v>1318</v>
      </c>
      <c r="I605" s="46">
        <v>43358.744328703702</v>
      </c>
    </row>
    <row r="606" spans="6:9" x14ac:dyDescent="0.25">
      <c r="F606" s="40" t="s">
        <v>349</v>
      </c>
      <c r="G606" s="24">
        <v>50</v>
      </c>
      <c r="H606" s="24" t="s">
        <v>1318</v>
      </c>
      <c r="I606" s="46">
        <v>43358.744120370371</v>
      </c>
    </row>
    <row r="607" spans="6:9" x14ac:dyDescent="0.25">
      <c r="F607" s="40" t="s">
        <v>2</v>
      </c>
      <c r="G607" s="24">
        <v>3</v>
      </c>
      <c r="H607" s="24" t="s">
        <v>1318</v>
      </c>
      <c r="I607" s="46">
        <v>43358.744016203702</v>
      </c>
    </row>
    <row r="608" spans="6:9" x14ac:dyDescent="0.25">
      <c r="F608" s="40" t="s">
        <v>138</v>
      </c>
      <c r="G608" s="24">
        <v>1</v>
      </c>
      <c r="H608" s="24" t="s">
        <v>1318</v>
      </c>
      <c r="I608" s="46">
        <v>43358.743946759256</v>
      </c>
    </row>
    <row r="609" spans="6:9" x14ac:dyDescent="0.25">
      <c r="F609" s="40" t="s">
        <v>1346</v>
      </c>
      <c r="G609" s="24">
        <v>3</v>
      </c>
      <c r="H609" s="24" t="s">
        <v>1318</v>
      </c>
      <c r="I609" s="46">
        <v>43358.743877314817</v>
      </c>
    </row>
    <row r="610" spans="6:9" x14ac:dyDescent="0.25">
      <c r="F610" s="40" t="s">
        <v>168</v>
      </c>
      <c r="G610" s="24">
        <v>1</v>
      </c>
      <c r="H610" s="24" t="s">
        <v>1318</v>
      </c>
      <c r="I610" s="46">
        <v>43358.743807870371</v>
      </c>
    </row>
    <row r="611" spans="6:9" x14ac:dyDescent="0.25">
      <c r="F611" s="40" t="s">
        <v>62</v>
      </c>
      <c r="G611" s="24">
        <v>2</v>
      </c>
      <c r="H611" s="24" t="s">
        <v>1318</v>
      </c>
      <c r="I611" s="46">
        <v>43358.743738425925</v>
      </c>
    </row>
    <row r="612" spans="6:9" x14ac:dyDescent="0.25">
      <c r="F612" s="40" t="s">
        <v>60</v>
      </c>
      <c r="G612" s="24">
        <v>1</v>
      </c>
      <c r="H612" s="24" t="s">
        <v>1318</v>
      </c>
      <c r="I612" s="46">
        <v>43358.743622685186</v>
      </c>
    </row>
    <row r="613" spans="6:9" x14ac:dyDescent="0.25">
      <c r="F613" s="40" t="s">
        <v>355</v>
      </c>
      <c r="G613" s="24">
        <v>2</v>
      </c>
      <c r="H613" s="24" t="s">
        <v>1318</v>
      </c>
      <c r="I613" s="46">
        <v>43358.743530092594</v>
      </c>
    </row>
    <row r="614" spans="6:9" x14ac:dyDescent="0.25">
      <c r="F614" s="40" t="s">
        <v>344</v>
      </c>
      <c r="G614" s="24">
        <v>5</v>
      </c>
      <c r="H614" s="24" t="s">
        <v>1318</v>
      </c>
      <c r="I614" s="46">
        <v>43358.743449074071</v>
      </c>
    </row>
    <row r="615" spans="6:9" x14ac:dyDescent="0.25">
      <c r="F615" s="40" t="s">
        <v>1380</v>
      </c>
      <c r="G615" s="24">
        <v>19</v>
      </c>
      <c r="H615" s="24" t="s">
        <v>1318</v>
      </c>
      <c r="I615" s="46">
        <v>43358.743368055555</v>
      </c>
    </row>
    <row r="616" spans="6:9" x14ac:dyDescent="0.25">
      <c r="F616" s="40" t="s">
        <v>349</v>
      </c>
      <c r="G616" s="24">
        <v>8</v>
      </c>
      <c r="H616" s="24" t="s">
        <v>1318</v>
      </c>
      <c r="I616" s="46">
        <v>43358.742997685185</v>
      </c>
    </row>
    <row r="617" spans="6:9" x14ac:dyDescent="0.25">
      <c r="F617" s="40" t="s">
        <v>58</v>
      </c>
      <c r="G617" s="24">
        <v>7</v>
      </c>
      <c r="H617" s="24" t="s">
        <v>1318</v>
      </c>
      <c r="I617" s="46">
        <v>43358.742928240739</v>
      </c>
    </row>
    <row r="618" spans="6:9" x14ac:dyDescent="0.25">
      <c r="F618" s="40" t="s">
        <v>62</v>
      </c>
      <c r="G618" s="24">
        <v>1</v>
      </c>
      <c r="H618" s="24" t="s">
        <v>1321</v>
      </c>
      <c r="I618" s="46">
        <v>43358.742905092593</v>
      </c>
    </row>
    <row r="619" spans="6:9" x14ac:dyDescent="0.25">
      <c r="F619" s="40" t="s">
        <v>59</v>
      </c>
      <c r="G619" s="24">
        <v>3</v>
      </c>
      <c r="H619" s="24" t="s">
        <v>1318</v>
      </c>
      <c r="I619" s="46">
        <v>43358.742847222224</v>
      </c>
    </row>
    <row r="620" spans="6:9" x14ac:dyDescent="0.25">
      <c r="F620" s="40" t="s">
        <v>232</v>
      </c>
      <c r="G620" s="24">
        <v>1</v>
      </c>
      <c r="H620" s="24" t="s">
        <v>1318</v>
      </c>
      <c r="I620" s="46">
        <v>43358.742777777778</v>
      </c>
    </row>
    <row r="621" spans="6:9" x14ac:dyDescent="0.25">
      <c r="F621" s="40" t="s">
        <v>232</v>
      </c>
      <c r="G621" s="24">
        <v>1</v>
      </c>
      <c r="H621" s="24" t="s">
        <v>1318</v>
      </c>
      <c r="I621" s="46">
        <v>43358.742673611108</v>
      </c>
    </row>
    <row r="622" spans="6:9" x14ac:dyDescent="0.25">
      <c r="F622" s="40" t="s">
        <v>1377</v>
      </c>
      <c r="G622" s="24">
        <v>2</v>
      </c>
      <c r="H622" s="24" t="s">
        <v>1318</v>
      </c>
      <c r="I622" s="46">
        <v>43358.74255787037</v>
      </c>
    </row>
    <row r="623" spans="6:9" x14ac:dyDescent="0.25">
      <c r="F623" s="40" t="s">
        <v>29</v>
      </c>
      <c r="G623" s="24">
        <v>1</v>
      </c>
      <c r="H623" s="24" t="s">
        <v>1321</v>
      </c>
      <c r="I623" s="46">
        <v>43358.742442129631</v>
      </c>
    </row>
    <row r="624" spans="6:9" x14ac:dyDescent="0.25">
      <c r="F624" s="40" t="s">
        <v>265</v>
      </c>
      <c r="G624" s="24">
        <v>1</v>
      </c>
      <c r="H624" s="24" t="s">
        <v>1321</v>
      </c>
      <c r="I624" s="46">
        <v>43358.742337962962</v>
      </c>
    </row>
    <row r="625" spans="6:9" x14ac:dyDescent="0.25">
      <c r="F625" s="40" t="s">
        <v>1575</v>
      </c>
      <c r="G625" s="24">
        <v>1</v>
      </c>
      <c r="H625" s="24" t="s">
        <v>1321</v>
      </c>
      <c r="I625" s="46">
        <v>43358.742094907408</v>
      </c>
    </row>
    <row r="626" spans="6:9" x14ac:dyDescent="0.25">
      <c r="F626" s="40" t="s">
        <v>155</v>
      </c>
      <c r="G626" s="24">
        <v>19</v>
      </c>
      <c r="H626" s="24" t="s">
        <v>1318</v>
      </c>
      <c r="I626" s="46">
        <v>43358.74145833333</v>
      </c>
    </row>
    <row r="627" spans="6:9" x14ac:dyDescent="0.25">
      <c r="F627" s="40" t="s">
        <v>186</v>
      </c>
      <c r="G627" s="24">
        <v>3</v>
      </c>
      <c r="H627" s="24" t="s">
        <v>1318</v>
      </c>
      <c r="I627" s="46">
        <v>43358.741307870368</v>
      </c>
    </row>
    <row r="628" spans="6:9" x14ac:dyDescent="0.25">
      <c r="F628" s="40" t="s">
        <v>198</v>
      </c>
      <c r="G628" s="24">
        <v>1</v>
      </c>
      <c r="H628" s="24" t="s">
        <v>1318</v>
      </c>
      <c r="I628" s="46">
        <v>43358.741249999999</v>
      </c>
    </row>
    <row r="629" spans="6:9" x14ac:dyDescent="0.25">
      <c r="F629" s="40" t="s">
        <v>121</v>
      </c>
      <c r="G629" s="24">
        <v>4</v>
      </c>
      <c r="H629" s="24" t="s">
        <v>1318</v>
      </c>
      <c r="I629" s="46">
        <v>43358.741168981483</v>
      </c>
    </row>
    <row r="630" spans="6:9" x14ac:dyDescent="0.25">
      <c r="F630" s="40" t="s">
        <v>355</v>
      </c>
      <c r="G630" s="24">
        <v>4</v>
      </c>
      <c r="H630" s="24" t="s">
        <v>1321</v>
      </c>
      <c r="I630" s="46">
        <v>43358.741122685184</v>
      </c>
    </row>
    <row r="631" spans="6:9" x14ac:dyDescent="0.25">
      <c r="F631" s="40" t="s">
        <v>12</v>
      </c>
      <c r="G631" s="24">
        <v>1</v>
      </c>
      <c r="H631" s="24" t="s">
        <v>1318</v>
      </c>
      <c r="I631" s="46">
        <v>43358.741053240738</v>
      </c>
    </row>
    <row r="632" spans="6:9" x14ac:dyDescent="0.25">
      <c r="F632" s="40" t="s">
        <v>11</v>
      </c>
      <c r="G632" s="24">
        <v>8</v>
      </c>
      <c r="H632" s="24" t="s">
        <v>1318</v>
      </c>
      <c r="I632" s="46">
        <v>43358.740995370368</v>
      </c>
    </row>
    <row r="633" spans="6:9" x14ac:dyDescent="0.25">
      <c r="F633" s="40" t="s">
        <v>1579</v>
      </c>
      <c r="G633" s="24">
        <v>1</v>
      </c>
      <c r="H633" s="24" t="s">
        <v>1321</v>
      </c>
      <c r="I633" s="46">
        <v>43358.740856481483</v>
      </c>
    </row>
    <row r="634" spans="6:9" x14ac:dyDescent="0.25">
      <c r="F634" s="40" t="s">
        <v>4</v>
      </c>
      <c r="G634" s="24">
        <v>4</v>
      </c>
      <c r="H634" s="24" t="s">
        <v>1318</v>
      </c>
      <c r="I634" s="46">
        <v>43358.74082175926</v>
      </c>
    </row>
    <row r="635" spans="6:9" x14ac:dyDescent="0.25">
      <c r="F635" s="40" t="s">
        <v>3</v>
      </c>
      <c r="G635" s="24">
        <v>5</v>
      </c>
      <c r="H635" s="24" t="s">
        <v>1318</v>
      </c>
      <c r="I635" s="46">
        <v>43358.740706018521</v>
      </c>
    </row>
    <row r="636" spans="6:9" x14ac:dyDescent="0.25">
      <c r="F636" s="40" t="s">
        <v>59</v>
      </c>
      <c r="G636" s="24">
        <v>3</v>
      </c>
      <c r="H636" s="24" t="s">
        <v>1318</v>
      </c>
      <c r="I636" s="46">
        <v>43358.740567129629</v>
      </c>
    </row>
    <row r="637" spans="6:9" x14ac:dyDescent="0.25">
      <c r="F637" s="40" t="s">
        <v>58</v>
      </c>
      <c r="G637" s="24">
        <v>8</v>
      </c>
      <c r="H637" s="24" t="s">
        <v>1318</v>
      </c>
      <c r="I637" s="46">
        <v>43358.74046296296</v>
      </c>
    </row>
    <row r="638" spans="6:9" x14ac:dyDescent="0.25">
      <c r="F638" s="40" t="s">
        <v>349</v>
      </c>
      <c r="G638" s="24">
        <v>7</v>
      </c>
      <c r="H638" s="24" t="s">
        <v>1321</v>
      </c>
      <c r="I638" s="46">
        <v>43358.740115740744</v>
      </c>
    </row>
    <row r="639" spans="6:9" x14ac:dyDescent="0.25">
      <c r="F639" s="40" t="s">
        <v>29</v>
      </c>
      <c r="G639" s="24">
        <v>4</v>
      </c>
      <c r="H639" s="24" t="s">
        <v>1318</v>
      </c>
      <c r="I639" s="46">
        <v>43358.74009259259</v>
      </c>
    </row>
    <row r="640" spans="6:9" x14ac:dyDescent="0.25">
      <c r="F640" s="40" t="s">
        <v>39</v>
      </c>
      <c r="G640" s="24">
        <v>20</v>
      </c>
      <c r="H640" s="24" t="s">
        <v>1318</v>
      </c>
      <c r="I640" s="46">
        <v>43358.74</v>
      </c>
    </row>
    <row r="641" spans="6:9" x14ac:dyDescent="0.25">
      <c r="F641" s="40" t="s">
        <v>1378</v>
      </c>
      <c r="G641" s="24">
        <v>1</v>
      </c>
      <c r="H641" s="24" t="s">
        <v>1321</v>
      </c>
      <c r="I641" s="46">
        <v>43358.74</v>
      </c>
    </row>
    <row r="642" spans="6:9" x14ac:dyDescent="0.25">
      <c r="F642" s="40" t="s">
        <v>118</v>
      </c>
      <c r="G642" s="24">
        <v>1</v>
      </c>
      <c r="H642" s="24" t="s">
        <v>1318</v>
      </c>
      <c r="I642" s="46">
        <v>43358.739884259259</v>
      </c>
    </row>
    <row r="643" spans="6:9" x14ac:dyDescent="0.25">
      <c r="F643" s="40" t="s">
        <v>144</v>
      </c>
      <c r="G643" s="24">
        <v>1</v>
      </c>
      <c r="H643" s="24" t="s">
        <v>1318</v>
      </c>
      <c r="I643" s="46">
        <v>43358.739814814813</v>
      </c>
    </row>
    <row r="644" spans="6:9" x14ac:dyDescent="0.25">
      <c r="F644" s="40" t="s">
        <v>1377</v>
      </c>
      <c r="G644" s="24">
        <v>1</v>
      </c>
      <c r="H644" s="24" t="s">
        <v>1321</v>
      </c>
      <c r="I644" s="46">
        <v>43358.739791666667</v>
      </c>
    </row>
    <row r="645" spans="6:9" x14ac:dyDescent="0.25">
      <c r="F645" s="40" t="s">
        <v>21</v>
      </c>
      <c r="G645" s="24">
        <v>3</v>
      </c>
      <c r="H645" s="24" t="s">
        <v>1318</v>
      </c>
      <c r="I645" s="46">
        <v>43358.739699074074</v>
      </c>
    </row>
    <row r="646" spans="6:9" x14ac:dyDescent="0.25">
      <c r="F646" s="40" t="s">
        <v>1580</v>
      </c>
      <c r="G646" s="24">
        <v>1</v>
      </c>
      <c r="H646" s="24" t="s">
        <v>1321</v>
      </c>
      <c r="I646" s="46">
        <v>43358.739664351851</v>
      </c>
    </row>
    <row r="647" spans="6:9" x14ac:dyDescent="0.25">
      <c r="F647" s="40" t="s">
        <v>149</v>
      </c>
      <c r="G647" s="24">
        <v>6</v>
      </c>
      <c r="H647" s="24" t="s">
        <v>1318</v>
      </c>
      <c r="I647" s="46">
        <v>43358.739421296297</v>
      </c>
    </row>
    <row r="648" spans="6:9" x14ac:dyDescent="0.25">
      <c r="F648" s="40" t="s">
        <v>149</v>
      </c>
      <c r="G648" s="24">
        <v>1</v>
      </c>
      <c r="H648" s="24" t="s">
        <v>1318</v>
      </c>
      <c r="I648" s="46">
        <v>43358.739189814813</v>
      </c>
    </row>
    <row r="649" spans="6:9" x14ac:dyDescent="0.25">
      <c r="F649" s="40" t="s">
        <v>11</v>
      </c>
      <c r="G649" s="24">
        <v>16</v>
      </c>
      <c r="H649" s="24" t="s">
        <v>1318</v>
      </c>
      <c r="I649" s="46">
        <v>43358.739120370374</v>
      </c>
    </row>
    <row r="650" spans="6:9" x14ac:dyDescent="0.25">
      <c r="F650" s="40" t="s">
        <v>1379</v>
      </c>
      <c r="G650" s="24">
        <v>2</v>
      </c>
      <c r="H650" s="24" t="s">
        <v>1321</v>
      </c>
      <c r="I650" s="46">
        <v>43358.739062499997</v>
      </c>
    </row>
    <row r="651" spans="6:9" x14ac:dyDescent="0.25">
      <c r="F651" s="40" t="s">
        <v>146</v>
      </c>
      <c r="G651" s="24">
        <v>10</v>
      </c>
      <c r="H651" s="24" t="s">
        <v>1318</v>
      </c>
      <c r="I651" s="46">
        <v>43358.738993055558</v>
      </c>
    </row>
    <row r="652" spans="6:9" x14ac:dyDescent="0.25">
      <c r="F652" s="40" t="s">
        <v>4</v>
      </c>
      <c r="G652" s="24">
        <v>1</v>
      </c>
      <c r="H652" s="24" t="s">
        <v>1321</v>
      </c>
      <c r="I652" s="46">
        <v>43358.738900462966</v>
      </c>
    </row>
    <row r="653" spans="6:9" x14ac:dyDescent="0.25">
      <c r="F653" s="40" t="s">
        <v>1277</v>
      </c>
      <c r="G653" s="24">
        <v>2</v>
      </c>
      <c r="H653" s="24" t="s">
        <v>1321</v>
      </c>
      <c r="I653" s="46">
        <v>43358.738796296297</v>
      </c>
    </row>
    <row r="654" spans="6:9" x14ac:dyDescent="0.25">
      <c r="F654" s="40" t="s">
        <v>149</v>
      </c>
      <c r="G654" s="24">
        <v>7</v>
      </c>
      <c r="H654" s="24" t="s">
        <v>1318</v>
      </c>
      <c r="I654" s="46">
        <v>43358.738761574074</v>
      </c>
    </row>
    <row r="655" spans="6:9" x14ac:dyDescent="0.25">
      <c r="F655" s="40" t="s">
        <v>149</v>
      </c>
      <c r="G655" s="24">
        <v>19</v>
      </c>
      <c r="H655" s="24" t="s">
        <v>1318</v>
      </c>
      <c r="I655" s="46">
        <v>43358.738611111112</v>
      </c>
    </row>
    <row r="656" spans="6:9" x14ac:dyDescent="0.25">
      <c r="F656" s="40" t="s">
        <v>371</v>
      </c>
      <c r="G656" s="24">
        <v>14</v>
      </c>
      <c r="H656" s="24" t="s">
        <v>1321</v>
      </c>
      <c r="I656" s="46">
        <v>43358.738541666666</v>
      </c>
    </row>
    <row r="657" spans="6:9" x14ac:dyDescent="0.25">
      <c r="F657" s="40" t="s">
        <v>149</v>
      </c>
      <c r="G657" s="24">
        <v>10</v>
      </c>
      <c r="H657" s="24" t="s">
        <v>1318</v>
      </c>
      <c r="I657" s="46">
        <v>43358.738379629627</v>
      </c>
    </row>
    <row r="658" spans="6:9" x14ac:dyDescent="0.25">
      <c r="F658" s="40" t="s">
        <v>59</v>
      </c>
      <c r="G658" s="24">
        <v>4</v>
      </c>
      <c r="H658" s="24" t="s">
        <v>1321</v>
      </c>
      <c r="I658" s="46">
        <v>43358.73814814815</v>
      </c>
    </row>
    <row r="659" spans="6:9" x14ac:dyDescent="0.25">
      <c r="F659" s="40" t="s">
        <v>59</v>
      </c>
      <c r="G659" s="24">
        <v>2</v>
      </c>
      <c r="H659" s="24" t="s">
        <v>1321</v>
      </c>
      <c r="I659" s="46">
        <v>43358.738055555557</v>
      </c>
    </row>
    <row r="660" spans="6:9" x14ac:dyDescent="0.25">
      <c r="F660" s="40" t="s">
        <v>56</v>
      </c>
      <c r="G660" s="24">
        <v>1</v>
      </c>
      <c r="H660" s="24" t="s">
        <v>1321</v>
      </c>
      <c r="I660" s="46">
        <v>43358.737905092596</v>
      </c>
    </row>
    <row r="661" spans="6:9" x14ac:dyDescent="0.25">
      <c r="F661" s="40" t="s">
        <v>52</v>
      </c>
      <c r="G661" s="24">
        <v>1</v>
      </c>
      <c r="H661" s="24" t="s">
        <v>1318</v>
      </c>
      <c r="I661" s="46">
        <v>43358.737719907411</v>
      </c>
    </row>
    <row r="662" spans="6:9" x14ac:dyDescent="0.25">
      <c r="F662" s="40" t="s">
        <v>146</v>
      </c>
      <c r="G662" s="24">
        <v>7</v>
      </c>
      <c r="H662" s="24" t="s">
        <v>1321</v>
      </c>
      <c r="I662" s="46">
        <v>43358.737256944441</v>
      </c>
    </row>
    <row r="663" spans="6:9" x14ac:dyDescent="0.25">
      <c r="F663" s="40" t="s">
        <v>57</v>
      </c>
      <c r="G663" s="24">
        <v>3</v>
      </c>
      <c r="H663" s="24" t="s">
        <v>1321</v>
      </c>
      <c r="I663" s="46">
        <v>43358.737141203703</v>
      </c>
    </row>
    <row r="664" spans="6:9" x14ac:dyDescent="0.25">
      <c r="F664" s="40" t="s">
        <v>58</v>
      </c>
      <c r="G664" s="24">
        <v>6</v>
      </c>
      <c r="H664" s="24" t="s">
        <v>1321</v>
      </c>
      <c r="I664" s="46">
        <v>43358.736921296295</v>
      </c>
    </row>
    <row r="665" spans="6:9" x14ac:dyDescent="0.25">
      <c r="F665" s="40" t="s">
        <v>11</v>
      </c>
      <c r="G665" s="24">
        <v>20</v>
      </c>
      <c r="H665" s="24" t="s">
        <v>1321</v>
      </c>
      <c r="I665" s="46">
        <v>43358.736666666664</v>
      </c>
    </row>
    <row r="666" spans="6:9" x14ac:dyDescent="0.25">
      <c r="F666" s="40" t="s">
        <v>344</v>
      </c>
      <c r="G666" s="24">
        <v>13</v>
      </c>
      <c r="H666" s="24" t="s">
        <v>1321</v>
      </c>
      <c r="I666" s="46">
        <v>43358.736527777779</v>
      </c>
    </row>
    <row r="667" spans="6:9" x14ac:dyDescent="0.25">
      <c r="F667" s="40" t="s">
        <v>2</v>
      </c>
      <c r="G667" s="24">
        <v>3</v>
      </c>
      <c r="H667" s="24" t="s">
        <v>1321</v>
      </c>
      <c r="I667" s="46">
        <v>43358.736388888887</v>
      </c>
    </row>
    <row r="668" spans="6:9" x14ac:dyDescent="0.25">
      <c r="F668" s="40" t="s">
        <v>21</v>
      </c>
      <c r="G668" s="24">
        <v>12</v>
      </c>
      <c r="H668" s="24" t="s">
        <v>1321</v>
      </c>
      <c r="I668" s="46">
        <v>43358.736180555556</v>
      </c>
    </row>
    <row r="669" spans="6:9" x14ac:dyDescent="0.25">
      <c r="F669" s="40" t="s">
        <v>53</v>
      </c>
      <c r="G669" s="24">
        <v>1</v>
      </c>
      <c r="H669" s="24" t="s">
        <v>1321</v>
      </c>
      <c r="I669" s="46">
        <v>43358.73605324074</v>
      </c>
    </row>
    <row r="670" spans="6:9" x14ac:dyDescent="0.25">
      <c r="F670" s="40" t="s">
        <v>52</v>
      </c>
      <c r="G670" s="24">
        <v>1</v>
      </c>
      <c r="H670" s="24" t="s">
        <v>1321</v>
      </c>
      <c r="I670" s="46">
        <v>43358.735879629632</v>
      </c>
    </row>
    <row r="671" spans="6:9" x14ac:dyDescent="0.25">
      <c r="F671" s="40" t="s">
        <v>4</v>
      </c>
      <c r="G671" s="24">
        <v>1</v>
      </c>
      <c r="H671" s="24" t="s">
        <v>1321</v>
      </c>
      <c r="I671" s="46">
        <v>43358.735636574071</v>
      </c>
    </row>
    <row r="672" spans="6:9" x14ac:dyDescent="0.25">
      <c r="F672" s="40" t="s">
        <v>123</v>
      </c>
      <c r="G672" s="24">
        <v>1</v>
      </c>
      <c r="H672" s="24" t="s">
        <v>1321</v>
      </c>
      <c r="I672" s="46">
        <v>43358.735509259262</v>
      </c>
    </row>
    <row r="673" spans="6:9" x14ac:dyDescent="0.25">
      <c r="F673" s="40" t="s">
        <v>4</v>
      </c>
      <c r="G673" s="24">
        <v>3</v>
      </c>
      <c r="H673" s="24" t="s">
        <v>1321</v>
      </c>
      <c r="I673" s="46">
        <v>43358.735381944447</v>
      </c>
    </row>
    <row r="674" spans="6:9" x14ac:dyDescent="0.25">
      <c r="F674" s="40" t="s">
        <v>191</v>
      </c>
      <c r="G674" s="24">
        <v>1</v>
      </c>
      <c r="H674" s="24" t="s">
        <v>1321</v>
      </c>
      <c r="I674" s="46">
        <v>43358.711504629631</v>
      </c>
    </row>
    <row r="675" spans="6:9" x14ac:dyDescent="0.25">
      <c r="F675" s="40" t="s">
        <v>21</v>
      </c>
      <c r="G675" s="24">
        <v>1</v>
      </c>
      <c r="H675" s="24" t="s">
        <v>1321</v>
      </c>
      <c r="I675" s="46">
        <v>43358.711273148147</v>
      </c>
    </row>
    <row r="676" spans="6:9" x14ac:dyDescent="0.25">
      <c r="F676" s="40" t="s">
        <v>29</v>
      </c>
      <c r="G676" s="24">
        <v>1</v>
      </c>
      <c r="H676" s="24" t="s">
        <v>1321</v>
      </c>
      <c r="I676" s="46">
        <v>43358.711134259262</v>
      </c>
    </row>
    <row r="677" spans="6:9" x14ac:dyDescent="0.25">
      <c r="F677" s="40" t="s">
        <v>170</v>
      </c>
      <c r="G677" s="24">
        <v>1</v>
      </c>
      <c r="H677" s="24" t="s">
        <v>1321</v>
      </c>
      <c r="I677" s="46">
        <v>43358.7109837963</v>
      </c>
    </row>
    <row r="678" spans="6:9" x14ac:dyDescent="0.25">
      <c r="F678" s="40" t="s">
        <v>138</v>
      </c>
      <c r="G678" s="24">
        <v>1</v>
      </c>
      <c r="H678" s="24" t="s">
        <v>1321</v>
      </c>
      <c r="I678" s="46">
        <v>43358.710833333331</v>
      </c>
    </row>
    <row r="679" spans="6:9" x14ac:dyDescent="0.25">
      <c r="F679" s="40" t="s">
        <v>612</v>
      </c>
      <c r="G679" s="24">
        <v>1</v>
      </c>
      <c r="H679" s="24" t="s">
        <v>1321</v>
      </c>
      <c r="I679" s="46">
        <v>43358.710682870369</v>
      </c>
    </row>
    <row r="680" spans="6:9" x14ac:dyDescent="0.25">
      <c r="F680" s="40" t="s">
        <v>232</v>
      </c>
      <c r="G680" s="24">
        <v>2</v>
      </c>
      <c r="H680" s="24" t="s">
        <v>1321</v>
      </c>
      <c r="I680" s="46">
        <v>43358.710532407407</v>
      </c>
    </row>
    <row r="681" spans="6:9" x14ac:dyDescent="0.25">
      <c r="F681" s="40" t="s">
        <v>1381</v>
      </c>
      <c r="G681" s="24">
        <v>3</v>
      </c>
      <c r="H681" s="24" t="s">
        <v>1321</v>
      </c>
      <c r="I681" s="46">
        <v>43358.710381944446</v>
      </c>
    </row>
    <row r="682" spans="6:9" x14ac:dyDescent="0.25">
      <c r="F682" s="40" t="s">
        <v>1381</v>
      </c>
      <c r="G682" s="24">
        <v>3</v>
      </c>
      <c r="H682" s="24" t="s">
        <v>1321</v>
      </c>
      <c r="I682" s="46">
        <v>43358.710023148145</v>
      </c>
    </row>
    <row r="683" spans="6:9" x14ac:dyDescent="0.25">
      <c r="F683" s="40" t="s">
        <v>59</v>
      </c>
      <c r="G683" s="24">
        <v>4</v>
      </c>
      <c r="H683" s="24" t="s">
        <v>1321</v>
      </c>
      <c r="I683" s="46">
        <v>43358.709652777776</v>
      </c>
    </row>
    <row r="684" spans="6:9" x14ac:dyDescent="0.25">
      <c r="F684" s="40" t="s">
        <v>58</v>
      </c>
      <c r="G684" s="24">
        <v>2</v>
      </c>
      <c r="H684" s="24" t="s">
        <v>1321</v>
      </c>
      <c r="I684" s="46">
        <v>43358.709548611114</v>
      </c>
    </row>
    <row r="685" spans="6:9" x14ac:dyDescent="0.25">
      <c r="F685" s="40" t="s">
        <v>1379</v>
      </c>
      <c r="G685" s="24">
        <v>4</v>
      </c>
      <c r="H685" s="24" t="s">
        <v>1321</v>
      </c>
      <c r="I685" s="46">
        <v>43358.709305555552</v>
      </c>
    </row>
    <row r="686" spans="6:9" x14ac:dyDescent="0.25">
      <c r="F686" s="40" t="s">
        <v>1380</v>
      </c>
      <c r="G686" s="24">
        <v>10</v>
      </c>
      <c r="H686" s="24" t="s">
        <v>1321</v>
      </c>
      <c r="I686" s="46">
        <v>43358.708993055552</v>
      </c>
    </row>
    <row r="687" spans="6:9" x14ac:dyDescent="0.25">
      <c r="F687" s="40" t="s">
        <v>53</v>
      </c>
      <c r="G687" s="24">
        <v>1</v>
      </c>
      <c r="H687" s="24" t="s">
        <v>1321</v>
      </c>
      <c r="I687" s="46">
        <v>43358.708472222221</v>
      </c>
    </row>
    <row r="688" spans="6:9" x14ac:dyDescent="0.25">
      <c r="F688" s="40" t="s">
        <v>12</v>
      </c>
      <c r="G688" s="24">
        <v>1</v>
      </c>
      <c r="H688" s="24" t="s">
        <v>1321</v>
      </c>
      <c r="I688" s="46">
        <v>43358.708240740743</v>
      </c>
    </row>
    <row r="689" spans="6:9" x14ac:dyDescent="0.25">
      <c r="F689" s="40" t="s">
        <v>11</v>
      </c>
      <c r="G689" s="24">
        <v>2</v>
      </c>
      <c r="H689" s="24" t="s">
        <v>1321</v>
      </c>
      <c r="I689" s="46">
        <v>43358.707974537036</v>
      </c>
    </row>
    <row r="690" spans="6:9" x14ac:dyDescent="0.25">
      <c r="F690" s="40" t="s">
        <v>146</v>
      </c>
      <c r="G690" s="24">
        <v>9</v>
      </c>
      <c r="H690" s="24" t="s">
        <v>1321</v>
      </c>
      <c r="I690" s="46">
        <v>43358.707835648151</v>
      </c>
    </row>
    <row r="691" spans="6:9" x14ac:dyDescent="0.25">
      <c r="F691" s="40" t="s">
        <v>146</v>
      </c>
      <c r="G691" s="24">
        <v>10</v>
      </c>
      <c r="H691" s="24" t="s">
        <v>1321</v>
      </c>
      <c r="I691" s="46">
        <v>43358.707719907405</v>
      </c>
    </row>
    <row r="692" spans="6:9" x14ac:dyDescent="0.25">
      <c r="F692" s="40" t="s">
        <v>127</v>
      </c>
      <c r="G692" s="24">
        <v>1</v>
      </c>
      <c r="H692" s="24" t="s">
        <v>1321</v>
      </c>
      <c r="I692" s="46">
        <v>43358.707615740743</v>
      </c>
    </row>
    <row r="693" spans="6:9" x14ac:dyDescent="0.25">
      <c r="F693" s="40" t="s">
        <v>155</v>
      </c>
      <c r="G693" s="24">
        <v>4</v>
      </c>
      <c r="H693" s="24" t="s">
        <v>1321</v>
      </c>
      <c r="I693" s="46">
        <v>43358.707337962966</v>
      </c>
    </row>
    <row r="694" spans="6:9" x14ac:dyDescent="0.25">
      <c r="F694" s="40" t="s">
        <v>23</v>
      </c>
      <c r="G694" s="24">
        <v>1</v>
      </c>
      <c r="H694" s="24" t="s">
        <v>1321</v>
      </c>
      <c r="I694" s="46">
        <v>43358.70722222222</v>
      </c>
    </row>
    <row r="695" spans="6:9" x14ac:dyDescent="0.25">
      <c r="F695" s="40" t="s">
        <v>1578</v>
      </c>
      <c r="G695" s="24">
        <v>1</v>
      </c>
      <c r="H695" s="24" t="s">
        <v>1321</v>
      </c>
      <c r="I695" s="46">
        <v>43358.706944444442</v>
      </c>
    </row>
    <row r="696" spans="6:9" x14ac:dyDescent="0.25">
      <c r="F696" s="40" t="s">
        <v>369</v>
      </c>
      <c r="G696" s="24">
        <v>1</v>
      </c>
      <c r="H696" s="24" t="s">
        <v>1321</v>
      </c>
      <c r="I696" s="46">
        <v>43358.706689814811</v>
      </c>
    </row>
    <row r="697" spans="6:9" x14ac:dyDescent="0.25">
      <c r="F697" s="40" t="s">
        <v>121</v>
      </c>
      <c r="G697" s="24">
        <v>3</v>
      </c>
      <c r="H697" s="24" t="s">
        <v>1321</v>
      </c>
      <c r="I697" s="46">
        <v>43358.706354166665</v>
      </c>
    </row>
    <row r="698" spans="6:9" x14ac:dyDescent="0.25">
      <c r="F698" s="40" t="s">
        <v>39</v>
      </c>
      <c r="G698" s="24">
        <v>2</v>
      </c>
      <c r="H698" s="24" t="s">
        <v>1321</v>
      </c>
      <c r="I698" s="46">
        <v>43358.706203703703</v>
      </c>
    </row>
    <row r="699" spans="6:9" x14ac:dyDescent="0.25">
      <c r="F699" s="40" t="s">
        <v>149</v>
      </c>
      <c r="G699" s="24">
        <v>9</v>
      </c>
      <c r="H699" s="24" t="s">
        <v>1321</v>
      </c>
      <c r="I699" s="46">
        <v>43358.706099537034</v>
      </c>
    </row>
    <row r="700" spans="6:9" x14ac:dyDescent="0.25">
      <c r="F700" s="40" t="s">
        <v>11</v>
      </c>
      <c r="G700" s="24">
        <v>10</v>
      </c>
      <c r="H700" s="24" t="s">
        <v>1321</v>
      </c>
      <c r="I700" s="46">
        <v>43358.705960648149</v>
      </c>
    </row>
    <row r="701" spans="6:9" x14ac:dyDescent="0.25">
      <c r="F701" s="40" t="s">
        <v>21</v>
      </c>
      <c r="G701" s="24">
        <v>6</v>
      </c>
      <c r="H701" s="24" t="s">
        <v>1321</v>
      </c>
      <c r="I701" s="46">
        <v>43358.705833333333</v>
      </c>
    </row>
    <row r="702" spans="6:9" x14ac:dyDescent="0.25">
      <c r="F702" s="40" t="s">
        <v>182</v>
      </c>
      <c r="G702" s="24">
        <v>3</v>
      </c>
      <c r="H702" s="24" t="s">
        <v>1321</v>
      </c>
      <c r="I702" s="46">
        <v>43358.705636574072</v>
      </c>
    </row>
    <row r="703" spans="6:9" x14ac:dyDescent="0.25">
      <c r="F703" s="40" t="s">
        <v>4</v>
      </c>
      <c r="G703" s="24">
        <v>2</v>
      </c>
      <c r="H703" s="24" t="s">
        <v>1321</v>
      </c>
      <c r="I703" s="46">
        <v>43358.705381944441</v>
      </c>
    </row>
    <row r="704" spans="6:9" x14ac:dyDescent="0.25">
      <c r="F704" s="40" t="s">
        <v>3</v>
      </c>
      <c r="G704" s="24">
        <v>1</v>
      </c>
      <c r="H704" s="24" t="s">
        <v>1321</v>
      </c>
      <c r="I704" s="46">
        <v>43358.705266203702</v>
      </c>
    </row>
    <row r="705" spans="6:9" x14ac:dyDescent="0.25">
      <c r="F705" s="40" t="s">
        <v>2</v>
      </c>
      <c r="G705" s="24">
        <v>4</v>
      </c>
      <c r="H705" s="24" t="s">
        <v>1321</v>
      </c>
      <c r="I705" s="46">
        <v>43358.70517361111</v>
      </c>
    </row>
    <row r="706" spans="6:9" x14ac:dyDescent="0.25">
      <c r="F706" s="40" t="s">
        <v>186</v>
      </c>
      <c r="G706" s="24">
        <v>8</v>
      </c>
      <c r="H706" s="24" t="s">
        <v>1321</v>
      </c>
      <c r="I706" s="46">
        <v>43358.705046296294</v>
      </c>
    </row>
    <row r="707" spans="6:9" x14ac:dyDescent="0.25">
      <c r="F707" s="40" t="s">
        <v>11</v>
      </c>
      <c r="G707" s="24">
        <v>10</v>
      </c>
      <c r="H707" s="24" t="s">
        <v>1321</v>
      </c>
      <c r="I707" s="46">
        <v>43358.704907407409</v>
      </c>
    </row>
    <row r="708" spans="6:9" x14ac:dyDescent="0.25">
      <c r="F708" s="67" t="s">
        <v>39</v>
      </c>
      <c r="G708" s="24">
        <v>3</v>
      </c>
      <c r="H708" s="24" t="s">
        <v>1327</v>
      </c>
      <c r="I708" s="46">
        <v>43358.679814814815</v>
      </c>
    </row>
    <row r="709" spans="6:9" x14ac:dyDescent="0.25">
      <c r="F709" s="67" t="s">
        <v>29</v>
      </c>
      <c r="G709" s="24">
        <v>1</v>
      </c>
      <c r="H709" s="24" t="s">
        <v>1327</v>
      </c>
      <c r="I709" s="46">
        <v>43358.679710648146</v>
      </c>
    </row>
    <row r="710" spans="6:9" x14ac:dyDescent="0.25">
      <c r="F710" s="67" t="s">
        <v>265</v>
      </c>
      <c r="G710" s="24">
        <v>1</v>
      </c>
      <c r="H710" s="24" t="s">
        <v>1327</v>
      </c>
      <c r="I710" s="46">
        <v>43358.679594907408</v>
      </c>
    </row>
    <row r="711" spans="6:9" x14ac:dyDescent="0.25">
      <c r="F711" s="67" t="s">
        <v>49</v>
      </c>
      <c r="G711" s="24">
        <v>1</v>
      </c>
      <c r="H711" s="24" t="s">
        <v>1327</v>
      </c>
      <c r="I711" s="46">
        <v>43358.679363425923</v>
      </c>
    </row>
    <row r="712" spans="6:9" x14ac:dyDescent="0.25">
      <c r="F712" s="67" t="s">
        <v>1565</v>
      </c>
      <c r="G712" s="24">
        <v>2</v>
      </c>
      <c r="H712" s="24" t="s">
        <v>1327</v>
      </c>
      <c r="I712" s="46">
        <v>43358.677939814814</v>
      </c>
    </row>
    <row r="713" spans="6:9" x14ac:dyDescent="0.25">
      <c r="F713" s="67" t="s">
        <v>349</v>
      </c>
      <c r="G713" s="24">
        <v>25</v>
      </c>
      <c r="H713" s="24" t="s">
        <v>1327</v>
      </c>
      <c r="I713" s="46">
        <v>43358.677083333336</v>
      </c>
    </row>
    <row r="714" spans="6:9" x14ac:dyDescent="0.25">
      <c r="F714" s="67" t="s">
        <v>348</v>
      </c>
      <c r="G714" s="24">
        <v>1</v>
      </c>
      <c r="H714" s="24" t="s">
        <v>1327</v>
      </c>
      <c r="I714" s="46">
        <v>43358.67696759259</v>
      </c>
    </row>
    <row r="715" spans="6:9" x14ac:dyDescent="0.25">
      <c r="F715" s="67" t="s">
        <v>349</v>
      </c>
      <c r="G715" s="24">
        <v>11</v>
      </c>
      <c r="H715" s="24" t="s">
        <v>1327</v>
      </c>
      <c r="I715" s="46">
        <v>43358.676678240743</v>
      </c>
    </row>
    <row r="716" spans="6:9" x14ac:dyDescent="0.25">
      <c r="F716" s="67" t="s">
        <v>59</v>
      </c>
      <c r="G716" s="24">
        <v>14</v>
      </c>
      <c r="H716" s="24" t="s">
        <v>1327</v>
      </c>
      <c r="I716" s="46">
        <v>43358.676527777781</v>
      </c>
    </row>
    <row r="717" spans="6:9" x14ac:dyDescent="0.25">
      <c r="F717" s="67" t="s">
        <v>58</v>
      </c>
      <c r="G717" s="24">
        <v>19</v>
      </c>
      <c r="H717" s="24" t="s">
        <v>1327</v>
      </c>
      <c r="I717" s="46">
        <v>43358.676423611112</v>
      </c>
    </row>
    <row r="718" spans="6:9" x14ac:dyDescent="0.25">
      <c r="F718" s="67" t="s">
        <v>3</v>
      </c>
      <c r="G718" s="24">
        <v>1</v>
      </c>
      <c r="H718" s="24" t="s">
        <v>1327</v>
      </c>
      <c r="I718" s="46">
        <v>43358.676064814812</v>
      </c>
    </row>
    <row r="719" spans="6:9" x14ac:dyDescent="0.25">
      <c r="F719" s="67" t="s">
        <v>21</v>
      </c>
      <c r="G719" s="24">
        <v>1</v>
      </c>
      <c r="H719" s="24" t="s">
        <v>1327</v>
      </c>
      <c r="I719" s="46">
        <v>43358.675844907404</v>
      </c>
    </row>
    <row r="720" spans="6:9" x14ac:dyDescent="0.25">
      <c r="F720" s="67" t="s">
        <v>181</v>
      </c>
      <c r="G720" s="24">
        <v>1</v>
      </c>
      <c r="H720" s="24" t="s">
        <v>1327</v>
      </c>
      <c r="I720" s="46">
        <v>43358.675717592596</v>
      </c>
    </row>
    <row r="721" spans="6:9" x14ac:dyDescent="0.25">
      <c r="F721" s="67" t="s">
        <v>120</v>
      </c>
      <c r="G721" s="24">
        <v>1</v>
      </c>
      <c r="H721" s="24" t="s">
        <v>1327</v>
      </c>
      <c r="I721" s="46">
        <v>43358.675393518519</v>
      </c>
    </row>
    <row r="722" spans="6:9" x14ac:dyDescent="0.25">
      <c r="F722" s="67" t="s">
        <v>151</v>
      </c>
      <c r="G722" s="24">
        <v>1</v>
      </c>
      <c r="H722" s="24" t="s">
        <v>1327</v>
      </c>
      <c r="I722" s="46">
        <v>43358.675173611111</v>
      </c>
    </row>
    <row r="723" spans="6:9" x14ac:dyDescent="0.25">
      <c r="F723" s="67" t="s">
        <v>197</v>
      </c>
      <c r="G723" s="24">
        <v>1</v>
      </c>
      <c r="H723" s="24" t="s">
        <v>1327</v>
      </c>
      <c r="I723" s="46">
        <v>43358.675104166665</v>
      </c>
    </row>
    <row r="724" spans="6:9" x14ac:dyDescent="0.25">
      <c r="F724" s="67" t="s">
        <v>155</v>
      </c>
      <c r="G724" s="24">
        <v>18</v>
      </c>
      <c r="H724" s="24" t="s">
        <v>1327</v>
      </c>
      <c r="I724" s="46">
        <v>43358.674675925926</v>
      </c>
    </row>
    <row r="725" spans="6:9" x14ac:dyDescent="0.25">
      <c r="F725" s="67" t="s">
        <v>146</v>
      </c>
      <c r="G725" s="24">
        <v>10</v>
      </c>
      <c r="H725" s="24" t="s">
        <v>1327</v>
      </c>
      <c r="I725" s="46">
        <v>43358.674490740741</v>
      </c>
    </row>
    <row r="726" spans="6:9" x14ac:dyDescent="0.25">
      <c r="F726" s="67" t="s">
        <v>1381</v>
      </c>
      <c r="G726" s="24">
        <v>2</v>
      </c>
      <c r="H726" s="24" t="s">
        <v>1327</v>
      </c>
      <c r="I726" s="46">
        <v>43358.674247685187</v>
      </c>
    </row>
    <row r="727" spans="6:9" x14ac:dyDescent="0.25">
      <c r="F727" s="67" t="s">
        <v>121</v>
      </c>
      <c r="G727" s="24">
        <v>6</v>
      </c>
      <c r="H727" s="24" t="s">
        <v>1327</v>
      </c>
      <c r="I727" s="46">
        <v>43358.673807870371</v>
      </c>
    </row>
    <row r="728" spans="6:9" x14ac:dyDescent="0.25">
      <c r="F728" s="67" t="s">
        <v>50</v>
      </c>
      <c r="G728" s="24">
        <v>3</v>
      </c>
      <c r="H728" s="24" t="s">
        <v>1327</v>
      </c>
      <c r="I728" s="46">
        <v>43358.673703703702</v>
      </c>
    </row>
    <row r="729" spans="6:9" x14ac:dyDescent="0.25">
      <c r="F729" s="67" t="s">
        <v>2</v>
      </c>
      <c r="G729" s="24">
        <v>4</v>
      </c>
      <c r="H729" s="24" t="s">
        <v>1327</v>
      </c>
      <c r="I729" s="46">
        <v>43358.673622685186</v>
      </c>
    </row>
    <row r="730" spans="6:9" x14ac:dyDescent="0.25">
      <c r="F730" s="67" t="s">
        <v>3</v>
      </c>
      <c r="G730" s="24">
        <v>3</v>
      </c>
      <c r="H730" s="24" t="s">
        <v>1327</v>
      </c>
      <c r="I730" s="46">
        <v>43358.67355324074</v>
      </c>
    </row>
    <row r="731" spans="6:9" x14ac:dyDescent="0.25">
      <c r="F731" s="67" t="s">
        <v>4</v>
      </c>
      <c r="G731" s="24">
        <v>1</v>
      </c>
      <c r="H731" s="24" t="s">
        <v>1327</v>
      </c>
      <c r="I731" s="46">
        <v>43358.673483796294</v>
      </c>
    </row>
    <row r="732" spans="6:9" x14ac:dyDescent="0.25">
      <c r="F732" s="67" t="s">
        <v>149</v>
      </c>
      <c r="G732" s="24">
        <v>13</v>
      </c>
      <c r="H732" s="24" t="s">
        <v>1327</v>
      </c>
      <c r="I732" s="46">
        <v>43358.672222222223</v>
      </c>
    </row>
    <row r="733" spans="6:9" x14ac:dyDescent="0.25">
      <c r="F733" s="67" t="s">
        <v>11</v>
      </c>
      <c r="G733" s="24">
        <v>11</v>
      </c>
      <c r="H733" s="24" t="s">
        <v>1327</v>
      </c>
      <c r="I733" s="46">
        <v>43358.672025462962</v>
      </c>
    </row>
    <row r="734" spans="6:9" x14ac:dyDescent="0.25">
      <c r="F734" s="67" t="s">
        <v>149</v>
      </c>
      <c r="G734" s="24">
        <v>19</v>
      </c>
      <c r="H734" s="24" t="s">
        <v>1327</v>
      </c>
      <c r="I734" s="46">
        <v>43358.671689814815</v>
      </c>
    </row>
    <row r="735" spans="6:9" x14ac:dyDescent="0.25">
      <c r="F735" s="40" t="s">
        <v>146</v>
      </c>
      <c r="G735" s="24">
        <v>1</v>
      </c>
      <c r="H735" s="24" t="s">
        <v>1318</v>
      </c>
      <c r="I735" s="46">
        <v>43358.663483796299</v>
      </c>
    </row>
    <row r="736" spans="6:9" x14ac:dyDescent="0.25">
      <c r="F736" s="67" t="s">
        <v>349</v>
      </c>
      <c r="G736" s="24">
        <v>2</v>
      </c>
      <c r="H736" s="24" t="s">
        <v>1324</v>
      </c>
      <c r="I736" s="46">
        <v>43358.662638888891</v>
      </c>
    </row>
    <row r="737" spans="6:9" x14ac:dyDescent="0.25">
      <c r="F737" s="67" t="s">
        <v>160</v>
      </c>
      <c r="G737" s="24">
        <v>1</v>
      </c>
      <c r="H737" s="24" t="s">
        <v>1324</v>
      </c>
      <c r="I737" s="46">
        <v>43358.662546296298</v>
      </c>
    </row>
    <row r="738" spans="6:9" x14ac:dyDescent="0.25">
      <c r="F738" s="67" t="s">
        <v>21</v>
      </c>
      <c r="G738" s="24">
        <v>1</v>
      </c>
      <c r="H738" s="24" t="s">
        <v>1324</v>
      </c>
      <c r="I738" s="46">
        <v>43358.662465277775</v>
      </c>
    </row>
    <row r="739" spans="6:9" x14ac:dyDescent="0.25">
      <c r="F739" s="67" t="s">
        <v>58</v>
      </c>
      <c r="G739" s="24">
        <v>1</v>
      </c>
      <c r="H739" s="24" t="s">
        <v>1324</v>
      </c>
      <c r="I739" s="46">
        <v>43358.662303240744</v>
      </c>
    </row>
    <row r="740" spans="6:9" x14ac:dyDescent="0.25">
      <c r="F740" s="67" t="s">
        <v>155</v>
      </c>
      <c r="G740" s="24">
        <v>1</v>
      </c>
      <c r="H740" s="24" t="s">
        <v>1324</v>
      </c>
      <c r="I740" s="46">
        <v>43358.662222222221</v>
      </c>
    </row>
    <row r="741" spans="6:9" x14ac:dyDescent="0.25">
      <c r="F741" s="67" t="s">
        <v>197</v>
      </c>
      <c r="G741" s="24">
        <v>2</v>
      </c>
      <c r="H741" s="24" t="s">
        <v>1324</v>
      </c>
      <c r="I741" s="46">
        <v>43358.66196759259</v>
      </c>
    </row>
    <row r="742" spans="6:9" x14ac:dyDescent="0.25">
      <c r="F742" s="67" t="s">
        <v>198</v>
      </c>
      <c r="G742" s="24">
        <v>1</v>
      </c>
      <c r="H742" s="24" t="s">
        <v>1324</v>
      </c>
      <c r="I742" s="46">
        <v>43358.661874999998</v>
      </c>
    </row>
    <row r="743" spans="6:9" x14ac:dyDescent="0.25">
      <c r="F743" s="67" t="s">
        <v>222</v>
      </c>
      <c r="G743" s="24">
        <v>1</v>
      </c>
      <c r="H743" s="24" t="s">
        <v>1324</v>
      </c>
      <c r="I743" s="46">
        <v>43358.661793981482</v>
      </c>
    </row>
    <row r="744" spans="6:9" x14ac:dyDescent="0.25">
      <c r="F744" s="67" t="s">
        <v>186</v>
      </c>
      <c r="G744" s="24">
        <v>5</v>
      </c>
      <c r="H744" s="24" t="s">
        <v>1324</v>
      </c>
      <c r="I744" s="46">
        <v>43358.661643518521</v>
      </c>
    </row>
    <row r="745" spans="6:9" x14ac:dyDescent="0.25">
      <c r="F745" s="40" t="s">
        <v>173</v>
      </c>
      <c r="G745" s="24">
        <v>1</v>
      </c>
      <c r="H745" s="24" t="s">
        <v>1318</v>
      </c>
      <c r="I745" s="46">
        <v>43358.661620370367</v>
      </c>
    </row>
    <row r="746" spans="6:9" x14ac:dyDescent="0.25">
      <c r="F746" s="40" t="s">
        <v>266</v>
      </c>
      <c r="G746" s="24">
        <v>1</v>
      </c>
      <c r="H746" s="24" t="s">
        <v>1318</v>
      </c>
      <c r="I746" s="46">
        <v>43358.661435185182</v>
      </c>
    </row>
    <row r="747" spans="6:9" x14ac:dyDescent="0.25">
      <c r="F747" s="40" t="s">
        <v>39</v>
      </c>
      <c r="G747" s="24">
        <v>2</v>
      </c>
      <c r="H747" s="24" t="s">
        <v>1318</v>
      </c>
      <c r="I747" s="46">
        <v>43358.661168981482</v>
      </c>
    </row>
    <row r="748" spans="6:9" x14ac:dyDescent="0.25">
      <c r="F748" s="67" t="s">
        <v>11</v>
      </c>
      <c r="G748" s="24">
        <v>7</v>
      </c>
      <c r="H748" s="24" t="s">
        <v>1324</v>
      </c>
      <c r="I748" s="46">
        <v>43358.661030092589</v>
      </c>
    </row>
    <row r="749" spans="6:9" x14ac:dyDescent="0.25">
      <c r="F749" s="40" t="s">
        <v>197</v>
      </c>
      <c r="G749" s="24">
        <v>1</v>
      </c>
      <c r="H749" s="24" t="s">
        <v>1320</v>
      </c>
      <c r="I749" s="46">
        <v>43358.660925925928</v>
      </c>
    </row>
    <row r="750" spans="6:9" x14ac:dyDescent="0.25">
      <c r="F750" s="40" t="s">
        <v>184</v>
      </c>
      <c r="G750" s="24">
        <v>2</v>
      </c>
      <c r="H750" s="24" t="s">
        <v>1320</v>
      </c>
      <c r="I750" s="46">
        <v>43358.660821759258</v>
      </c>
    </row>
    <row r="751" spans="6:9" x14ac:dyDescent="0.25">
      <c r="F751" s="67" t="s">
        <v>3</v>
      </c>
      <c r="G751" s="24">
        <v>1</v>
      </c>
      <c r="H751" s="24" t="s">
        <v>1324</v>
      </c>
      <c r="I751" s="46">
        <v>43358.660798611112</v>
      </c>
    </row>
    <row r="752" spans="6:9" x14ac:dyDescent="0.25">
      <c r="F752" s="67" t="s">
        <v>51</v>
      </c>
      <c r="G752" s="24">
        <v>1</v>
      </c>
      <c r="H752" s="24" t="s">
        <v>1324</v>
      </c>
      <c r="I752" s="46">
        <v>43358.660601851851</v>
      </c>
    </row>
    <row r="753" spans="6:9" x14ac:dyDescent="0.25">
      <c r="F753" s="40" t="s">
        <v>182</v>
      </c>
      <c r="G753" s="24">
        <v>2</v>
      </c>
      <c r="H753" s="24" t="s">
        <v>1320</v>
      </c>
      <c r="I753" s="46">
        <v>43358.660578703704</v>
      </c>
    </row>
    <row r="754" spans="6:9" x14ac:dyDescent="0.25">
      <c r="F754" s="40" t="s">
        <v>183</v>
      </c>
      <c r="G754" s="24">
        <v>3</v>
      </c>
      <c r="H754" s="24" t="s">
        <v>1320</v>
      </c>
      <c r="I754" s="46">
        <v>43358.660509259258</v>
      </c>
    </row>
    <row r="755" spans="6:9" x14ac:dyDescent="0.25">
      <c r="F755" s="67" t="s">
        <v>40</v>
      </c>
      <c r="G755" s="24">
        <v>1</v>
      </c>
      <c r="H755" s="24" t="s">
        <v>1324</v>
      </c>
      <c r="I755" s="46">
        <v>43358.660497685189</v>
      </c>
    </row>
    <row r="756" spans="6:9" x14ac:dyDescent="0.25">
      <c r="F756" s="67" t="s">
        <v>201</v>
      </c>
      <c r="G756" s="24">
        <v>1</v>
      </c>
      <c r="H756" s="24" t="s">
        <v>1324</v>
      </c>
      <c r="I756" s="46">
        <v>43358.660416666666</v>
      </c>
    </row>
    <row r="757" spans="6:9" x14ac:dyDescent="0.25">
      <c r="F757" s="67" t="s">
        <v>40</v>
      </c>
      <c r="G757" s="24">
        <v>1</v>
      </c>
      <c r="H757" s="24" t="s">
        <v>1324</v>
      </c>
      <c r="I757" s="46">
        <v>43358.660243055558</v>
      </c>
    </row>
    <row r="758" spans="6:9" x14ac:dyDescent="0.25">
      <c r="F758" s="40" t="s">
        <v>184</v>
      </c>
      <c r="G758" s="24">
        <v>1</v>
      </c>
      <c r="H758" s="24" t="s">
        <v>1320</v>
      </c>
      <c r="I758" s="46">
        <v>43358.660231481481</v>
      </c>
    </row>
    <row r="759" spans="6:9" x14ac:dyDescent="0.25">
      <c r="F759" s="40" t="s">
        <v>184</v>
      </c>
      <c r="G759" s="24">
        <v>2</v>
      </c>
      <c r="H759" s="24" t="s">
        <v>1320</v>
      </c>
      <c r="I759" s="46">
        <v>43358.660127314812</v>
      </c>
    </row>
    <row r="760" spans="6:9" x14ac:dyDescent="0.25">
      <c r="F760" s="67" t="s">
        <v>149</v>
      </c>
      <c r="G760" s="24">
        <v>10</v>
      </c>
      <c r="H760" s="24" t="s">
        <v>1324</v>
      </c>
      <c r="I760" s="46">
        <v>43358.660127314812</v>
      </c>
    </row>
    <row r="761" spans="6:9" x14ac:dyDescent="0.25">
      <c r="F761" s="67" t="s">
        <v>121</v>
      </c>
      <c r="G761" s="24">
        <v>6</v>
      </c>
      <c r="H761" s="24" t="s">
        <v>1324</v>
      </c>
      <c r="I761" s="46">
        <v>43358.660034722219</v>
      </c>
    </row>
    <row r="762" spans="6:9" x14ac:dyDescent="0.25">
      <c r="F762" s="67" t="s">
        <v>146</v>
      </c>
      <c r="G762" s="24">
        <v>9</v>
      </c>
      <c r="H762" s="24" t="s">
        <v>1324</v>
      </c>
      <c r="I762" s="46">
        <v>43358.659942129627</v>
      </c>
    </row>
    <row r="763" spans="6:9" x14ac:dyDescent="0.25">
      <c r="F763" s="40" t="s">
        <v>199</v>
      </c>
      <c r="G763" s="24">
        <v>2</v>
      </c>
      <c r="H763" s="24" t="s">
        <v>1320</v>
      </c>
      <c r="I763" s="46">
        <v>43358.659791666665</v>
      </c>
    </row>
    <row r="764" spans="6:9" x14ac:dyDescent="0.25">
      <c r="F764" s="67" t="s">
        <v>170</v>
      </c>
      <c r="G764" s="24">
        <v>1</v>
      </c>
      <c r="H764" s="24" t="s">
        <v>1323</v>
      </c>
      <c r="I764" s="46">
        <v>43358.659756944442</v>
      </c>
    </row>
    <row r="765" spans="6:9" x14ac:dyDescent="0.25">
      <c r="F765" s="67" t="s">
        <v>229</v>
      </c>
      <c r="G765" s="24">
        <v>1</v>
      </c>
      <c r="H765" s="24" t="s">
        <v>1323</v>
      </c>
      <c r="I765" s="46">
        <v>43358.65965277778</v>
      </c>
    </row>
    <row r="766" spans="6:9" x14ac:dyDescent="0.25">
      <c r="F766" s="67" t="s">
        <v>1566</v>
      </c>
      <c r="G766" s="24">
        <v>1</v>
      </c>
      <c r="H766" s="24" t="s">
        <v>1323</v>
      </c>
      <c r="I766" s="46">
        <v>43358.659456018519</v>
      </c>
    </row>
    <row r="767" spans="6:9" x14ac:dyDescent="0.25">
      <c r="F767" s="40" t="s">
        <v>198</v>
      </c>
      <c r="G767" s="24">
        <v>2</v>
      </c>
      <c r="H767" s="24" t="s">
        <v>1320</v>
      </c>
      <c r="I767" s="46">
        <v>43358.659351851849</v>
      </c>
    </row>
    <row r="768" spans="6:9" x14ac:dyDescent="0.25">
      <c r="F768" s="40" t="s">
        <v>222</v>
      </c>
      <c r="G768" s="24">
        <v>2</v>
      </c>
      <c r="H768" s="24" t="s">
        <v>1320</v>
      </c>
      <c r="I768" s="46">
        <v>43358.659259259257</v>
      </c>
    </row>
    <row r="769" spans="6:9" x14ac:dyDescent="0.25">
      <c r="F769" s="67" t="s">
        <v>184</v>
      </c>
      <c r="G769" s="24">
        <v>1</v>
      </c>
      <c r="H769" s="24" t="s">
        <v>1323</v>
      </c>
      <c r="I769" s="46">
        <v>43358.659016203703</v>
      </c>
    </row>
    <row r="770" spans="6:9" x14ac:dyDescent="0.25">
      <c r="F770" s="67" t="s">
        <v>184</v>
      </c>
      <c r="G770" s="24">
        <v>1</v>
      </c>
      <c r="H770" s="24" t="s">
        <v>1323</v>
      </c>
      <c r="I770" s="46">
        <v>43358.658935185187</v>
      </c>
    </row>
    <row r="771" spans="6:9" x14ac:dyDescent="0.25">
      <c r="F771" s="40" t="s">
        <v>62</v>
      </c>
      <c r="G771" s="24">
        <v>2</v>
      </c>
      <c r="H771" s="24" t="s">
        <v>1326</v>
      </c>
      <c r="I771" s="46">
        <v>43358.658877314818</v>
      </c>
    </row>
    <row r="772" spans="6:9" x14ac:dyDescent="0.25">
      <c r="F772" s="67" t="s">
        <v>39</v>
      </c>
      <c r="G772" s="24">
        <v>5</v>
      </c>
      <c r="H772" s="24" t="s">
        <v>1323</v>
      </c>
      <c r="I772" s="46">
        <v>43358.658831018518</v>
      </c>
    </row>
    <row r="773" spans="6:9" x14ac:dyDescent="0.25">
      <c r="F773" s="40" t="s">
        <v>118</v>
      </c>
      <c r="G773" s="24">
        <v>1</v>
      </c>
      <c r="H773" s="24" t="s">
        <v>1320</v>
      </c>
      <c r="I773" s="46">
        <v>43358.658796296295</v>
      </c>
    </row>
    <row r="774" spans="6:9" x14ac:dyDescent="0.25">
      <c r="F774" s="40" t="s">
        <v>21</v>
      </c>
      <c r="G774" s="24">
        <v>2</v>
      </c>
      <c r="H774" s="24" t="s">
        <v>1320</v>
      </c>
      <c r="I774" s="46">
        <v>43358.658703703702</v>
      </c>
    </row>
    <row r="775" spans="6:9" x14ac:dyDescent="0.25">
      <c r="F775" s="67" t="s">
        <v>21</v>
      </c>
      <c r="G775" s="24">
        <v>9</v>
      </c>
      <c r="H775" s="24" t="s">
        <v>1323</v>
      </c>
      <c r="I775" s="46">
        <v>43358.658703703702</v>
      </c>
    </row>
    <row r="776" spans="6:9" x14ac:dyDescent="0.25">
      <c r="F776" s="40" t="s">
        <v>146</v>
      </c>
      <c r="G776" s="24">
        <v>3</v>
      </c>
      <c r="H776" s="24" t="s">
        <v>1320</v>
      </c>
      <c r="I776" s="46">
        <v>43358.65861111111</v>
      </c>
    </row>
    <row r="777" spans="6:9" x14ac:dyDescent="0.25">
      <c r="F777" s="67" t="s">
        <v>146</v>
      </c>
      <c r="G777" s="24">
        <v>5</v>
      </c>
      <c r="H777" s="24" t="s">
        <v>1323</v>
      </c>
      <c r="I777" s="46">
        <v>43358.65861111111</v>
      </c>
    </row>
    <row r="778" spans="6:9" x14ac:dyDescent="0.25">
      <c r="F778" s="40" t="s">
        <v>40</v>
      </c>
      <c r="G778" s="24">
        <v>1</v>
      </c>
      <c r="H778" s="24" t="s">
        <v>1320</v>
      </c>
      <c r="I778" s="46">
        <v>43358.658530092594</v>
      </c>
    </row>
    <row r="779" spans="6:9" x14ac:dyDescent="0.25">
      <c r="F779" s="40" t="s">
        <v>175</v>
      </c>
      <c r="G779" s="24">
        <v>1</v>
      </c>
      <c r="H779" s="24" t="s">
        <v>1326</v>
      </c>
      <c r="I779" s="46">
        <v>43358.658483796295</v>
      </c>
    </row>
    <row r="780" spans="6:9" x14ac:dyDescent="0.25">
      <c r="F780" s="67" t="s">
        <v>232</v>
      </c>
      <c r="G780" s="24">
        <v>1</v>
      </c>
      <c r="H780" s="24" t="s">
        <v>1323</v>
      </c>
      <c r="I780" s="46">
        <v>43358.658449074072</v>
      </c>
    </row>
    <row r="781" spans="6:9" x14ac:dyDescent="0.25">
      <c r="F781" s="40" t="s">
        <v>182</v>
      </c>
      <c r="G781" s="24">
        <v>6</v>
      </c>
      <c r="H781" s="24" t="s">
        <v>1326</v>
      </c>
      <c r="I781" s="46">
        <v>43358.658391203702</v>
      </c>
    </row>
    <row r="782" spans="6:9" x14ac:dyDescent="0.25">
      <c r="F782" s="67" t="s">
        <v>371</v>
      </c>
      <c r="G782" s="24">
        <v>1</v>
      </c>
      <c r="H782" s="24" t="s">
        <v>1323</v>
      </c>
      <c r="I782" s="46">
        <v>43358.658333333333</v>
      </c>
    </row>
    <row r="783" spans="6:9" x14ac:dyDescent="0.25">
      <c r="F783" s="40" t="s">
        <v>257</v>
      </c>
      <c r="G783" s="24">
        <v>1</v>
      </c>
      <c r="H783" s="24" t="s">
        <v>1320</v>
      </c>
      <c r="I783" s="46">
        <v>43358.65828703704</v>
      </c>
    </row>
    <row r="784" spans="6:9" x14ac:dyDescent="0.25">
      <c r="F784" s="67" t="s">
        <v>58</v>
      </c>
      <c r="G784" s="24">
        <v>7</v>
      </c>
      <c r="H784" s="24" t="s">
        <v>1323</v>
      </c>
      <c r="I784" s="46">
        <v>43358.658171296294</v>
      </c>
    </row>
    <row r="785" spans="6:9" x14ac:dyDescent="0.25">
      <c r="F785" s="40" t="s">
        <v>28</v>
      </c>
      <c r="G785" s="24">
        <v>1</v>
      </c>
      <c r="H785" s="24" t="s">
        <v>1320</v>
      </c>
      <c r="I785" s="46">
        <v>43358.658090277779</v>
      </c>
    </row>
    <row r="786" spans="6:9" x14ac:dyDescent="0.25">
      <c r="F786" s="67" t="s">
        <v>349</v>
      </c>
      <c r="G786" s="24">
        <v>24</v>
      </c>
      <c r="H786" s="24" t="s">
        <v>1323</v>
      </c>
      <c r="I786" s="46">
        <v>43358.657962962963</v>
      </c>
    </row>
    <row r="787" spans="6:9" x14ac:dyDescent="0.25">
      <c r="F787" s="40" t="s">
        <v>39</v>
      </c>
      <c r="G787" s="24">
        <v>3</v>
      </c>
      <c r="H787" s="24" t="s">
        <v>1320</v>
      </c>
      <c r="I787" s="46">
        <v>43358.657951388886</v>
      </c>
    </row>
    <row r="788" spans="6:9" x14ac:dyDescent="0.25">
      <c r="F788" s="67" t="s">
        <v>127</v>
      </c>
      <c r="G788" s="24">
        <v>1</v>
      </c>
      <c r="H788" s="24" t="s">
        <v>1323</v>
      </c>
      <c r="I788" s="46">
        <v>43358.657835648148</v>
      </c>
    </row>
    <row r="789" spans="6:9" x14ac:dyDescent="0.25">
      <c r="F789" s="40" t="s">
        <v>160</v>
      </c>
      <c r="G789" s="24">
        <v>1</v>
      </c>
      <c r="H789" s="24" t="s">
        <v>1326</v>
      </c>
      <c r="I789" s="46">
        <v>43358.657789351855</v>
      </c>
    </row>
    <row r="790" spans="6:9" x14ac:dyDescent="0.25">
      <c r="F790" s="40" t="s">
        <v>123</v>
      </c>
      <c r="G790" s="24">
        <v>1</v>
      </c>
      <c r="H790" s="24" t="s">
        <v>1320</v>
      </c>
      <c r="I790" s="46">
        <v>43358.657743055555</v>
      </c>
    </row>
    <row r="791" spans="6:9" x14ac:dyDescent="0.25">
      <c r="F791" s="67" t="s">
        <v>1211</v>
      </c>
      <c r="G791" s="24">
        <v>1</v>
      </c>
      <c r="H791" s="24" t="s">
        <v>1323</v>
      </c>
      <c r="I791" s="46">
        <v>43358.657719907409</v>
      </c>
    </row>
    <row r="792" spans="6:9" x14ac:dyDescent="0.25">
      <c r="F792" s="40" t="s">
        <v>155</v>
      </c>
      <c r="G792" s="24">
        <v>2</v>
      </c>
      <c r="H792" s="24" t="s">
        <v>1326</v>
      </c>
      <c r="I792" s="46">
        <v>43358.657719907409</v>
      </c>
    </row>
    <row r="793" spans="6:9" x14ac:dyDescent="0.25">
      <c r="F793" s="40" t="s">
        <v>121</v>
      </c>
      <c r="G793" s="24">
        <v>1</v>
      </c>
      <c r="H793" s="24" t="s">
        <v>1320</v>
      </c>
      <c r="I793" s="46">
        <v>43358.657673611109</v>
      </c>
    </row>
    <row r="794" spans="6:9" x14ac:dyDescent="0.25">
      <c r="F794" s="67" t="s">
        <v>1311</v>
      </c>
      <c r="G794" s="24">
        <v>1</v>
      </c>
      <c r="H794" s="24" t="s">
        <v>1323</v>
      </c>
      <c r="I794" s="46">
        <v>43358.65761574074</v>
      </c>
    </row>
    <row r="795" spans="6:9" x14ac:dyDescent="0.25">
      <c r="F795" s="40" t="s">
        <v>1353</v>
      </c>
      <c r="G795" s="24">
        <v>2</v>
      </c>
      <c r="H795" s="24" t="s">
        <v>1326</v>
      </c>
      <c r="I795" s="46">
        <v>43358.657604166663</v>
      </c>
    </row>
    <row r="796" spans="6:9" x14ac:dyDescent="0.25">
      <c r="F796" s="67" t="s">
        <v>370</v>
      </c>
      <c r="G796" s="24">
        <v>1</v>
      </c>
      <c r="H796" s="24" t="s">
        <v>1323</v>
      </c>
      <c r="I796" s="46">
        <v>43358.657407407409</v>
      </c>
    </row>
    <row r="797" spans="6:9" x14ac:dyDescent="0.25">
      <c r="F797" s="40" t="s">
        <v>50</v>
      </c>
      <c r="G797" s="24">
        <v>1</v>
      </c>
      <c r="H797" s="24" t="s">
        <v>1326</v>
      </c>
      <c r="I797" s="46">
        <v>43358.657349537039</v>
      </c>
    </row>
    <row r="798" spans="6:9" x14ac:dyDescent="0.25">
      <c r="F798" s="67" t="s">
        <v>1314</v>
      </c>
      <c r="G798" s="24">
        <v>1</v>
      </c>
      <c r="H798" s="24" t="s">
        <v>1323</v>
      </c>
      <c r="I798" s="46">
        <v>43358.657326388886</v>
      </c>
    </row>
    <row r="799" spans="6:9" x14ac:dyDescent="0.25">
      <c r="F799" s="67" t="s">
        <v>140</v>
      </c>
      <c r="G799" s="24">
        <v>1</v>
      </c>
      <c r="H799" s="24" t="s">
        <v>1323</v>
      </c>
      <c r="I799" s="46">
        <v>43358.657222222224</v>
      </c>
    </row>
    <row r="800" spans="6:9" x14ac:dyDescent="0.25">
      <c r="F800" s="40" t="s">
        <v>21</v>
      </c>
      <c r="G800" s="24">
        <v>1</v>
      </c>
      <c r="H800" s="24" t="s">
        <v>1326</v>
      </c>
      <c r="I800" s="46">
        <v>43358.657141203701</v>
      </c>
    </row>
    <row r="801" spans="6:9" x14ac:dyDescent="0.25">
      <c r="F801" s="67" t="s">
        <v>353</v>
      </c>
      <c r="G801" s="24">
        <v>1</v>
      </c>
      <c r="H801" s="24" t="s">
        <v>1323</v>
      </c>
      <c r="I801" s="46">
        <v>43358.657083333332</v>
      </c>
    </row>
    <row r="802" spans="6:9" x14ac:dyDescent="0.25">
      <c r="F802" s="40" t="s">
        <v>146</v>
      </c>
      <c r="G802" s="24">
        <v>5</v>
      </c>
      <c r="H802" s="24" t="s">
        <v>1326</v>
      </c>
      <c r="I802" s="46">
        <v>43358.657071759262</v>
      </c>
    </row>
    <row r="803" spans="6:9" x14ac:dyDescent="0.25">
      <c r="F803" s="40" t="s">
        <v>349</v>
      </c>
      <c r="G803" s="24">
        <v>7</v>
      </c>
      <c r="H803" s="24" t="s">
        <v>1320</v>
      </c>
      <c r="I803" s="46">
        <v>43358.657037037039</v>
      </c>
    </row>
    <row r="804" spans="6:9" x14ac:dyDescent="0.25">
      <c r="F804" s="40" t="s">
        <v>59</v>
      </c>
      <c r="G804" s="24">
        <v>6</v>
      </c>
      <c r="H804" s="24" t="s">
        <v>1320</v>
      </c>
      <c r="I804" s="46">
        <v>43358.65697916667</v>
      </c>
    </row>
    <row r="805" spans="6:9" x14ac:dyDescent="0.25">
      <c r="F805" s="67" t="s">
        <v>160</v>
      </c>
      <c r="G805" s="24">
        <v>1</v>
      </c>
      <c r="H805" s="24" t="s">
        <v>1323</v>
      </c>
      <c r="I805" s="46">
        <v>43358.656828703701</v>
      </c>
    </row>
    <row r="806" spans="6:9" x14ac:dyDescent="0.25">
      <c r="F806" s="40" t="s">
        <v>155</v>
      </c>
      <c r="G806" s="24">
        <v>11</v>
      </c>
      <c r="H806" s="24" t="s">
        <v>1320</v>
      </c>
      <c r="I806" s="46">
        <v>43358.656759259262</v>
      </c>
    </row>
    <row r="807" spans="6:9" x14ac:dyDescent="0.25">
      <c r="F807" s="40" t="s">
        <v>58</v>
      </c>
      <c r="G807" s="24">
        <v>9</v>
      </c>
      <c r="H807" s="24" t="s">
        <v>1326</v>
      </c>
      <c r="I807" s="46">
        <v>43358.656759259262</v>
      </c>
    </row>
    <row r="808" spans="6:9" x14ac:dyDescent="0.25">
      <c r="F808" s="67" t="s">
        <v>138</v>
      </c>
      <c r="G808" s="24">
        <v>1</v>
      </c>
      <c r="H808" s="24" t="s">
        <v>1323</v>
      </c>
      <c r="I808" s="46">
        <v>43358.656736111108</v>
      </c>
    </row>
    <row r="809" spans="6:9" x14ac:dyDescent="0.25">
      <c r="F809" s="40" t="s">
        <v>181</v>
      </c>
      <c r="G809" s="24">
        <v>1</v>
      </c>
      <c r="H809" s="24" t="s">
        <v>1320</v>
      </c>
      <c r="I809" s="46">
        <v>43358.656689814816</v>
      </c>
    </row>
    <row r="810" spans="6:9" x14ac:dyDescent="0.25">
      <c r="F810" s="40" t="s">
        <v>1377</v>
      </c>
      <c r="G810" s="24">
        <v>2</v>
      </c>
      <c r="H810" s="24" t="s">
        <v>1326</v>
      </c>
      <c r="I810" s="46">
        <v>43358.656666666669</v>
      </c>
    </row>
    <row r="811" spans="6:9" x14ac:dyDescent="0.25">
      <c r="F811" s="67" t="s">
        <v>149</v>
      </c>
      <c r="G811" s="24">
        <v>1</v>
      </c>
      <c r="H811" s="24" t="s">
        <v>1323</v>
      </c>
      <c r="I811" s="46">
        <v>43358.656631944446</v>
      </c>
    </row>
    <row r="812" spans="6:9" x14ac:dyDescent="0.25">
      <c r="F812" s="40" t="s">
        <v>349</v>
      </c>
      <c r="G812" s="24">
        <v>20</v>
      </c>
      <c r="H812" s="24" t="s">
        <v>1326</v>
      </c>
      <c r="I812" s="46">
        <v>43358.656574074077</v>
      </c>
    </row>
    <row r="813" spans="6:9" x14ac:dyDescent="0.25">
      <c r="F813" s="40" t="s">
        <v>2</v>
      </c>
      <c r="G813" s="24">
        <v>4</v>
      </c>
      <c r="H813" s="24" t="s">
        <v>1320</v>
      </c>
      <c r="I813" s="46">
        <v>43358.6565625</v>
      </c>
    </row>
    <row r="814" spans="6:9" x14ac:dyDescent="0.25">
      <c r="F814" s="40" t="s">
        <v>3</v>
      </c>
      <c r="G814" s="24">
        <v>3</v>
      </c>
      <c r="H814" s="24" t="s">
        <v>1320</v>
      </c>
      <c r="I814" s="46">
        <v>43358.656458333331</v>
      </c>
    </row>
    <row r="815" spans="6:9" x14ac:dyDescent="0.25">
      <c r="F815" s="67" t="s">
        <v>4</v>
      </c>
      <c r="G815" s="24">
        <v>2</v>
      </c>
      <c r="H815" s="24" t="s">
        <v>1323</v>
      </c>
      <c r="I815" s="46">
        <v>43358.656458333331</v>
      </c>
    </row>
    <row r="816" spans="6:9" x14ac:dyDescent="0.25">
      <c r="F816" s="40" t="s">
        <v>149</v>
      </c>
      <c r="G816" s="24">
        <v>13</v>
      </c>
      <c r="H816" s="24" t="s">
        <v>1326</v>
      </c>
      <c r="I816" s="46">
        <v>43358.656388888892</v>
      </c>
    </row>
    <row r="817" spans="6:9" x14ac:dyDescent="0.25">
      <c r="F817" s="67" t="s">
        <v>3</v>
      </c>
      <c r="G817" s="24">
        <v>1</v>
      </c>
      <c r="H817" s="24" t="s">
        <v>1323</v>
      </c>
      <c r="I817" s="46">
        <v>43358.656365740739</v>
      </c>
    </row>
    <row r="818" spans="6:9" x14ac:dyDescent="0.25">
      <c r="F818" s="67" t="s">
        <v>201</v>
      </c>
      <c r="G818" s="24">
        <v>1</v>
      </c>
      <c r="H818" s="24" t="s">
        <v>1323</v>
      </c>
      <c r="I818" s="46">
        <v>43358.656273148146</v>
      </c>
    </row>
    <row r="819" spans="6:9" x14ac:dyDescent="0.25">
      <c r="F819" s="40" t="s">
        <v>2</v>
      </c>
      <c r="G819" s="24">
        <v>1</v>
      </c>
      <c r="H819" s="24" t="s">
        <v>1326</v>
      </c>
      <c r="I819" s="46">
        <v>43358.656273148146</v>
      </c>
    </row>
    <row r="820" spans="6:9" x14ac:dyDescent="0.25">
      <c r="F820" s="40" t="s">
        <v>122</v>
      </c>
      <c r="G820" s="24">
        <v>1</v>
      </c>
      <c r="H820" s="24" t="s">
        <v>1326</v>
      </c>
      <c r="I820" s="46">
        <v>43358.6562037037</v>
      </c>
    </row>
    <row r="821" spans="6:9" x14ac:dyDescent="0.25">
      <c r="F821" s="67" t="s">
        <v>40</v>
      </c>
      <c r="G821" s="24">
        <v>1</v>
      </c>
      <c r="H821" s="24" t="s">
        <v>1323</v>
      </c>
      <c r="I821" s="46">
        <v>43358.656192129631</v>
      </c>
    </row>
    <row r="822" spans="6:9" x14ac:dyDescent="0.25">
      <c r="F822" s="40" t="s">
        <v>121</v>
      </c>
      <c r="G822" s="24">
        <v>2</v>
      </c>
      <c r="H822" s="24" t="s">
        <v>1326</v>
      </c>
      <c r="I822" s="46">
        <v>43358.656122685185</v>
      </c>
    </row>
    <row r="823" spans="6:9" x14ac:dyDescent="0.25">
      <c r="F823" s="67" t="s">
        <v>51</v>
      </c>
      <c r="G823" s="24">
        <v>1</v>
      </c>
      <c r="H823" s="24" t="s">
        <v>1323</v>
      </c>
      <c r="I823" s="46">
        <v>43358.656087962961</v>
      </c>
    </row>
    <row r="824" spans="6:9" x14ac:dyDescent="0.25">
      <c r="F824" s="40" t="s">
        <v>144</v>
      </c>
      <c r="G824" s="24">
        <v>2</v>
      </c>
      <c r="H824" s="24" t="s">
        <v>1326</v>
      </c>
      <c r="I824" s="46">
        <v>43358.655995370369</v>
      </c>
    </row>
    <row r="825" spans="6:9" x14ac:dyDescent="0.25">
      <c r="F825" s="67" t="s">
        <v>50</v>
      </c>
      <c r="G825" s="24">
        <v>2</v>
      </c>
      <c r="H825" s="24" t="s">
        <v>1323</v>
      </c>
      <c r="I825" s="46">
        <v>43358.655972222223</v>
      </c>
    </row>
    <row r="826" spans="6:9" x14ac:dyDescent="0.25">
      <c r="F826" s="40" t="s">
        <v>11</v>
      </c>
      <c r="G826" s="24">
        <v>6</v>
      </c>
      <c r="H826" s="24" t="s">
        <v>1326</v>
      </c>
      <c r="I826" s="46">
        <v>43358.655914351853</v>
      </c>
    </row>
    <row r="827" spans="6:9" x14ac:dyDescent="0.25">
      <c r="F827" s="67" t="s">
        <v>155</v>
      </c>
      <c r="G827" s="24">
        <v>14</v>
      </c>
      <c r="H827" s="24" t="s">
        <v>1323</v>
      </c>
      <c r="I827" s="46">
        <v>43358.65587962963</v>
      </c>
    </row>
    <row r="828" spans="6:9" x14ac:dyDescent="0.25">
      <c r="F828" s="40" t="s">
        <v>11</v>
      </c>
      <c r="G828" s="24">
        <v>4</v>
      </c>
      <c r="H828" s="24" t="s">
        <v>1320</v>
      </c>
      <c r="I828" s="46">
        <v>43358.655763888892</v>
      </c>
    </row>
    <row r="829" spans="6:9" x14ac:dyDescent="0.25">
      <c r="F829" s="67" t="s">
        <v>11</v>
      </c>
      <c r="G829" s="24">
        <v>9</v>
      </c>
      <c r="H829" s="24" t="s">
        <v>1323</v>
      </c>
      <c r="I829" s="46">
        <v>43358.655752314815</v>
      </c>
    </row>
    <row r="830" spans="6:9" x14ac:dyDescent="0.25">
      <c r="F830" s="40" t="s">
        <v>21</v>
      </c>
      <c r="G830" s="24">
        <v>2</v>
      </c>
      <c r="H830" s="24" t="s">
        <v>1322</v>
      </c>
      <c r="I830" s="46">
        <v>43358.655601851853</v>
      </c>
    </row>
    <row r="831" spans="6:9" x14ac:dyDescent="0.25">
      <c r="F831" s="67" t="s">
        <v>121</v>
      </c>
      <c r="G831" s="24">
        <v>8</v>
      </c>
      <c r="H831" s="24" t="s">
        <v>1323</v>
      </c>
      <c r="I831" s="46">
        <v>43358.655590277776</v>
      </c>
    </row>
    <row r="832" spans="6:9" x14ac:dyDescent="0.25">
      <c r="F832" s="40" t="s">
        <v>146</v>
      </c>
      <c r="G832" s="24">
        <v>1</v>
      </c>
      <c r="H832" s="24" t="s">
        <v>1322</v>
      </c>
      <c r="I832" s="46">
        <v>43358.655451388891</v>
      </c>
    </row>
    <row r="833" spans="6:9" x14ac:dyDescent="0.25">
      <c r="F833" s="40" t="s">
        <v>1381</v>
      </c>
      <c r="G833" s="24">
        <v>1</v>
      </c>
      <c r="H833" s="24" t="s">
        <v>1322</v>
      </c>
      <c r="I833" s="46">
        <v>43358.655358796299</v>
      </c>
    </row>
    <row r="834" spans="6:9" x14ac:dyDescent="0.25">
      <c r="F834" s="40" t="s">
        <v>149</v>
      </c>
      <c r="G834" s="24">
        <v>10</v>
      </c>
      <c r="H834" s="24" t="s">
        <v>1320</v>
      </c>
      <c r="I834" s="46">
        <v>43358.655023148145</v>
      </c>
    </row>
    <row r="835" spans="6:9" x14ac:dyDescent="0.25">
      <c r="F835" s="40" t="s">
        <v>4</v>
      </c>
      <c r="G835" s="24">
        <v>2</v>
      </c>
      <c r="H835" s="24" t="s">
        <v>1322</v>
      </c>
      <c r="I835" s="46">
        <v>43358.654930555553</v>
      </c>
    </row>
    <row r="836" spans="6:9" x14ac:dyDescent="0.25">
      <c r="F836" s="40" t="s">
        <v>2</v>
      </c>
      <c r="G836" s="24">
        <v>1</v>
      </c>
      <c r="H836" s="24" t="s">
        <v>1322</v>
      </c>
      <c r="I836" s="46">
        <v>43358.654849537037</v>
      </c>
    </row>
    <row r="837" spans="6:9" x14ac:dyDescent="0.25">
      <c r="F837" s="67" t="s">
        <v>65</v>
      </c>
      <c r="G837" s="24">
        <v>4</v>
      </c>
      <c r="H837" s="24" t="s">
        <v>1325</v>
      </c>
      <c r="I837" s="46">
        <v>43358.654826388891</v>
      </c>
    </row>
    <row r="838" spans="6:9" x14ac:dyDescent="0.25">
      <c r="F838" s="67" t="s">
        <v>59</v>
      </c>
      <c r="G838" s="24">
        <v>3</v>
      </c>
      <c r="H838" s="24" t="s">
        <v>1325</v>
      </c>
      <c r="I838" s="46">
        <v>43358.654560185183</v>
      </c>
    </row>
    <row r="839" spans="6:9" x14ac:dyDescent="0.25">
      <c r="F839" s="40" t="s">
        <v>39</v>
      </c>
      <c r="G839" s="24">
        <v>4</v>
      </c>
      <c r="H839" s="24" t="s">
        <v>1322</v>
      </c>
      <c r="I839" s="46">
        <v>43358.65452546296</v>
      </c>
    </row>
    <row r="840" spans="6:9" x14ac:dyDescent="0.25">
      <c r="F840" s="67" t="s">
        <v>227</v>
      </c>
      <c r="G840" s="24">
        <v>1</v>
      </c>
      <c r="H840" s="24" t="s">
        <v>1325</v>
      </c>
      <c r="I840" s="46">
        <v>43358.654479166667</v>
      </c>
    </row>
    <row r="841" spans="6:9" x14ac:dyDescent="0.25">
      <c r="F841" s="40" t="s">
        <v>266</v>
      </c>
      <c r="G841" s="24">
        <v>1</v>
      </c>
      <c r="H841" s="24" t="s">
        <v>1322</v>
      </c>
      <c r="I841" s="46">
        <v>43358.654432870368</v>
      </c>
    </row>
    <row r="842" spans="6:9" x14ac:dyDescent="0.25">
      <c r="F842" s="67" t="s">
        <v>138</v>
      </c>
      <c r="G842" s="24">
        <v>1</v>
      </c>
      <c r="H842" s="24" t="s">
        <v>1325</v>
      </c>
      <c r="I842" s="46">
        <v>43358.654398148145</v>
      </c>
    </row>
    <row r="843" spans="6:9" x14ac:dyDescent="0.25">
      <c r="F843" s="67" t="s">
        <v>170</v>
      </c>
      <c r="G843" s="24">
        <v>1</v>
      </c>
      <c r="H843" s="24" t="s">
        <v>1325</v>
      </c>
      <c r="I843" s="46">
        <v>43358.654305555552</v>
      </c>
    </row>
    <row r="844" spans="6:9" x14ac:dyDescent="0.25">
      <c r="F844" s="40" t="s">
        <v>168</v>
      </c>
      <c r="G844" s="24">
        <v>1</v>
      </c>
      <c r="H844" s="24" t="s">
        <v>1322</v>
      </c>
      <c r="I844" s="46">
        <v>43358.654050925928</v>
      </c>
    </row>
    <row r="845" spans="6:9" x14ac:dyDescent="0.25">
      <c r="F845" s="67" t="s">
        <v>39</v>
      </c>
      <c r="G845" s="24">
        <v>2</v>
      </c>
      <c r="H845" s="24" t="s">
        <v>1325</v>
      </c>
      <c r="I845" s="46">
        <v>43358.654027777775</v>
      </c>
    </row>
    <row r="846" spans="6:9" x14ac:dyDescent="0.25">
      <c r="F846" s="67" t="s">
        <v>29</v>
      </c>
      <c r="G846" s="24">
        <v>2</v>
      </c>
      <c r="H846" s="24" t="s">
        <v>1325</v>
      </c>
      <c r="I846" s="46">
        <v>43358.653912037036</v>
      </c>
    </row>
    <row r="847" spans="6:9" x14ac:dyDescent="0.25">
      <c r="F847" s="67" t="s">
        <v>21</v>
      </c>
      <c r="G847" s="24">
        <v>3</v>
      </c>
      <c r="H847" s="24" t="s">
        <v>1325</v>
      </c>
      <c r="I847" s="46">
        <v>43358.653831018521</v>
      </c>
    </row>
    <row r="848" spans="6:9" x14ac:dyDescent="0.25">
      <c r="F848" s="40" t="s">
        <v>168</v>
      </c>
      <c r="G848" s="24">
        <v>2</v>
      </c>
      <c r="H848" s="24" t="s">
        <v>1322</v>
      </c>
      <c r="I848" s="46">
        <v>43358.653784722221</v>
      </c>
    </row>
    <row r="849" spans="6:9" x14ac:dyDescent="0.25">
      <c r="F849" s="67" t="s">
        <v>149</v>
      </c>
      <c r="G849" s="24">
        <v>31</v>
      </c>
      <c r="H849" s="24" t="s">
        <v>1567</v>
      </c>
      <c r="I849" s="46">
        <v>43358.653761574074</v>
      </c>
    </row>
    <row r="850" spans="6:9" x14ac:dyDescent="0.25">
      <c r="F850" s="40" t="s">
        <v>186</v>
      </c>
      <c r="G850" s="24">
        <v>1</v>
      </c>
      <c r="H850" s="24" t="s">
        <v>1322</v>
      </c>
      <c r="I850" s="46">
        <v>43358.653668981482</v>
      </c>
    </row>
    <row r="851" spans="6:9" x14ac:dyDescent="0.25">
      <c r="F851" s="40" t="s">
        <v>182</v>
      </c>
      <c r="G851" s="24">
        <v>5</v>
      </c>
      <c r="H851" s="24" t="s">
        <v>1322</v>
      </c>
      <c r="I851" s="46">
        <v>43358.653599537036</v>
      </c>
    </row>
    <row r="852" spans="6:9" x14ac:dyDescent="0.25">
      <c r="F852" s="40" t="s">
        <v>155</v>
      </c>
      <c r="G852" s="24">
        <v>2</v>
      </c>
      <c r="H852" s="24" t="s">
        <v>1322</v>
      </c>
      <c r="I852" s="46">
        <v>43358.653506944444</v>
      </c>
    </row>
    <row r="853" spans="6:9" x14ac:dyDescent="0.25">
      <c r="F853" s="40" t="s">
        <v>59</v>
      </c>
      <c r="G853" s="24">
        <v>2</v>
      </c>
      <c r="H853" s="24" t="s">
        <v>1322</v>
      </c>
      <c r="I853" s="46">
        <v>43358.653449074074</v>
      </c>
    </row>
    <row r="854" spans="6:9" x14ac:dyDescent="0.25">
      <c r="F854" s="40" t="s">
        <v>1277</v>
      </c>
      <c r="G854" s="24">
        <v>1</v>
      </c>
      <c r="H854" s="24" t="s">
        <v>1322</v>
      </c>
      <c r="I854" s="46">
        <v>43358.653368055559</v>
      </c>
    </row>
    <row r="855" spans="6:9" x14ac:dyDescent="0.25">
      <c r="F855" s="67" t="s">
        <v>51</v>
      </c>
      <c r="G855" s="24">
        <v>1</v>
      </c>
      <c r="H855" s="24" t="s">
        <v>1325</v>
      </c>
      <c r="I855" s="46">
        <v>43358.653298611112</v>
      </c>
    </row>
    <row r="856" spans="6:9" x14ac:dyDescent="0.25">
      <c r="F856" s="67" t="s">
        <v>50</v>
      </c>
      <c r="G856" s="24">
        <v>3</v>
      </c>
      <c r="H856" s="24" t="s">
        <v>1325</v>
      </c>
      <c r="I856" s="46">
        <v>43358.653217592589</v>
      </c>
    </row>
    <row r="857" spans="6:9" x14ac:dyDescent="0.25">
      <c r="F857" s="40" t="s">
        <v>140</v>
      </c>
      <c r="G857" s="24">
        <v>1</v>
      </c>
      <c r="H857" s="24" t="s">
        <v>1322</v>
      </c>
      <c r="I857" s="46">
        <v>43358.653136574074</v>
      </c>
    </row>
    <row r="858" spans="6:9" x14ac:dyDescent="0.25">
      <c r="F858" s="40" t="s">
        <v>232</v>
      </c>
      <c r="G858" s="24">
        <v>1</v>
      </c>
      <c r="H858" s="24" t="s">
        <v>1322</v>
      </c>
      <c r="I858" s="46">
        <v>43358.653020833335</v>
      </c>
    </row>
    <row r="859" spans="6:9" x14ac:dyDescent="0.25">
      <c r="F859" s="67" t="s">
        <v>11</v>
      </c>
      <c r="G859" s="24">
        <v>4</v>
      </c>
      <c r="H859" s="24" t="s">
        <v>1325</v>
      </c>
      <c r="I859" s="46">
        <v>43358.652962962966</v>
      </c>
    </row>
    <row r="860" spans="6:9" x14ac:dyDescent="0.25">
      <c r="F860" s="40" t="s">
        <v>232</v>
      </c>
      <c r="G860" s="24">
        <v>1</v>
      </c>
      <c r="H860" s="24" t="s">
        <v>1318</v>
      </c>
      <c r="I860" s="46">
        <v>43358.652928240743</v>
      </c>
    </row>
    <row r="861" spans="6:9" x14ac:dyDescent="0.25">
      <c r="F861" s="40" t="s">
        <v>121</v>
      </c>
      <c r="G861" s="24">
        <v>2</v>
      </c>
      <c r="H861" s="24" t="s">
        <v>1322</v>
      </c>
      <c r="I861" s="46">
        <v>43358.652905092589</v>
      </c>
    </row>
    <row r="862" spans="6:9" x14ac:dyDescent="0.25">
      <c r="F862" s="40" t="s">
        <v>355</v>
      </c>
      <c r="G862" s="24">
        <v>5</v>
      </c>
      <c r="H862" s="24" t="s">
        <v>1318</v>
      </c>
      <c r="I862" s="46">
        <v>43358.65283564815</v>
      </c>
    </row>
    <row r="863" spans="6:9" x14ac:dyDescent="0.25">
      <c r="F863" s="67" t="s">
        <v>121</v>
      </c>
      <c r="G863" s="24">
        <v>1</v>
      </c>
      <c r="H863" s="24" t="s">
        <v>1325</v>
      </c>
      <c r="I863" s="46">
        <v>43358.652789351851</v>
      </c>
    </row>
    <row r="864" spans="6:9" x14ac:dyDescent="0.25">
      <c r="F864" s="40" t="s">
        <v>145</v>
      </c>
      <c r="G864" s="24">
        <v>1</v>
      </c>
      <c r="H864" s="24" t="s">
        <v>1322</v>
      </c>
      <c r="I864" s="46">
        <v>43358.652777777781</v>
      </c>
    </row>
    <row r="865" spans="6:9" x14ac:dyDescent="0.25">
      <c r="F865" s="40" t="s">
        <v>349</v>
      </c>
      <c r="G865" s="24">
        <v>43</v>
      </c>
      <c r="H865" s="24" t="s">
        <v>1318</v>
      </c>
      <c r="I865" s="46">
        <v>43358.652708333335</v>
      </c>
    </row>
    <row r="866" spans="6:9" x14ac:dyDescent="0.25">
      <c r="F866" s="40" t="s">
        <v>118</v>
      </c>
      <c r="G866" s="24">
        <v>3</v>
      </c>
      <c r="H866" s="24" t="s">
        <v>1322</v>
      </c>
      <c r="I866" s="46">
        <v>43358.652696759258</v>
      </c>
    </row>
    <row r="867" spans="6:9" x14ac:dyDescent="0.25">
      <c r="F867" s="40" t="s">
        <v>266</v>
      </c>
      <c r="G867" s="24">
        <v>1</v>
      </c>
      <c r="H867" s="24" t="s">
        <v>1318</v>
      </c>
      <c r="I867" s="46">
        <v>43358.652615740742</v>
      </c>
    </row>
    <row r="868" spans="6:9" x14ac:dyDescent="0.25">
      <c r="F868" s="40" t="s">
        <v>149</v>
      </c>
      <c r="G868" s="24">
        <v>8</v>
      </c>
      <c r="H868" s="24" t="s">
        <v>1322</v>
      </c>
      <c r="I868" s="46">
        <v>43358.652569444443</v>
      </c>
    </row>
    <row r="869" spans="6:9" x14ac:dyDescent="0.25">
      <c r="F869" s="67" t="s">
        <v>4</v>
      </c>
      <c r="G869" s="24">
        <v>2</v>
      </c>
      <c r="H869" s="24" t="s">
        <v>1325</v>
      </c>
      <c r="I869" s="46">
        <v>43358.652453703704</v>
      </c>
    </row>
    <row r="870" spans="6:9" x14ac:dyDescent="0.25">
      <c r="F870" s="67" t="s">
        <v>149</v>
      </c>
      <c r="G870" s="24">
        <v>10</v>
      </c>
      <c r="H870" s="24" t="s">
        <v>1325</v>
      </c>
      <c r="I870" s="46">
        <v>43358.652384259258</v>
      </c>
    </row>
    <row r="871" spans="6:9" x14ac:dyDescent="0.25">
      <c r="F871" s="40" t="s">
        <v>39</v>
      </c>
      <c r="G871" s="24">
        <v>1</v>
      </c>
      <c r="H871" s="24" t="s">
        <v>1318</v>
      </c>
      <c r="I871" s="46">
        <v>43358.652349537035</v>
      </c>
    </row>
    <row r="872" spans="6:9" x14ac:dyDescent="0.25">
      <c r="F872" s="40" t="s">
        <v>152</v>
      </c>
      <c r="G872" s="24">
        <v>1</v>
      </c>
      <c r="H872" s="24" t="s">
        <v>1318</v>
      </c>
      <c r="I872" s="46">
        <v>43358.652291666665</v>
      </c>
    </row>
    <row r="873" spans="6:9" x14ac:dyDescent="0.25">
      <c r="F873" s="67" t="s">
        <v>165</v>
      </c>
      <c r="G873" s="24">
        <v>1</v>
      </c>
      <c r="H873" s="24" t="s">
        <v>1325</v>
      </c>
      <c r="I873" s="46">
        <v>43358.652048611111</v>
      </c>
    </row>
    <row r="874" spans="6:9" x14ac:dyDescent="0.25">
      <c r="F874" s="40" t="s">
        <v>11</v>
      </c>
      <c r="G874" s="24">
        <v>11</v>
      </c>
      <c r="H874" s="24" t="s">
        <v>1322</v>
      </c>
      <c r="I874" s="46">
        <v>43358.652048611111</v>
      </c>
    </row>
    <row r="875" spans="6:9" x14ac:dyDescent="0.25">
      <c r="F875" s="40" t="s">
        <v>146</v>
      </c>
      <c r="G875" s="24">
        <v>13</v>
      </c>
      <c r="H875" s="24" t="s">
        <v>1322</v>
      </c>
      <c r="I875" s="46">
        <v>43358.651967592596</v>
      </c>
    </row>
    <row r="876" spans="6:9" x14ac:dyDescent="0.25">
      <c r="F876" s="40" t="s">
        <v>149</v>
      </c>
      <c r="G876" s="24">
        <v>10</v>
      </c>
      <c r="H876" s="24" t="s">
        <v>1322</v>
      </c>
      <c r="I876" s="46">
        <v>43358.651759259257</v>
      </c>
    </row>
    <row r="877" spans="6:9" x14ac:dyDescent="0.25">
      <c r="F877" s="67" t="s">
        <v>181</v>
      </c>
      <c r="G877" s="24">
        <v>1</v>
      </c>
      <c r="H877" s="24" t="s">
        <v>1325</v>
      </c>
      <c r="I877" s="46">
        <v>43358.651469907411</v>
      </c>
    </row>
    <row r="878" spans="6:9" x14ac:dyDescent="0.25">
      <c r="F878" s="40" t="s">
        <v>59</v>
      </c>
      <c r="G878" s="24">
        <v>7</v>
      </c>
      <c r="H878" s="24" t="s">
        <v>1322</v>
      </c>
      <c r="I878" s="46">
        <v>43358.651458333334</v>
      </c>
    </row>
    <row r="879" spans="6:9" x14ac:dyDescent="0.25">
      <c r="F879" s="67" t="s">
        <v>186</v>
      </c>
      <c r="G879" s="24">
        <v>1</v>
      </c>
      <c r="H879" s="24" t="s">
        <v>1325</v>
      </c>
      <c r="I879" s="46">
        <v>43358.651400462964</v>
      </c>
    </row>
    <row r="880" spans="6:9" x14ac:dyDescent="0.25">
      <c r="F880" s="40" t="s">
        <v>1376</v>
      </c>
      <c r="G880" s="24">
        <v>1</v>
      </c>
      <c r="H880" s="24" t="s">
        <v>1322</v>
      </c>
      <c r="I880" s="46">
        <v>43358.651365740741</v>
      </c>
    </row>
    <row r="881" spans="6:9" x14ac:dyDescent="0.25">
      <c r="F881" s="67" t="s">
        <v>184</v>
      </c>
      <c r="G881" s="24">
        <v>1</v>
      </c>
      <c r="H881" s="24" t="s">
        <v>1325</v>
      </c>
      <c r="I881" s="46">
        <v>43358.651319444441</v>
      </c>
    </row>
    <row r="882" spans="6:9" x14ac:dyDescent="0.25">
      <c r="F882" s="67" t="s">
        <v>146</v>
      </c>
      <c r="G882" s="24">
        <v>6</v>
      </c>
      <c r="H882" s="24" t="s">
        <v>1325</v>
      </c>
      <c r="I882" s="46">
        <v>43358.651203703703</v>
      </c>
    </row>
    <row r="883" spans="6:9" x14ac:dyDescent="0.25">
      <c r="F883" s="40" t="s">
        <v>349</v>
      </c>
      <c r="G883" s="24">
        <v>17</v>
      </c>
      <c r="H883" s="24" t="s">
        <v>1322</v>
      </c>
      <c r="I883" s="46">
        <v>43358.651180555556</v>
      </c>
    </row>
    <row r="884" spans="6:9" x14ac:dyDescent="0.25">
      <c r="F884" s="40" t="s">
        <v>65</v>
      </c>
      <c r="G884" s="24">
        <v>6</v>
      </c>
      <c r="H884" s="24" t="s">
        <v>1318</v>
      </c>
      <c r="I884" s="46">
        <v>43358.651087962964</v>
      </c>
    </row>
    <row r="885" spans="6:9" x14ac:dyDescent="0.25">
      <c r="F885" s="40" t="s">
        <v>59</v>
      </c>
      <c r="G885" s="24">
        <v>6</v>
      </c>
      <c r="H885" s="24" t="s">
        <v>1318</v>
      </c>
      <c r="I885" s="46">
        <v>43358.651018518518</v>
      </c>
    </row>
    <row r="886" spans="6:9" x14ac:dyDescent="0.25">
      <c r="F886" s="40" t="s">
        <v>186</v>
      </c>
      <c r="G886" s="24">
        <v>1</v>
      </c>
      <c r="H886" s="24" t="s">
        <v>1321</v>
      </c>
      <c r="I886" s="46">
        <v>43358.650949074072</v>
      </c>
    </row>
    <row r="887" spans="6:9" x14ac:dyDescent="0.25">
      <c r="F887" s="40" t="s">
        <v>56</v>
      </c>
      <c r="G887" s="24">
        <v>1</v>
      </c>
      <c r="H887" s="24" t="s">
        <v>1318</v>
      </c>
      <c r="I887" s="46">
        <v>43358.650914351849</v>
      </c>
    </row>
    <row r="888" spans="6:9" x14ac:dyDescent="0.25">
      <c r="F888" s="40" t="s">
        <v>184</v>
      </c>
      <c r="G888" s="24">
        <v>2</v>
      </c>
      <c r="H888" s="24" t="s">
        <v>1321</v>
      </c>
      <c r="I888" s="46">
        <v>43358.650856481479</v>
      </c>
    </row>
    <row r="889" spans="6:9" x14ac:dyDescent="0.25">
      <c r="F889" s="40" t="s">
        <v>58</v>
      </c>
      <c r="G889" s="24">
        <v>18</v>
      </c>
      <c r="H889" s="24" t="s">
        <v>1318</v>
      </c>
      <c r="I889" s="46">
        <v>43358.650833333333</v>
      </c>
    </row>
    <row r="890" spans="6:9" x14ac:dyDescent="0.25">
      <c r="F890" s="40" t="s">
        <v>144</v>
      </c>
      <c r="G890" s="24">
        <v>2</v>
      </c>
      <c r="H890" s="24" t="s">
        <v>1321</v>
      </c>
      <c r="I890" s="46">
        <v>43358.65053240741</v>
      </c>
    </row>
    <row r="891" spans="6:9" x14ac:dyDescent="0.25">
      <c r="F891" s="40" t="s">
        <v>52</v>
      </c>
      <c r="G891" s="24">
        <v>1</v>
      </c>
      <c r="H891" s="24" t="s">
        <v>1321</v>
      </c>
      <c r="I891" s="46">
        <v>43358.650451388887</v>
      </c>
    </row>
    <row r="892" spans="6:9" x14ac:dyDescent="0.25">
      <c r="F892" s="40" t="s">
        <v>52</v>
      </c>
      <c r="G892" s="24">
        <v>1</v>
      </c>
      <c r="H892" s="24" t="s">
        <v>1321</v>
      </c>
      <c r="I892" s="46">
        <v>43358.650335648148</v>
      </c>
    </row>
    <row r="893" spans="6:9" x14ac:dyDescent="0.25">
      <c r="F893" s="40" t="s">
        <v>51</v>
      </c>
      <c r="G893" s="24">
        <v>1</v>
      </c>
      <c r="H893" s="24" t="s">
        <v>1318</v>
      </c>
      <c r="I893" s="46">
        <v>43358.65016203704</v>
      </c>
    </row>
    <row r="894" spans="6:9" x14ac:dyDescent="0.25">
      <c r="F894" s="40" t="s">
        <v>262</v>
      </c>
      <c r="G894" s="24">
        <v>1</v>
      </c>
      <c r="H894" s="24" t="s">
        <v>1318</v>
      </c>
      <c r="I894" s="46">
        <v>43358.650081018517</v>
      </c>
    </row>
    <row r="895" spans="6:9" x14ac:dyDescent="0.25">
      <c r="F895" s="40" t="s">
        <v>40</v>
      </c>
      <c r="G895" s="24">
        <v>3</v>
      </c>
      <c r="H895" s="24" t="s">
        <v>1318</v>
      </c>
      <c r="I895" s="46">
        <v>43358.649942129632</v>
      </c>
    </row>
    <row r="896" spans="6:9" x14ac:dyDescent="0.25">
      <c r="F896" s="40" t="s">
        <v>239</v>
      </c>
      <c r="G896" s="24">
        <v>1</v>
      </c>
      <c r="H896" s="24" t="s">
        <v>1321</v>
      </c>
      <c r="I896" s="46">
        <v>43358.649687500001</v>
      </c>
    </row>
    <row r="897" spans="6:9" x14ac:dyDescent="0.25">
      <c r="F897" s="40" t="s">
        <v>183</v>
      </c>
      <c r="G897" s="24">
        <v>1</v>
      </c>
      <c r="H897" s="24" t="s">
        <v>1318</v>
      </c>
      <c r="I897" s="46">
        <v>43358.649664351855</v>
      </c>
    </row>
    <row r="898" spans="6:9" x14ac:dyDescent="0.25">
      <c r="F898" s="40" t="s">
        <v>36</v>
      </c>
      <c r="G898" s="24">
        <v>3</v>
      </c>
      <c r="H898" s="24" t="s">
        <v>1321</v>
      </c>
      <c r="I898" s="46">
        <v>43358.649456018517</v>
      </c>
    </row>
    <row r="899" spans="6:9" x14ac:dyDescent="0.25">
      <c r="F899" s="40" t="s">
        <v>186</v>
      </c>
      <c r="G899" s="24">
        <v>1</v>
      </c>
      <c r="H899" s="24" t="s">
        <v>1318</v>
      </c>
      <c r="I899" s="46">
        <v>43358.649444444447</v>
      </c>
    </row>
    <row r="900" spans="6:9" x14ac:dyDescent="0.25">
      <c r="F900" s="40" t="s">
        <v>138</v>
      </c>
      <c r="G900" s="24">
        <v>1</v>
      </c>
      <c r="H900" s="24" t="s">
        <v>1318</v>
      </c>
      <c r="I900" s="46">
        <v>43358.649363425924</v>
      </c>
    </row>
    <row r="901" spans="6:9" x14ac:dyDescent="0.25">
      <c r="F901" s="40" t="s">
        <v>344</v>
      </c>
      <c r="G901" s="24">
        <v>1</v>
      </c>
      <c r="H901" s="24" t="s">
        <v>1321</v>
      </c>
      <c r="I901" s="46">
        <v>43358.649293981478</v>
      </c>
    </row>
    <row r="902" spans="6:9" x14ac:dyDescent="0.25">
      <c r="F902" s="40" t="s">
        <v>146</v>
      </c>
      <c r="G902" s="24">
        <v>15</v>
      </c>
      <c r="H902" s="24" t="s">
        <v>1318</v>
      </c>
      <c r="I902" s="46">
        <v>43358.649259259262</v>
      </c>
    </row>
    <row r="903" spans="6:9" x14ac:dyDescent="0.25">
      <c r="F903" s="40" t="s">
        <v>39</v>
      </c>
      <c r="G903" s="24">
        <v>1</v>
      </c>
      <c r="H903" s="24" t="s">
        <v>1321</v>
      </c>
      <c r="I903" s="46">
        <v>43358.649201388886</v>
      </c>
    </row>
    <row r="904" spans="6:9" x14ac:dyDescent="0.25">
      <c r="F904" s="40" t="s">
        <v>50</v>
      </c>
      <c r="G904" s="24">
        <v>3</v>
      </c>
      <c r="H904" s="24" t="s">
        <v>1321</v>
      </c>
      <c r="I904" s="46">
        <v>43358.649085648147</v>
      </c>
    </row>
    <row r="905" spans="6:9" x14ac:dyDescent="0.25">
      <c r="F905" s="40" t="s">
        <v>3</v>
      </c>
      <c r="G905" s="24">
        <v>4</v>
      </c>
      <c r="H905" s="24" t="s">
        <v>1318</v>
      </c>
      <c r="I905" s="46">
        <v>43358.648969907408</v>
      </c>
    </row>
    <row r="906" spans="6:9" x14ac:dyDescent="0.25">
      <c r="F906" s="40" t="s">
        <v>4</v>
      </c>
      <c r="G906" s="24">
        <v>1</v>
      </c>
      <c r="H906" s="24" t="s">
        <v>1318</v>
      </c>
      <c r="I906" s="46">
        <v>43358.648923611108</v>
      </c>
    </row>
    <row r="907" spans="6:9" x14ac:dyDescent="0.25">
      <c r="F907" s="40" t="s">
        <v>144</v>
      </c>
      <c r="G907" s="24">
        <v>2</v>
      </c>
      <c r="H907" s="24" t="s">
        <v>1318</v>
      </c>
      <c r="I907" s="46">
        <v>43358.648796296293</v>
      </c>
    </row>
    <row r="908" spans="6:9" x14ac:dyDescent="0.25">
      <c r="F908" s="40" t="s">
        <v>160</v>
      </c>
      <c r="G908" s="24">
        <v>1</v>
      </c>
      <c r="H908" s="24" t="s">
        <v>1318</v>
      </c>
      <c r="I908" s="46">
        <v>43358.648738425924</v>
      </c>
    </row>
    <row r="909" spans="6:9" x14ac:dyDescent="0.25">
      <c r="F909" s="40" t="s">
        <v>121</v>
      </c>
      <c r="G909" s="24">
        <v>4</v>
      </c>
      <c r="H909" s="24" t="s">
        <v>1318</v>
      </c>
      <c r="I909" s="46">
        <v>43358.648680555554</v>
      </c>
    </row>
    <row r="910" spans="6:9" x14ac:dyDescent="0.25">
      <c r="F910" s="40" t="s">
        <v>2</v>
      </c>
      <c r="G910" s="24">
        <v>2</v>
      </c>
      <c r="H910" s="24" t="s">
        <v>1318</v>
      </c>
      <c r="I910" s="46">
        <v>43358.648599537039</v>
      </c>
    </row>
    <row r="911" spans="6:9" x14ac:dyDescent="0.25">
      <c r="F911" s="40" t="s">
        <v>21</v>
      </c>
      <c r="G911" s="24">
        <v>4</v>
      </c>
      <c r="H911" s="24" t="s">
        <v>1318</v>
      </c>
      <c r="I911" s="46">
        <v>43358.648506944446</v>
      </c>
    </row>
    <row r="912" spans="6:9" x14ac:dyDescent="0.25">
      <c r="F912" s="40" t="s">
        <v>11</v>
      </c>
      <c r="G912" s="24">
        <v>14</v>
      </c>
      <c r="H912" s="24" t="s">
        <v>1318</v>
      </c>
      <c r="I912" s="46">
        <v>43358.648402777777</v>
      </c>
    </row>
    <row r="913" spans="6:9" x14ac:dyDescent="0.25">
      <c r="F913" s="40" t="s">
        <v>370</v>
      </c>
      <c r="G913" s="24">
        <v>1</v>
      </c>
      <c r="H913" s="24" t="s">
        <v>1318</v>
      </c>
      <c r="I913" s="46">
        <v>43358.648287037038</v>
      </c>
    </row>
    <row r="914" spans="6:9" x14ac:dyDescent="0.25">
      <c r="F914" s="40" t="s">
        <v>4</v>
      </c>
      <c r="G914" s="24">
        <v>2</v>
      </c>
      <c r="H914" s="24" t="s">
        <v>1321</v>
      </c>
      <c r="I914" s="46">
        <v>43358.648136574076</v>
      </c>
    </row>
    <row r="915" spans="6:9" x14ac:dyDescent="0.25">
      <c r="F915" s="40" t="s">
        <v>155</v>
      </c>
      <c r="G915" s="24">
        <v>3</v>
      </c>
      <c r="H915" s="24" t="s">
        <v>1318</v>
      </c>
      <c r="I915" s="46">
        <v>43358.648101851853</v>
      </c>
    </row>
    <row r="916" spans="6:9" x14ac:dyDescent="0.25">
      <c r="F916" s="40" t="s">
        <v>11</v>
      </c>
      <c r="G916" s="24">
        <v>1</v>
      </c>
      <c r="H916" s="24" t="s">
        <v>1321</v>
      </c>
      <c r="I916" s="46">
        <v>43358.647997685184</v>
      </c>
    </row>
    <row r="917" spans="6:9" x14ac:dyDescent="0.25">
      <c r="F917" s="40" t="s">
        <v>155</v>
      </c>
      <c r="G917" s="24">
        <v>13</v>
      </c>
      <c r="H917" s="24" t="s">
        <v>1318</v>
      </c>
      <c r="I917" s="46">
        <v>43358.647696759261</v>
      </c>
    </row>
    <row r="918" spans="6:9" x14ac:dyDescent="0.25">
      <c r="F918" s="40" t="s">
        <v>182</v>
      </c>
      <c r="G918" s="24">
        <v>8</v>
      </c>
      <c r="H918" s="24" t="s">
        <v>1321</v>
      </c>
      <c r="I918" s="46">
        <v>43358.647291666668</v>
      </c>
    </row>
    <row r="919" spans="6:9" x14ac:dyDescent="0.25">
      <c r="F919" s="40" t="s">
        <v>21</v>
      </c>
      <c r="G919" s="24">
        <v>5</v>
      </c>
      <c r="H919" s="24" t="s">
        <v>1321</v>
      </c>
      <c r="I919" s="46">
        <v>43358.647210648145</v>
      </c>
    </row>
    <row r="920" spans="6:9" x14ac:dyDescent="0.25">
      <c r="F920" s="40" t="s">
        <v>121</v>
      </c>
      <c r="G920" s="24">
        <v>6</v>
      </c>
      <c r="H920" s="24" t="s">
        <v>1321</v>
      </c>
      <c r="I920" s="46">
        <v>43358.64702546296</v>
      </c>
    </row>
    <row r="921" spans="6:9" x14ac:dyDescent="0.25">
      <c r="F921" s="40" t="s">
        <v>149</v>
      </c>
      <c r="G921" s="24">
        <v>27</v>
      </c>
      <c r="H921" s="24" t="s">
        <v>1318</v>
      </c>
      <c r="I921" s="46">
        <v>43358.647013888891</v>
      </c>
    </row>
    <row r="922" spans="6:9" x14ac:dyDescent="0.25">
      <c r="F922" s="40" t="s">
        <v>1377</v>
      </c>
      <c r="G922" s="24">
        <v>1</v>
      </c>
      <c r="H922" s="24" t="s">
        <v>1321</v>
      </c>
      <c r="I922" s="46">
        <v>43358.646909722222</v>
      </c>
    </row>
    <row r="923" spans="6:9" x14ac:dyDescent="0.25">
      <c r="F923" s="40" t="s">
        <v>65</v>
      </c>
      <c r="G923" s="24">
        <v>2</v>
      </c>
      <c r="H923" s="24" t="s">
        <v>1321</v>
      </c>
      <c r="I923" s="46">
        <v>43358.646805555552</v>
      </c>
    </row>
    <row r="924" spans="6:9" x14ac:dyDescent="0.25">
      <c r="F924" s="40" t="s">
        <v>65</v>
      </c>
      <c r="G924" s="24">
        <v>1</v>
      </c>
      <c r="H924" s="24" t="s">
        <v>1321</v>
      </c>
      <c r="I924" s="46">
        <v>43358.646678240744</v>
      </c>
    </row>
    <row r="925" spans="6:9" x14ac:dyDescent="0.25">
      <c r="F925" s="40" t="s">
        <v>201</v>
      </c>
      <c r="G925" s="24">
        <v>1</v>
      </c>
      <c r="H925" s="24" t="s">
        <v>1317</v>
      </c>
      <c r="I925" s="46">
        <v>43358.646504629629</v>
      </c>
    </row>
    <row r="926" spans="6:9" x14ac:dyDescent="0.25">
      <c r="F926" s="40" t="s">
        <v>201</v>
      </c>
      <c r="G926" s="24">
        <v>1</v>
      </c>
      <c r="H926" s="24" t="s">
        <v>1317</v>
      </c>
      <c r="I926" s="46">
        <v>43358.646469907406</v>
      </c>
    </row>
    <row r="927" spans="6:9" x14ac:dyDescent="0.25">
      <c r="F927" s="40" t="s">
        <v>40</v>
      </c>
      <c r="G927" s="24">
        <v>1</v>
      </c>
      <c r="H927" s="24" t="s">
        <v>1317</v>
      </c>
      <c r="I927" s="46">
        <v>43358.646365740744</v>
      </c>
    </row>
    <row r="928" spans="6:9" x14ac:dyDescent="0.25">
      <c r="F928" s="40" t="s">
        <v>59</v>
      </c>
      <c r="G928" s="24">
        <v>1</v>
      </c>
      <c r="H928" s="24" t="s">
        <v>1321</v>
      </c>
      <c r="I928" s="46">
        <v>43358.646319444444</v>
      </c>
    </row>
    <row r="929" spans="6:9" x14ac:dyDescent="0.25">
      <c r="F929" s="40" t="s">
        <v>262</v>
      </c>
      <c r="G929" s="24">
        <v>1</v>
      </c>
      <c r="H929" s="24" t="s">
        <v>1317</v>
      </c>
      <c r="I929" s="46">
        <v>43358.646261574075</v>
      </c>
    </row>
    <row r="930" spans="6:9" x14ac:dyDescent="0.25">
      <c r="F930" s="40" t="s">
        <v>58</v>
      </c>
      <c r="G930" s="24">
        <v>4</v>
      </c>
      <c r="H930" s="24" t="s">
        <v>1321</v>
      </c>
      <c r="I930" s="46">
        <v>43358.646238425928</v>
      </c>
    </row>
    <row r="931" spans="6:9" x14ac:dyDescent="0.25">
      <c r="F931" s="40" t="s">
        <v>336</v>
      </c>
      <c r="G931" s="24">
        <v>1</v>
      </c>
      <c r="H931" s="24" t="s">
        <v>1317</v>
      </c>
      <c r="I931" s="46">
        <v>43358.646203703705</v>
      </c>
    </row>
    <row r="932" spans="6:9" x14ac:dyDescent="0.25">
      <c r="F932" s="40" t="s">
        <v>336</v>
      </c>
      <c r="G932" s="24">
        <v>1</v>
      </c>
      <c r="H932" s="24" t="s">
        <v>1317</v>
      </c>
      <c r="I932" s="46">
        <v>43358.646168981482</v>
      </c>
    </row>
    <row r="933" spans="6:9" x14ac:dyDescent="0.25">
      <c r="F933" s="40" t="s">
        <v>1277</v>
      </c>
      <c r="G933" s="24">
        <v>1</v>
      </c>
      <c r="H933" s="24" t="s">
        <v>1317</v>
      </c>
      <c r="I933" s="46">
        <v>43358.64607638889</v>
      </c>
    </row>
    <row r="934" spans="6:9" x14ac:dyDescent="0.25">
      <c r="F934" s="40" t="s">
        <v>149</v>
      </c>
      <c r="G934" s="24">
        <v>1</v>
      </c>
      <c r="H934" s="24" t="s">
        <v>1317</v>
      </c>
      <c r="I934" s="46">
        <v>43358.645914351851</v>
      </c>
    </row>
    <row r="935" spans="6:9" x14ac:dyDescent="0.25">
      <c r="F935" s="40" t="s">
        <v>52</v>
      </c>
      <c r="G935" s="24">
        <v>1</v>
      </c>
      <c r="H935" s="24" t="s">
        <v>1317</v>
      </c>
      <c r="I935" s="46">
        <v>43358.645775462966</v>
      </c>
    </row>
    <row r="936" spans="6:9" x14ac:dyDescent="0.25">
      <c r="F936" s="40" t="s">
        <v>50</v>
      </c>
      <c r="G936" s="24">
        <v>4</v>
      </c>
      <c r="H936" s="24" t="s">
        <v>1317</v>
      </c>
      <c r="I936" s="46">
        <v>43358.645682870374</v>
      </c>
    </row>
    <row r="937" spans="6:9" x14ac:dyDescent="0.25">
      <c r="F937" s="40" t="s">
        <v>11</v>
      </c>
      <c r="G937" s="24">
        <v>11</v>
      </c>
      <c r="H937" s="24" t="s">
        <v>1317</v>
      </c>
      <c r="I937" s="46">
        <v>43358.645509259259</v>
      </c>
    </row>
    <row r="938" spans="6:9" x14ac:dyDescent="0.25">
      <c r="F938" s="40" t="s">
        <v>1282</v>
      </c>
      <c r="G938" s="24">
        <v>1</v>
      </c>
      <c r="H938" s="24" t="s">
        <v>1317</v>
      </c>
      <c r="I938" s="46">
        <v>43358.645405092589</v>
      </c>
    </row>
    <row r="939" spans="6:9" x14ac:dyDescent="0.25">
      <c r="F939" s="40" t="s">
        <v>149</v>
      </c>
      <c r="G939" s="24">
        <v>7</v>
      </c>
      <c r="H939" s="24" t="s">
        <v>1321</v>
      </c>
      <c r="I939" s="46">
        <v>43358.645208333335</v>
      </c>
    </row>
    <row r="940" spans="6:9" x14ac:dyDescent="0.25">
      <c r="F940" s="40" t="s">
        <v>155</v>
      </c>
      <c r="G940" s="24">
        <v>11</v>
      </c>
      <c r="H940" s="24" t="s">
        <v>1321</v>
      </c>
      <c r="I940" s="46">
        <v>43358.644953703704</v>
      </c>
    </row>
    <row r="941" spans="6:9" x14ac:dyDescent="0.25">
      <c r="F941" s="40" t="s">
        <v>121</v>
      </c>
      <c r="G941" s="24">
        <v>5</v>
      </c>
      <c r="H941" s="24" t="s">
        <v>1317</v>
      </c>
      <c r="I941" s="46">
        <v>43358.644895833335</v>
      </c>
    </row>
    <row r="942" spans="6:9" x14ac:dyDescent="0.25">
      <c r="F942" s="40" t="s">
        <v>140</v>
      </c>
      <c r="G942" s="24">
        <v>2</v>
      </c>
      <c r="H942" s="24" t="s">
        <v>1317</v>
      </c>
      <c r="I942" s="46">
        <v>43358.644791666666</v>
      </c>
    </row>
    <row r="943" spans="6:9" x14ac:dyDescent="0.25">
      <c r="F943" s="40" t="s">
        <v>160</v>
      </c>
      <c r="G943" s="24">
        <v>1</v>
      </c>
      <c r="H943" s="24" t="s">
        <v>1317</v>
      </c>
      <c r="I943" s="46">
        <v>43358.64471064815</v>
      </c>
    </row>
    <row r="944" spans="6:9" x14ac:dyDescent="0.25">
      <c r="F944" s="40" t="s">
        <v>184</v>
      </c>
      <c r="G944" s="24">
        <v>2</v>
      </c>
      <c r="H944" s="24" t="s">
        <v>1317</v>
      </c>
      <c r="I944" s="46">
        <v>43358.644560185188</v>
      </c>
    </row>
    <row r="945" spans="6:9" x14ac:dyDescent="0.25">
      <c r="F945" s="40" t="s">
        <v>186</v>
      </c>
      <c r="G945" s="24">
        <v>4</v>
      </c>
      <c r="H945" s="24" t="s">
        <v>1317</v>
      </c>
      <c r="I945" s="46">
        <v>43358.644328703704</v>
      </c>
    </row>
    <row r="946" spans="6:9" x14ac:dyDescent="0.25">
      <c r="F946" s="40" t="s">
        <v>184</v>
      </c>
      <c r="G946" s="24">
        <v>3</v>
      </c>
      <c r="H946" s="24" t="s">
        <v>1317</v>
      </c>
      <c r="I946" s="46">
        <v>43358.644247685188</v>
      </c>
    </row>
    <row r="947" spans="6:9" x14ac:dyDescent="0.25">
      <c r="F947" s="40" t="s">
        <v>118</v>
      </c>
      <c r="G947" s="24">
        <v>1</v>
      </c>
      <c r="H947" s="24" t="s">
        <v>1321</v>
      </c>
      <c r="I947" s="46">
        <v>43358.644131944442</v>
      </c>
    </row>
    <row r="948" spans="6:9" x14ac:dyDescent="0.25">
      <c r="F948" s="40" t="s">
        <v>182</v>
      </c>
      <c r="G948" s="24">
        <v>20</v>
      </c>
      <c r="H948" s="24" t="s">
        <v>1317</v>
      </c>
      <c r="I948" s="46">
        <v>43358.644062500003</v>
      </c>
    </row>
    <row r="949" spans="6:9" x14ac:dyDescent="0.25">
      <c r="F949" s="40" t="s">
        <v>146</v>
      </c>
      <c r="G949" s="24">
        <v>11</v>
      </c>
      <c r="H949" s="24" t="s">
        <v>1321</v>
      </c>
      <c r="I949" s="46">
        <v>43358.643958333334</v>
      </c>
    </row>
    <row r="950" spans="6:9" x14ac:dyDescent="0.25">
      <c r="F950" s="40" t="s">
        <v>146</v>
      </c>
      <c r="G950" s="24">
        <v>10</v>
      </c>
      <c r="H950" s="24" t="s">
        <v>1317</v>
      </c>
      <c r="I950" s="46">
        <v>43358.643877314818</v>
      </c>
    </row>
    <row r="951" spans="6:9" x14ac:dyDescent="0.25">
      <c r="F951" s="40" t="s">
        <v>149</v>
      </c>
      <c r="G951" s="24">
        <v>2</v>
      </c>
      <c r="H951" s="24" t="s">
        <v>1321</v>
      </c>
      <c r="I951" s="46">
        <v>43358.643854166665</v>
      </c>
    </row>
    <row r="952" spans="6:9" x14ac:dyDescent="0.25">
      <c r="F952" s="40" t="s">
        <v>11</v>
      </c>
      <c r="G952" s="24">
        <v>5</v>
      </c>
      <c r="H952" s="24" t="s">
        <v>1321</v>
      </c>
      <c r="I952" s="46">
        <v>43358.643761574072</v>
      </c>
    </row>
    <row r="953" spans="6:9" x14ac:dyDescent="0.25">
      <c r="F953" s="40" t="s">
        <v>62</v>
      </c>
      <c r="G953" s="24">
        <v>1</v>
      </c>
      <c r="H953" s="24" t="s">
        <v>1317</v>
      </c>
      <c r="I953" s="46">
        <v>43358.643692129626</v>
      </c>
    </row>
    <row r="954" spans="6:9" x14ac:dyDescent="0.25">
      <c r="F954" s="40" t="s">
        <v>170</v>
      </c>
      <c r="G954" s="24">
        <v>2</v>
      </c>
      <c r="H954" s="24" t="s">
        <v>1317</v>
      </c>
      <c r="I954" s="46">
        <v>43358.643645833334</v>
      </c>
    </row>
    <row r="955" spans="6:9" x14ac:dyDescent="0.25">
      <c r="F955" s="40" t="s">
        <v>259</v>
      </c>
      <c r="G955" s="24">
        <v>1</v>
      </c>
      <c r="H955" s="24" t="s">
        <v>1321</v>
      </c>
      <c r="I955" s="46">
        <v>43358.643622685187</v>
      </c>
    </row>
    <row r="956" spans="6:9" x14ac:dyDescent="0.25">
      <c r="F956" s="40" t="s">
        <v>29</v>
      </c>
      <c r="G956" s="24">
        <v>2</v>
      </c>
      <c r="H956" s="24" t="s">
        <v>1317</v>
      </c>
      <c r="I956" s="46">
        <v>43358.643587962964</v>
      </c>
    </row>
    <row r="957" spans="6:9" x14ac:dyDescent="0.25">
      <c r="F957" s="40" t="s">
        <v>39</v>
      </c>
      <c r="G957" s="24">
        <v>12</v>
      </c>
      <c r="H957" s="24" t="s">
        <v>1317</v>
      </c>
      <c r="I957" s="46">
        <v>43358.643541666665</v>
      </c>
    </row>
    <row r="958" spans="6:9" x14ac:dyDescent="0.25">
      <c r="F958" s="40" t="s">
        <v>1024</v>
      </c>
      <c r="G958" s="24">
        <v>1</v>
      </c>
      <c r="H958" s="24" t="s">
        <v>1321</v>
      </c>
      <c r="I958" s="46">
        <v>43358.643530092595</v>
      </c>
    </row>
    <row r="959" spans="6:9" x14ac:dyDescent="0.25">
      <c r="F959" s="40" t="s">
        <v>263</v>
      </c>
      <c r="G959" s="24">
        <v>1</v>
      </c>
      <c r="H959" s="24" t="s">
        <v>1321</v>
      </c>
      <c r="I959" s="46">
        <v>43358.643449074072</v>
      </c>
    </row>
    <row r="960" spans="6:9" x14ac:dyDescent="0.25">
      <c r="F960" s="40" t="s">
        <v>349</v>
      </c>
      <c r="G960" s="24">
        <v>21</v>
      </c>
      <c r="H960" s="24" t="s">
        <v>1317</v>
      </c>
      <c r="I960" s="46">
        <v>43358.64335648148</v>
      </c>
    </row>
    <row r="961" spans="6:9" x14ac:dyDescent="0.25">
      <c r="F961" s="40" t="s">
        <v>355</v>
      </c>
      <c r="G961" s="24">
        <v>1</v>
      </c>
      <c r="H961" s="24" t="s">
        <v>1317</v>
      </c>
      <c r="I961" s="46">
        <v>43358.643287037034</v>
      </c>
    </row>
    <row r="962" spans="6:9" x14ac:dyDescent="0.25">
      <c r="F962" s="40" t="s">
        <v>371</v>
      </c>
      <c r="G962" s="24">
        <v>2</v>
      </c>
      <c r="H962" s="24" t="s">
        <v>1317</v>
      </c>
      <c r="I962" s="46">
        <v>43358.643240740741</v>
      </c>
    </row>
    <row r="963" spans="6:9" x14ac:dyDescent="0.25">
      <c r="F963" s="40" t="s">
        <v>1024</v>
      </c>
      <c r="G963" s="24">
        <v>1</v>
      </c>
      <c r="H963" s="24" t="s">
        <v>1321</v>
      </c>
      <c r="I963" s="46">
        <v>43358.643217592595</v>
      </c>
    </row>
    <row r="964" spans="6:9" x14ac:dyDescent="0.25">
      <c r="F964" s="40" t="s">
        <v>265</v>
      </c>
      <c r="G964" s="24">
        <v>1</v>
      </c>
      <c r="H964" s="24" t="s">
        <v>1317</v>
      </c>
      <c r="I964" s="46">
        <v>43358.642997685187</v>
      </c>
    </row>
    <row r="965" spans="6:9" x14ac:dyDescent="0.25">
      <c r="F965" s="40" t="s">
        <v>40</v>
      </c>
      <c r="G965" s="24">
        <v>2</v>
      </c>
      <c r="H965" s="24" t="s">
        <v>1321</v>
      </c>
      <c r="I965" s="46">
        <v>43358.642974537041</v>
      </c>
    </row>
    <row r="966" spans="6:9" x14ac:dyDescent="0.25">
      <c r="F966" s="40" t="s">
        <v>232</v>
      </c>
      <c r="G966" s="24">
        <v>1</v>
      </c>
      <c r="H966" s="24" t="s">
        <v>1317</v>
      </c>
      <c r="I966" s="46">
        <v>43358.642685185187</v>
      </c>
    </row>
    <row r="967" spans="6:9" x14ac:dyDescent="0.25">
      <c r="F967" s="40" t="s">
        <v>58</v>
      </c>
      <c r="G967" s="24">
        <v>3</v>
      </c>
      <c r="H967" s="24" t="s">
        <v>1317</v>
      </c>
      <c r="I967" s="46">
        <v>43358.642581018517</v>
      </c>
    </row>
    <row r="968" spans="6:9" x14ac:dyDescent="0.25">
      <c r="F968" s="40" t="s">
        <v>59</v>
      </c>
      <c r="G968" s="24">
        <v>5</v>
      </c>
      <c r="H968" s="24" t="s">
        <v>1317</v>
      </c>
      <c r="I968" s="46">
        <v>43358.642511574071</v>
      </c>
    </row>
    <row r="969" spans="6:9" x14ac:dyDescent="0.25">
      <c r="F969" s="40" t="s">
        <v>155</v>
      </c>
      <c r="G969" s="24">
        <v>19</v>
      </c>
      <c r="H969" s="24" t="s">
        <v>1317</v>
      </c>
      <c r="I969" s="46">
        <v>43358.642442129632</v>
      </c>
    </row>
    <row r="970" spans="6:9" x14ac:dyDescent="0.25">
      <c r="F970" s="40" t="s">
        <v>21</v>
      </c>
      <c r="G970" s="24">
        <v>6</v>
      </c>
      <c r="H970" s="24" t="s">
        <v>1317</v>
      </c>
      <c r="I970" s="46">
        <v>43358.642280092594</v>
      </c>
    </row>
    <row r="971" spans="6:9" x14ac:dyDescent="0.25">
      <c r="F971" s="40" t="s">
        <v>149</v>
      </c>
      <c r="G971" s="24">
        <v>17</v>
      </c>
      <c r="H971" s="24" t="s">
        <v>1317</v>
      </c>
      <c r="I971" s="46">
        <v>43358.642164351855</v>
      </c>
    </row>
    <row r="972" spans="6:9" x14ac:dyDescent="0.25">
      <c r="F972" s="40" t="s">
        <v>186</v>
      </c>
      <c r="G972" s="24">
        <v>1</v>
      </c>
      <c r="H972" s="24" t="s">
        <v>1317</v>
      </c>
      <c r="I972" s="46">
        <v>43358.641979166663</v>
      </c>
    </row>
    <row r="973" spans="6:9" x14ac:dyDescent="0.25">
      <c r="F973" s="40" t="s">
        <v>186</v>
      </c>
      <c r="G973" s="24">
        <v>5</v>
      </c>
      <c r="H973" s="24" t="s">
        <v>1317</v>
      </c>
      <c r="I973" s="46">
        <v>43358.641921296294</v>
      </c>
    </row>
    <row r="974" spans="6:9" x14ac:dyDescent="0.25">
      <c r="F974" s="40" t="s">
        <v>199</v>
      </c>
      <c r="G974" s="24">
        <v>5</v>
      </c>
      <c r="H974" s="24" t="s">
        <v>1317</v>
      </c>
      <c r="I974" s="46">
        <v>43358.641840277778</v>
      </c>
    </row>
    <row r="975" spans="6:9" x14ac:dyDescent="0.25">
      <c r="F975" s="40" t="s">
        <v>4</v>
      </c>
      <c r="G975" s="24">
        <v>1</v>
      </c>
      <c r="H975" s="24" t="s">
        <v>1317</v>
      </c>
      <c r="I975" s="46">
        <v>43358.641747685186</v>
      </c>
    </row>
    <row r="976" spans="6:9" x14ac:dyDescent="0.25">
      <c r="F976" s="40" t="s">
        <v>2</v>
      </c>
      <c r="G976" s="24">
        <v>1</v>
      </c>
      <c r="H976" s="24" t="s">
        <v>1317</v>
      </c>
      <c r="I976" s="46">
        <v>43358.641631944447</v>
      </c>
    </row>
    <row r="977" spans="6:9" x14ac:dyDescent="0.25">
      <c r="F977" s="40" t="s">
        <v>3</v>
      </c>
      <c r="G977" s="24">
        <v>3</v>
      </c>
      <c r="H977" s="24" t="s">
        <v>1317</v>
      </c>
      <c r="I977" s="46">
        <v>43358.641550925924</v>
      </c>
    </row>
    <row r="978" spans="6:9" x14ac:dyDescent="0.25">
      <c r="F978" s="40" t="s">
        <v>369</v>
      </c>
      <c r="G978" s="24">
        <v>1</v>
      </c>
      <c r="H978" s="24" t="s">
        <v>1317</v>
      </c>
      <c r="I978" s="46">
        <v>43358.641342592593</v>
      </c>
    </row>
    <row r="979" spans="6:9" x14ac:dyDescent="0.25">
      <c r="F979" s="40" t="s">
        <v>149</v>
      </c>
      <c r="G979" s="24">
        <v>20</v>
      </c>
      <c r="H979" s="24" t="s">
        <v>1317</v>
      </c>
      <c r="I979" s="46">
        <v>43358.641076388885</v>
      </c>
    </row>
    <row r="980" spans="6:9" x14ac:dyDescent="0.25">
      <c r="F980" s="40" t="s">
        <v>612</v>
      </c>
      <c r="G980" s="24">
        <v>1</v>
      </c>
      <c r="H980" s="24" t="s">
        <v>1319</v>
      </c>
      <c r="I980" s="46">
        <v>43358.640729166669</v>
      </c>
    </row>
    <row r="981" spans="6:9" x14ac:dyDescent="0.25">
      <c r="F981" s="40" t="s">
        <v>138</v>
      </c>
      <c r="G981" s="24">
        <v>1</v>
      </c>
      <c r="H981" s="24" t="s">
        <v>1319</v>
      </c>
      <c r="I981" s="46">
        <v>43358.640682870369</v>
      </c>
    </row>
    <row r="982" spans="6:9" x14ac:dyDescent="0.25">
      <c r="F982" s="40" t="s">
        <v>58</v>
      </c>
      <c r="G982" s="24">
        <v>7</v>
      </c>
      <c r="H982" s="24" t="s">
        <v>1319</v>
      </c>
      <c r="I982" s="46">
        <v>43358.640543981484</v>
      </c>
    </row>
    <row r="983" spans="6:9" x14ac:dyDescent="0.25">
      <c r="F983" s="40" t="s">
        <v>349</v>
      </c>
      <c r="G983" s="24">
        <v>10</v>
      </c>
      <c r="H983" s="24" t="s">
        <v>1319</v>
      </c>
      <c r="I983" s="46">
        <v>43358.6403587963</v>
      </c>
    </row>
    <row r="984" spans="6:9" x14ac:dyDescent="0.25">
      <c r="F984" s="40" t="s">
        <v>348</v>
      </c>
      <c r="G984" s="24">
        <v>2</v>
      </c>
      <c r="H984" s="24" t="s">
        <v>1319</v>
      </c>
      <c r="I984" s="46">
        <v>43358.640277777777</v>
      </c>
    </row>
    <row r="985" spans="6:9" x14ac:dyDescent="0.25">
      <c r="F985" s="40" t="s">
        <v>155</v>
      </c>
      <c r="G985" s="24">
        <v>8</v>
      </c>
      <c r="H985" s="24" t="s">
        <v>1319</v>
      </c>
      <c r="I985" s="46">
        <v>43358.639861111114</v>
      </c>
    </row>
    <row r="986" spans="6:9" x14ac:dyDescent="0.25">
      <c r="F986" s="40" t="s">
        <v>149</v>
      </c>
      <c r="G986" s="24">
        <v>1</v>
      </c>
      <c r="H986" s="24" t="s">
        <v>1319</v>
      </c>
      <c r="I986" s="46">
        <v>43358.639537037037</v>
      </c>
    </row>
    <row r="987" spans="6:9" x14ac:dyDescent="0.25">
      <c r="F987" s="40" t="s">
        <v>21</v>
      </c>
      <c r="G987" s="24">
        <v>10</v>
      </c>
      <c r="H987" s="24" t="s">
        <v>1319</v>
      </c>
      <c r="I987" s="46">
        <v>43358.639398148145</v>
      </c>
    </row>
    <row r="988" spans="6:9" x14ac:dyDescent="0.25">
      <c r="F988" s="40" t="s">
        <v>121</v>
      </c>
      <c r="G988" s="24">
        <v>3</v>
      </c>
      <c r="H988" s="24" t="s">
        <v>1319</v>
      </c>
      <c r="I988" s="46">
        <v>43358.639097222222</v>
      </c>
    </row>
    <row r="989" spans="6:9" x14ac:dyDescent="0.25">
      <c r="F989" s="40" t="s">
        <v>123</v>
      </c>
      <c r="G989" s="24">
        <v>1</v>
      </c>
      <c r="H989" s="24" t="s">
        <v>1319</v>
      </c>
      <c r="I989" s="46">
        <v>43358.639039351852</v>
      </c>
    </row>
    <row r="990" spans="6:9" x14ac:dyDescent="0.25">
      <c r="F990" s="40" t="s">
        <v>122</v>
      </c>
      <c r="G990" s="24">
        <v>1</v>
      </c>
      <c r="H990" s="24" t="s">
        <v>1319</v>
      </c>
      <c r="I990" s="46">
        <v>43358.638993055552</v>
      </c>
    </row>
    <row r="991" spans="6:9" x14ac:dyDescent="0.25">
      <c r="F991" s="40" t="s">
        <v>40</v>
      </c>
      <c r="G991" s="24">
        <v>1</v>
      </c>
      <c r="H991" s="24" t="s">
        <v>1319</v>
      </c>
      <c r="I991" s="46">
        <v>43358.638842592591</v>
      </c>
    </row>
    <row r="992" spans="6:9" x14ac:dyDescent="0.25">
      <c r="F992" s="40" t="s">
        <v>33</v>
      </c>
      <c r="G992" s="24">
        <v>2</v>
      </c>
      <c r="H992" s="24" t="s">
        <v>1319</v>
      </c>
      <c r="I992" s="46">
        <v>43358.638726851852</v>
      </c>
    </row>
    <row r="993" spans="6:9" x14ac:dyDescent="0.25">
      <c r="F993" s="40" t="s">
        <v>146</v>
      </c>
      <c r="G993" s="24">
        <v>17</v>
      </c>
      <c r="H993" s="24" t="s">
        <v>1319</v>
      </c>
      <c r="I993" s="46">
        <v>43358.638506944444</v>
      </c>
    </row>
    <row r="994" spans="6:9" x14ac:dyDescent="0.25">
      <c r="F994" s="40" t="s">
        <v>51</v>
      </c>
      <c r="G994" s="24">
        <v>4</v>
      </c>
      <c r="H994" s="24" t="s">
        <v>1319</v>
      </c>
      <c r="I994" s="46">
        <v>43358.638379629629</v>
      </c>
    </row>
    <row r="995" spans="6:9" x14ac:dyDescent="0.25">
      <c r="F995" s="40" t="s">
        <v>50</v>
      </c>
      <c r="G995" s="24">
        <v>2</v>
      </c>
      <c r="H995" s="24" t="s">
        <v>1319</v>
      </c>
      <c r="I995" s="46">
        <v>43358.638275462959</v>
      </c>
    </row>
    <row r="996" spans="6:9" x14ac:dyDescent="0.25">
      <c r="F996" s="40" t="s">
        <v>11</v>
      </c>
      <c r="G996" s="24">
        <v>5</v>
      </c>
      <c r="H996" s="24" t="s">
        <v>1319</v>
      </c>
      <c r="I996" s="46">
        <v>43358.638124999998</v>
      </c>
    </row>
    <row r="997" spans="6:9" x14ac:dyDescent="0.25">
      <c r="F997" s="40" t="s">
        <v>12</v>
      </c>
      <c r="G997" s="24">
        <v>1</v>
      </c>
      <c r="H997" s="24" t="s">
        <v>1319</v>
      </c>
      <c r="I997" s="46">
        <v>43358.638067129628</v>
      </c>
    </row>
    <row r="998" spans="6:9" x14ac:dyDescent="0.25">
      <c r="F998" s="40" t="s">
        <v>183</v>
      </c>
      <c r="G998" s="24">
        <v>5</v>
      </c>
      <c r="H998" s="24" t="s">
        <v>1319</v>
      </c>
      <c r="I998" s="46">
        <v>43358.637754629628</v>
      </c>
    </row>
    <row r="999" spans="6:9" x14ac:dyDescent="0.25">
      <c r="F999" s="40" t="s">
        <v>199</v>
      </c>
      <c r="G999" s="24">
        <v>6</v>
      </c>
      <c r="H999" s="24" t="s">
        <v>1319</v>
      </c>
      <c r="I999" s="46">
        <v>43358.637685185182</v>
      </c>
    </row>
    <row r="1000" spans="6:9" x14ac:dyDescent="0.25">
      <c r="F1000" s="40" t="s">
        <v>186</v>
      </c>
      <c r="G1000" s="24">
        <v>3</v>
      </c>
      <c r="H1000" s="24" t="s">
        <v>1319</v>
      </c>
      <c r="I1000" s="46">
        <v>43358.637523148151</v>
      </c>
    </row>
    <row r="1001" spans="6:9" x14ac:dyDescent="0.25">
      <c r="F1001" s="40" t="s">
        <v>3</v>
      </c>
      <c r="G1001" s="24">
        <v>3</v>
      </c>
      <c r="H1001" s="24" t="s">
        <v>1319</v>
      </c>
      <c r="I1001" s="46">
        <v>43358.637280092589</v>
      </c>
    </row>
    <row r="1002" spans="6:9" x14ac:dyDescent="0.25">
      <c r="F1002" s="40" t="s">
        <v>4</v>
      </c>
      <c r="G1002" s="24">
        <v>3</v>
      </c>
      <c r="H1002" s="24" t="s">
        <v>1319</v>
      </c>
      <c r="I1002" s="46">
        <v>43358.637199074074</v>
      </c>
    </row>
    <row r="1003" spans="6:9" x14ac:dyDescent="0.25">
      <c r="F1003" s="40" t="s">
        <v>2</v>
      </c>
      <c r="G1003" s="24">
        <v>1</v>
      </c>
      <c r="H1003" s="24" t="s">
        <v>1319</v>
      </c>
      <c r="I1003" s="46">
        <v>43358.637118055558</v>
      </c>
    </row>
    <row r="1004" spans="6:9" x14ac:dyDescent="0.25">
      <c r="F1004" s="40" t="s">
        <v>39</v>
      </c>
      <c r="G1004" s="24">
        <v>1</v>
      </c>
      <c r="H1004" s="24" t="s">
        <v>1319</v>
      </c>
      <c r="I1004" s="46">
        <v>43358.63689814815</v>
      </c>
    </row>
    <row r="1005" spans="6:9" x14ac:dyDescent="0.25">
      <c r="F1005" s="40" t="s">
        <v>1346</v>
      </c>
      <c r="G1005" s="24">
        <v>1</v>
      </c>
      <c r="H1005" s="24" t="s">
        <v>1319</v>
      </c>
      <c r="I1005" s="46">
        <v>43358.636747685188</v>
      </c>
    </row>
    <row r="1006" spans="6:9" x14ac:dyDescent="0.25">
      <c r="F1006" s="40" t="s">
        <v>39</v>
      </c>
      <c r="G1006" s="24">
        <v>17</v>
      </c>
      <c r="H1006" s="24" t="s">
        <v>1319</v>
      </c>
      <c r="I1006" s="46">
        <v>43358.636446759258</v>
      </c>
    </row>
    <row r="1007" spans="6:9" x14ac:dyDescent="0.25">
      <c r="F1007" s="40" t="s">
        <v>149</v>
      </c>
      <c r="G1007" s="24">
        <v>15</v>
      </c>
      <c r="H1007" s="24" t="s">
        <v>1319</v>
      </c>
      <c r="I1007" s="46">
        <v>43358.636192129627</v>
      </c>
    </row>
    <row r="1008" spans="6:9" x14ac:dyDescent="0.25">
      <c r="F1008" s="40" t="s">
        <v>1311</v>
      </c>
      <c r="G1008" s="24">
        <v>1</v>
      </c>
      <c r="H1008" s="24" t="s">
        <v>1321</v>
      </c>
      <c r="I1008" s="46">
        <v>43358.619444444441</v>
      </c>
    </row>
    <row r="1009" spans="6:9" x14ac:dyDescent="0.25">
      <c r="F1009" s="40" t="s">
        <v>165</v>
      </c>
      <c r="G1009" s="24">
        <v>1</v>
      </c>
      <c r="H1009" s="24" t="s">
        <v>1321</v>
      </c>
      <c r="I1009" s="46">
        <v>43358.619097222225</v>
      </c>
    </row>
    <row r="1010" spans="6:9" x14ac:dyDescent="0.25">
      <c r="F1010" s="40" t="s">
        <v>165</v>
      </c>
      <c r="G1010" s="24">
        <v>1</v>
      </c>
      <c r="H1010" s="24" t="s">
        <v>1321</v>
      </c>
      <c r="I1010" s="46">
        <v>43358.61886574074</v>
      </c>
    </row>
    <row r="1011" spans="6:9" x14ac:dyDescent="0.25">
      <c r="F1011" s="40" t="s">
        <v>165</v>
      </c>
      <c r="G1011" s="24">
        <v>1</v>
      </c>
      <c r="H1011" s="24" t="s">
        <v>1321</v>
      </c>
      <c r="I1011" s="46">
        <v>43358.61855324074</v>
      </c>
    </row>
    <row r="1012" spans="6:9" x14ac:dyDescent="0.25">
      <c r="F1012" s="40" t="s">
        <v>181</v>
      </c>
      <c r="G1012" s="24">
        <v>1</v>
      </c>
      <c r="H1012" s="24" t="s">
        <v>1321</v>
      </c>
      <c r="I1012" s="46">
        <v>43358.618171296293</v>
      </c>
    </row>
    <row r="1013" spans="6:9" x14ac:dyDescent="0.25">
      <c r="F1013" s="40" t="s">
        <v>118</v>
      </c>
      <c r="G1013" s="24">
        <v>1</v>
      </c>
      <c r="H1013" s="24" t="s">
        <v>1321</v>
      </c>
      <c r="I1013" s="46">
        <v>43358.617858796293</v>
      </c>
    </row>
    <row r="1014" spans="6:9" x14ac:dyDescent="0.25">
      <c r="F1014" s="40" t="s">
        <v>184</v>
      </c>
      <c r="G1014" s="24">
        <v>1</v>
      </c>
      <c r="H1014" s="24" t="s">
        <v>1321</v>
      </c>
      <c r="I1014" s="46">
        <v>43358.617800925924</v>
      </c>
    </row>
    <row r="1015" spans="6:9" x14ac:dyDescent="0.25">
      <c r="F1015" s="40" t="s">
        <v>149</v>
      </c>
      <c r="G1015" s="24">
        <v>3</v>
      </c>
      <c r="H1015" s="24" t="s">
        <v>1321</v>
      </c>
      <c r="I1015" s="46">
        <v>43358.617731481485</v>
      </c>
    </row>
    <row r="1016" spans="6:9" x14ac:dyDescent="0.25">
      <c r="F1016" s="40" t="s">
        <v>184</v>
      </c>
      <c r="G1016" s="24">
        <v>1</v>
      </c>
      <c r="H1016" s="24" t="s">
        <v>1321</v>
      </c>
      <c r="I1016" s="46">
        <v>43358.617615740739</v>
      </c>
    </row>
    <row r="1017" spans="6:9" x14ac:dyDescent="0.25">
      <c r="F1017" s="40" t="s">
        <v>3</v>
      </c>
      <c r="G1017" s="24">
        <v>1</v>
      </c>
      <c r="H1017" s="24" t="s">
        <v>1321</v>
      </c>
      <c r="I1017" s="46">
        <v>43358.617303240739</v>
      </c>
    </row>
    <row r="1018" spans="6:9" x14ac:dyDescent="0.25">
      <c r="F1018" s="40" t="s">
        <v>2</v>
      </c>
      <c r="G1018" s="24">
        <v>2</v>
      </c>
      <c r="H1018" s="24" t="s">
        <v>1321</v>
      </c>
      <c r="I1018" s="46">
        <v>43358.6172337963</v>
      </c>
    </row>
    <row r="1019" spans="6:9" x14ac:dyDescent="0.25">
      <c r="F1019" s="40" t="s">
        <v>189</v>
      </c>
      <c r="G1019" s="24">
        <v>1</v>
      </c>
      <c r="H1019" s="24" t="s">
        <v>1321</v>
      </c>
      <c r="I1019" s="46">
        <v>43358.617106481484</v>
      </c>
    </row>
    <row r="1020" spans="6:9" x14ac:dyDescent="0.25">
      <c r="F1020" s="40" t="s">
        <v>141</v>
      </c>
      <c r="G1020" s="24">
        <v>3</v>
      </c>
      <c r="H1020" s="24" t="s">
        <v>1321</v>
      </c>
      <c r="I1020" s="46">
        <v>43358.616898148146</v>
      </c>
    </row>
    <row r="1021" spans="6:9" x14ac:dyDescent="0.25">
      <c r="F1021" s="40" t="s">
        <v>183</v>
      </c>
      <c r="G1021" s="24">
        <v>1</v>
      </c>
      <c r="H1021" s="24" t="s">
        <v>1321</v>
      </c>
      <c r="I1021" s="46">
        <v>43358.616828703707</v>
      </c>
    </row>
    <row r="1022" spans="6:9" x14ac:dyDescent="0.25">
      <c r="F1022" s="40" t="s">
        <v>144</v>
      </c>
      <c r="G1022" s="24">
        <v>1</v>
      </c>
      <c r="H1022" s="24" t="s">
        <v>1321</v>
      </c>
      <c r="I1022" s="46">
        <v>43358.61645833333</v>
      </c>
    </row>
    <row r="1023" spans="6:9" x14ac:dyDescent="0.25">
      <c r="F1023" s="40" t="s">
        <v>11</v>
      </c>
      <c r="G1023" s="24">
        <v>5</v>
      </c>
      <c r="H1023" s="24" t="s">
        <v>1321</v>
      </c>
      <c r="I1023" s="46">
        <v>43358.616018518522</v>
      </c>
    </row>
    <row r="1024" spans="6:9" x14ac:dyDescent="0.25">
      <c r="F1024" s="40" t="s">
        <v>1581</v>
      </c>
      <c r="G1024" s="24">
        <v>1</v>
      </c>
      <c r="H1024" s="24" t="s">
        <v>1321</v>
      </c>
      <c r="I1024" s="46">
        <v>43358.615891203706</v>
      </c>
    </row>
    <row r="1025" spans="6:9" x14ac:dyDescent="0.25">
      <c r="F1025" s="40" t="s">
        <v>1277</v>
      </c>
      <c r="G1025" s="24">
        <v>1</v>
      </c>
      <c r="H1025" s="24" t="s">
        <v>1321</v>
      </c>
      <c r="I1025" s="46">
        <v>43358.615057870367</v>
      </c>
    </row>
    <row r="1026" spans="6:9" x14ac:dyDescent="0.25">
      <c r="F1026" s="40" t="s">
        <v>40</v>
      </c>
      <c r="G1026" s="24">
        <v>1</v>
      </c>
      <c r="H1026" s="24" t="s">
        <v>1321</v>
      </c>
      <c r="I1026" s="46">
        <v>43358.614537037036</v>
      </c>
    </row>
    <row r="1027" spans="6:9" x14ac:dyDescent="0.25">
      <c r="F1027" s="40" t="s">
        <v>201</v>
      </c>
      <c r="G1027" s="24">
        <v>1</v>
      </c>
      <c r="H1027" s="24" t="s">
        <v>1321</v>
      </c>
      <c r="I1027" s="46">
        <v>43358.614421296297</v>
      </c>
    </row>
    <row r="1028" spans="6:9" x14ac:dyDescent="0.25">
      <c r="F1028" s="40" t="s">
        <v>41</v>
      </c>
      <c r="G1028" s="24">
        <v>1</v>
      </c>
      <c r="H1028" s="24" t="s">
        <v>1321</v>
      </c>
      <c r="I1028" s="46">
        <v>43358.614039351851</v>
      </c>
    </row>
    <row r="1029" spans="6:9" x14ac:dyDescent="0.25">
      <c r="F1029" s="40" t="s">
        <v>1347</v>
      </c>
      <c r="G1029" s="24">
        <v>1</v>
      </c>
      <c r="H1029" s="24" t="s">
        <v>1321</v>
      </c>
      <c r="I1029" s="46">
        <v>43358.613692129627</v>
      </c>
    </row>
    <row r="1030" spans="6:9" x14ac:dyDescent="0.25">
      <c r="F1030" s="40" t="s">
        <v>4</v>
      </c>
      <c r="G1030" s="24">
        <v>2</v>
      </c>
      <c r="H1030" s="24" t="s">
        <v>1321</v>
      </c>
      <c r="I1030" s="46">
        <v>43358.613287037035</v>
      </c>
    </row>
    <row r="1031" spans="6:9" x14ac:dyDescent="0.25">
      <c r="F1031" s="40" t="s">
        <v>4</v>
      </c>
      <c r="G1031" s="24">
        <v>1</v>
      </c>
      <c r="H1031" s="24" t="s">
        <v>1321</v>
      </c>
      <c r="I1031" s="46">
        <v>43358.613136574073</v>
      </c>
    </row>
    <row r="1032" spans="6:9" x14ac:dyDescent="0.25">
      <c r="F1032" s="40" t="s">
        <v>964</v>
      </c>
      <c r="G1032" s="24">
        <v>1</v>
      </c>
      <c r="H1032" s="24" t="s">
        <v>1321</v>
      </c>
      <c r="I1032" s="46">
        <v>43358.613043981481</v>
      </c>
    </row>
    <row r="1033" spans="6:9" x14ac:dyDescent="0.25">
      <c r="F1033" s="40" t="s">
        <v>20</v>
      </c>
      <c r="G1033" s="24">
        <v>1</v>
      </c>
      <c r="H1033" s="24" t="s">
        <v>1321</v>
      </c>
      <c r="I1033" s="46">
        <v>43358.612384259257</v>
      </c>
    </row>
    <row r="1034" spans="6:9" x14ac:dyDescent="0.25">
      <c r="F1034" s="40" t="s">
        <v>186</v>
      </c>
      <c r="G1034" s="24">
        <v>2</v>
      </c>
      <c r="H1034" s="24" t="s">
        <v>1321</v>
      </c>
      <c r="I1034" s="46">
        <v>43358.611747685187</v>
      </c>
    </row>
    <row r="1035" spans="6:9" x14ac:dyDescent="0.25">
      <c r="F1035" s="40" t="s">
        <v>222</v>
      </c>
      <c r="G1035" s="24">
        <v>2</v>
      </c>
      <c r="H1035" s="24" t="s">
        <v>1321</v>
      </c>
      <c r="I1035" s="46">
        <v>43358.611666666664</v>
      </c>
    </row>
    <row r="1036" spans="6:9" x14ac:dyDescent="0.25">
      <c r="F1036" s="40" t="s">
        <v>175</v>
      </c>
      <c r="G1036" s="24">
        <v>1</v>
      </c>
      <c r="H1036" s="24" t="s">
        <v>1321</v>
      </c>
      <c r="I1036" s="46">
        <v>43358.611481481479</v>
      </c>
    </row>
    <row r="1037" spans="6:9" x14ac:dyDescent="0.25">
      <c r="F1037" s="40" t="s">
        <v>62</v>
      </c>
      <c r="G1037" s="24">
        <v>1</v>
      </c>
      <c r="H1037" s="24" t="s">
        <v>1321</v>
      </c>
      <c r="I1037" s="46">
        <v>43358.611319444448</v>
      </c>
    </row>
    <row r="1038" spans="6:9" x14ac:dyDescent="0.25">
      <c r="F1038" s="40" t="s">
        <v>612</v>
      </c>
      <c r="G1038" s="24">
        <v>1</v>
      </c>
      <c r="H1038" s="24" t="s">
        <v>1321</v>
      </c>
      <c r="I1038" s="46">
        <v>43358.611111111109</v>
      </c>
    </row>
    <row r="1039" spans="6:9" x14ac:dyDescent="0.25">
      <c r="F1039" s="40" t="s">
        <v>1314</v>
      </c>
      <c r="G1039" s="24">
        <v>1</v>
      </c>
      <c r="H1039" s="24" t="s">
        <v>1321</v>
      </c>
      <c r="I1039" s="46">
        <v>43358.611018518517</v>
      </c>
    </row>
    <row r="1040" spans="6:9" x14ac:dyDescent="0.25">
      <c r="F1040" s="40" t="s">
        <v>234</v>
      </c>
      <c r="G1040" s="24">
        <v>1</v>
      </c>
      <c r="H1040" s="24" t="s">
        <v>1321</v>
      </c>
      <c r="I1040" s="46">
        <v>43358.610844907409</v>
      </c>
    </row>
    <row r="1041" spans="6:9" x14ac:dyDescent="0.25">
      <c r="F1041" s="40" t="s">
        <v>1347</v>
      </c>
      <c r="G1041" s="24">
        <v>1</v>
      </c>
      <c r="H1041" s="24" t="s">
        <v>1321</v>
      </c>
      <c r="I1041" s="46">
        <v>43358.610775462963</v>
      </c>
    </row>
    <row r="1042" spans="6:9" x14ac:dyDescent="0.25">
      <c r="F1042" s="40" t="s">
        <v>182</v>
      </c>
      <c r="G1042" s="24">
        <v>24</v>
      </c>
      <c r="H1042" s="24" t="s">
        <v>1321</v>
      </c>
      <c r="I1042" s="46">
        <v>43358.610266203701</v>
      </c>
    </row>
    <row r="1043" spans="6:9" x14ac:dyDescent="0.25">
      <c r="F1043" s="40" t="s">
        <v>199</v>
      </c>
      <c r="G1043" s="24">
        <v>6</v>
      </c>
      <c r="H1043" s="24" t="s">
        <v>1321</v>
      </c>
      <c r="I1043" s="46">
        <v>43358.609571759262</v>
      </c>
    </row>
    <row r="1044" spans="6:9" x14ac:dyDescent="0.25">
      <c r="F1044" s="40" t="s">
        <v>11</v>
      </c>
      <c r="G1044" s="24">
        <v>3</v>
      </c>
      <c r="H1044" s="24" t="s">
        <v>1321</v>
      </c>
      <c r="I1044" s="46">
        <v>43358.609444444446</v>
      </c>
    </row>
    <row r="1045" spans="6:9" x14ac:dyDescent="0.25">
      <c r="F1045" s="40" t="s">
        <v>149</v>
      </c>
      <c r="G1045" s="24">
        <v>3</v>
      </c>
      <c r="H1045" s="24" t="s">
        <v>1321</v>
      </c>
      <c r="I1045" s="46">
        <v>43358.609386574077</v>
      </c>
    </row>
    <row r="1046" spans="6:9" x14ac:dyDescent="0.25">
      <c r="F1046" s="40" t="s">
        <v>21</v>
      </c>
      <c r="G1046" s="24">
        <v>4</v>
      </c>
      <c r="H1046" s="24" t="s">
        <v>1321</v>
      </c>
      <c r="I1046" s="46">
        <v>43358.609212962961</v>
      </c>
    </row>
    <row r="1047" spans="6:9" x14ac:dyDescent="0.25">
      <c r="F1047" s="40" t="s">
        <v>29</v>
      </c>
      <c r="G1047" s="24">
        <v>1</v>
      </c>
      <c r="H1047" s="24" t="s">
        <v>1321</v>
      </c>
      <c r="I1047" s="46">
        <v>43358.608877314815</v>
      </c>
    </row>
    <row r="1048" spans="6:9" x14ac:dyDescent="0.25">
      <c r="F1048" s="40" t="s">
        <v>266</v>
      </c>
      <c r="G1048" s="24">
        <v>1</v>
      </c>
      <c r="H1048" s="24" t="s">
        <v>1321</v>
      </c>
      <c r="I1048" s="46">
        <v>43358.608773148146</v>
      </c>
    </row>
    <row r="1049" spans="6:9" x14ac:dyDescent="0.25">
      <c r="F1049" s="40" t="s">
        <v>39</v>
      </c>
      <c r="G1049" s="24">
        <v>3</v>
      </c>
      <c r="H1049" s="24" t="s">
        <v>1321</v>
      </c>
      <c r="I1049" s="46">
        <v>43358.608506944445</v>
      </c>
    </row>
    <row r="1050" spans="6:9" x14ac:dyDescent="0.25">
      <c r="F1050" s="40" t="s">
        <v>1377</v>
      </c>
      <c r="G1050" s="24">
        <v>1</v>
      </c>
      <c r="H1050" s="24" t="s">
        <v>1321</v>
      </c>
      <c r="I1050" s="46">
        <v>43358.608437499999</v>
      </c>
    </row>
    <row r="1051" spans="6:9" x14ac:dyDescent="0.25">
      <c r="F1051" s="40" t="s">
        <v>1380</v>
      </c>
      <c r="G1051" s="24">
        <v>2</v>
      </c>
      <c r="H1051" s="24" t="s">
        <v>1321</v>
      </c>
      <c r="I1051" s="46">
        <v>43358.608356481483</v>
      </c>
    </row>
    <row r="1052" spans="6:9" x14ac:dyDescent="0.25">
      <c r="F1052" s="40" t="s">
        <v>1379</v>
      </c>
      <c r="G1052" s="24">
        <v>1</v>
      </c>
      <c r="H1052" s="24" t="s">
        <v>1321</v>
      </c>
      <c r="I1052" s="46">
        <v>43358.607800925929</v>
      </c>
    </row>
    <row r="1053" spans="6:9" x14ac:dyDescent="0.25">
      <c r="F1053" s="40" t="s">
        <v>1379</v>
      </c>
      <c r="G1053" s="24">
        <v>1</v>
      </c>
      <c r="H1053" s="24" t="s">
        <v>1321</v>
      </c>
      <c r="I1053" s="46">
        <v>43358.607708333337</v>
      </c>
    </row>
    <row r="1054" spans="6:9" x14ac:dyDescent="0.25">
      <c r="F1054" s="40" t="s">
        <v>65</v>
      </c>
      <c r="G1054" s="24">
        <v>1</v>
      </c>
      <c r="H1054" s="24" t="s">
        <v>1321</v>
      </c>
      <c r="I1054" s="46">
        <v>43358.607627314814</v>
      </c>
    </row>
    <row r="1055" spans="6:9" x14ac:dyDescent="0.25">
      <c r="F1055" s="40" t="s">
        <v>349</v>
      </c>
      <c r="G1055" s="24">
        <v>6</v>
      </c>
      <c r="H1055" s="24" t="s">
        <v>1321</v>
      </c>
      <c r="I1055" s="46">
        <v>43358.607534722221</v>
      </c>
    </row>
    <row r="1056" spans="6:9" x14ac:dyDescent="0.25">
      <c r="F1056" s="40" t="s">
        <v>200</v>
      </c>
      <c r="G1056" s="24">
        <v>3</v>
      </c>
      <c r="H1056" s="24" t="s">
        <v>1321</v>
      </c>
      <c r="I1056" s="46">
        <v>43358.607407407406</v>
      </c>
    </row>
    <row r="1057" spans="6:9" x14ac:dyDescent="0.25">
      <c r="F1057" s="40" t="s">
        <v>140</v>
      </c>
      <c r="G1057" s="24">
        <v>3</v>
      </c>
      <c r="H1057" s="24" t="s">
        <v>1321</v>
      </c>
      <c r="I1057" s="46">
        <v>43358.607210648152</v>
      </c>
    </row>
    <row r="1058" spans="6:9" x14ac:dyDescent="0.25">
      <c r="F1058" s="40" t="s">
        <v>693</v>
      </c>
      <c r="G1058" s="24">
        <v>1</v>
      </c>
      <c r="H1058" s="24" t="s">
        <v>1321</v>
      </c>
      <c r="I1058" s="46">
        <v>43358.607141203705</v>
      </c>
    </row>
    <row r="1059" spans="6:9" x14ac:dyDescent="0.25">
      <c r="F1059" s="40" t="s">
        <v>1582</v>
      </c>
      <c r="G1059" s="24">
        <v>2</v>
      </c>
      <c r="H1059" s="24" t="s">
        <v>1321</v>
      </c>
      <c r="I1059" s="46">
        <v>43358.60701388889</v>
      </c>
    </row>
    <row r="1060" spans="6:9" x14ac:dyDescent="0.25">
      <c r="F1060" s="67" t="s">
        <v>50</v>
      </c>
      <c r="G1060" s="24">
        <v>2</v>
      </c>
      <c r="H1060" s="24" t="s">
        <v>1324</v>
      </c>
      <c r="I1060" s="46">
        <v>43358.606192129628</v>
      </c>
    </row>
    <row r="1061" spans="6:9" x14ac:dyDescent="0.25">
      <c r="F1061" s="67" t="s">
        <v>51</v>
      </c>
      <c r="G1061" s="24">
        <v>1</v>
      </c>
      <c r="H1061" s="24" t="s">
        <v>1324</v>
      </c>
      <c r="I1061" s="46">
        <v>43358.606111111112</v>
      </c>
    </row>
    <row r="1062" spans="6:9" x14ac:dyDescent="0.25">
      <c r="F1062" s="40" t="s">
        <v>21</v>
      </c>
      <c r="G1062" s="24">
        <v>3</v>
      </c>
      <c r="H1062" s="24" t="s">
        <v>1326</v>
      </c>
      <c r="I1062" s="46">
        <v>43358.60601851852</v>
      </c>
    </row>
    <row r="1063" spans="6:9" x14ac:dyDescent="0.25">
      <c r="F1063" s="67" t="s">
        <v>49</v>
      </c>
      <c r="G1063" s="24">
        <v>2</v>
      </c>
      <c r="H1063" s="24" t="s">
        <v>1324</v>
      </c>
      <c r="I1063" s="46">
        <v>43358.605983796297</v>
      </c>
    </row>
    <row r="1064" spans="6:9" x14ac:dyDescent="0.25">
      <c r="F1064" s="67" t="s">
        <v>359</v>
      </c>
      <c r="G1064" s="24">
        <v>1</v>
      </c>
      <c r="H1064" s="24" t="s">
        <v>1324</v>
      </c>
      <c r="I1064" s="46">
        <v>43358.605810185189</v>
      </c>
    </row>
    <row r="1065" spans="6:9" x14ac:dyDescent="0.25">
      <c r="F1065" s="67" t="s">
        <v>63</v>
      </c>
      <c r="G1065" s="24">
        <v>1</v>
      </c>
      <c r="H1065" s="24" t="s">
        <v>1324</v>
      </c>
      <c r="I1065" s="46">
        <v>43358.605023148149</v>
      </c>
    </row>
    <row r="1066" spans="6:9" x14ac:dyDescent="0.25">
      <c r="F1066" s="40" t="s">
        <v>182</v>
      </c>
      <c r="G1066" s="24">
        <v>2</v>
      </c>
      <c r="H1066" s="24" t="s">
        <v>1326</v>
      </c>
      <c r="I1066" s="46">
        <v>43358.60496527778</v>
      </c>
    </row>
    <row r="1067" spans="6:9" x14ac:dyDescent="0.25">
      <c r="F1067" s="40" t="s">
        <v>344</v>
      </c>
      <c r="G1067" s="24">
        <v>1</v>
      </c>
      <c r="H1067" s="24" t="s">
        <v>1326</v>
      </c>
      <c r="I1067" s="46">
        <v>43358.604826388888</v>
      </c>
    </row>
    <row r="1068" spans="6:9" x14ac:dyDescent="0.25">
      <c r="F1068" s="40" t="s">
        <v>165</v>
      </c>
      <c r="G1068" s="24">
        <v>2</v>
      </c>
      <c r="H1068" s="24" t="s">
        <v>1326</v>
      </c>
      <c r="I1068" s="46">
        <v>43358.604641203703</v>
      </c>
    </row>
    <row r="1069" spans="6:9" x14ac:dyDescent="0.25">
      <c r="F1069" s="40" t="s">
        <v>369</v>
      </c>
      <c r="G1069" s="24">
        <v>1</v>
      </c>
      <c r="H1069" s="24" t="s">
        <v>1326</v>
      </c>
      <c r="I1069" s="46">
        <v>43358.604502314818</v>
      </c>
    </row>
    <row r="1070" spans="6:9" x14ac:dyDescent="0.25">
      <c r="F1070" s="40" t="s">
        <v>121</v>
      </c>
      <c r="G1070" s="24">
        <v>1</v>
      </c>
      <c r="H1070" s="24" t="s">
        <v>1326</v>
      </c>
      <c r="I1070" s="46">
        <v>43358.604178240741</v>
      </c>
    </row>
    <row r="1071" spans="6:9" x14ac:dyDescent="0.25">
      <c r="F1071" s="40" t="s">
        <v>127</v>
      </c>
      <c r="G1071" s="24">
        <v>2</v>
      </c>
      <c r="H1071" s="24" t="s">
        <v>1326</v>
      </c>
      <c r="I1071" s="46">
        <v>43358.604062500002</v>
      </c>
    </row>
    <row r="1072" spans="6:9" x14ac:dyDescent="0.25">
      <c r="F1072" s="40" t="s">
        <v>1378</v>
      </c>
      <c r="G1072" s="24">
        <v>1</v>
      </c>
      <c r="H1072" s="24" t="s">
        <v>1326</v>
      </c>
      <c r="I1072" s="46">
        <v>43358.60359953704</v>
      </c>
    </row>
    <row r="1073" spans="6:9" x14ac:dyDescent="0.25">
      <c r="F1073" s="67" t="s">
        <v>160</v>
      </c>
      <c r="G1073" s="24">
        <v>2</v>
      </c>
      <c r="H1073" s="24" t="s">
        <v>1324</v>
      </c>
      <c r="I1073" s="46">
        <v>43358.603518518517</v>
      </c>
    </row>
    <row r="1074" spans="6:9" x14ac:dyDescent="0.25">
      <c r="F1074" s="40" t="s">
        <v>1377</v>
      </c>
      <c r="G1074" s="24">
        <v>3</v>
      </c>
      <c r="H1074" s="24" t="s">
        <v>1326</v>
      </c>
      <c r="I1074" s="46">
        <v>43358.603391203702</v>
      </c>
    </row>
    <row r="1075" spans="6:9" x14ac:dyDescent="0.25">
      <c r="F1075" s="67" t="s">
        <v>140</v>
      </c>
      <c r="G1075" s="24">
        <v>2</v>
      </c>
      <c r="H1075" s="24" t="s">
        <v>1324</v>
      </c>
      <c r="I1075" s="46">
        <v>43358.603368055556</v>
      </c>
    </row>
    <row r="1076" spans="6:9" x14ac:dyDescent="0.25">
      <c r="F1076" s="40" t="s">
        <v>349</v>
      </c>
      <c r="G1076" s="24">
        <v>22</v>
      </c>
      <c r="H1076" s="24" t="s">
        <v>1326</v>
      </c>
      <c r="I1076" s="46">
        <v>43358.603310185186</v>
      </c>
    </row>
    <row r="1077" spans="6:9" x14ac:dyDescent="0.25">
      <c r="F1077" s="67" t="s">
        <v>191</v>
      </c>
      <c r="G1077" s="24">
        <v>1</v>
      </c>
      <c r="H1077" s="24" t="s">
        <v>1324</v>
      </c>
      <c r="I1077" s="46">
        <v>43358.603263888886</v>
      </c>
    </row>
    <row r="1078" spans="6:9" x14ac:dyDescent="0.25">
      <c r="F1078" s="40" t="s">
        <v>1347</v>
      </c>
      <c r="G1078" s="24">
        <v>2</v>
      </c>
      <c r="H1078" s="24" t="s">
        <v>1326</v>
      </c>
      <c r="I1078" s="46">
        <v>43358.603217592594</v>
      </c>
    </row>
    <row r="1079" spans="6:9" x14ac:dyDescent="0.25">
      <c r="F1079" s="67" t="s">
        <v>39</v>
      </c>
      <c r="G1079" s="24">
        <v>3</v>
      </c>
      <c r="H1079" s="24" t="s">
        <v>1324</v>
      </c>
      <c r="I1079" s="46">
        <v>43358.603171296294</v>
      </c>
    </row>
    <row r="1080" spans="6:9" x14ac:dyDescent="0.25">
      <c r="F1080" s="67" t="s">
        <v>155</v>
      </c>
      <c r="G1080" s="24">
        <v>5</v>
      </c>
      <c r="H1080" s="24" t="s">
        <v>1324</v>
      </c>
      <c r="I1080" s="46">
        <v>43358.603101851855</v>
      </c>
    </row>
    <row r="1081" spans="6:9" x14ac:dyDescent="0.25">
      <c r="F1081" s="67" t="s">
        <v>11</v>
      </c>
      <c r="G1081" s="24">
        <v>7</v>
      </c>
      <c r="H1081" s="24" t="s">
        <v>1324</v>
      </c>
      <c r="I1081" s="46">
        <v>43358.602893518517</v>
      </c>
    </row>
    <row r="1082" spans="6:9" x14ac:dyDescent="0.25">
      <c r="F1082" s="40" t="s">
        <v>58</v>
      </c>
      <c r="G1082" s="24">
        <v>1</v>
      </c>
      <c r="H1082" s="24" t="s">
        <v>1326</v>
      </c>
      <c r="I1082" s="46">
        <v>43358.602858796294</v>
      </c>
    </row>
    <row r="1083" spans="6:9" x14ac:dyDescent="0.25">
      <c r="F1083" s="67" t="s">
        <v>12</v>
      </c>
      <c r="G1083" s="24">
        <v>1</v>
      </c>
      <c r="H1083" s="24" t="s">
        <v>1324</v>
      </c>
      <c r="I1083" s="46">
        <v>43358.602789351855</v>
      </c>
    </row>
    <row r="1084" spans="6:9" x14ac:dyDescent="0.25">
      <c r="F1084" s="40" t="s">
        <v>1353</v>
      </c>
      <c r="G1084" s="24">
        <v>5</v>
      </c>
      <c r="H1084" s="24" t="s">
        <v>1326</v>
      </c>
      <c r="I1084" s="46">
        <v>43358.602708333332</v>
      </c>
    </row>
    <row r="1085" spans="6:9" x14ac:dyDescent="0.25">
      <c r="F1085" s="67" t="s">
        <v>198</v>
      </c>
      <c r="G1085" s="24">
        <v>1</v>
      </c>
      <c r="H1085" s="24" t="s">
        <v>1324</v>
      </c>
      <c r="I1085" s="46">
        <v>43358.602581018517</v>
      </c>
    </row>
    <row r="1086" spans="6:9" x14ac:dyDescent="0.25">
      <c r="F1086" s="67" t="s">
        <v>184</v>
      </c>
      <c r="G1086" s="24">
        <v>1</v>
      </c>
      <c r="H1086" s="24" t="s">
        <v>1324</v>
      </c>
      <c r="I1086" s="46">
        <v>43358.602488425924</v>
      </c>
    </row>
    <row r="1087" spans="6:9" x14ac:dyDescent="0.25">
      <c r="F1087" s="67" t="s">
        <v>199</v>
      </c>
      <c r="G1087" s="24">
        <v>2</v>
      </c>
      <c r="H1087" s="24" t="s">
        <v>1324</v>
      </c>
      <c r="I1087" s="46">
        <v>43358.602395833332</v>
      </c>
    </row>
    <row r="1088" spans="6:9" x14ac:dyDescent="0.25">
      <c r="F1088" s="40" t="s">
        <v>58</v>
      </c>
      <c r="G1088" s="24">
        <v>3</v>
      </c>
      <c r="H1088" s="24" t="s">
        <v>1326</v>
      </c>
      <c r="I1088" s="46">
        <v>43358.602326388886</v>
      </c>
    </row>
    <row r="1089" spans="6:9" x14ac:dyDescent="0.25">
      <c r="F1089" s="67" t="s">
        <v>222</v>
      </c>
      <c r="G1089" s="24">
        <v>1</v>
      </c>
      <c r="H1089" s="24" t="s">
        <v>1324</v>
      </c>
      <c r="I1089" s="46">
        <v>43358.602222222224</v>
      </c>
    </row>
    <row r="1090" spans="6:9" x14ac:dyDescent="0.25">
      <c r="F1090" s="40" t="s">
        <v>1314</v>
      </c>
      <c r="G1090" s="24">
        <v>1</v>
      </c>
      <c r="H1090" s="24" t="s">
        <v>1326</v>
      </c>
      <c r="I1090" s="46">
        <v>43358.602222222224</v>
      </c>
    </row>
    <row r="1091" spans="6:9" x14ac:dyDescent="0.25">
      <c r="F1091" s="40" t="s">
        <v>155</v>
      </c>
      <c r="G1091" s="24">
        <v>1</v>
      </c>
      <c r="H1091" s="24" t="s">
        <v>1326</v>
      </c>
      <c r="I1091" s="46">
        <v>43358.602013888885</v>
      </c>
    </row>
    <row r="1092" spans="6:9" x14ac:dyDescent="0.25">
      <c r="F1092" s="67" t="s">
        <v>186</v>
      </c>
      <c r="G1092" s="24">
        <v>3</v>
      </c>
      <c r="H1092" s="24" t="s">
        <v>1324</v>
      </c>
      <c r="I1092" s="46">
        <v>43358.601921296293</v>
      </c>
    </row>
    <row r="1093" spans="6:9" x14ac:dyDescent="0.25">
      <c r="F1093" s="40" t="s">
        <v>158</v>
      </c>
      <c r="G1093" s="24">
        <v>1</v>
      </c>
      <c r="H1093" s="24" t="s">
        <v>1326</v>
      </c>
      <c r="I1093" s="46">
        <v>43358.601909722223</v>
      </c>
    </row>
    <row r="1094" spans="6:9" x14ac:dyDescent="0.25">
      <c r="F1094" s="67" t="s">
        <v>187</v>
      </c>
      <c r="G1094" s="24">
        <v>1</v>
      </c>
      <c r="H1094" s="24" t="s">
        <v>1324</v>
      </c>
      <c r="I1094" s="46">
        <v>43358.601782407408</v>
      </c>
    </row>
    <row r="1095" spans="6:9" x14ac:dyDescent="0.25">
      <c r="F1095" s="40" t="s">
        <v>11</v>
      </c>
      <c r="G1095" s="24">
        <v>1</v>
      </c>
      <c r="H1095" s="24" t="s">
        <v>1326</v>
      </c>
      <c r="I1095" s="46">
        <v>43358.601689814815</v>
      </c>
    </row>
    <row r="1096" spans="6:9" x14ac:dyDescent="0.25">
      <c r="F1096" s="67" t="s">
        <v>209</v>
      </c>
      <c r="G1096" s="24">
        <v>4</v>
      </c>
      <c r="H1096" s="24" t="s">
        <v>1324</v>
      </c>
      <c r="I1096" s="46">
        <v>43358.601585648146</v>
      </c>
    </row>
    <row r="1097" spans="6:9" x14ac:dyDescent="0.25">
      <c r="F1097" s="40" t="s">
        <v>138</v>
      </c>
      <c r="G1097" s="24">
        <v>2</v>
      </c>
      <c r="H1097" s="24" t="s">
        <v>1326</v>
      </c>
      <c r="I1097" s="46">
        <v>43358.601458333331</v>
      </c>
    </row>
    <row r="1098" spans="6:9" x14ac:dyDescent="0.25">
      <c r="F1098" s="67" t="s">
        <v>197</v>
      </c>
      <c r="G1098" s="24">
        <v>4</v>
      </c>
      <c r="H1098" s="24" t="s">
        <v>1324</v>
      </c>
      <c r="I1098" s="46">
        <v>43358.601446759261</v>
      </c>
    </row>
    <row r="1099" spans="6:9" x14ac:dyDescent="0.25">
      <c r="F1099" s="40" t="s">
        <v>612</v>
      </c>
      <c r="G1099" s="24">
        <v>1</v>
      </c>
      <c r="H1099" s="24" t="s">
        <v>1326</v>
      </c>
      <c r="I1099" s="46">
        <v>43358.601388888892</v>
      </c>
    </row>
    <row r="1100" spans="6:9" x14ac:dyDescent="0.25">
      <c r="F1100" s="67" t="s">
        <v>210</v>
      </c>
      <c r="G1100" s="24">
        <v>1</v>
      </c>
      <c r="H1100" s="24" t="s">
        <v>1324</v>
      </c>
      <c r="I1100" s="46">
        <v>43358.601307870369</v>
      </c>
    </row>
    <row r="1101" spans="6:9" x14ac:dyDescent="0.25">
      <c r="F1101" s="40" t="s">
        <v>234</v>
      </c>
      <c r="G1101" s="24">
        <v>1</v>
      </c>
      <c r="H1101" s="24" t="s">
        <v>1326</v>
      </c>
      <c r="I1101" s="46">
        <v>43358.601284722223</v>
      </c>
    </row>
    <row r="1102" spans="6:9" x14ac:dyDescent="0.25">
      <c r="F1102" s="40" t="s">
        <v>50</v>
      </c>
      <c r="G1102" s="24">
        <v>1</v>
      </c>
      <c r="H1102" s="24" t="s">
        <v>1326</v>
      </c>
      <c r="I1102" s="46">
        <v>43358.601215277777</v>
      </c>
    </row>
    <row r="1103" spans="6:9" x14ac:dyDescent="0.25">
      <c r="F1103" s="67" t="s">
        <v>182</v>
      </c>
      <c r="G1103" s="24">
        <v>3</v>
      </c>
      <c r="H1103" s="24" t="s">
        <v>1324</v>
      </c>
      <c r="I1103" s="46">
        <v>43358.601064814815</v>
      </c>
    </row>
    <row r="1104" spans="6:9" x14ac:dyDescent="0.25">
      <c r="F1104" s="40" t="s">
        <v>118</v>
      </c>
      <c r="G1104" s="24">
        <v>1</v>
      </c>
      <c r="H1104" s="24" t="s">
        <v>1326</v>
      </c>
      <c r="I1104" s="46">
        <v>43358.601041666669</v>
      </c>
    </row>
    <row r="1105" spans="6:9" x14ac:dyDescent="0.25">
      <c r="F1105" s="40" t="s">
        <v>1583</v>
      </c>
      <c r="G1105" s="24">
        <v>1</v>
      </c>
      <c r="H1105" s="24" t="s">
        <v>1326</v>
      </c>
      <c r="I1105" s="46">
        <v>43358.600787037038</v>
      </c>
    </row>
    <row r="1106" spans="6:9" x14ac:dyDescent="0.25">
      <c r="F1106" s="67" t="s">
        <v>149</v>
      </c>
      <c r="G1106" s="24">
        <v>5</v>
      </c>
      <c r="H1106" s="24" t="s">
        <v>1324</v>
      </c>
      <c r="I1106" s="46">
        <v>43358.600624999999</v>
      </c>
    </row>
    <row r="1107" spans="6:9" x14ac:dyDescent="0.25">
      <c r="F1107" s="67" t="s">
        <v>149</v>
      </c>
      <c r="G1107" s="24">
        <v>3</v>
      </c>
      <c r="H1107" s="24" t="s">
        <v>1324</v>
      </c>
      <c r="I1107" s="46">
        <v>43358.600312499999</v>
      </c>
    </row>
    <row r="1108" spans="6:9" x14ac:dyDescent="0.25">
      <c r="F1108" s="40" t="s">
        <v>152</v>
      </c>
      <c r="G1108" s="24">
        <v>1</v>
      </c>
      <c r="H1108" s="24" t="s">
        <v>1326</v>
      </c>
      <c r="I1108" s="46">
        <v>43358.600173611114</v>
      </c>
    </row>
    <row r="1109" spans="6:9" x14ac:dyDescent="0.25">
      <c r="F1109" s="40" t="s">
        <v>140</v>
      </c>
      <c r="G1109" s="24">
        <v>1</v>
      </c>
      <c r="H1109" s="24" t="s">
        <v>1326</v>
      </c>
      <c r="I1109" s="46">
        <v>43358.599826388891</v>
      </c>
    </row>
    <row r="1110" spans="6:9" x14ac:dyDescent="0.25">
      <c r="F1110" s="40" t="s">
        <v>21</v>
      </c>
      <c r="G1110" s="24">
        <v>6</v>
      </c>
      <c r="H1110" s="24" t="s">
        <v>1326</v>
      </c>
      <c r="I1110" s="46">
        <v>43358.599560185183</v>
      </c>
    </row>
    <row r="1111" spans="6:9" x14ac:dyDescent="0.25">
      <c r="F1111" s="67" t="s">
        <v>146</v>
      </c>
      <c r="G1111" s="24">
        <v>6</v>
      </c>
      <c r="H1111" s="24" t="s">
        <v>1324</v>
      </c>
      <c r="I1111" s="46">
        <v>43358.599409722221</v>
      </c>
    </row>
    <row r="1112" spans="6:9" x14ac:dyDescent="0.25">
      <c r="F1112" s="67" t="s">
        <v>121</v>
      </c>
      <c r="G1112" s="24">
        <v>3</v>
      </c>
      <c r="H1112" s="24" t="s">
        <v>1324</v>
      </c>
      <c r="I1112" s="46">
        <v>43358.599305555559</v>
      </c>
    </row>
    <row r="1113" spans="6:9" x14ac:dyDescent="0.25">
      <c r="F1113" s="67" t="s">
        <v>21</v>
      </c>
      <c r="G1113" s="24">
        <v>4</v>
      </c>
      <c r="H1113" s="24" t="s">
        <v>1324</v>
      </c>
      <c r="I1113" s="46">
        <v>43358.599212962959</v>
      </c>
    </row>
    <row r="1114" spans="6:9" x14ac:dyDescent="0.25">
      <c r="F1114" s="40" t="s">
        <v>59</v>
      </c>
      <c r="G1114" s="24">
        <v>10</v>
      </c>
      <c r="H1114" s="24" t="s">
        <v>1326</v>
      </c>
      <c r="I1114" s="46">
        <v>43358.59915509259</v>
      </c>
    </row>
    <row r="1115" spans="6:9" x14ac:dyDescent="0.25">
      <c r="F1115" s="40" t="s">
        <v>122</v>
      </c>
      <c r="G1115" s="24">
        <v>2</v>
      </c>
      <c r="H1115" s="24" t="s">
        <v>1326</v>
      </c>
      <c r="I1115" s="46">
        <v>43358.598912037036</v>
      </c>
    </row>
    <row r="1116" spans="6:9" x14ac:dyDescent="0.25">
      <c r="F1116" s="40" t="s">
        <v>121</v>
      </c>
      <c r="G1116" s="24">
        <v>8</v>
      </c>
      <c r="H1116" s="24" t="s">
        <v>1326</v>
      </c>
      <c r="I1116" s="46">
        <v>43358.59884259259</v>
      </c>
    </row>
    <row r="1117" spans="6:9" x14ac:dyDescent="0.25">
      <c r="F1117" s="40" t="s">
        <v>58</v>
      </c>
      <c r="G1117" s="24">
        <v>7</v>
      </c>
      <c r="H1117" s="24" t="s">
        <v>1326</v>
      </c>
      <c r="I1117" s="46">
        <v>43358.598287037035</v>
      </c>
    </row>
    <row r="1118" spans="6:9" x14ac:dyDescent="0.25">
      <c r="F1118" s="67" t="s">
        <v>4</v>
      </c>
      <c r="G1118" s="24">
        <v>2</v>
      </c>
      <c r="H1118" s="24" t="s">
        <v>1324</v>
      </c>
      <c r="I1118" s="46">
        <v>43358.597870370373</v>
      </c>
    </row>
    <row r="1119" spans="6:9" x14ac:dyDescent="0.25">
      <c r="F1119" s="67" t="s">
        <v>2</v>
      </c>
      <c r="G1119" s="24">
        <v>3</v>
      </c>
      <c r="H1119" s="24" t="s">
        <v>1324</v>
      </c>
      <c r="I1119" s="46">
        <v>43358.597766203704</v>
      </c>
    </row>
    <row r="1120" spans="6:9" x14ac:dyDescent="0.25">
      <c r="F1120" s="67" t="s">
        <v>58</v>
      </c>
      <c r="G1120" s="24">
        <v>19</v>
      </c>
      <c r="H1120" s="24" t="s">
        <v>1324</v>
      </c>
      <c r="I1120" s="46">
        <v>43358.597673611112</v>
      </c>
    </row>
    <row r="1121" spans="6:9" x14ac:dyDescent="0.25">
      <c r="F1121" s="67" t="s">
        <v>349</v>
      </c>
      <c r="G1121" s="24">
        <v>36</v>
      </c>
      <c r="H1121" s="24" t="s">
        <v>1324</v>
      </c>
      <c r="I1121" s="46">
        <v>43358.597546296296</v>
      </c>
    </row>
    <row r="1122" spans="6:9" x14ac:dyDescent="0.25">
      <c r="F1122" s="40" t="s">
        <v>4</v>
      </c>
      <c r="G1122" s="24">
        <v>2</v>
      </c>
      <c r="H1122" s="24" t="s">
        <v>1326</v>
      </c>
      <c r="I1122" s="46">
        <v>43358.597210648149</v>
      </c>
    </row>
    <row r="1123" spans="6:9" x14ac:dyDescent="0.25">
      <c r="F1123" s="40" t="s">
        <v>155</v>
      </c>
      <c r="G1123" s="24">
        <v>26</v>
      </c>
      <c r="H1123" s="24" t="s">
        <v>1326</v>
      </c>
      <c r="I1123" s="46">
        <v>43358.596574074072</v>
      </c>
    </row>
    <row r="1124" spans="6:9" x14ac:dyDescent="0.25">
      <c r="F1124" s="67" t="s">
        <v>3</v>
      </c>
      <c r="G1124" s="24">
        <v>1</v>
      </c>
      <c r="H1124" s="24" t="s">
        <v>1324</v>
      </c>
      <c r="I1124" s="46">
        <v>43358.596134259256</v>
      </c>
    </row>
    <row r="1125" spans="6:9" x14ac:dyDescent="0.25">
      <c r="F1125" s="40" t="s">
        <v>149</v>
      </c>
      <c r="G1125" s="24">
        <v>23</v>
      </c>
      <c r="H1125" s="24" t="s">
        <v>1326</v>
      </c>
      <c r="I1125" s="46">
        <v>43358.595775462964</v>
      </c>
    </row>
    <row r="1126" spans="6:9" x14ac:dyDescent="0.25">
      <c r="F1126" s="40" t="s">
        <v>11</v>
      </c>
      <c r="G1126" s="24">
        <v>11</v>
      </c>
      <c r="H1126" s="24" t="s">
        <v>1326</v>
      </c>
      <c r="I1126" s="46">
        <v>43358.595092592594</v>
      </c>
    </row>
    <row r="1127" spans="6:9" x14ac:dyDescent="0.25">
      <c r="F1127" s="40" t="s">
        <v>146</v>
      </c>
      <c r="G1127" s="24">
        <v>16</v>
      </c>
      <c r="H1127" s="24" t="s">
        <v>1326</v>
      </c>
      <c r="I1127" s="46">
        <v>43358.594733796293</v>
      </c>
    </row>
    <row r="1128" spans="6:9" x14ac:dyDescent="0.25">
      <c r="F1128" s="40" t="s">
        <v>149</v>
      </c>
      <c r="G1128" s="24">
        <v>7</v>
      </c>
      <c r="H1128" s="24" t="s">
        <v>1326</v>
      </c>
      <c r="I1128" s="46">
        <v>43358.594594907408</v>
      </c>
    </row>
    <row r="1129" spans="6:9" x14ac:dyDescent="0.25">
      <c r="F1129" s="40" t="s">
        <v>1377</v>
      </c>
      <c r="G1129" s="24">
        <v>1</v>
      </c>
      <c r="H1129" s="24" t="s">
        <v>1322</v>
      </c>
      <c r="I1129" s="46">
        <v>43358.584398148145</v>
      </c>
    </row>
    <row r="1130" spans="6:9" x14ac:dyDescent="0.25">
      <c r="F1130" s="40" t="s">
        <v>65</v>
      </c>
      <c r="G1130" s="24">
        <v>6</v>
      </c>
      <c r="H1130" s="24" t="s">
        <v>1322</v>
      </c>
      <c r="I1130" s="46">
        <v>43358.584282407406</v>
      </c>
    </row>
    <row r="1131" spans="6:9" x14ac:dyDescent="0.25">
      <c r="F1131" s="40" t="s">
        <v>65</v>
      </c>
      <c r="G1131" s="24">
        <v>7</v>
      </c>
      <c r="H1131" s="24" t="s">
        <v>1322</v>
      </c>
      <c r="I1131" s="46">
        <v>43358.584085648145</v>
      </c>
    </row>
    <row r="1132" spans="6:9" x14ac:dyDescent="0.25">
      <c r="F1132" s="40" t="s">
        <v>344</v>
      </c>
      <c r="G1132" s="24">
        <v>1</v>
      </c>
      <c r="H1132" s="24" t="s">
        <v>1322</v>
      </c>
      <c r="I1132" s="46">
        <v>43358.583715277775</v>
      </c>
    </row>
    <row r="1133" spans="6:9" x14ac:dyDescent="0.25">
      <c r="F1133" s="40" t="s">
        <v>58</v>
      </c>
      <c r="G1133" s="24">
        <v>15</v>
      </c>
      <c r="H1133" s="24" t="s">
        <v>1322</v>
      </c>
      <c r="I1133" s="46">
        <v>43358.583402777775</v>
      </c>
    </row>
    <row r="1134" spans="6:9" x14ac:dyDescent="0.25">
      <c r="F1134" s="40" t="s">
        <v>39</v>
      </c>
      <c r="G1134" s="24">
        <v>4</v>
      </c>
      <c r="H1134" s="24" t="s">
        <v>1322</v>
      </c>
      <c r="I1134" s="46">
        <v>43358.583240740743</v>
      </c>
    </row>
    <row r="1135" spans="6:9" x14ac:dyDescent="0.25">
      <c r="F1135" s="40" t="s">
        <v>1576</v>
      </c>
      <c r="G1135" s="24">
        <v>1</v>
      </c>
      <c r="H1135" s="24" t="s">
        <v>1322</v>
      </c>
      <c r="I1135" s="46">
        <v>43358.582974537036</v>
      </c>
    </row>
    <row r="1136" spans="6:9" x14ac:dyDescent="0.25">
      <c r="F1136" s="40" t="s">
        <v>29</v>
      </c>
      <c r="G1136" s="24">
        <v>2</v>
      </c>
      <c r="H1136" s="24" t="s">
        <v>1320</v>
      </c>
      <c r="I1136" s="46">
        <v>43358.582939814813</v>
      </c>
    </row>
    <row r="1137" spans="6:9" x14ac:dyDescent="0.25">
      <c r="F1137" s="40" t="s">
        <v>170</v>
      </c>
      <c r="G1137" s="24">
        <v>1</v>
      </c>
      <c r="H1137" s="24" t="s">
        <v>1320</v>
      </c>
      <c r="I1137" s="46">
        <v>43358.582870370374</v>
      </c>
    </row>
    <row r="1138" spans="6:9" x14ac:dyDescent="0.25">
      <c r="F1138" s="40" t="s">
        <v>155</v>
      </c>
      <c r="G1138" s="24">
        <v>3</v>
      </c>
      <c r="H1138" s="24" t="s">
        <v>1320</v>
      </c>
      <c r="I1138" s="46">
        <v>43358.582708333335</v>
      </c>
    </row>
    <row r="1139" spans="6:9" x14ac:dyDescent="0.25">
      <c r="F1139" s="40" t="s">
        <v>11</v>
      </c>
      <c r="G1139" s="24">
        <v>1</v>
      </c>
      <c r="H1139" s="24" t="s">
        <v>1320</v>
      </c>
      <c r="I1139" s="46">
        <v>43358.58258101852</v>
      </c>
    </row>
    <row r="1140" spans="6:9" x14ac:dyDescent="0.25">
      <c r="F1140" s="40" t="s">
        <v>149</v>
      </c>
      <c r="G1140" s="24">
        <v>6</v>
      </c>
      <c r="H1140" s="24" t="s">
        <v>1322</v>
      </c>
      <c r="I1140" s="46">
        <v>43358.58253472222</v>
      </c>
    </row>
    <row r="1141" spans="6:9" x14ac:dyDescent="0.25">
      <c r="F1141" s="40" t="s">
        <v>151</v>
      </c>
      <c r="G1141" s="24">
        <v>1</v>
      </c>
      <c r="H1141" s="24" t="s">
        <v>1320</v>
      </c>
      <c r="I1141" s="46">
        <v>43358.582465277781</v>
      </c>
    </row>
    <row r="1142" spans="6:9" x14ac:dyDescent="0.25">
      <c r="F1142" s="40" t="s">
        <v>132</v>
      </c>
      <c r="G1142" s="24">
        <v>2</v>
      </c>
      <c r="H1142" s="24" t="s">
        <v>1320</v>
      </c>
      <c r="I1142" s="46">
        <v>43358.582349537035</v>
      </c>
    </row>
    <row r="1143" spans="6:9" x14ac:dyDescent="0.25">
      <c r="F1143" s="40" t="s">
        <v>155</v>
      </c>
      <c r="G1143" s="24">
        <v>1</v>
      </c>
      <c r="H1143" s="24" t="s">
        <v>1322</v>
      </c>
      <c r="I1143" s="46">
        <v>43358.582303240742</v>
      </c>
    </row>
    <row r="1144" spans="6:9" x14ac:dyDescent="0.25">
      <c r="F1144" s="40" t="s">
        <v>122</v>
      </c>
      <c r="G1144" s="24">
        <v>2</v>
      </c>
      <c r="H1144" s="24" t="s">
        <v>1322</v>
      </c>
      <c r="I1144" s="46">
        <v>43358.582233796296</v>
      </c>
    </row>
    <row r="1145" spans="6:9" x14ac:dyDescent="0.25">
      <c r="F1145" s="40" t="s">
        <v>121</v>
      </c>
      <c r="G1145" s="24">
        <v>3</v>
      </c>
      <c r="H1145" s="24" t="s">
        <v>1322</v>
      </c>
      <c r="I1145" s="46">
        <v>43358.582094907404</v>
      </c>
    </row>
    <row r="1146" spans="6:9" x14ac:dyDescent="0.25">
      <c r="F1146" s="40" t="s">
        <v>21</v>
      </c>
      <c r="G1146" s="24">
        <v>4</v>
      </c>
      <c r="H1146" s="24" t="s">
        <v>1322</v>
      </c>
      <c r="I1146" s="46">
        <v>43358.581944444442</v>
      </c>
    </row>
    <row r="1147" spans="6:9" x14ac:dyDescent="0.25">
      <c r="F1147" s="40" t="s">
        <v>146</v>
      </c>
      <c r="G1147" s="24">
        <v>10</v>
      </c>
      <c r="H1147" s="24" t="s">
        <v>1322</v>
      </c>
      <c r="I1147" s="46">
        <v>43358.581817129627</v>
      </c>
    </row>
    <row r="1148" spans="6:9" x14ac:dyDescent="0.25">
      <c r="F1148" s="40" t="s">
        <v>4</v>
      </c>
      <c r="G1148" s="24">
        <v>2</v>
      </c>
      <c r="H1148" s="24" t="s">
        <v>1322</v>
      </c>
      <c r="I1148" s="46">
        <v>43358.581655092596</v>
      </c>
    </row>
    <row r="1149" spans="6:9" x14ac:dyDescent="0.25">
      <c r="F1149" s="40" t="s">
        <v>11</v>
      </c>
      <c r="G1149" s="24">
        <v>6</v>
      </c>
      <c r="H1149" s="24" t="s">
        <v>1322</v>
      </c>
      <c r="I1149" s="46">
        <v>43358.58153935185</v>
      </c>
    </row>
    <row r="1150" spans="6:9" x14ac:dyDescent="0.25">
      <c r="F1150" s="40" t="s">
        <v>149</v>
      </c>
      <c r="G1150" s="24">
        <v>5</v>
      </c>
      <c r="H1150" s="24" t="s">
        <v>1322</v>
      </c>
      <c r="I1150" s="46">
        <v>43358.581273148149</v>
      </c>
    </row>
    <row r="1151" spans="6:9" x14ac:dyDescent="0.25">
      <c r="F1151" s="40" t="s">
        <v>195</v>
      </c>
      <c r="G1151" s="24">
        <v>1</v>
      </c>
      <c r="H1151" s="24" t="s">
        <v>1320</v>
      </c>
      <c r="I1151" s="46">
        <v>43358.58116898148</v>
      </c>
    </row>
    <row r="1152" spans="6:9" x14ac:dyDescent="0.25">
      <c r="F1152" s="40" t="s">
        <v>349</v>
      </c>
      <c r="G1152" s="24">
        <v>10</v>
      </c>
      <c r="H1152" s="24" t="s">
        <v>1320</v>
      </c>
      <c r="I1152" s="46">
        <v>43358.58090277778</v>
      </c>
    </row>
    <row r="1153" spans="6:9" x14ac:dyDescent="0.25">
      <c r="F1153" s="40" t="s">
        <v>344</v>
      </c>
      <c r="G1153" s="24">
        <v>2</v>
      </c>
      <c r="H1153" s="24" t="s">
        <v>1320</v>
      </c>
      <c r="I1153" s="46">
        <v>43358.580717592595</v>
      </c>
    </row>
    <row r="1154" spans="6:9" x14ac:dyDescent="0.25">
      <c r="F1154" s="40" t="s">
        <v>59</v>
      </c>
      <c r="G1154" s="24">
        <v>5</v>
      </c>
      <c r="H1154" s="24" t="s">
        <v>1320</v>
      </c>
      <c r="I1154" s="46">
        <v>43358.580590277779</v>
      </c>
    </row>
    <row r="1155" spans="6:9" x14ac:dyDescent="0.25">
      <c r="F1155" s="40" t="s">
        <v>168</v>
      </c>
      <c r="G1155" s="24">
        <v>1</v>
      </c>
      <c r="H1155" s="24" t="s">
        <v>1322</v>
      </c>
      <c r="I1155" s="46">
        <v>43358.580462962964</v>
      </c>
    </row>
    <row r="1156" spans="6:9" x14ac:dyDescent="0.25">
      <c r="F1156" s="40" t="s">
        <v>4</v>
      </c>
      <c r="G1156" s="24">
        <v>1</v>
      </c>
      <c r="H1156" s="24" t="s">
        <v>1320</v>
      </c>
      <c r="I1156" s="46">
        <v>43358.580312500002</v>
      </c>
    </row>
    <row r="1157" spans="6:9" x14ac:dyDescent="0.25">
      <c r="F1157" s="40" t="s">
        <v>3</v>
      </c>
      <c r="G1157" s="24">
        <v>1</v>
      </c>
      <c r="H1157" s="24" t="s">
        <v>1320</v>
      </c>
      <c r="I1157" s="46">
        <v>43358.580046296294</v>
      </c>
    </row>
    <row r="1158" spans="6:9" x14ac:dyDescent="0.25">
      <c r="F1158" s="40" t="s">
        <v>121</v>
      </c>
      <c r="G1158" s="24">
        <v>4</v>
      </c>
      <c r="H1158" s="24" t="s">
        <v>1320</v>
      </c>
      <c r="I1158" s="46">
        <v>43358.579872685186</v>
      </c>
    </row>
    <row r="1159" spans="6:9" x14ac:dyDescent="0.25">
      <c r="F1159" s="40" t="s">
        <v>1277</v>
      </c>
      <c r="G1159" s="24">
        <v>1</v>
      </c>
      <c r="H1159" s="24" t="s">
        <v>1320</v>
      </c>
      <c r="I1159" s="46">
        <v>43358.579756944448</v>
      </c>
    </row>
    <row r="1160" spans="6:9" x14ac:dyDescent="0.25">
      <c r="F1160" s="40" t="s">
        <v>164</v>
      </c>
      <c r="G1160" s="24">
        <v>1</v>
      </c>
      <c r="H1160" s="24" t="s">
        <v>1320</v>
      </c>
      <c r="I1160" s="46">
        <v>43358.579456018517</v>
      </c>
    </row>
    <row r="1161" spans="6:9" x14ac:dyDescent="0.25">
      <c r="F1161" s="40" t="s">
        <v>21</v>
      </c>
      <c r="G1161" s="24">
        <v>1</v>
      </c>
      <c r="H1161" s="24" t="s">
        <v>1320</v>
      </c>
      <c r="I1161" s="46">
        <v>43358.57912037037</v>
      </c>
    </row>
    <row r="1162" spans="6:9" x14ac:dyDescent="0.25">
      <c r="F1162" s="40" t="s">
        <v>149</v>
      </c>
      <c r="G1162" s="24">
        <v>10</v>
      </c>
      <c r="H1162" s="24" t="s">
        <v>1320</v>
      </c>
      <c r="I1162" s="46">
        <v>43358.578981481478</v>
      </c>
    </row>
    <row r="1163" spans="6:9" x14ac:dyDescent="0.25">
      <c r="F1163" s="40" t="s">
        <v>149</v>
      </c>
      <c r="G1163" s="24">
        <v>5</v>
      </c>
      <c r="H1163" s="24" t="s">
        <v>1320</v>
      </c>
      <c r="I1163" s="46">
        <v>43358.578703703701</v>
      </c>
    </row>
    <row r="1164" spans="6:9" x14ac:dyDescent="0.25">
      <c r="F1164" s="40" t="s">
        <v>146</v>
      </c>
      <c r="G1164" s="24">
        <v>14</v>
      </c>
      <c r="H1164" s="24" t="s">
        <v>1320</v>
      </c>
      <c r="I1164" s="46">
        <v>43358.578229166669</v>
      </c>
    </row>
    <row r="1165" spans="6:9" x14ac:dyDescent="0.25">
      <c r="F1165" s="40" t="s">
        <v>12</v>
      </c>
      <c r="G1165" s="24">
        <v>2</v>
      </c>
      <c r="H1165" s="24" t="s">
        <v>1320</v>
      </c>
      <c r="I1165" s="46">
        <v>43358.578032407408</v>
      </c>
    </row>
    <row r="1166" spans="6:9" x14ac:dyDescent="0.25">
      <c r="F1166" s="40" t="s">
        <v>11</v>
      </c>
      <c r="G1166" s="24">
        <v>4</v>
      </c>
      <c r="H1166" s="24" t="s">
        <v>1320</v>
      </c>
      <c r="I1166" s="46">
        <v>43358.577766203707</v>
      </c>
    </row>
    <row r="1167" spans="6:9" x14ac:dyDescent="0.25">
      <c r="F1167" s="40" t="s">
        <v>149</v>
      </c>
      <c r="G1167" s="24">
        <v>1</v>
      </c>
      <c r="H1167" s="24" t="s">
        <v>1320</v>
      </c>
      <c r="I1167" s="46">
        <v>43358.577546296299</v>
      </c>
    </row>
    <row r="1168" spans="6:9" x14ac:dyDescent="0.25">
      <c r="F1168" s="40" t="s">
        <v>58</v>
      </c>
      <c r="G1168" s="24">
        <v>8</v>
      </c>
      <c r="H1168" s="24" t="s">
        <v>1321</v>
      </c>
      <c r="I1168" s="46">
        <v>43358.575208333335</v>
      </c>
    </row>
    <row r="1169" spans="6:9" x14ac:dyDescent="0.25">
      <c r="F1169" s="40" t="s">
        <v>349</v>
      </c>
      <c r="G1169" s="24">
        <v>1</v>
      </c>
      <c r="H1169" s="24" t="s">
        <v>1321</v>
      </c>
      <c r="I1169" s="46">
        <v>43358.575104166666</v>
      </c>
    </row>
    <row r="1170" spans="6:9" x14ac:dyDescent="0.25">
      <c r="F1170" s="40" t="s">
        <v>230</v>
      </c>
      <c r="G1170" s="24">
        <v>1</v>
      </c>
      <c r="H1170" s="24" t="s">
        <v>1321</v>
      </c>
      <c r="I1170" s="46">
        <v>43358.575023148151</v>
      </c>
    </row>
    <row r="1171" spans="6:9" x14ac:dyDescent="0.25">
      <c r="F1171" s="40" t="s">
        <v>1377</v>
      </c>
      <c r="G1171" s="24">
        <v>1</v>
      </c>
      <c r="H1171" s="24" t="s">
        <v>1321</v>
      </c>
      <c r="I1171" s="46">
        <v>43358.574895833335</v>
      </c>
    </row>
    <row r="1172" spans="6:9" x14ac:dyDescent="0.25">
      <c r="F1172" s="40" t="s">
        <v>121</v>
      </c>
      <c r="G1172" s="24">
        <v>1</v>
      </c>
      <c r="H1172" s="24" t="s">
        <v>1321</v>
      </c>
      <c r="I1172" s="46">
        <v>43358.574791666666</v>
      </c>
    </row>
    <row r="1173" spans="6:9" x14ac:dyDescent="0.25">
      <c r="F1173" s="40" t="s">
        <v>151</v>
      </c>
      <c r="G1173" s="24">
        <v>1</v>
      </c>
      <c r="H1173" s="24" t="s">
        <v>1321</v>
      </c>
      <c r="I1173" s="46">
        <v>43358.57472222222</v>
      </c>
    </row>
    <row r="1174" spans="6:9" x14ac:dyDescent="0.25">
      <c r="F1174" s="40" t="s">
        <v>11</v>
      </c>
      <c r="G1174" s="24">
        <v>5</v>
      </c>
      <c r="H1174" s="24" t="s">
        <v>1321</v>
      </c>
      <c r="I1174" s="46">
        <v>43358.574282407404</v>
      </c>
    </row>
    <row r="1175" spans="6:9" x14ac:dyDescent="0.25">
      <c r="F1175" s="40" t="s">
        <v>1290</v>
      </c>
      <c r="G1175" s="24">
        <v>1</v>
      </c>
      <c r="H1175" s="24" t="s">
        <v>1321</v>
      </c>
      <c r="I1175" s="46">
        <v>43358.574155092596</v>
      </c>
    </row>
    <row r="1176" spans="6:9" x14ac:dyDescent="0.25">
      <c r="F1176" s="40" t="s">
        <v>199</v>
      </c>
      <c r="G1176" s="24">
        <v>1</v>
      </c>
      <c r="H1176" s="24" t="s">
        <v>1321</v>
      </c>
      <c r="I1176" s="46">
        <v>43358.573958333334</v>
      </c>
    </row>
    <row r="1177" spans="6:9" x14ac:dyDescent="0.25">
      <c r="F1177" s="40" t="s">
        <v>2</v>
      </c>
      <c r="G1177" s="24">
        <v>2</v>
      </c>
      <c r="H1177" s="24" t="s">
        <v>1321</v>
      </c>
      <c r="I1177" s="46">
        <v>43358.572939814818</v>
      </c>
    </row>
    <row r="1178" spans="6:9" x14ac:dyDescent="0.25">
      <c r="F1178" s="40" t="s">
        <v>151</v>
      </c>
      <c r="G1178" s="24">
        <v>3</v>
      </c>
      <c r="H1178" s="24" t="s">
        <v>1321</v>
      </c>
      <c r="I1178" s="46">
        <v>43358.572812500002</v>
      </c>
    </row>
    <row r="1179" spans="6:9" x14ac:dyDescent="0.25">
      <c r="F1179" s="40" t="s">
        <v>155</v>
      </c>
      <c r="G1179" s="24">
        <v>8</v>
      </c>
      <c r="H1179" s="24" t="s">
        <v>1321</v>
      </c>
      <c r="I1179" s="46">
        <v>43358.572731481479</v>
      </c>
    </row>
    <row r="1180" spans="6:9" x14ac:dyDescent="0.25">
      <c r="F1180" s="67" t="s">
        <v>349</v>
      </c>
      <c r="G1180" s="24">
        <v>12</v>
      </c>
      <c r="H1180" s="24" t="s">
        <v>1325</v>
      </c>
      <c r="I1180" s="46">
        <v>43358.571180555555</v>
      </c>
    </row>
    <row r="1181" spans="6:9" x14ac:dyDescent="0.25">
      <c r="F1181" s="40" t="s">
        <v>123</v>
      </c>
      <c r="G1181" s="24">
        <v>1</v>
      </c>
      <c r="H1181" s="24" t="s">
        <v>1321</v>
      </c>
      <c r="I1181" s="46">
        <v>43358.571064814816</v>
      </c>
    </row>
    <row r="1182" spans="6:9" x14ac:dyDescent="0.25">
      <c r="F1182" s="40" t="s">
        <v>121</v>
      </c>
      <c r="G1182" s="24">
        <v>2</v>
      </c>
      <c r="H1182" s="24" t="s">
        <v>1321</v>
      </c>
      <c r="I1182" s="46">
        <v>43358.570937500001</v>
      </c>
    </row>
    <row r="1183" spans="6:9" x14ac:dyDescent="0.25">
      <c r="F1183" s="67" t="s">
        <v>146</v>
      </c>
      <c r="G1183" s="24">
        <v>1</v>
      </c>
      <c r="H1183" s="24" t="s">
        <v>1325</v>
      </c>
      <c r="I1183" s="46">
        <v>43358.570914351854</v>
      </c>
    </row>
    <row r="1184" spans="6:9" x14ac:dyDescent="0.25">
      <c r="F1184" s="40" t="s">
        <v>4</v>
      </c>
      <c r="G1184" s="24">
        <v>2</v>
      </c>
      <c r="H1184" s="24" t="s">
        <v>1321</v>
      </c>
      <c r="I1184" s="46">
        <v>43358.570787037039</v>
      </c>
    </row>
    <row r="1185" spans="6:9" x14ac:dyDescent="0.25">
      <c r="F1185" s="67" t="s">
        <v>1380</v>
      </c>
      <c r="G1185" s="24">
        <v>3</v>
      </c>
      <c r="H1185" s="24" t="s">
        <v>1325</v>
      </c>
      <c r="I1185" s="46">
        <v>43358.570740740739</v>
      </c>
    </row>
    <row r="1186" spans="6:9" x14ac:dyDescent="0.25">
      <c r="F1186" s="40" t="s">
        <v>21</v>
      </c>
      <c r="G1186" s="24">
        <v>5</v>
      </c>
      <c r="H1186" s="24" t="s">
        <v>1321</v>
      </c>
      <c r="I1186" s="46">
        <v>43358.570381944446</v>
      </c>
    </row>
    <row r="1187" spans="6:9" x14ac:dyDescent="0.25">
      <c r="F1187" s="67" t="s">
        <v>59</v>
      </c>
      <c r="G1187" s="24">
        <v>1</v>
      </c>
      <c r="H1187" s="24" t="s">
        <v>1325</v>
      </c>
      <c r="I1187" s="46">
        <v>43358.570347222223</v>
      </c>
    </row>
    <row r="1188" spans="6:9" x14ac:dyDescent="0.25">
      <c r="F1188" s="67" t="s">
        <v>39</v>
      </c>
      <c r="G1188" s="24">
        <v>3</v>
      </c>
      <c r="H1188" s="24" t="s">
        <v>1325</v>
      </c>
      <c r="I1188" s="46">
        <v>43358.570254629631</v>
      </c>
    </row>
    <row r="1189" spans="6:9" x14ac:dyDescent="0.25">
      <c r="F1189" s="40" t="s">
        <v>2</v>
      </c>
      <c r="G1189" s="24">
        <v>3</v>
      </c>
      <c r="H1189" s="24" t="s">
        <v>1321</v>
      </c>
      <c r="I1189" s="46">
        <v>43358.570173611108</v>
      </c>
    </row>
    <row r="1190" spans="6:9" x14ac:dyDescent="0.25">
      <c r="F1190" s="67" t="s">
        <v>21</v>
      </c>
      <c r="G1190" s="24">
        <v>2</v>
      </c>
      <c r="H1190" s="24" t="s">
        <v>1325</v>
      </c>
      <c r="I1190" s="46">
        <v>43358.570104166669</v>
      </c>
    </row>
    <row r="1191" spans="6:9" x14ac:dyDescent="0.25">
      <c r="F1191" s="40" t="s">
        <v>149</v>
      </c>
      <c r="G1191" s="24">
        <v>4</v>
      </c>
      <c r="H1191" s="24" t="s">
        <v>1321</v>
      </c>
      <c r="I1191" s="46">
        <v>43358.569988425923</v>
      </c>
    </row>
    <row r="1192" spans="6:9" x14ac:dyDescent="0.25">
      <c r="F1192" s="67" t="s">
        <v>155</v>
      </c>
      <c r="G1192" s="24">
        <v>7</v>
      </c>
      <c r="H1192" s="24" t="s">
        <v>1325</v>
      </c>
      <c r="I1192" s="46">
        <v>43358.569953703707</v>
      </c>
    </row>
    <row r="1193" spans="6:9" x14ac:dyDescent="0.25">
      <c r="F1193" s="67" t="s">
        <v>121</v>
      </c>
      <c r="G1193" s="24">
        <v>2</v>
      </c>
      <c r="H1193" s="24" t="s">
        <v>1325</v>
      </c>
      <c r="I1193" s="46">
        <v>43358.569826388892</v>
      </c>
    </row>
    <row r="1194" spans="6:9" x14ac:dyDescent="0.25">
      <c r="F1194" s="40" t="s">
        <v>39</v>
      </c>
      <c r="G1194" s="24">
        <v>21</v>
      </c>
      <c r="H1194" s="24" t="s">
        <v>1321</v>
      </c>
      <c r="I1194" s="46">
        <v>43358.569664351853</v>
      </c>
    </row>
    <row r="1195" spans="6:9" x14ac:dyDescent="0.25">
      <c r="F1195" s="40" t="s">
        <v>40</v>
      </c>
      <c r="G1195" s="24">
        <v>1</v>
      </c>
      <c r="H1195" s="24" t="s">
        <v>1321</v>
      </c>
      <c r="I1195" s="46">
        <v>43358.569571759261</v>
      </c>
    </row>
    <row r="1196" spans="6:9" x14ac:dyDescent="0.25">
      <c r="F1196" s="67" t="s">
        <v>11</v>
      </c>
      <c r="G1196" s="24">
        <v>2</v>
      </c>
      <c r="H1196" s="24" t="s">
        <v>1325</v>
      </c>
      <c r="I1196" s="46">
        <v>43358.569537037038</v>
      </c>
    </row>
    <row r="1197" spans="6:9" x14ac:dyDescent="0.25">
      <c r="F1197" s="40" t="s">
        <v>1358</v>
      </c>
      <c r="G1197" s="24">
        <v>1</v>
      </c>
      <c r="H1197" s="24" t="s">
        <v>1321</v>
      </c>
      <c r="I1197" s="46">
        <v>43358.569479166668</v>
      </c>
    </row>
    <row r="1198" spans="6:9" x14ac:dyDescent="0.25">
      <c r="F1198" s="67" t="s">
        <v>2</v>
      </c>
      <c r="G1198" s="24">
        <v>1</v>
      </c>
      <c r="H1198" s="24" t="s">
        <v>1325</v>
      </c>
      <c r="I1198" s="46">
        <v>43358.569409722222</v>
      </c>
    </row>
    <row r="1199" spans="6:9" x14ac:dyDescent="0.25">
      <c r="F1199" s="40" t="s">
        <v>149</v>
      </c>
      <c r="G1199" s="24">
        <v>3</v>
      </c>
      <c r="H1199" s="24" t="s">
        <v>1321</v>
      </c>
      <c r="I1199" s="46">
        <v>43358.569074074076</v>
      </c>
    </row>
    <row r="1200" spans="6:9" x14ac:dyDescent="0.25">
      <c r="F1200" s="40" t="s">
        <v>149</v>
      </c>
      <c r="G1200" s="24">
        <v>5</v>
      </c>
      <c r="H1200" s="24" t="s">
        <v>1321</v>
      </c>
      <c r="I1200" s="46">
        <v>43358.569004629629</v>
      </c>
    </row>
    <row r="1201" spans="6:9" x14ac:dyDescent="0.25">
      <c r="F1201" s="40" t="s">
        <v>182</v>
      </c>
      <c r="G1201" s="24">
        <v>2</v>
      </c>
      <c r="H1201" s="24" t="s">
        <v>1321</v>
      </c>
      <c r="I1201" s="46">
        <v>43358.568796296298</v>
      </c>
    </row>
    <row r="1202" spans="6:9" x14ac:dyDescent="0.25">
      <c r="F1202" s="40" t="s">
        <v>209</v>
      </c>
      <c r="G1202" s="24">
        <v>2</v>
      </c>
      <c r="H1202" s="24" t="s">
        <v>1321</v>
      </c>
      <c r="I1202" s="46">
        <v>43358.56863425926</v>
      </c>
    </row>
    <row r="1203" spans="6:9" x14ac:dyDescent="0.25">
      <c r="F1203" s="40" t="s">
        <v>183</v>
      </c>
      <c r="G1203" s="24">
        <v>3</v>
      </c>
      <c r="H1203" s="24" t="s">
        <v>1321</v>
      </c>
      <c r="I1203" s="46">
        <v>43358.568518518521</v>
      </c>
    </row>
    <row r="1204" spans="6:9" x14ac:dyDescent="0.25">
      <c r="F1204" s="40" t="s">
        <v>183</v>
      </c>
      <c r="G1204" s="24">
        <v>1</v>
      </c>
      <c r="H1204" s="24" t="s">
        <v>1321</v>
      </c>
      <c r="I1204" s="46">
        <v>43358.568055555559</v>
      </c>
    </row>
    <row r="1205" spans="6:9" x14ac:dyDescent="0.25">
      <c r="F1205" s="40" t="s">
        <v>184</v>
      </c>
      <c r="G1205" s="24">
        <v>1</v>
      </c>
      <c r="H1205" s="24" t="s">
        <v>1321</v>
      </c>
      <c r="I1205" s="46">
        <v>43358.567974537036</v>
      </c>
    </row>
    <row r="1206" spans="6:9" x14ac:dyDescent="0.25">
      <c r="F1206" s="40" t="s">
        <v>199</v>
      </c>
      <c r="G1206" s="24">
        <v>1</v>
      </c>
      <c r="H1206" s="24" t="s">
        <v>1321</v>
      </c>
      <c r="I1206" s="46">
        <v>43358.567870370367</v>
      </c>
    </row>
    <row r="1207" spans="6:9" x14ac:dyDescent="0.25">
      <c r="F1207" s="40" t="s">
        <v>222</v>
      </c>
      <c r="G1207" s="24">
        <v>2</v>
      </c>
      <c r="H1207" s="24" t="s">
        <v>1321</v>
      </c>
      <c r="I1207" s="46">
        <v>43358.567789351851</v>
      </c>
    </row>
    <row r="1208" spans="6:9" x14ac:dyDescent="0.25">
      <c r="F1208" s="40" t="s">
        <v>144</v>
      </c>
      <c r="G1208" s="24">
        <v>2</v>
      </c>
      <c r="H1208" s="24" t="s">
        <v>1321</v>
      </c>
      <c r="I1208" s="46">
        <v>43358.567650462966</v>
      </c>
    </row>
    <row r="1209" spans="6:9" x14ac:dyDescent="0.25">
      <c r="F1209" s="67" t="s">
        <v>149</v>
      </c>
      <c r="G1209" s="24">
        <v>6</v>
      </c>
      <c r="H1209" s="24" t="s">
        <v>1325</v>
      </c>
      <c r="I1209" s="46">
        <v>43358.56759259259</v>
      </c>
    </row>
    <row r="1210" spans="6:9" x14ac:dyDescent="0.25">
      <c r="F1210" s="40" t="s">
        <v>120</v>
      </c>
      <c r="G1210" s="24">
        <v>1</v>
      </c>
      <c r="H1210" s="24" t="s">
        <v>1321</v>
      </c>
      <c r="I1210" s="46">
        <v>43358.567557870374</v>
      </c>
    </row>
    <row r="1211" spans="6:9" x14ac:dyDescent="0.25">
      <c r="F1211" s="40" t="s">
        <v>144</v>
      </c>
      <c r="G1211" s="24">
        <v>2</v>
      </c>
      <c r="H1211" s="24" t="s">
        <v>1321</v>
      </c>
      <c r="I1211" s="46">
        <v>43358.567372685182</v>
      </c>
    </row>
    <row r="1212" spans="6:9" x14ac:dyDescent="0.25">
      <c r="F1212" s="40" t="s">
        <v>222</v>
      </c>
      <c r="G1212" s="24">
        <v>7</v>
      </c>
      <c r="H1212" s="24" t="s">
        <v>1321</v>
      </c>
      <c r="I1212" s="46">
        <v>43358.567199074074</v>
      </c>
    </row>
    <row r="1213" spans="6:9" x14ac:dyDescent="0.25">
      <c r="F1213" s="67" t="s">
        <v>3</v>
      </c>
      <c r="G1213" s="24">
        <v>5</v>
      </c>
      <c r="H1213" s="24" t="s">
        <v>1328</v>
      </c>
      <c r="I1213" s="46">
        <v>43358.554340277777</v>
      </c>
    </row>
    <row r="1214" spans="6:9" x14ac:dyDescent="0.25">
      <c r="F1214" s="67" t="s">
        <v>2</v>
      </c>
      <c r="G1214" s="24">
        <v>2</v>
      </c>
      <c r="H1214" s="24" t="s">
        <v>1328</v>
      </c>
      <c r="I1214" s="46">
        <v>43358.554212962961</v>
      </c>
    </row>
    <row r="1215" spans="6:9" x14ac:dyDescent="0.25">
      <c r="F1215" s="67" t="s">
        <v>149</v>
      </c>
      <c r="G1215" s="24">
        <v>20</v>
      </c>
      <c r="H1215" s="24" t="s">
        <v>1328</v>
      </c>
      <c r="I1215" s="46">
        <v>43358.554120370369</v>
      </c>
    </row>
    <row r="1216" spans="6:9" x14ac:dyDescent="0.25">
      <c r="F1216" s="67" t="s">
        <v>216</v>
      </c>
      <c r="G1216" s="24">
        <v>4</v>
      </c>
      <c r="H1216" s="24" t="s">
        <v>1328</v>
      </c>
      <c r="I1216" s="46">
        <v>43358.553981481484</v>
      </c>
    </row>
    <row r="1217" spans="6:9" x14ac:dyDescent="0.25">
      <c r="F1217" s="40" t="s">
        <v>123</v>
      </c>
      <c r="G1217" s="24">
        <v>5</v>
      </c>
      <c r="H1217" s="24" t="s">
        <v>1321</v>
      </c>
      <c r="I1217" s="46">
        <v>43358.553923611114</v>
      </c>
    </row>
    <row r="1218" spans="6:9" x14ac:dyDescent="0.25">
      <c r="F1218" s="40" t="s">
        <v>222</v>
      </c>
      <c r="G1218" s="24">
        <v>1</v>
      </c>
      <c r="H1218" s="24" t="s">
        <v>1321</v>
      </c>
      <c r="I1218" s="46">
        <v>43358.553842592592</v>
      </c>
    </row>
    <row r="1219" spans="6:9" x14ac:dyDescent="0.25">
      <c r="F1219" s="40" t="s">
        <v>2</v>
      </c>
      <c r="G1219" s="24">
        <v>3</v>
      </c>
      <c r="H1219" s="24" t="s">
        <v>1321</v>
      </c>
      <c r="I1219" s="46">
        <v>43358.553749999999</v>
      </c>
    </row>
    <row r="1220" spans="6:9" x14ac:dyDescent="0.25">
      <c r="F1220" s="67" t="s">
        <v>138</v>
      </c>
      <c r="G1220" s="24">
        <v>2</v>
      </c>
      <c r="H1220" s="24" t="s">
        <v>1328</v>
      </c>
      <c r="I1220" s="46">
        <v>43358.553680555553</v>
      </c>
    </row>
    <row r="1221" spans="6:9" x14ac:dyDescent="0.25">
      <c r="F1221" s="40" t="s">
        <v>1578</v>
      </c>
      <c r="G1221" s="24">
        <v>1</v>
      </c>
      <c r="H1221" s="24" t="s">
        <v>1321</v>
      </c>
      <c r="I1221" s="46">
        <v>43358.55363425926</v>
      </c>
    </row>
    <row r="1222" spans="6:9" x14ac:dyDescent="0.25">
      <c r="F1222" s="67" t="s">
        <v>21</v>
      </c>
      <c r="G1222" s="24">
        <v>2</v>
      </c>
      <c r="H1222" s="24" t="s">
        <v>1328</v>
      </c>
      <c r="I1222" s="46">
        <v>43358.553599537037</v>
      </c>
    </row>
    <row r="1223" spans="6:9" x14ac:dyDescent="0.25">
      <c r="F1223" s="67" t="s">
        <v>144</v>
      </c>
      <c r="G1223" s="24">
        <v>1</v>
      </c>
      <c r="H1223" s="24" t="s">
        <v>1328</v>
      </c>
      <c r="I1223" s="46">
        <v>43358.553495370368</v>
      </c>
    </row>
    <row r="1224" spans="6:9" x14ac:dyDescent="0.25">
      <c r="F1224" s="67" t="s">
        <v>1289</v>
      </c>
      <c r="G1224" s="24">
        <v>1</v>
      </c>
      <c r="H1224" s="24" t="s">
        <v>1328</v>
      </c>
      <c r="I1224" s="46">
        <v>43358.553287037037</v>
      </c>
    </row>
    <row r="1225" spans="6:9" x14ac:dyDescent="0.25">
      <c r="F1225" s="67" t="s">
        <v>155</v>
      </c>
      <c r="G1225" s="24">
        <v>1</v>
      </c>
      <c r="H1225" s="24" t="s">
        <v>1328</v>
      </c>
      <c r="I1225" s="46">
        <v>43358.553078703706</v>
      </c>
    </row>
    <row r="1226" spans="6:9" x14ac:dyDescent="0.25">
      <c r="F1226" s="67" t="s">
        <v>197</v>
      </c>
      <c r="G1226" s="24">
        <v>4</v>
      </c>
      <c r="H1226" s="24" t="s">
        <v>1328</v>
      </c>
      <c r="I1226" s="46">
        <v>43358.552986111114</v>
      </c>
    </row>
    <row r="1227" spans="6:9" x14ac:dyDescent="0.25">
      <c r="F1227" s="67" t="s">
        <v>121</v>
      </c>
      <c r="G1227" s="24">
        <v>4</v>
      </c>
      <c r="H1227" s="24" t="s">
        <v>1328</v>
      </c>
      <c r="I1227" s="46">
        <v>43358.552858796298</v>
      </c>
    </row>
    <row r="1228" spans="6:9" x14ac:dyDescent="0.25">
      <c r="F1228" s="67" t="s">
        <v>123</v>
      </c>
      <c r="G1228" s="24">
        <v>1</v>
      </c>
      <c r="H1228" s="24" t="s">
        <v>1328</v>
      </c>
      <c r="I1228" s="46">
        <v>43358.552789351852</v>
      </c>
    </row>
    <row r="1229" spans="6:9" x14ac:dyDescent="0.25">
      <c r="F1229" s="67" t="s">
        <v>12</v>
      </c>
      <c r="G1229" s="24">
        <v>1</v>
      </c>
      <c r="H1229" s="24" t="s">
        <v>1328</v>
      </c>
      <c r="I1229" s="46">
        <v>43358.55269675926</v>
      </c>
    </row>
    <row r="1230" spans="6:9" x14ac:dyDescent="0.25">
      <c r="F1230" s="67" t="s">
        <v>11</v>
      </c>
      <c r="G1230" s="24">
        <v>8</v>
      </c>
      <c r="H1230" s="24" t="s">
        <v>1328</v>
      </c>
      <c r="I1230" s="46">
        <v>43358.552615740744</v>
      </c>
    </row>
    <row r="1231" spans="6:9" x14ac:dyDescent="0.25">
      <c r="F1231" s="40" t="s">
        <v>182</v>
      </c>
      <c r="G1231" s="24">
        <v>8</v>
      </c>
      <c r="H1231" s="24" t="s">
        <v>1321</v>
      </c>
      <c r="I1231" s="46">
        <v>43358.552581018521</v>
      </c>
    </row>
    <row r="1232" spans="6:9" x14ac:dyDescent="0.25">
      <c r="F1232" s="67" t="s">
        <v>59</v>
      </c>
      <c r="G1232" s="24">
        <v>1</v>
      </c>
      <c r="H1232" s="24" t="s">
        <v>1328</v>
      </c>
      <c r="I1232" s="46">
        <v>43358.552465277775</v>
      </c>
    </row>
    <row r="1233" spans="6:9" x14ac:dyDescent="0.25">
      <c r="F1233" s="40" t="s">
        <v>202</v>
      </c>
      <c r="G1233" s="24">
        <v>1</v>
      </c>
      <c r="H1233" s="24" t="s">
        <v>1321</v>
      </c>
      <c r="I1233" s="46">
        <v>43358.552442129629</v>
      </c>
    </row>
    <row r="1234" spans="6:9" x14ac:dyDescent="0.25">
      <c r="F1234" s="67" t="s">
        <v>39</v>
      </c>
      <c r="G1234" s="24">
        <v>4</v>
      </c>
      <c r="H1234" s="24" t="s">
        <v>1328</v>
      </c>
      <c r="I1234" s="46">
        <v>43358.552337962959</v>
      </c>
    </row>
    <row r="1235" spans="6:9" x14ac:dyDescent="0.25">
      <c r="F1235" s="67" t="s">
        <v>349</v>
      </c>
      <c r="G1235" s="24">
        <v>23</v>
      </c>
      <c r="H1235" s="24" t="s">
        <v>1328</v>
      </c>
      <c r="I1235" s="46">
        <v>43358.552245370367</v>
      </c>
    </row>
    <row r="1236" spans="6:9" x14ac:dyDescent="0.25">
      <c r="F1236" s="67" t="s">
        <v>3</v>
      </c>
      <c r="G1236" s="24">
        <v>1</v>
      </c>
      <c r="H1236" s="24" t="s">
        <v>1327</v>
      </c>
      <c r="I1236" s="46">
        <v>43358.552025462966</v>
      </c>
    </row>
    <row r="1237" spans="6:9" x14ac:dyDescent="0.25">
      <c r="F1237" s="40" t="s">
        <v>127</v>
      </c>
      <c r="G1237" s="24">
        <v>3</v>
      </c>
      <c r="H1237" s="24" t="s">
        <v>1321</v>
      </c>
      <c r="I1237" s="46">
        <v>43358.552002314813</v>
      </c>
    </row>
    <row r="1238" spans="6:9" x14ac:dyDescent="0.25">
      <c r="F1238" s="67" t="s">
        <v>67</v>
      </c>
      <c r="G1238" s="24">
        <v>1</v>
      </c>
      <c r="H1238" s="24" t="s">
        <v>1327</v>
      </c>
      <c r="I1238" s="46">
        <v>43358.551898148151</v>
      </c>
    </row>
    <row r="1239" spans="6:9" x14ac:dyDescent="0.25">
      <c r="F1239" s="40" t="s">
        <v>132</v>
      </c>
      <c r="G1239" s="24">
        <v>1</v>
      </c>
      <c r="H1239" s="24" t="s">
        <v>1321</v>
      </c>
      <c r="I1239" s="46">
        <v>43358.551874999997</v>
      </c>
    </row>
    <row r="1240" spans="6:9" x14ac:dyDescent="0.25">
      <c r="F1240" s="67" t="s">
        <v>1561</v>
      </c>
      <c r="G1240" s="24">
        <v>1</v>
      </c>
      <c r="H1240" s="24" t="s">
        <v>1327</v>
      </c>
      <c r="I1240" s="46">
        <v>43358.551805555559</v>
      </c>
    </row>
    <row r="1241" spans="6:9" x14ac:dyDescent="0.25">
      <c r="F1241" s="40" t="s">
        <v>151</v>
      </c>
      <c r="G1241" s="24">
        <v>1</v>
      </c>
      <c r="H1241" s="24" t="s">
        <v>1321</v>
      </c>
      <c r="I1241" s="46">
        <v>43358.551759259259</v>
      </c>
    </row>
    <row r="1242" spans="6:9" x14ac:dyDescent="0.25">
      <c r="F1242" s="40" t="s">
        <v>153</v>
      </c>
      <c r="G1242" s="24">
        <v>1</v>
      </c>
      <c r="H1242" s="24" t="s">
        <v>1321</v>
      </c>
      <c r="I1242" s="46">
        <v>43358.551666666666</v>
      </c>
    </row>
    <row r="1243" spans="6:9" x14ac:dyDescent="0.25">
      <c r="F1243" s="67" t="s">
        <v>29</v>
      </c>
      <c r="G1243" s="24">
        <v>1</v>
      </c>
      <c r="H1243" s="24" t="s">
        <v>1327</v>
      </c>
      <c r="I1243" s="46">
        <v>43358.551516203705</v>
      </c>
    </row>
    <row r="1244" spans="6:9" x14ac:dyDescent="0.25">
      <c r="F1244" s="67" t="s">
        <v>197</v>
      </c>
      <c r="G1244" s="24">
        <v>1</v>
      </c>
      <c r="H1244" s="24" t="s">
        <v>1327</v>
      </c>
      <c r="I1244" s="46">
        <v>43358.551377314812</v>
      </c>
    </row>
    <row r="1245" spans="6:9" x14ac:dyDescent="0.25">
      <c r="F1245" s="40" t="s">
        <v>222</v>
      </c>
      <c r="G1245" s="24">
        <v>1</v>
      </c>
      <c r="H1245" s="24" t="s">
        <v>1321</v>
      </c>
      <c r="I1245" s="46">
        <v>43358.551238425927</v>
      </c>
    </row>
    <row r="1246" spans="6:9" x14ac:dyDescent="0.25">
      <c r="F1246" s="67" t="s">
        <v>209</v>
      </c>
      <c r="G1246" s="24">
        <v>2</v>
      </c>
      <c r="H1246" s="24" t="s">
        <v>1327</v>
      </c>
      <c r="I1246" s="46">
        <v>43358.551180555558</v>
      </c>
    </row>
    <row r="1247" spans="6:9" x14ac:dyDescent="0.25">
      <c r="F1247" s="40" t="s">
        <v>199</v>
      </c>
      <c r="G1247" s="24">
        <v>1</v>
      </c>
      <c r="H1247" s="24" t="s">
        <v>1321</v>
      </c>
      <c r="I1247" s="46">
        <v>43358.55096064815</v>
      </c>
    </row>
    <row r="1248" spans="6:9" x14ac:dyDescent="0.25">
      <c r="F1248" s="67" t="s">
        <v>199</v>
      </c>
      <c r="G1248" s="24">
        <v>1</v>
      </c>
      <c r="H1248" s="24" t="s">
        <v>1327</v>
      </c>
      <c r="I1248" s="46">
        <v>43358.550949074073</v>
      </c>
    </row>
    <row r="1249" spans="6:9" x14ac:dyDescent="0.25">
      <c r="F1249" s="67" t="s">
        <v>186</v>
      </c>
      <c r="G1249" s="24">
        <v>1</v>
      </c>
      <c r="H1249" s="24" t="s">
        <v>1327</v>
      </c>
      <c r="I1249" s="46">
        <v>43358.550856481481</v>
      </c>
    </row>
    <row r="1250" spans="6:9" x14ac:dyDescent="0.25">
      <c r="F1250" s="40" t="s">
        <v>138</v>
      </c>
      <c r="G1250" s="24">
        <v>1</v>
      </c>
      <c r="H1250" s="24" t="s">
        <v>1321</v>
      </c>
      <c r="I1250" s="46">
        <v>43358.550821759258</v>
      </c>
    </row>
    <row r="1251" spans="6:9" x14ac:dyDescent="0.25">
      <c r="F1251" s="67" t="s">
        <v>184</v>
      </c>
      <c r="G1251" s="24">
        <v>1</v>
      </c>
      <c r="H1251" s="24" t="s">
        <v>1327</v>
      </c>
      <c r="I1251" s="46">
        <v>43358.550763888888</v>
      </c>
    </row>
    <row r="1252" spans="6:9" x14ac:dyDescent="0.25">
      <c r="F1252" s="40" t="s">
        <v>160</v>
      </c>
      <c r="G1252" s="24">
        <v>2</v>
      </c>
      <c r="H1252" s="24" t="s">
        <v>1321</v>
      </c>
      <c r="I1252" s="46">
        <v>43358.550740740742</v>
      </c>
    </row>
    <row r="1253" spans="6:9" x14ac:dyDescent="0.25">
      <c r="F1253" s="67" t="s">
        <v>118</v>
      </c>
      <c r="G1253" s="24">
        <v>1</v>
      </c>
      <c r="H1253" s="24" t="s">
        <v>1327</v>
      </c>
      <c r="I1253" s="46">
        <v>43358.55064814815</v>
      </c>
    </row>
    <row r="1254" spans="6:9" x14ac:dyDescent="0.25">
      <c r="F1254" s="40" t="s">
        <v>29</v>
      </c>
      <c r="G1254" s="24">
        <v>2</v>
      </c>
      <c r="H1254" s="24" t="s">
        <v>1321</v>
      </c>
      <c r="I1254" s="46">
        <v>43358.55064814815</v>
      </c>
    </row>
    <row r="1255" spans="6:9" x14ac:dyDescent="0.25">
      <c r="F1255" s="40" t="s">
        <v>170</v>
      </c>
      <c r="G1255" s="24">
        <v>1</v>
      </c>
      <c r="H1255" s="24" t="s">
        <v>1321</v>
      </c>
      <c r="I1255" s="46">
        <v>43358.550520833334</v>
      </c>
    </row>
    <row r="1256" spans="6:9" x14ac:dyDescent="0.25">
      <c r="F1256" s="67" t="s">
        <v>121</v>
      </c>
      <c r="G1256" s="24">
        <v>3</v>
      </c>
      <c r="H1256" s="24" t="s">
        <v>1327</v>
      </c>
      <c r="I1256" s="46">
        <v>43358.550509259258</v>
      </c>
    </row>
    <row r="1257" spans="6:9" x14ac:dyDescent="0.25">
      <c r="F1257" s="67" t="s">
        <v>11</v>
      </c>
      <c r="G1257" s="24">
        <v>1</v>
      </c>
      <c r="H1257" s="24" t="s">
        <v>1327</v>
      </c>
      <c r="I1257" s="46">
        <v>43358.550439814811</v>
      </c>
    </row>
    <row r="1258" spans="6:9" x14ac:dyDescent="0.25">
      <c r="F1258" s="40" t="s">
        <v>34</v>
      </c>
      <c r="G1258" s="24">
        <v>1</v>
      </c>
      <c r="H1258" s="24" t="s">
        <v>1321</v>
      </c>
      <c r="I1258" s="46">
        <v>43358.550428240742</v>
      </c>
    </row>
    <row r="1259" spans="6:9" x14ac:dyDescent="0.25">
      <c r="F1259" s="67" t="s">
        <v>149</v>
      </c>
      <c r="G1259" s="24">
        <v>14</v>
      </c>
      <c r="H1259" s="24" t="s">
        <v>1327</v>
      </c>
      <c r="I1259" s="46">
        <v>43358.550347222219</v>
      </c>
    </row>
    <row r="1260" spans="6:9" x14ac:dyDescent="0.25">
      <c r="F1260" s="67" t="s">
        <v>169</v>
      </c>
      <c r="G1260" s="24">
        <v>1</v>
      </c>
      <c r="H1260" s="24" t="s">
        <v>1327</v>
      </c>
      <c r="I1260" s="46">
        <v>43358.550081018519</v>
      </c>
    </row>
    <row r="1261" spans="6:9" x14ac:dyDescent="0.25">
      <c r="F1261" s="40" t="s">
        <v>63</v>
      </c>
      <c r="G1261" s="24">
        <v>1</v>
      </c>
      <c r="H1261" s="24" t="s">
        <v>1321</v>
      </c>
      <c r="I1261" s="46">
        <v>43358.550069444442</v>
      </c>
    </row>
    <row r="1262" spans="6:9" x14ac:dyDescent="0.25">
      <c r="F1262" s="67" t="s">
        <v>168</v>
      </c>
      <c r="G1262" s="24">
        <v>4</v>
      </c>
      <c r="H1262" s="24" t="s">
        <v>1327</v>
      </c>
      <c r="I1262" s="46">
        <v>43358.549976851849</v>
      </c>
    </row>
    <row r="1263" spans="6:9" x14ac:dyDescent="0.25">
      <c r="F1263" s="67" t="s">
        <v>39</v>
      </c>
      <c r="G1263" s="24">
        <v>10</v>
      </c>
      <c r="H1263" s="24" t="s">
        <v>1327</v>
      </c>
      <c r="I1263" s="46">
        <v>43358.549872685187</v>
      </c>
    </row>
    <row r="1264" spans="6:9" x14ac:dyDescent="0.25">
      <c r="F1264" s="67" t="s">
        <v>4</v>
      </c>
      <c r="G1264" s="24">
        <v>1</v>
      </c>
      <c r="H1264" s="24" t="s">
        <v>1327</v>
      </c>
      <c r="I1264" s="46">
        <v>43358.549687500003</v>
      </c>
    </row>
    <row r="1265" spans="6:9" x14ac:dyDescent="0.25">
      <c r="F1265" s="40" t="s">
        <v>62</v>
      </c>
      <c r="G1265" s="24">
        <v>1</v>
      </c>
      <c r="H1265" s="24" t="s">
        <v>1321</v>
      </c>
      <c r="I1265" s="46">
        <v>43358.549641203703</v>
      </c>
    </row>
    <row r="1266" spans="6:9" x14ac:dyDescent="0.25">
      <c r="F1266" s="67" t="s">
        <v>3</v>
      </c>
      <c r="G1266" s="24">
        <v>1</v>
      </c>
      <c r="H1266" s="24" t="s">
        <v>1327</v>
      </c>
      <c r="I1266" s="46">
        <v>43358.54960648148</v>
      </c>
    </row>
    <row r="1267" spans="6:9" x14ac:dyDescent="0.25">
      <c r="F1267" s="67" t="s">
        <v>160</v>
      </c>
      <c r="G1267" s="24">
        <v>1</v>
      </c>
      <c r="H1267" s="24" t="s">
        <v>1327</v>
      </c>
      <c r="I1267" s="46">
        <v>43358.549502314818</v>
      </c>
    </row>
    <row r="1268" spans="6:9" x14ac:dyDescent="0.25">
      <c r="F1268" s="40" t="s">
        <v>1384</v>
      </c>
      <c r="G1268" s="24">
        <v>1</v>
      </c>
      <c r="H1268" s="24" t="s">
        <v>1321</v>
      </c>
      <c r="I1268" s="46">
        <v>43358.549467592595</v>
      </c>
    </row>
    <row r="1269" spans="6:9" x14ac:dyDescent="0.25">
      <c r="F1269" s="67" t="s">
        <v>1277</v>
      </c>
      <c r="G1269" s="24">
        <v>2</v>
      </c>
      <c r="H1269" s="24" t="s">
        <v>1327</v>
      </c>
      <c r="I1269" s="46">
        <v>43358.549432870372</v>
      </c>
    </row>
    <row r="1270" spans="6:9" x14ac:dyDescent="0.25">
      <c r="F1270" s="67" t="s">
        <v>121</v>
      </c>
      <c r="G1270" s="24">
        <v>11</v>
      </c>
      <c r="H1270" s="24" t="s">
        <v>1327</v>
      </c>
      <c r="I1270" s="46">
        <v>43358.549166666664</v>
      </c>
    </row>
    <row r="1271" spans="6:9" x14ac:dyDescent="0.25">
      <c r="F1271" s="40" t="s">
        <v>1576</v>
      </c>
      <c r="G1271" s="24">
        <v>1</v>
      </c>
      <c r="H1271" s="24" t="s">
        <v>1321</v>
      </c>
      <c r="I1271" s="46">
        <v>43358.549166666664</v>
      </c>
    </row>
    <row r="1272" spans="6:9" x14ac:dyDescent="0.25">
      <c r="F1272" s="40" t="s">
        <v>138</v>
      </c>
      <c r="G1272" s="24">
        <v>2</v>
      </c>
      <c r="H1272" s="24" t="s">
        <v>1319</v>
      </c>
      <c r="I1272" s="46">
        <v>43358.549050925925</v>
      </c>
    </row>
    <row r="1273" spans="6:9" x14ac:dyDescent="0.25">
      <c r="F1273" s="67" t="s">
        <v>52</v>
      </c>
      <c r="G1273" s="24">
        <v>1</v>
      </c>
      <c r="H1273" s="24" t="s">
        <v>1327</v>
      </c>
      <c r="I1273" s="46">
        <v>43358.549039351848</v>
      </c>
    </row>
    <row r="1274" spans="6:9" x14ac:dyDescent="0.25">
      <c r="F1274" s="40" t="s">
        <v>349</v>
      </c>
      <c r="G1274" s="24">
        <v>18</v>
      </c>
      <c r="H1274" s="24" t="s">
        <v>1321</v>
      </c>
      <c r="I1274" s="46">
        <v>43358.549039351848</v>
      </c>
    </row>
    <row r="1275" spans="6:9" x14ac:dyDescent="0.25">
      <c r="F1275" s="40" t="s">
        <v>154</v>
      </c>
      <c r="G1275" s="24">
        <v>1</v>
      </c>
      <c r="H1275" s="24" t="s">
        <v>1319</v>
      </c>
      <c r="I1275" s="46">
        <v>43358.548935185187</v>
      </c>
    </row>
    <row r="1276" spans="6:9" x14ac:dyDescent="0.25">
      <c r="F1276" s="40" t="s">
        <v>4</v>
      </c>
      <c r="G1276" s="24">
        <v>2</v>
      </c>
      <c r="H1276" s="24" t="s">
        <v>1319</v>
      </c>
      <c r="I1276" s="46">
        <v>43358.54886574074</v>
      </c>
    </row>
    <row r="1277" spans="6:9" x14ac:dyDescent="0.25">
      <c r="F1277" s="67" t="s">
        <v>51</v>
      </c>
      <c r="G1277" s="24">
        <v>1</v>
      </c>
      <c r="H1277" s="24" t="s">
        <v>1327</v>
      </c>
      <c r="I1277" s="46">
        <v>43358.548773148148</v>
      </c>
    </row>
    <row r="1278" spans="6:9" x14ac:dyDescent="0.25">
      <c r="F1278" s="67" t="s">
        <v>50</v>
      </c>
      <c r="G1278" s="24">
        <v>2</v>
      </c>
      <c r="H1278" s="24" t="s">
        <v>1327</v>
      </c>
      <c r="I1278" s="46">
        <v>43358.548680555556</v>
      </c>
    </row>
    <row r="1279" spans="6:9" x14ac:dyDescent="0.25">
      <c r="F1279" s="40" t="s">
        <v>155</v>
      </c>
      <c r="G1279" s="24">
        <v>1</v>
      </c>
      <c r="H1279" s="24" t="s">
        <v>1319</v>
      </c>
      <c r="I1279" s="46">
        <v>43358.548645833333</v>
      </c>
    </row>
    <row r="1280" spans="6:9" x14ac:dyDescent="0.25">
      <c r="F1280" s="40" t="s">
        <v>199</v>
      </c>
      <c r="G1280" s="24">
        <v>1</v>
      </c>
      <c r="H1280" s="24" t="s">
        <v>1319</v>
      </c>
      <c r="I1280" s="46">
        <v>43358.548576388886</v>
      </c>
    </row>
    <row r="1281" spans="6:9" x14ac:dyDescent="0.25">
      <c r="F1281" s="40" t="s">
        <v>36</v>
      </c>
      <c r="G1281" s="24">
        <v>2</v>
      </c>
      <c r="H1281" s="24" t="s">
        <v>1321</v>
      </c>
      <c r="I1281" s="46">
        <v>43358.548530092594</v>
      </c>
    </row>
    <row r="1282" spans="6:9" x14ac:dyDescent="0.25">
      <c r="F1282" s="40" t="s">
        <v>182</v>
      </c>
      <c r="G1282" s="24">
        <v>3</v>
      </c>
      <c r="H1282" s="24" t="s">
        <v>1319</v>
      </c>
      <c r="I1282" s="46">
        <v>43358.548506944448</v>
      </c>
    </row>
    <row r="1283" spans="6:9" x14ac:dyDescent="0.25">
      <c r="F1283" s="40" t="s">
        <v>1377</v>
      </c>
      <c r="G1283" s="24">
        <v>1</v>
      </c>
      <c r="H1283" s="24" t="s">
        <v>1321</v>
      </c>
      <c r="I1283" s="46">
        <v>43358.548217592594</v>
      </c>
    </row>
    <row r="1284" spans="6:9" x14ac:dyDescent="0.25">
      <c r="F1284" s="40" t="s">
        <v>118</v>
      </c>
      <c r="G1284" s="24">
        <v>1</v>
      </c>
      <c r="H1284" s="24" t="s">
        <v>1319</v>
      </c>
      <c r="I1284" s="46">
        <v>43358.548148148147</v>
      </c>
    </row>
    <row r="1285" spans="6:9" x14ac:dyDescent="0.25">
      <c r="F1285" s="40" t="s">
        <v>336</v>
      </c>
      <c r="G1285" s="24">
        <v>2</v>
      </c>
      <c r="H1285" s="24" t="s">
        <v>1319</v>
      </c>
      <c r="I1285" s="46">
        <v>43358.548090277778</v>
      </c>
    </row>
    <row r="1286" spans="6:9" x14ac:dyDescent="0.25">
      <c r="F1286" s="40" t="s">
        <v>118</v>
      </c>
      <c r="G1286" s="24">
        <v>1</v>
      </c>
      <c r="H1286" s="24" t="s">
        <v>1319</v>
      </c>
      <c r="I1286" s="46">
        <v>43358.547974537039</v>
      </c>
    </row>
    <row r="1287" spans="6:9" x14ac:dyDescent="0.25">
      <c r="F1287" s="67" t="s">
        <v>21</v>
      </c>
      <c r="G1287" s="24">
        <v>3</v>
      </c>
      <c r="H1287" s="24" t="s">
        <v>1327</v>
      </c>
      <c r="I1287" s="46">
        <v>43358.547962962963</v>
      </c>
    </row>
    <row r="1288" spans="6:9" x14ac:dyDescent="0.25">
      <c r="F1288" s="40" t="s">
        <v>1379</v>
      </c>
      <c r="G1288" s="24">
        <v>1</v>
      </c>
      <c r="H1288" s="24" t="s">
        <v>1321</v>
      </c>
      <c r="I1288" s="46">
        <v>43358.54791666667</v>
      </c>
    </row>
    <row r="1289" spans="6:9" x14ac:dyDescent="0.25">
      <c r="F1289" s="67" t="s">
        <v>155</v>
      </c>
      <c r="G1289" s="24">
        <v>19</v>
      </c>
      <c r="H1289" s="24" t="s">
        <v>1327</v>
      </c>
      <c r="I1289" s="46">
        <v>43358.547881944447</v>
      </c>
    </row>
    <row r="1290" spans="6:9" x14ac:dyDescent="0.25">
      <c r="F1290" s="40" t="s">
        <v>151</v>
      </c>
      <c r="G1290" s="24">
        <v>5</v>
      </c>
      <c r="H1290" s="24" t="s">
        <v>1319</v>
      </c>
      <c r="I1290" s="46">
        <v>43358.547766203701</v>
      </c>
    </row>
    <row r="1291" spans="6:9" x14ac:dyDescent="0.25">
      <c r="F1291" s="40" t="s">
        <v>1379</v>
      </c>
      <c r="G1291" s="24">
        <v>1</v>
      </c>
      <c r="H1291" s="24" t="s">
        <v>1321</v>
      </c>
      <c r="I1291" s="46">
        <v>43358.547766203701</v>
      </c>
    </row>
    <row r="1292" spans="6:9" x14ac:dyDescent="0.25">
      <c r="F1292" s="40" t="s">
        <v>1380</v>
      </c>
      <c r="G1292" s="24">
        <v>24</v>
      </c>
      <c r="H1292" s="24" t="s">
        <v>1319</v>
      </c>
      <c r="I1292" s="46">
        <v>43358.54760416667</v>
      </c>
    </row>
    <row r="1293" spans="6:9" x14ac:dyDescent="0.25">
      <c r="F1293" s="67" t="s">
        <v>349</v>
      </c>
      <c r="G1293" s="24">
        <v>50</v>
      </c>
      <c r="H1293" s="24" t="s">
        <v>1327</v>
      </c>
      <c r="I1293" s="46">
        <v>43358.547511574077</v>
      </c>
    </row>
    <row r="1294" spans="6:9" x14ac:dyDescent="0.25">
      <c r="F1294" s="40" t="s">
        <v>58</v>
      </c>
      <c r="G1294" s="24">
        <v>3</v>
      </c>
      <c r="H1294" s="24" t="s">
        <v>1321</v>
      </c>
      <c r="I1294" s="46">
        <v>43358.547418981485</v>
      </c>
    </row>
    <row r="1295" spans="6:9" x14ac:dyDescent="0.25">
      <c r="F1295" s="67" t="s">
        <v>146</v>
      </c>
      <c r="G1295" s="24">
        <v>5</v>
      </c>
      <c r="H1295" s="24" t="s">
        <v>1325</v>
      </c>
      <c r="I1295" s="46">
        <v>43358.547372685185</v>
      </c>
    </row>
    <row r="1296" spans="6:9" x14ac:dyDescent="0.25">
      <c r="F1296" s="67" t="s">
        <v>58</v>
      </c>
      <c r="G1296" s="24">
        <v>7</v>
      </c>
      <c r="H1296" s="24" t="s">
        <v>1325</v>
      </c>
      <c r="I1296" s="46">
        <v>43358.547268518516</v>
      </c>
    </row>
    <row r="1297" spans="6:9" x14ac:dyDescent="0.25">
      <c r="F1297" s="67" t="s">
        <v>62</v>
      </c>
      <c r="G1297" s="24">
        <v>1</v>
      </c>
      <c r="H1297" s="24" t="s">
        <v>1325</v>
      </c>
      <c r="I1297" s="46">
        <v>43358.5471875</v>
      </c>
    </row>
    <row r="1298" spans="6:9" x14ac:dyDescent="0.25">
      <c r="F1298" s="40" t="s">
        <v>59</v>
      </c>
      <c r="G1298" s="24">
        <v>7</v>
      </c>
      <c r="H1298" s="24" t="s">
        <v>1321</v>
      </c>
      <c r="I1298" s="46">
        <v>43358.547118055554</v>
      </c>
    </row>
    <row r="1299" spans="6:9" x14ac:dyDescent="0.25">
      <c r="F1299" s="67" t="s">
        <v>59</v>
      </c>
      <c r="G1299" s="24">
        <v>4</v>
      </c>
      <c r="H1299" s="24" t="s">
        <v>1325</v>
      </c>
      <c r="I1299" s="46">
        <v>43358.547094907408</v>
      </c>
    </row>
    <row r="1300" spans="6:9" x14ac:dyDescent="0.25">
      <c r="F1300" s="40" t="s">
        <v>58</v>
      </c>
      <c r="G1300" s="24">
        <v>1</v>
      </c>
      <c r="H1300" s="24" t="s">
        <v>1321</v>
      </c>
      <c r="I1300" s="46">
        <v>43358.547002314815</v>
      </c>
    </row>
    <row r="1301" spans="6:9" x14ac:dyDescent="0.25">
      <c r="F1301" s="40" t="s">
        <v>3</v>
      </c>
      <c r="G1301" s="24">
        <v>3</v>
      </c>
      <c r="H1301" s="24" t="s">
        <v>1319</v>
      </c>
      <c r="I1301" s="46">
        <v>43358.546909722223</v>
      </c>
    </row>
    <row r="1302" spans="6:9" x14ac:dyDescent="0.25">
      <c r="F1302" s="67" t="s">
        <v>344</v>
      </c>
      <c r="G1302" s="24">
        <v>2</v>
      </c>
      <c r="H1302" s="24" t="s">
        <v>1325</v>
      </c>
      <c r="I1302" s="46">
        <v>43358.546886574077</v>
      </c>
    </row>
    <row r="1303" spans="6:9" x14ac:dyDescent="0.25">
      <c r="F1303" s="40" t="s">
        <v>2</v>
      </c>
      <c r="G1303" s="24">
        <v>2</v>
      </c>
      <c r="H1303" s="24" t="s">
        <v>1319</v>
      </c>
      <c r="I1303" s="46">
        <v>43358.546840277777</v>
      </c>
    </row>
    <row r="1304" spans="6:9" x14ac:dyDescent="0.25">
      <c r="F1304" s="40" t="s">
        <v>58</v>
      </c>
      <c r="G1304" s="24">
        <v>1</v>
      </c>
      <c r="H1304" s="24" t="s">
        <v>1321</v>
      </c>
      <c r="I1304" s="46">
        <v>43358.546793981484</v>
      </c>
    </row>
    <row r="1305" spans="6:9" x14ac:dyDescent="0.25">
      <c r="F1305" s="67" t="s">
        <v>152</v>
      </c>
      <c r="G1305" s="24">
        <v>3</v>
      </c>
      <c r="H1305" s="24" t="s">
        <v>1325</v>
      </c>
      <c r="I1305" s="46">
        <v>43358.546736111108</v>
      </c>
    </row>
    <row r="1306" spans="6:9" x14ac:dyDescent="0.25">
      <c r="F1306" s="40" t="s">
        <v>149</v>
      </c>
      <c r="G1306" s="24">
        <v>11</v>
      </c>
      <c r="H1306" s="24" t="s">
        <v>1319</v>
      </c>
      <c r="I1306" s="46">
        <v>43358.546689814815</v>
      </c>
    </row>
    <row r="1307" spans="6:9" x14ac:dyDescent="0.25">
      <c r="F1307" s="67" t="s">
        <v>151</v>
      </c>
      <c r="G1307" s="24">
        <v>2</v>
      </c>
      <c r="H1307" s="24" t="s">
        <v>1325</v>
      </c>
      <c r="I1307" s="46">
        <v>43358.546620370369</v>
      </c>
    </row>
    <row r="1308" spans="6:9" x14ac:dyDescent="0.25">
      <c r="F1308" s="67" t="s">
        <v>21</v>
      </c>
      <c r="G1308" s="24">
        <v>3</v>
      </c>
      <c r="H1308" s="24" t="s">
        <v>1325</v>
      </c>
      <c r="I1308" s="46">
        <v>43358.546527777777</v>
      </c>
    </row>
    <row r="1309" spans="6:9" x14ac:dyDescent="0.25">
      <c r="F1309" s="40" t="s">
        <v>612</v>
      </c>
      <c r="G1309" s="24">
        <v>1</v>
      </c>
      <c r="H1309" s="24" t="s">
        <v>1319</v>
      </c>
      <c r="I1309" s="46">
        <v>43358.546493055554</v>
      </c>
    </row>
    <row r="1310" spans="6:9" x14ac:dyDescent="0.25">
      <c r="F1310" s="40" t="s">
        <v>58</v>
      </c>
      <c r="G1310" s="24">
        <v>6</v>
      </c>
      <c r="H1310" s="24" t="s">
        <v>1319</v>
      </c>
      <c r="I1310" s="46">
        <v>43358.546400462961</v>
      </c>
    </row>
    <row r="1311" spans="6:9" x14ac:dyDescent="0.25">
      <c r="F1311" s="67" t="s">
        <v>58</v>
      </c>
      <c r="G1311" s="24">
        <v>1</v>
      </c>
      <c r="H1311" s="24" t="s">
        <v>1325</v>
      </c>
      <c r="I1311" s="46">
        <v>43358.546365740738</v>
      </c>
    </row>
    <row r="1312" spans="6:9" x14ac:dyDescent="0.25">
      <c r="F1312" s="40" t="s">
        <v>39</v>
      </c>
      <c r="G1312" s="24">
        <v>6</v>
      </c>
      <c r="H1312" s="24" t="s">
        <v>1319</v>
      </c>
      <c r="I1312" s="46">
        <v>43358.546342592592</v>
      </c>
    </row>
    <row r="1313" spans="6:9" x14ac:dyDescent="0.25">
      <c r="F1313" s="40" t="s">
        <v>340</v>
      </c>
      <c r="G1313" s="24">
        <v>1</v>
      </c>
      <c r="H1313" s="24" t="s">
        <v>1321</v>
      </c>
      <c r="I1313" s="46">
        <v>43358.546331018515</v>
      </c>
    </row>
    <row r="1314" spans="6:9" x14ac:dyDescent="0.25">
      <c r="F1314" s="67" t="s">
        <v>39</v>
      </c>
      <c r="G1314" s="24">
        <v>3</v>
      </c>
      <c r="H1314" s="24" t="s">
        <v>1325</v>
      </c>
      <c r="I1314" s="46">
        <v>43358.546284722222</v>
      </c>
    </row>
    <row r="1315" spans="6:9" x14ac:dyDescent="0.25">
      <c r="F1315" s="67" t="s">
        <v>344</v>
      </c>
      <c r="G1315" s="24">
        <v>1</v>
      </c>
      <c r="H1315" s="24" t="s">
        <v>1325</v>
      </c>
      <c r="I1315" s="46">
        <v>43358.54619212963</v>
      </c>
    </row>
    <row r="1316" spans="6:9" x14ac:dyDescent="0.25">
      <c r="F1316" s="67" t="s">
        <v>62</v>
      </c>
      <c r="G1316" s="24">
        <v>1</v>
      </c>
      <c r="H1316" s="24" t="s">
        <v>1325</v>
      </c>
      <c r="I1316" s="46">
        <v>43358.546122685184</v>
      </c>
    </row>
    <row r="1317" spans="6:9" x14ac:dyDescent="0.25">
      <c r="F1317" s="40" t="s">
        <v>149</v>
      </c>
      <c r="G1317" s="24">
        <v>16</v>
      </c>
      <c r="H1317" s="24" t="s">
        <v>1319</v>
      </c>
      <c r="I1317" s="46">
        <v>43358.546041666668</v>
      </c>
    </row>
    <row r="1318" spans="6:9" x14ac:dyDescent="0.25">
      <c r="F1318" s="67" t="s">
        <v>1311</v>
      </c>
      <c r="G1318" s="24">
        <v>2</v>
      </c>
      <c r="H1318" s="24" t="s">
        <v>1325</v>
      </c>
      <c r="I1318" s="46">
        <v>43358.546041666668</v>
      </c>
    </row>
    <row r="1319" spans="6:9" x14ac:dyDescent="0.25">
      <c r="F1319" s="40" t="s">
        <v>118</v>
      </c>
      <c r="G1319" s="24">
        <v>3</v>
      </c>
      <c r="H1319" s="24" t="s">
        <v>1321</v>
      </c>
      <c r="I1319" s="46">
        <v>43358.546006944445</v>
      </c>
    </row>
    <row r="1320" spans="6:9" x14ac:dyDescent="0.25">
      <c r="F1320" s="40" t="s">
        <v>12</v>
      </c>
      <c r="G1320" s="24">
        <v>1</v>
      </c>
      <c r="H1320" s="24" t="s">
        <v>1319</v>
      </c>
      <c r="I1320" s="46">
        <v>43358.545868055553</v>
      </c>
    </row>
    <row r="1321" spans="6:9" x14ac:dyDescent="0.25">
      <c r="F1321" s="40" t="s">
        <v>11</v>
      </c>
      <c r="G1321" s="24">
        <v>8</v>
      </c>
      <c r="H1321" s="24" t="s">
        <v>1319</v>
      </c>
      <c r="I1321" s="46">
        <v>43358.545810185184</v>
      </c>
    </row>
    <row r="1322" spans="6:9" x14ac:dyDescent="0.25">
      <c r="F1322" s="40" t="s">
        <v>118</v>
      </c>
      <c r="G1322" s="24">
        <v>1</v>
      </c>
      <c r="H1322" s="24" t="s">
        <v>1321</v>
      </c>
      <c r="I1322" s="46">
        <v>43358.545810185184</v>
      </c>
    </row>
    <row r="1323" spans="6:9" x14ac:dyDescent="0.25">
      <c r="F1323" s="67" t="s">
        <v>134</v>
      </c>
      <c r="G1323" s="24">
        <v>2</v>
      </c>
      <c r="H1323" s="24" t="s">
        <v>1325</v>
      </c>
      <c r="I1323" s="46">
        <v>43358.545798611114</v>
      </c>
    </row>
    <row r="1324" spans="6:9" x14ac:dyDescent="0.25">
      <c r="F1324" s="40" t="s">
        <v>144</v>
      </c>
      <c r="G1324" s="24">
        <v>8</v>
      </c>
      <c r="H1324" s="24" t="s">
        <v>1321</v>
      </c>
      <c r="I1324" s="46">
        <v>43358.545740740738</v>
      </c>
    </row>
    <row r="1325" spans="6:9" x14ac:dyDescent="0.25">
      <c r="F1325" s="40" t="s">
        <v>52</v>
      </c>
      <c r="G1325" s="24">
        <v>1</v>
      </c>
      <c r="H1325" s="24" t="s">
        <v>1319</v>
      </c>
      <c r="I1325" s="46">
        <v>43358.545671296299</v>
      </c>
    </row>
    <row r="1326" spans="6:9" x14ac:dyDescent="0.25">
      <c r="F1326" s="40" t="s">
        <v>50</v>
      </c>
      <c r="G1326" s="24">
        <v>3</v>
      </c>
      <c r="H1326" s="24" t="s">
        <v>1319</v>
      </c>
      <c r="I1326" s="46">
        <v>43358.545555555553</v>
      </c>
    </row>
    <row r="1327" spans="6:9" x14ac:dyDescent="0.25">
      <c r="F1327" s="40" t="s">
        <v>144</v>
      </c>
      <c r="G1327" s="24">
        <v>2</v>
      </c>
      <c r="H1327" s="24" t="s">
        <v>1321</v>
      </c>
      <c r="I1327" s="46">
        <v>43358.545486111114</v>
      </c>
    </row>
    <row r="1328" spans="6:9" x14ac:dyDescent="0.25">
      <c r="F1328" s="40" t="s">
        <v>198</v>
      </c>
      <c r="G1328" s="24">
        <v>1</v>
      </c>
      <c r="H1328" s="24" t="s">
        <v>1319</v>
      </c>
      <c r="I1328" s="46">
        <v>43358.54546296296</v>
      </c>
    </row>
    <row r="1329" spans="6:9" x14ac:dyDescent="0.25">
      <c r="F1329" s="40" t="s">
        <v>141</v>
      </c>
      <c r="G1329" s="24">
        <v>2</v>
      </c>
      <c r="H1329" s="24" t="s">
        <v>1321</v>
      </c>
      <c r="I1329" s="46">
        <v>43358.545381944445</v>
      </c>
    </row>
    <row r="1330" spans="6:9" x14ac:dyDescent="0.25">
      <c r="F1330" s="67" t="s">
        <v>149</v>
      </c>
      <c r="G1330" s="24">
        <v>11</v>
      </c>
      <c r="H1330" s="24" t="s">
        <v>1325</v>
      </c>
      <c r="I1330" s="46">
        <v>43358.545370370368</v>
      </c>
    </row>
    <row r="1331" spans="6:9" x14ac:dyDescent="0.25">
      <c r="F1331" s="40" t="s">
        <v>45</v>
      </c>
      <c r="G1331" s="24">
        <v>5</v>
      </c>
      <c r="H1331" s="24" t="s">
        <v>1321</v>
      </c>
      <c r="I1331" s="46">
        <v>43358.545289351852</v>
      </c>
    </row>
    <row r="1332" spans="6:9" x14ac:dyDescent="0.25">
      <c r="F1332" s="40" t="s">
        <v>155</v>
      </c>
      <c r="G1332" s="24">
        <v>11</v>
      </c>
      <c r="H1332" s="24" t="s">
        <v>1319</v>
      </c>
      <c r="I1332" s="46">
        <v>43358.545138888891</v>
      </c>
    </row>
    <row r="1333" spans="6:9" x14ac:dyDescent="0.25">
      <c r="F1333" s="40" t="s">
        <v>3</v>
      </c>
      <c r="G1333" s="24">
        <v>3</v>
      </c>
      <c r="H1333" s="24" t="s">
        <v>1321</v>
      </c>
      <c r="I1333" s="46">
        <v>43358.544895833336</v>
      </c>
    </row>
    <row r="1334" spans="6:9" x14ac:dyDescent="0.25">
      <c r="F1334" s="40" t="s">
        <v>2</v>
      </c>
      <c r="G1334" s="24">
        <v>4</v>
      </c>
      <c r="H1334" s="24" t="s">
        <v>1321</v>
      </c>
      <c r="I1334" s="46">
        <v>43358.544814814813</v>
      </c>
    </row>
    <row r="1335" spans="6:9" x14ac:dyDescent="0.25">
      <c r="F1335" s="40" t="s">
        <v>146</v>
      </c>
      <c r="G1335" s="24">
        <v>13</v>
      </c>
      <c r="H1335" s="24" t="s">
        <v>1321</v>
      </c>
      <c r="I1335" s="46">
        <v>43358.544606481482</v>
      </c>
    </row>
    <row r="1336" spans="6:9" x14ac:dyDescent="0.25">
      <c r="F1336" s="67" t="s">
        <v>181</v>
      </c>
      <c r="G1336" s="24">
        <v>1</v>
      </c>
      <c r="H1336" s="24" t="s">
        <v>1325</v>
      </c>
      <c r="I1336" s="46">
        <v>43358.544421296298</v>
      </c>
    </row>
    <row r="1337" spans="6:9" x14ac:dyDescent="0.25">
      <c r="F1337" s="67" t="s">
        <v>373</v>
      </c>
      <c r="G1337" s="24">
        <v>1</v>
      </c>
      <c r="H1337" s="24" t="s">
        <v>1325</v>
      </c>
      <c r="I1337" s="46">
        <v>43358.544340277775</v>
      </c>
    </row>
    <row r="1338" spans="6:9" x14ac:dyDescent="0.25">
      <c r="F1338" s="40" t="s">
        <v>21</v>
      </c>
      <c r="G1338" s="24">
        <v>10</v>
      </c>
      <c r="H1338" s="24" t="s">
        <v>1319</v>
      </c>
      <c r="I1338" s="46">
        <v>43358.544189814813</v>
      </c>
    </row>
    <row r="1339" spans="6:9" x14ac:dyDescent="0.25">
      <c r="F1339" s="67" t="s">
        <v>1568</v>
      </c>
      <c r="G1339" s="24">
        <v>1</v>
      </c>
      <c r="H1339" s="24" t="s">
        <v>1325</v>
      </c>
      <c r="I1339" s="46">
        <v>43358.544120370374</v>
      </c>
    </row>
    <row r="1340" spans="6:9" x14ac:dyDescent="0.25">
      <c r="F1340" s="40" t="s">
        <v>4</v>
      </c>
      <c r="G1340" s="24">
        <v>15</v>
      </c>
      <c r="H1340" s="24" t="s">
        <v>1321</v>
      </c>
      <c r="I1340" s="46">
        <v>43358.544027777774</v>
      </c>
    </row>
    <row r="1341" spans="6:9" x14ac:dyDescent="0.25">
      <c r="F1341" s="67" t="s">
        <v>182</v>
      </c>
      <c r="G1341" s="24">
        <v>2</v>
      </c>
      <c r="H1341" s="24" t="s">
        <v>1325</v>
      </c>
      <c r="I1341" s="46">
        <v>43358.543645833335</v>
      </c>
    </row>
    <row r="1342" spans="6:9" x14ac:dyDescent="0.25">
      <c r="F1342" s="40" t="s">
        <v>149</v>
      </c>
      <c r="G1342" s="24">
        <v>12</v>
      </c>
      <c r="H1342" s="24" t="s">
        <v>1321</v>
      </c>
      <c r="I1342" s="46">
        <v>43358.543611111112</v>
      </c>
    </row>
    <row r="1343" spans="6:9" x14ac:dyDescent="0.25">
      <c r="F1343" s="67" t="s">
        <v>184</v>
      </c>
      <c r="G1343" s="24">
        <v>1</v>
      </c>
      <c r="H1343" s="24" t="s">
        <v>1325</v>
      </c>
      <c r="I1343" s="46">
        <v>43358.543483796297</v>
      </c>
    </row>
    <row r="1344" spans="6:9" x14ac:dyDescent="0.25">
      <c r="F1344" s="67" t="s">
        <v>210</v>
      </c>
      <c r="G1344" s="24">
        <v>1</v>
      </c>
      <c r="H1344" s="24" t="s">
        <v>1325</v>
      </c>
      <c r="I1344" s="46">
        <v>43358.543414351851</v>
      </c>
    </row>
    <row r="1345" spans="6:9" x14ac:dyDescent="0.25">
      <c r="F1345" s="40" t="s">
        <v>146</v>
      </c>
      <c r="G1345" s="24">
        <v>16</v>
      </c>
      <c r="H1345" s="24" t="s">
        <v>1319</v>
      </c>
      <c r="I1345" s="46">
        <v>43358.543368055558</v>
      </c>
    </row>
    <row r="1346" spans="6:9" x14ac:dyDescent="0.25">
      <c r="F1346" s="40" t="s">
        <v>149</v>
      </c>
      <c r="G1346" s="24">
        <v>19</v>
      </c>
      <c r="H1346" s="24" t="s">
        <v>1321</v>
      </c>
      <c r="I1346" s="46">
        <v>43358.543287037035</v>
      </c>
    </row>
    <row r="1347" spans="6:9" x14ac:dyDescent="0.25">
      <c r="F1347" s="67" t="s">
        <v>186</v>
      </c>
      <c r="G1347" s="24">
        <v>5</v>
      </c>
      <c r="H1347" s="24" t="s">
        <v>1325</v>
      </c>
      <c r="I1347" s="46">
        <v>43358.543217592596</v>
      </c>
    </row>
    <row r="1348" spans="6:9" x14ac:dyDescent="0.25">
      <c r="F1348" s="67" t="s">
        <v>199</v>
      </c>
      <c r="G1348" s="24">
        <v>2</v>
      </c>
      <c r="H1348" s="24" t="s">
        <v>1325</v>
      </c>
      <c r="I1348" s="46">
        <v>43358.543078703704</v>
      </c>
    </row>
    <row r="1349" spans="6:9" x14ac:dyDescent="0.25">
      <c r="F1349" s="67" t="s">
        <v>184</v>
      </c>
      <c r="G1349" s="24">
        <v>1</v>
      </c>
      <c r="H1349" s="24" t="s">
        <v>1325</v>
      </c>
      <c r="I1349" s="46">
        <v>43358.542905092596</v>
      </c>
    </row>
    <row r="1350" spans="6:9" x14ac:dyDescent="0.25">
      <c r="F1350" s="40" t="s">
        <v>11</v>
      </c>
      <c r="G1350" s="24">
        <v>10</v>
      </c>
      <c r="H1350" s="24" t="s">
        <v>1319</v>
      </c>
      <c r="I1350" s="46">
        <v>43358.542743055557</v>
      </c>
    </row>
    <row r="1351" spans="6:9" x14ac:dyDescent="0.25">
      <c r="F1351" s="67" t="s">
        <v>186</v>
      </c>
      <c r="G1351" s="24">
        <v>1</v>
      </c>
      <c r="H1351" s="24" t="s">
        <v>1325</v>
      </c>
      <c r="I1351" s="46">
        <v>43358.542731481481</v>
      </c>
    </row>
    <row r="1352" spans="6:9" x14ac:dyDescent="0.25">
      <c r="F1352" s="67" t="s">
        <v>198</v>
      </c>
      <c r="G1352" s="24">
        <v>1</v>
      </c>
      <c r="H1352" s="24" t="s">
        <v>1325</v>
      </c>
      <c r="I1352" s="46">
        <v>43358.542650462965</v>
      </c>
    </row>
    <row r="1353" spans="6:9" x14ac:dyDescent="0.25">
      <c r="F1353" s="40" t="s">
        <v>21</v>
      </c>
      <c r="G1353" s="24">
        <v>17</v>
      </c>
      <c r="H1353" s="24" t="s">
        <v>1321</v>
      </c>
      <c r="I1353" s="46">
        <v>43358.542569444442</v>
      </c>
    </row>
    <row r="1354" spans="6:9" x14ac:dyDescent="0.25">
      <c r="F1354" s="67" t="s">
        <v>34</v>
      </c>
      <c r="G1354" s="24">
        <v>1</v>
      </c>
      <c r="H1354" s="24" t="s">
        <v>1325</v>
      </c>
      <c r="I1354" s="46">
        <v>43358.542511574073</v>
      </c>
    </row>
    <row r="1355" spans="6:9" x14ac:dyDescent="0.25">
      <c r="F1355" s="40" t="s">
        <v>122</v>
      </c>
      <c r="G1355" s="24">
        <v>1</v>
      </c>
      <c r="H1355" s="24" t="s">
        <v>1319</v>
      </c>
      <c r="I1355" s="46">
        <v>43358.542442129627</v>
      </c>
    </row>
    <row r="1356" spans="6:9" x14ac:dyDescent="0.25">
      <c r="F1356" s="40" t="s">
        <v>121</v>
      </c>
      <c r="G1356" s="24">
        <v>12</v>
      </c>
      <c r="H1356" s="24" t="s">
        <v>1319</v>
      </c>
      <c r="I1356" s="46">
        <v>43358.542384259257</v>
      </c>
    </row>
    <row r="1357" spans="6:9" x14ac:dyDescent="0.25">
      <c r="F1357" s="40" t="s">
        <v>11</v>
      </c>
      <c r="G1357" s="24">
        <v>12</v>
      </c>
      <c r="H1357" s="24" t="s">
        <v>1321</v>
      </c>
      <c r="I1357" s="46">
        <v>43358.542326388888</v>
      </c>
    </row>
    <row r="1358" spans="6:9" x14ac:dyDescent="0.25">
      <c r="F1358" s="67" t="s">
        <v>170</v>
      </c>
      <c r="G1358" s="24">
        <v>1</v>
      </c>
      <c r="H1358" s="24" t="s">
        <v>1325</v>
      </c>
      <c r="I1358" s="46">
        <v>43358.542314814818</v>
      </c>
    </row>
    <row r="1359" spans="6:9" x14ac:dyDescent="0.25">
      <c r="F1359" s="67" t="s">
        <v>151</v>
      </c>
      <c r="G1359" s="24">
        <v>2</v>
      </c>
      <c r="H1359" s="24" t="s">
        <v>1323</v>
      </c>
      <c r="I1359" s="46">
        <v>43358.542118055557</v>
      </c>
    </row>
    <row r="1360" spans="6:9" x14ac:dyDescent="0.25">
      <c r="F1360" s="67" t="s">
        <v>132</v>
      </c>
      <c r="G1360" s="24">
        <v>1</v>
      </c>
      <c r="H1360" s="24" t="s">
        <v>1323</v>
      </c>
      <c r="I1360" s="46">
        <v>43358.542048611111</v>
      </c>
    </row>
    <row r="1361" spans="6:9" x14ac:dyDescent="0.25">
      <c r="F1361" s="40" t="s">
        <v>11</v>
      </c>
      <c r="G1361" s="24">
        <v>17</v>
      </c>
      <c r="H1361" s="24" t="s">
        <v>1321</v>
      </c>
      <c r="I1361" s="46">
        <v>43358.541979166665</v>
      </c>
    </row>
    <row r="1362" spans="6:9" x14ac:dyDescent="0.25">
      <c r="F1362" s="67" t="s">
        <v>1311</v>
      </c>
      <c r="G1362" s="24">
        <v>1</v>
      </c>
      <c r="H1362" s="24" t="s">
        <v>1323</v>
      </c>
      <c r="I1362" s="46">
        <v>43358.541817129626</v>
      </c>
    </row>
    <row r="1363" spans="6:9" x14ac:dyDescent="0.25">
      <c r="F1363" s="67" t="s">
        <v>1314</v>
      </c>
      <c r="G1363" s="24">
        <v>1</v>
      </c>
      <c r="H1363" s="24" t="s">
        <v>1323</v>
      </c>
      <c r="I1363" s="46">
        <v>43358.541608796295</v>
      </c>
    </row>
    <row r="1364" spans="6:9" x14ac:dyDescent="0.25">
      <c r="F1364" s="40" t="s">
        <v>121</v>
      </c>
      <c r="G1364" s="24">
        <v>15</v>
      </c>
      <c r="H1364" s="24" t="s">
        <v>1321</v>
      </c>
      <c r="I1364" s="46">
        <v>43358.541585648149</v>
      </c>
    </row>
    <row r="1365" spans="6:9" x14ac:dyDescent="0.25">
      <c r="F1365" s="67" t="s">
        <v>165</v>
      </c>
      <c r="G1365" s="24">
        <v>1</v>
      </c>
      <c r="H1365" s="24" t="s">
        <v>1323</v>
      </c>
      <c r="I1365" s="46">
        <v>43358.54142361111</v>
      </c>
    </row>
    <row r="1366" spans="6:9" x14ac:dyDescent="0.25">
      <c r="F1366" s="40" t="s">
        <v>155</v>
      </c>
      <c r="G1366" s="24">
        <v>35</v>
      </c>
      <c r="H1366" s="24" t="s">
        <v>1321</v>
      </c>
      <c r="I1366" s="46">
        <v>43358.54142361111</v>
      </c>
    </row>
    <row r="1367" spans="6:9" x14ac:dyDescent="0.25">
      <c r="F1367" s="40" t="s">
        <v>11</v>
      </c>
      <c r="G1367" s="24">
        <v>10</v>
      </c>
      <c r="H1367" s="24" t="s">
        <v>1321</v>
      </c>
      <c r="I1367" s="46">
        <v>43358.541296296295</v>
      </c>
    </row>
    <row r="1368" spans="6:9" x14ac:dyDescent="0.25">
      <c r="F1368" s="67" t="s">
        <v>189</v>
      </c>
      <c r="G1368" s="24">
        <v>1</v>
      </c>
      <c r="H1368" s="24" t="s">
        <v>1323</v>
      </c>
      <c r="I1368" s="46">
        <v>43358.541203703702</v>
      </c>
    </row>
    <row r="1369" spans="6:9" x14ac:dyDescent="0.25">
      <c r="F1369" s="40" t="s">
        <v>162</v>
      </c>
      <c r="G1369" s="24">
        <v>1</v>
      </c>
      <c r="H1369" s="24" t="s">
        <v>1322</v>
      </c>
      <c r="I1369" s="46">
        <v>43358.54109953704</v>
      </c>
    </row>
    <row r="1370" spans="6:9" x14ac:dyDescent="0.25">
      <c r="F1370" s="67" t="s">
        <v>138</v>
      </c>
      <c r="G1370" s="24">
        <v>1</v>
      </c>
      <c r="H1370" s="24" t="s">
        <v>1323</v>
      </c>
      <c r="I1370" s="46">
        <v>43358.541030092594</v>
      </c>
    </row>
    <row r="1371" spans="6:9" x14ac:dyDescent="0.25">
      <c r="F1371" s="67" t="s">
        <v>227</v>
      </c>
      <c r="G1371" s="24">
        <v>1</v>
      </c>
      <c r="H1371" s="24" t="s">
        <v>1323</v>
      </c>
      <c r="I1371" s="46">
        <v>43358.540949074071</v>
      </c>
    </row>
    <row r="1372" spans="6:9" x14ac:dyDescent="0.25">
      <c r="F1372" s="40" t="s">
        <v>1211</v>
      </c>
      <c r="G1372" s="24">
        <v>1</v>
      </c>
      <c r="H1372" s="24" t="s">
        <v>1322</v>
      </c>
      <c r="I1372" s="46">
        <v>43358.540949074071</v>
      </c>
    </row>
    <row r="1373" spans="6:9" x14ac:dyDescent="0.25">
      <c r="F1373" s="67" t="s">
        <v>140</v>
      </c>
      <c r="G1373" s="24">
        <v>1</v>
      </c>
      <c r="H1373" s="24" t="s">
        <v>1323</v>
      </c>
      <c r="I1373" s="46">
        <v>43358.54074074074</v>
      </c>
    </row>
    <row r="1374" spans="6:9" x14ac:dyDescent="0.25">
      <c r="F1374" s="40" t="s">
        <v>1214</v>
      </c>
      <c r="G1374" s="24">
        <v>1</v>
      </c>
      <c r="H1374" s="24" t="s">
        <v>1322</v>
      </c>
      <c r="I1374" s="46">
        <v>43358.54074074074</v>
      </c>
    </row>
    <row r="1375" spans="6:9" x14ac:dyDescent="0.25">
      <c r="F1375" s="40" t="s">
        <v>175</v>
      </c>
      <c r="G1375" s="24">
        <v>1</v>
      </c>
      <c r="H1375" s="24" t="s">
        <v>1322</v>
      </c>
      <c r="I1375" s="46">
        <v>43358.540555555555</v>
      </c>
    </row>
    <row r="1376" spans="6:9" x14ac:dyDescent="0.25">
      <c r="F1376" s="67" t="s">
        <v>344</v>
      </c>
      <c r="G1376" s="24">
        <v>1</v>
      </c>
      <c r="H1376" s="24" t="s">
        <v>1323</v>
      </c>
      <c r="I1376" s="46">
        <v>43358.540532407409</v>
      </c>
    </row>
    <row r="1377" spans="6:9" x14ac:dyDescent="0.25">
      <c r="F1377" s="40" t="s">
        <v>59</v>
      </c>
      <c r="G1377" s="24">
        <v>1</v>
      </c>
      <c r="H1377" s="24" t="s">
        <v>1322</v>
      </c>
      <c r="I1377" s="46">
        <v>43358.540486111109</v>
      </c>
    </row>
    <row r="1378" spans="6:9" x14ac:dyDescent="0.25">
      <c r="F1378" s="67" t="s">
        <v>1569</v>
      </c>
      <c r="G1378" s="24">
        <v>1</v>
      </c>
      <c r="H1378" s="24" t="s">
        <v>1323</v>
      </c>
      <c r="I1378" s="46">
        <v>43358.540312500001</v>
      </c>
    </row>
    <row r="1379" spans="6:9" x14ac:dyDescent="0.25">
      <c r="F1379" s="40" t="s">
        <v>612</v>
      </c>
      <c r="G1379" s="24">
        <v>1</v>
      </c>
      <c r="H1379" s="24" t="s">
        <v>1322</v>
      </c>
      <c r="I1379" s="46">
        <v>43358.540023148147</v>
      </c>
    </row>
    <row r="1380" spans="6:9" x14ac:dyDescent="0.25">
      <c r="F1380" s="40" t="s">
        <v>140</v>
      </c>
      <c r="G1380" s="24">
        <v>1</v>
      </c>
      <c r="H1380" s="24" t="s">
        <v>1322</v>
      </c>
      <c r="I1380" s="46">
        <v>43358.53979166667</v>
      </c>
    </row>
    <row r="1381" spans="6:9" x14ac:dyDescent="0.25">
      <c r="F1381" s="67" t="s">
        <v>58</v>
      </c>
      <c r="G1381" s="24">
        <v>2</v>
      </c>
      <c r="H1381" s="24" t="s">
        <v>1323</v>
      </c>
      <c r="I1381" s="46">
        <v>43358.539780092593</v>
      </c>
    </row>
    <row r="1382" spans="6:9" x14ac:dyDescent="0.25">
      <c r="F1382" s="67" t="s">
        <v>118</v>
      </c>
      <c r="G1382" s="24">
        <v>1</v>
      </c>
      <c r="H1382" s="24" t="s">
        <v>1323</v>
      </c>
      <c r="I1382" s="46">
        <v>43358.539618055554</v>
      </c>
    </row>
    <row r="1383" spans="6:9" x14ac:dyDescent="0.25">
      <c r="F1383" s="40" t="s">
        <v>138</v>
      </c>
      <c r="G1383" s="24">
        <v>1</v>
      </c>
      <c r="H1383" s="24" t="s">
        <v>1322</v>
      </c>
      <c r="I1383" s="46">
        <v>43358.539502314816</v>
      </c>
    </row>
    <row r="1384" spans="6:9" x14ac:dyDescent="0.25">
      <c r="F1384" s="67" t="s">
        <v>39</v>
      </c>
      <c r="G1384" s="24">
        <v>1</v>
      </c>
      <c r="H1384" s="24" t="s">
        <v>1323</v>
      </c>
      <c r="I1384" s="46">
        <v>43358.539479166669</v>
      </c>
    </row>
    <row r="1385" spans="6:9" x14ac:dyDescent="0.25">
      <c r="F1385" s="40" t="s">
        <v>127</v>
      </c>
      <c r="G1385" s="24">
        <v>1</v>
      </c>
      <c r="H1385" s="24" t="s">
        <v>1322</v>
      </c>
      <c r="I1385" s="46">
        <v>43358.539340277777</v>
      </c>
    </row>
    <row r="1386" spans="6:9" x14ac:dyDescent="0.25">
      <c r="F1386" s="67" t="s">
        <v>4</v>
      </c>
      <c r="G1386" s="24">
        <v>2</v>
      </c>
      <c r="H1386" s="24" t="s">
        <v>1325</v>
      </c>
      <c r="I1386" s="46">
        <v>43358.539282407408</v>
      </c>
    </row>
    <row r="1387" spans="6:9" x14ac:dyDescent="0.25">
      <c r="F1387" s="40" t="s">
        <v>184</v>
      </c>
      <c r="G1387" s="24">
        <v>1</v>
      </c>
      <c r="H1387" s="24" t="s">
        <v>1322</v>
      </c>
      <c r="I1387" s="46">
        <v>43358.539143518516</v>
      </c>
    </row>
    <row r="1388" spans="6:9" x14ac:dyDescent="0.25">
      <c r="F1388" s="67" t="s">
        <v>45</v>
      </c>
      <c r="G1388" s="24">
        <v>1</v>
      </c>
      <c r="H1388" s="24" t="s">
        <v>1323</v>
      </c>
      <c r="I1388" s="46">
        <v>43358.5390162037</v>
      </c>
    </row>
    <row r="1389" spans="6:9" x14ac:dyDescent="0.25">
      <c r="F1389" s="40" t="s">
        <v>370</v>
      </c>
      <c r="G1389" s="24">
        <v>2</v>
      </c>
      <c r="H1389" s="24" t="s">
        <v>1322</v>
      </c>
      <c r="I1389" s="46">
        <v>43358.538865740738</v>
      </c>
    </row>
    <row r="1390" spans="6:9" x14ac:dyDescent="0.25">
      <c r="F1390" s="67" t="s">
        <v>144</v>
      </c>
      <c r="G1390" s="24">
        <v>1</v>
      </c>
      <c r="H1390" s="24" t="s">
        <v>1323</v>
      </c>
      <c r="I1390" s="46">
        <v>43358.538784722223</v>
      </c>
    </row>
    <row r="1391" spans="6:9" x14ac:dyDescent="0.25">
      <c r="F1391" s="40" t="s">
        <v>160</v>
      </c>
      <c r="G1391" s="24">
        <v>1</v>
      </c>
      <c r="H1391" s="24" t="s">
        <v>1322</v>
      </c>
      <c r="I1391" s="46">
        <v>43358.538703703707</v>
      </c>
    </row>
    <row r="1392" spans="6:9" x14ac:dyDescent="0.25">
      <c r="F1392" s="40" t="s">
        <v>50</v>
      </c>
      <c r="G1392" s="24">
        <v>1</v>
      </c>
      <c r="H1392" s="24" t="s">
        <v>1322</v>
      </c>
      <c r="I1392" s="46">
        <v>43358.538622685184</v>
      </c>
    </row>
    <row r="1393" spans="6:9" x14ac:dyDescent="0.25">
      <c r="F1393" s="67" t="s">
        <v>52</v>
      </c>
      <c r="G1393" s="24">
        <v>1</v>
      </c>
      <c r="H1393" s="24" t="s">
        <v>1323</v>
      </c>
      <c r="I1393" s="46">
        <v>43358.538541666669</v>
      </c>
    </row>
    <row r="1394" spans="6:9" x14ac:dyDescent="0.25">
      <c r="F1394" s="67" t="s">
        <v>50</v>
      </c>
      <c r="G1394" s="24">
        <v>1</v>
      </c>
      <c r="H1394" s="24" t="s">
        <v>1323</v>
      </c>
      <c r="I1394" s="46">
        <v>43358.538460648146</v>
      </c>
    </row>
    <row r="1395" spans="6:9" x14ac:dyDescent="0.25">
      <c r="F1395" s="40" t="s">
        <v>149</v>
      </c>
      <c r="G1395" s="24">
        <v>2</v>
      </c>
      <c r="H1395" s="24" t="s">
        <v>1322</v>
      </c>
      <c r="I1395" s="46">
        <v>43358.538437499999</v>
      </c>
    </row>
    <row r="1396" spans="6:9" x14ac:dyDescent="0.25">
      <c r="F1396" s="67" t="s">
        <v>349</v>
      </c>
      <c r="G1396" s="24">
        <v>14</v>
      </c>
      <c r="H1396" s="24" t="s">
        <v>1323</v>
      </c>
      <c r="I1396" s="46">
        <v>43358.538321759261</v>
      </c>
    </row>
    <row r="1397" spans="6:9" x14ac:dyDescent="0.25">
      <c r="F1397" s="40" t="s">
        <v>123</v>
      </c>
      <c r="G1397" s="24">
        <v>1</v>
      </c>
      <c r="H1397" s="24" t="s">
        <v>1322</v>
      </c>
      <c r="I1397" s="46">
        <v>43358.538275462961</v>
      </c>
    </row>
    <row r="1398" spans="6:9" x14ac:dyDescent="0.25">
      <c r="F1398" s="67" t="s">
        <v>2</v>
      </c>
      <c r="G1398" s="24">
        <v>1</v>
      </c>
      <c r="H1398" s="24" t="s">
        <v>1323</v>
      </c>
      <c r="I1398" s="46">
        <v>43358.538078703707</v>
      </c>
    </row>
    <row r="1399" spans="6:9" x14ac:dyDescent="0.25">
      <c r="F1399" s="67" t="s">
        <v>3</v>
      </c>
      <c r="G1399" s="24">
        <v>2</v>
      </c>
      <c r="H1399" s="24" t="s">
        <v>1323</v>
      </c>
      <c r="I1399" s="46">
        <v>43358.537986111114</v>
      </c>
    </row>
    <row r="1400" spans="6:9" x14ac:dyDescent="0.25">
      <c r="F1400" s="40" t="s">
        <v>4</v>
      </c>
      <c r="G1400" s="24">
        <v>2</v>
      </c>
      <c r="H1400" s="24" t="s">
        <v>1322</v>
      </c>
      <c r="I1400" s="46">
        <v>43358.537962962961</v>
      </c>
    </row>
    <row r="1401" spans="6:9" x14ac:dyDescent="0.25">
      <c r="F1401" s="67" t="s">
        <v>121</v>
      </c>
      <c r="G1401" s="24">
        <v>11</v>
      </c>
      <c r="H1401" s="24" t="s">
        <v>1323</v>
      </c>
      <c r="I1401" s="46">
        <v>43358.537870370368</v>
      </c>
    </row>
    <row r="1402" spans="6:9" x14ac:dyDescent="0.25">
      <c r="F1402" s="67" t="s">
        <v>122</v>
      </c>
      <c r="G1402" s="24">
        <v>1</v>
      </c>
      <c r="H1402" s="24" t="s">
        <v>1323</v>
      </c>
      <c r="I1402" s="46">
        <v>43358.537546296298</v>
      </c>
    </row>
    <row r="1403" spans="6:9" x14ac:dyDescent="0.25">
      <c r="F1403" s="40" t="s">
        <v>11</v>
      </c>
      <c r="G1403" s="24">
        <v>2</v>
      </c>
      <c r="H1403" s="24" t="s">
        <v>1322</v>
      </c>
      <c r="I1403" s="46">
        <v>43358.537453703706</v>
      </c>
    </row>
    <row r="1404" spans="6:9" x14ac:dyDescent="0.25">
      <c r="F1404" s="67" t="s">
        <v>21</v>
      </c>
      <c r="G1404" s="24">
        <v>7</v>
      </c>
      <c r="H1404" s="24" t="s">
        <v>1323</v>
      </c>
      <c r="I1404" s="46">
        <v>43358.537175925929</v>
      </c>
    </row>
    <row r="1405" spans="6:9" x14ac:dyDescent="0.25">
      <c r="F1405" s="40" t="s">
        <v>1353</v>
      </c>
      <c r="G1405" s="24">
        <v>6</v>
      </c>
      <c r="H1405" s="24" t="s">
        <v>1322</v>
      </c>
      <c r="I1405" s="46">
        <v>43358.53707175926</v>
      </c>
    </row>
    <row r="1406" spans="6:9" x14ac:dyDescent="0.25">
      <c r="F1406" s="67" t="s">
        <v>155</v>
      </c>
      <c r="G1406" s="24">
        <v>9</v>
      </c>
      <c r="H1406" s="24" t="s">
        <v>1323</v>
      </c>
      <c r="I1406" s="46">
        <v>43358.536898148152</v>
      </c>
    </row>
    <row r="1407" spans="6:9" x14ac:dyDescent="0.25">
      <c r="F1407" s="67" t="s">
        <v>53</v>
      </c>
      <c r="G1407" s="24">
        <v>1</v>
      </c>
      <c r="H1407" s="24" t="s">
        <v>1325</v>
      </c>
      <c r="I1407" s="46">
        <v>43358.536747685182</v>
      </c>
    </row>
    <row r="1408" spans="6:9" x14ac:dyDescent="0.25">
      <c r="F1408" s="67" t="s">
        <v>50</v>
      </c>
      <c r="G1408" s="24">
        <v>2</v>
      </c>
      <c r="H1408" s="24" t="s">
        <v>1325</v>
      </c>
      <c r="I1408" s="46">
        <v>43358.536550925928</v>
      </c>
    </row>
    <row r="1409" spans="6:9" x14ac:dyDescent="0.25">
      <c r="F1409" s="40" t="s">
        <v>62</v>
      </c>
      <c r="G1409" s="24">
        <v>1</v>
      </c>
      <c r="H1409" s="24" t="s">
        <v>1322</v>
      </c>
      <c r="I1409" s="46">
        <v>43358.536435185182</v>
      </c>
    </row>
    <row r="1410" spans="6:9" x14ac:dyDescent="0.25">
      <c r="F1410" s="40" t="s">
        <v>21</v>
      </c>
      <c r="G1410" s="24">
        <v>8</v>
      </c>
      <c r="H1410" s="24" t="s">
        <v>1322</v>
      </c>
      <c r="I1410" s="46">
        <v>43358.53633101852</v>
      </c>
    </row>
    <row r="1411" spans="6:9" x14ac:dyDescent="0.25">
      <c r="F1411" s="40" t="s">
        <v>170</v>
      </c>
      <c r="G1411" s="24">
        <v>1</v>
      </c>
      <c r="H1411" s="24" t="s">
        <v>1322</v>
      </c>
      <c r="I1411" s="46">
        <v>43358.536226851851</v>
      </c>
    </row>
    <row r="1412" spans="6:9" x14ac:dyDescent="0.25">
      <c r="F1412" s="67" t="s">
        <v>29</v>
      </c>
      <c r="G1412" s="24">
        <v>3</v>
      </c>
      <c r="H1412" s="24" t="s">
        <v>1323</v>
      </c>
      <c r="I1412" s="46">
        <v>43358.536064814813</v>
      </c>
    </row>
    <row r="1413" spans="6:9" x14ac:dyDescent="0.25">
      <c r="F1413" s="40" t="s">
        <v>30</v>
      </c>
      <c r="G1413" s="24">
        <v>1</v>
      </c>
      <c r="H1413" s="24" t="s">
        <v>1322</v>
      </c>
      <c r="I1413" s="46">
        <v>43358.535983796297</v>
      </c>
    </row>
    <row r="1414" spans="6:9" x14ac:dyDescent="0.25">
      <c r="F1414" s="67" t="s">
        <v>168</v>
      </c>
      <c r="G1414" s="24">
        <v>1</v>
      </c>
      <c r="H1414" s="24" t="s">
        <v>1323</v>
      </c>
      <c r="I1414" s="46">
        <v>43358.535914351851</v>
      </c>
    </row>
    <row r="1415" spans="6:9" x14ac:dyDescent="0.25">
      <c r="F1415" s="40" t="s">
        <v>1576</v>
      </c>
      <c r="G1415" s="24">
        <v>1</v>
      </c>
      <c r="H1415" s="24" t="s">
        <v>1322</v>
      </c>
      <c r="I1415" s="46">
        <v>43358.535729166666</v>
      </c>
    </row>
    <row r="1416" spans="6:9" x14ac:dyDescent="0.25">
      <c r="F1416" s="67" t="s">
        <v>169</v>
      </c>
      <c r="G1416" s="24">
        <v>1</v>
      </c>
      <c r="H1416" s="24" t="s">
        <v>1323</v>
      </c>
      <c r="I1416" s="46">
        <v>43358.535555555558</v>
      </c>
    </row>
    <row r="1417" spans="6:9" x14ac:dyDescent="0.25">
      <c r="F1417" s="67" t="s">
        <v>39</v>
      </c>
      <c r="G1417" s="24">
        <v>6</v>
      </c>
      <c r="H1417" s="24" t="s">
        <v>1323</v>
      </c>
      <c r="I1417" s="46">
        <v>43358.535474537035</v>
      </c>
    </row>
    <row r="1418" spans="6:9" x14ac:dyDescent="0.25">
      <c r="F1418" s="40" t="s">
        <v>1379</v>
      </c>
      <c r="G1418" s="24">
        <v>1</v>
      </c>
      <c r="H1418" s="24" t="s">
        <v>1322</v>
      </c>
      <c r="I1418" s="46">
        <v>43358.534780092596</v>
      </c>
    </row>
    <row r="1419" spans="6:9" x14ac:dyDescent="0.25">
      <c r="F1419" s="67" t="s">
        <v>11</v>
      </c>
      <c r="G1419" s="24">
        <v>8</v>
      </c>
      <c r="H1419" s="24" t="s">
        <v>1325</v>
      </c>
      <c r="I1419" s="46">
        <v>43358.534675925926</v>
      </c>
    </row>
    <row r="1420" spans="6:9" x14ac:dyDescent="0.25">
      <c r="F1420" s="40" t="s">
        <v>1377</v>
      </c>
      <c r="G1420" s="24">
        <v>3</v>
      </c>
      <c r="H1420" s="24" t="s">
        <v>1322</v>
      </c>
      <c r="I1420" s="46">
        <v>43358.53465277778</v>
      </c>
    </row>
    <row r="1421" spans="6:9" x14ac:dyDescent="0.25">
      <c r="F1421" s="67" t="s">
        <v>140</v>
      </c>
      <c r="G1421" s="24">
        <v>2</v>
      </c>
      <c r="H1421" s="24" t="s">
        <v>1325</v>
      </c>
      <c r="I1421" s="46">
        <v>43358.534594907411</v>
      </c>
    </row>
    <row r="1422" spans="6:9" x14ac:dyDescent="0.25">
      <c r="F1422" s="67" t="s">
        <v>127</v>
      </c>
      <c r="G1422" s="24">
        <v>1</v>
      </c>
      <c r="H1422" s="24" t="s">
        <v>1325</v>
      </c>
      <c r="I1422" s="46">
        <v>43358.534525462965</v>
      </c>
    </row>
    <row r="1423" spans="6:9" x14ac:dyDescent="0.25">
      <c r="F1423" s="40" t="s">
        <v>1379</v>
      </c>
      <c r="G1423" s="24">
        <v>1</v>
      </c>
      <c r="H1423" s="24" t="s">
        <v>1322</v>
      </c>
      <c r="I1423" s="46">
        <v>43358.534525462965</v>
      </c>
    </row>
    <row r="1424" spans="6:9" x14ac:dyDescent="0.25">
      <c r="F1424" s="67" t="s">
        <v>121</v>
      </c>
      <c r="G1424" s="24">
        <v>3</v>
      </c>
      <c r="H1424" s="24" t="s">
        <v>1325</v>
      </c>
      <c r="I1424" s="46">
        <v>43358.534328703703</v>
      </c>
    </row>
    <row r="1425" spans="6:9" x14ac:dyDescent="0.25">
      <c r="F1425" s="40" t="s">
        <v>1380</v>
      </c>
      <c r="G1425" s="24">
        <v>9</v>
      </c>
      <c r="H1425" s="24" t="s">
        <v>1322</v>
      </c>
      <c r="I1425" s="46">
        <v>43358.534270833334</v>
      </c>
    </row>
    <row r="1426" spans="6:9" x14ac:dyDescent="0.25">
      <c r="F1426" s="67" t="s">
        <v>12</v>
      </c>
      <c r="G1426" s="24">
        <v>1</v>
      </c>
      <c r="H1426" s="24" t="s">
        <v>1325</v>
      </c>
      <c r="I1426" s="46">
        <v>43358.534259259257</v>
      </c>
    </row>
    <row r="1427" spans="6:9" x14ac:dyDescent="0.25">
      <c r="F1427" s="67" t="s">
        <v>197</v>
      </c>
      <c r="G1427" s="24">
        <v>3</v>
      </c>
      <c r="H1427" s="24" t="s">
        <v>1327</v>
      </c>
      <c r="I1427" s="46">
        <v>43358.534085648149</v>
      </c>
    </row>
    <row r="1428" spans="6:9" x14ac:dyDescent="0.25">
      <c r="F1428" s="67" t="s">
        <v>184</v>
      </c>
      <c r="G1428" s="24">
        <v>1</v>
      </c>
      <c r="H1428" s="24" t="s">
        <v>1327</v>
      </c>
      <c r="I1428" s="46">
        <v>43358.533912037034</v>
      </c>
    </row>
    <row r="1429" spans="6:9" x14ac:dyDescent="0.25">
      <c r="F1429" s="40" t="s">
        <v>1376</v>
      </c>
      <c r="G1429" s="24">
        <v>2</v>
      </c>
      <c r="H1429" s="24" t="s">
        <v>1322</v>
      </c>
      <c r="I1429" s="46">
        <v>43358.533912037034</v>
      </c>
    </row>
    <row r="1430" spans="6:9" x14ac:dyDescent="0.25">
      <c r="F1430" s="67" t="s">
        <v>186</v>
      </c>
      <c r="G1430" s="24">
        <v>1</v>
      </c>
      <c r="H1430" s="24" t="s">
        <v>1327</v>
      </c>
      <c r="I1430" s="46">
        <v>43358.533726851849</v>
      </c>
    </row>
    <row r="1431" spans="6:9" x14ac:dyDescent="0.25">
      <c r="F1431" s="40" t="s">
        <v>59</v>
      </c>
      <c r="G1431" s="24">
        <v>3</v>
      </c>
      <c r="H1431" s="24" t="s">
        <v>1322</v>
      </c>
      <c r="I1431" s="46">
        <v>43358.533680555556</v>
      </c>
    </row>
    <row r="1432" spans="6:9" x14ac:dyDescent="0.25">
      <c r="F1432" s="67" t="s">
        <v>155</v>
      </c>
      <c r="G1432" s="24">
        <v>2</v>
      </c>
      <c r="H1432" s="24" t="s">
        <v>1327</v>
      </c>
      <c r="I1432" s="46">
        <v>43358.533622685187</v>
      </c>
    </row>
    <row r="1433" spans="6:9" x14ac:dyDescent="0.25">
      <c r="F1433" s="67" t="s">
        <v>149</v>
      </c>
      <c r="G1433" s="24">
        <v>3</v>
      </c>
      <c r="H1433" s="24" t="s">
        <v>1327</v>
      </c>
      <c r="I1433" s="46">
        <v>43358.533553240741</v>
      </c>
    </row>
    <row r="1434" spans="6:9" x14ac:dyDescent="0.25">
      <c r="F1434" s="40" t="s">
        <v>58</v>
      </c>
      <c r="G1434" s="24">
        <v>8</v>
      </c>
      <c r="H1434" s="24" t="s">
        <v>1322</v>
      </c>
      <c r="I1434" s="46">
        <v>43358.533391203702</v>
      </c>
    </row>
    <row r="1435" spans="6:9" x14ac:dyDescent="0.25">
      <c r="F1435" s="67" t="s">
        <v>149</v>
      </c>
      <c r="G1435" s="24">
        <v>12</v>
      </c>
      <c r="H1435" s="24" t="s">
        <v>1323</v>
      </c>
      <c r="I1435" s="46">
        <v>43358.533333333333</v>
      </c>
    </row>
    <row r="1436" spans="6:9" x14ac:dyDescent="0.25">
      <c r="F1436" s="40" t="s">
        <v>121</v>
      </c>
      <c r="G1436" s="24">
        <v>4</v>
      </c>
      <c r="H1436" s="24" t="s">
        <v>1322</v>
      </c>
      <c r="I1436" s="46">
        <v>43358.533055555556</v>
      </c>
    </row>
    <row r="1437" spans="6:9" x14ac:dyDescent="0.25">
      <c r="F1437" s="67" t="s">
        <v>155</v>
      </c>
      <c r="G1437" s="24">
        <v>31</v>
      </c>
      <c r="H1437" s="24" t="s">
        <v>1325</v>
      </c>
      <c r="I1437" s="46">
        <v>43358.532986111109</v>
      </c>
    </row>
    <row r="1438" spans="6:9" x14ac:dyDescent="0.25">
      <c r="F1438" s="40" t="s">
        <v>1277</v>
      </c>
      <c r="G1438" s="24">
        <v>2</v>
      </c>
      <c r="H1438" s="24" t="s">
        <v>1322</v>
      </c>
      <c r="I1438" s="46">
        <v>43358.53297453704</v>
      </c>
    </row>
    <row r="1439" spans="6:9" x14ac:dyDescent="0.25">
      <c r="F1439" s="40" t="s">
        <v>182</v>
      </c>
      <c r="G1439" s="24">
        <v>1</v>
      </c>
      <c r="H1439" s="24" t="s">
        <v>1322</v>
      </c>
      <c r="I1439" s="46">
        <v>43358.532500000001</v>
      </c>
    </row>
    <row r="1440" spans="6:9" x14ac:dyDescent="0.25">
      <c r="F1440" s="40" t="s">
        <v>216</v>
      </c>
      <c r="G1440" s="24">
        <v>1</v>
      </c>
      <c r="H1440" s="24" t="s">
        <v>1322</v>
      </c>
      <c r="I1440" s="46">
        <v>43358.532395833332</v>
      </c>
    </row>
    <row r="1441" spans="6:9" x14ac:dyDescent="0.25">
      <c r="F1441" s="67" t="s">
        <v>149</v>
      </c>
      <c r="G1441" s="24">
        <v>8</v>
      </c>
      <c r="H1441" s="24" t="s">
        <v>1325</v>
      </c>
      <c r="I1441" s="46">
        <v>43358.532384259262</v>
      </c>
    </row>
    <row r="1442" spans="6:9" x14ac:dyDescent="0.25">
      <c r="F1442" s="40" t="s">
        <v>155</v>
      </c>
      <c r="G1442" s="24">
        <v>4</v>
      </c>
      <c r="H1442" s="24" t="s">
        <v>1322</v>
      </c>
      <c r="I1442" s="46">
        <v>43358.53230324074</v>
      </c>
    </row>
    <row r="1443" spans="6:9" x14ac:dyDescent="0.25">
      <c r="F1443" s="67" t="s">
        <v>149</v>
      </c>
      <c r="G1443" s="24">
        <v>14</v>
      </c>
      <c r="H1443" s="24" t="s">
        <v>1325</v>
      </c>
      <c r="I1443" s="46">
        <v>43358.532222222224</v>
      </c>
    </row>
    <row r="1444" spans="6:9" x14ac:dyDescent="0.25">
      <c r="F1444" s="67" t="s">
        <v>146</v>
      </c>
      <c r="G1444" s="24">
        <v>9</v>
      </c>
      <c r="H1444" s="24" t="s">
        <v>1325</v>
      </c>
      <c r="I1444" s="46">
        <v>43358.531875000001</v>
      </c>
    </row>
    <row r="1445" spans="6:9" x14ac:dyDescent="0.25">
      <c r="F1445" s="67" t="s">
        <v>191</v>
      </c>
      <c r="G1445" s="24">
        <v>1</v>
      </c>
      <c r="H1445" s="24" t="s">
        <v>1325</v>
      </c>
      <c r="I1445" s="46">
        <v>43358.531793981485</v>
      </c>
    </row>
    <row r="1446" spans="6:9" x14ac:dyDescent="0.25">
      <c r="F1446" s="67" t="s">
        <v>56</v>
      </c>
      <c r="G1446" s="24">
        <v>1</v>
      </c>
      <c r="H1446" s="24" t="s">
        <v>1325</v>
      </c>
      <c r="I1446" s="46">
        <v>43358.531504629631</v>
      </c>
    </row>
    <row r="1447" spans="6:9" x14ac:dyDescent="0.25">
      <c r="F1447" s="40" t="s">
        <v>149</v>
      </c>
      <c r="G1447" s="24">
        <v>5</v>
      </c>
      <c r="H1447" s="24" t="s">
        <v>1322</v>
      </c>
      <c r="I1447" s="46">
        <v>43358.531435185185</v>
      </c>
    </row>
    <row r="1448" spans="6:9" x14ac:dyDescent="0.25">
      <c r="F1448" s="67" t="s">
        <v>59</v>
      </c>
      <c r="G1448" s="24">
        <v>2</v>
      </c>
      <c r="H1448" s="24" t="s">
        <v>1325</v>
      </c>
      <c r="I1448" s="46">
        <v>43358.531423611108</v>
      </c>
    </row>
    <row r="1449" spans="6:9" x14ac:dyDescent="0.25">
      <c r="F1449" s="67" t="s">
        <v>265</v>
      </c>
      <c r="G1449" s="24">
        <v>1</v>
      </c>
      <c r="H1449" s="24" t="s">
        <v>1325</v>
      </c>
      <c r="I1449" s="46">
        <v>43358.531354166669</v>
      </c>
    </row>
    <row r="1450" spans="6:9" x14ac:dyDescent="0.25">
      <c r="F1450" s="67" t="s">
        <v>58</v>
      </c>
      <c r="G1450" s="24">
        <v>6</v>
      </c>
      <c r="H1450" s="24" t="s">
        <v>1325</v>
      </c>
      <c r="I1450" s="46">
        <v>43358.531273148146</v>
      </c>
    </row>
    <row r="1451" spans="6:9" x14ac:dyDescent="0.25">
      <c r="F1451" s="67" t="s">
        <v>349</v>
      </c>
      <c r="G1451" s="24">
        <v>43</v>
      </c>
      <c r="H1451" s="24" t="s">
        <v>1325</v>
      </c>
      <c r="I1451" s="46">
        <v>43358.531180555554</v>
      </c>
    </row>
    <row r="1452" spans="6:9" x14ac:dyDescent="0.25">
      <c r="F1452" s="67" t="s">
        <v>11</v>
      </c>
      <c r="G1452" s="24">
        <v>6</v>
      </c>
      <c r="H1452" s="24" t="s">
        <v>1325</v>
      </c>
      <c r="I1452" s="46">
        <v>43358.531041666669</v>
      </c>
    </row>
    <row r="1453" spans="6:9" x14ac:dyDescent="0.25">
      <c r="F1453" s="40" t="s">
        <v>122</v>
      </c>
      <c r="G1453" s="24">
        <v>1</v>
      </c>
      <c r="H1453" s="24" t="s">
        <v>1322</v>
      </c>
      <c r="I1453" s="46">
        <v>43358.531006944446</v>
      </c>
    </row>
    <row r="1454" spans="6:9" x14ac:dyDescent="0.25">
      <c r="F1454" s="40" t="s">
        <v>123</v>
      </c>
      <c r="G1454" s="24">
        <v>1</v>
      </c>
      <c r="H1454" s="24" t="s">
        <v>1322</v>
      </c>
      <c r="I1454" s="46">
        <v>43358.530949074076</v>
      </c>
    </row>
    <row r="1455" spans="6:9" x14ac:dyDescent="0.25">
      <c r="F1455" s="67" t="s">
        <v>186</v>
      </c>
      <c r="G1455" s="24">
        <v>3</v>
      </c>
      <c r="H1455" s="24" t="s">
        <v>1324</v>
      </c>
      <c r="I1455" s="46">
        <v>43358.530740740738</v>
      </c>
    </row>
    <row r="1456" spans="6:9" x14ac:dyDescent="0.25">
      <c r="F1456" s="40" t="s">
        <v>140</v>
      </c>
      <c r="G1456" s="24">
        <v>1</v>
      </c>
      <c r="H1456" s="24" t="s">
        <v>1322</v>
      </c>
      <c r="I1456" s="46">
        <v>43358.530740740738</v>
      </c>
    </row>
    <row r="1457" spans="6:9" x14ac:dyDescent="0.25">
      <c r="F1457" s="67" t="s">
        <v>186</v>
      </c>
      <c r="G1457" s="24">
        <v>1</v>
      </c>
      <c r="H1457" s="24" t="s">
        <v>1324</v>
      </c>
      <c r="I1457" s="46">
        <v>43358.530648148146</v>
      </c>
    </row>
    <row r="1458" spans="6:9" x14ac:dyDescent="0.25">
      <c r="F1458" s="40" t="s">
        <v>146</v>
      </c>
      <c r="G1458" s="24">
        <v>8</v>
      </c>
      <c r="H1458" s="24" t="s">
        <v>1322</v>
      </c>
      <c r="I1458" s="46">
        <v>43358.530648148146</v>
      </c>
    </row>
    <row r="1459" spans="6:9" x14ac:dyDescent="0.25">
      <c r="F1459" s="40" t="s">
        <v>4</v>
      </c>
      <c r="G1459" s="24">
        <v>1</v>
      </c>
      <c r="H1459" s="24" t="s">
        <v>1322</v>
      </c>
      <c r="I1459" s="46">
        <v>43358.530451388891</v>
      </c>
    </row>
    <row r="1460" spans="6:9" x14ac:dyDescent="0.25">
      <c r="F1460" s="67" t="s">
        <v>198</v>
      </c>
      <c r="G1460" s="24">
        <v>1</v>
      </c>
      <c r="H1460" s="24" t="s">
        <v>1324</v>
      </c>
      <c r="I1460" s="46">
        <v>43358.530428240738</v>
      </c>
    </row>
    <row r="1461" spans="6:9" x14ac:dyDescent="0.25">
      <c r="F1461" s="40" t="s">
        <v>2</v>
      </c>
      <c r="G1461" s="24">
        <v>1</v>
      </c>
      <c r="H1461" s="24" t="s">
        <v>1322</v>
      </c>
      <c r="I1461" s="46">
        <v>43358.530347222222</v>
      </c>
    </row>
    <row r="1462" spans="6:9" x14ac:dyDescent="0.25">
      <c r="F1462" s="67" t="s">
        <v>11</v>
      </c>
      <c r="G1462" s="24">
        <v>3</v>
      </c>
      <c r="H1462" s="24" t="s">
        <v>1324</v>
      </c>
      <c r="I1462" s="46">
        <v>43358.530173611114</v>
      </c>
    </row>
    <row r="1463" spans="6:9" x14ac:dyDescent="0.25">
      <c r="F1463" s="40" t="s">
        <v>3</v>
      </c>
      <c r="G1463" s="24">
        <v>3</v>
      </c>
      <c r="H1463" s="24" t="s">
        <v>1322</v>
      </c>
      <c r="I1463" s="46">
        <v>43358.530081018522</v>
      </c>
    </row>
    <row r="1464" spans="6:9" x14ac:dyDescent="0.25">
      <c r="F1464" s="67" t="s">
        <v>155</v>
      </c>
      <c r="G1464" s="24">
        <v>1</v>
      </c>
      <c r="H1464" s="24" t="s">
        <v>1324</v>
      </c>
      <c r="I1464" s="46">
        <v>43358.529872685183</v>
      </c>
    </row>
    <row r="1465" spans="6:9" x14ac:dyDescent="0.25">
      <c r="F1465" s="67" t="s">
        <v>1564</v>
      </c>
      <c r="G1465" s="24">
        <v>1</v>
      </c>
      <c r="H1465" s="24" t="s">
        <v>1324</v>
      </c>
      <c r="I1465" s="46">
        <v>43358.529814814814</v>
      </c>
    </row>
    <row r="1466" spans="6:9" x14ac:dyDescent="0.25">
      <c r="F1466" s="67" t="s">
        <v>182</v>
      </c>
      <c r="G1466" s="24">
        <v>1</v>
      </c>
      <c r="H1466" s="24" t="s">
        <v>1324</v>
      </c>
      <c r="I1466" s="46">
        <v>43358.529710648145</v>
      </c>
    </row>
    <row r="1467" spans="6:9" x14ac:dyDescent="0.25">
      <c r="F1467" s="67" t="s">
        <v>1561</v>
      </c>
      <c r="G1467" s="24">
        <v>1</v>
      </c>
      <c r="H1467" s="24" t="s">
        <v>1324</v>
      </c>
      <c r="I1467" s="46">
        <v>43358.529641203706</v>
      </c>
    </row>
    <row r="1468" spans="6:9" x14ac:dyDescent="0.25">
      <c r="F1468" s="40" t="s">
        <v>11</v>
      </c>
      <c r="G1468" s="24">
        <v>11</v>
      </c>
      <c r="H1468" s="24" t="s">
        <v>1322</v>
      </c>
      <c r="I1468" s="46">
        <v>43358.529282407406</v>
      </c>
    </row>
    <row r="1469" spans="6:9" x14ac:dyDescent="0.25">
      <c r="F1469" s="67" t="s">
        <v>21</v>
      </c>
      <c r="G1469" s="24">
        <v>1</v>
      </c>
      <c r="H1469" s="24" t="s">
        <v>1324</v>
      </c>
      <c r="I1469" s="46">
        <v>43358.52888888889</v>
      </c>
    </row>
    <row r="1470" spans="6:9" x14ac:dyDescent="0.25">
      <c r="F1470" s="67" t="s">
        <v>121</v>
      </c>
      <c r="G1470" s="24">
        <v>4</v>
      </c>
      <c r="H1470" s="24" t="s">
        <v>1324</v>
      </c>
      <c r="I1470" s="46">
        <v>43358.528726851851</v>
      </c>
    </row>
    <row r="1471" spans="6:9" x14ac:dyDescent="0.25">
      <c r="F1471" s="67" t="s">
        <v>122</v>
      </c>
      <c r="G1471" s="24">
        <v>1</v>
      </c>
      <c r="H1471" s="24" t="s">
        <v>1324</v>
      </c>
      <c r="I1471" s="46">
        <v>43358.528541666667</v>
      </c>
    </row>
    <row r="1472" spans="6:9" x14ac:dyDescent="0.25">
      <c r="F1472" s="67" t="s">
        <v>4</v>
      </c>
      <c r="G1472" s="24">
        <v>1</v>
      </c>
      <c r="H1472" s="24" t="s">
        <v>1324</v>
      </c>
      <c r="I1472" s="46">
        <v>43358.528425925928</v>
      </c>
    </row>
    <row r="1473" spans="6:9" x14ac:dyDescent="0.25">
      <c r="F1473" s="67" t="s">
        <v>2</v>
      </c>
      <c r="G1473" s="24">
        <v>1</v>
      </c>
      <c r="H1473" s="24" t="s">
        <v>1324</v>
      </c>
      <c r="I1473" s="46">
        <v>43358.528321759259</v>
      </c>
    </row>
    <row r="1474" spans="6:9" x14ac:dyDescent="0.25">
      <c r="F1474" s="67" t="s">
        <v>51</v>
      </c>
      <c r="G1474" s="24">
        <v>1</v>
      </c>
      <c r="H1474" s="24" t="s">
        <v>1324</v>
      </c>
      <c r="I1474" s="46">
        <v>43358.528252314813</v>
      </c>
    </row>
    <row r="1475" spans="6:9" x14ac:dyDescent="0.25">
      <c r="F1475" s="67" t="s">
        <v>149</v>
      </c>
      <c r="G1475" s="24">
        <v>11</v>
      </c>
      <c r="H1475" s="24" t="s">
        <v>1324</v>
      </c>
      <c r="I1475" s="46">
        <v>43358.52815972222</v>
      </c>
    </row>
    <row r="1476" spans="6:9" x14ac:dyDescent="0.25">
      <c r="F1476" s="67" t="s">
        <v>1277</v>
      </c>
      <c r="G1476" s="24">
        <v>3</v>
      </c>
      <c r="H1476" s="24" t="s">
        <v>1324</v>
      </c>
      <c r="I1476" s="46">
        <v>43358.527754629627</v>
      </c>
    </row>
    <row r="1477" spans="6:9" x14ac:dyDescent="0.25">
      <c r="F1477" s="67" t="s">
        <v>140</v>
      </c>
      <c r="G1477" s="24">
        <v>1</v>
      </c>
      <c r="H1477" s="24" t="s">
        <v>1324</v>
      </c>
      <c r="I1477" s="46">
        <v>43358.527685185189</v>
      </c>
    </row>
    <row r="1478" spans="6:9" x14ac:dyDescent="0.25">
      <c r="F1478" s="67" t="s">
        <v>1570</v>
      </c>
      <c r="G1478" s="24">
        <v>4</v>
      </c>
      <c r="H1478" s="24" t="s">
        <v>1324</v>
      </c>
      <c r="I1478" s="46">
        <v>43358.527592592596</v>
      </c>
    </row>
    <row r="1479" spans="6:9" x14ac:dyDescent="0.25">
      <c r="F1479" s="40" t="s">
        <v>146</v>
      </c>
      <c r="G1479" s="24">
        <v>8</v>
      </c>
      <c r="H1479" s="24" t="s">
        <v>1322</v>
      </c>
      <c r="I1479" s="46">
        <v>43358.527418981481</v>
      </c>
    </row>
    <row r="1480" spans="6:9" x14ac:dyDescent="0.25">
      <c r="F1480" s="67" t="s">
        <v>62</v>
      </c>
      <c r="G1480" s="24">
        <v>1</v>
      </c>
      <c r="H1480" s="24" t="s">
        <v>1324</v>
      </c>
      <c r="I1480" s="46">
        <v>43358.527326388888</v>
      </c>
    </row>
    <row r="1481" spans="6:9" x14ac:dyDescent="0.25">
      <c r="F1481" s="67" t="s">
        <v>266</v>
      </c>
      <c r="G1481" s="24">
        <v>4</v>
      </c>
      <c r="H1481" s="24" t="s">
        <v>1324</v>
      </c>
      <c r="I1481" s="46">
        <v>43358.527199074073</v>
      </c>
    </row>
    <row r="1482" spans="6:9" x14ac:dyDescent="0.25">
      <c r="F1482" s="40" t="s">
        <v>141</v>
      </c>
      <c r="G1482" s="24">
        <v>1</v>
      </c>
      <c r="H1482" s="24" t="s">
        <v>1322</v>
      </c>
      <c r="I1482" s="46">
        <v>43358.527141203704</v>
      </c>
    </row>
    <row r="1483" spans="6:9" x14ac:dyDescent="0.25">
      <c r="F1483" s="40" t="s">
        <v>149</v>
      </c>
      <c r="G1483" s="24">
        <v>11</v>
      </c>
      <c r="H1483" s="24" t="s">
        <v>1322</v>
      </c>
      <c r="I1483" s="46">
        <v>43358.527002314811</v>
      </c>
    </row>
    <row r="1484" spans="6:9" x14ac:dyDescent="0.25">
      <c r="F1484" s="40" t="s">
        <v>186</v>
      </c>
      <c r="G1484" s="24">
        <v>2</v>
      </c>
      <c r="H1484" s="24" t="s">
        <v>1322</v>
      </c>
      <c r="I1484" s="46">
        <v>43358.526724537034</v>
      </c>
    </row>
    <row r="1485" spans="6:9" x14ac:dyDescent="0.25">
      <c r="F1485" s="40" t="s">
        <v>118</v>
      </c>
      <c r="G1485" s="24">
        <v>5</v>
      </c>
      <c r="H1485" s="24" t="s">
        <v>1322</v>
      </c>
      <c r="I1485" s="46">
        <v>43358.526608796295</v>
      </c>
    </row>
    <row r="1486" spans="6:9" x14ac:dyDescent="0.25">
      <c r="F1486" s="67" t="s">
        <v>39</v>
      </c>
      <c r="G1486" s="24">
        <v>7</v>
      </c>
      <c r="H1486" s="24" t="s">
        <v>1324</v>
      </c>
      <c r="I1486" s="46">
        <v>43358.526493055557</v>
      </c>
    </row>
    <row r="1487" spans="6:9" x14ac:dyDescent="0.25">
      <c r="F1487" s="67" t="s">
        <v>344</v>
      </c>
      <c r="G1487" s="24">
        <v>1</v>
      </c>
      <c r="H1487" s="24" t="s">
        <v>1324</v>
      </c>
      <c r="I1487" s="46">
        <v>43358.526319444441</v>
      </c>
    </row>
    <row r="1488" spans="6:9" x14ac:dyDescent="0.25">
      <c r="F1488" s="67" t="s">
        <v>58</v>
      </c>
      <c r="G1488" s="24">
        <v>12</v>
      </c>
      <c r="H1488" s="24" t="s">
        <v>1324</v>
      </c>
      <c r="I1488" s="46">
        <v>43358.526226851849</v>
      </c>
    </row>
    <row r="1489" spans="6:9" x14ac:dyDescent="0.25">
      <c r="F1489" s="67" t="s">
        <v>371</v>
      </c>
      <c r="G1489" s="24">
        <v>6</v>
      </c>
      <c r="H1489" s="24" t="s">
        <v>1324</v>
      </c>
      <c r="I1489" s="46">
        <v>43358.525752314818</v>
      </c>
    </row>
    <row r="1490" spans="6:9" x14ac:dyDescent="0.25">
      <c r="F1490" s="67" t="s">
        <v>349</v>
      </c>
      <c r="G1490" s="24">
        <v>32</v>
      </c>
      <c r="H1490" s="24" t="s">
        <v>1324</v>
      </c>
      <c r="I1490" s="46">
        <v>43358.524837962963</v>
      </c>
    </row>
    <row r="1491" spans="6:9" x14ac:dyDescent="0.25">
      <c r="F1491" s="40" t="s">
        <v>132</v>
      </c>
      <c r="G1491" s="24">
        <v>1</v>
      </c>
      <c r="H1491" s="24" t="s">
        <v>1318</v>
      </c>
      <c r="I1491" s="46">
        <v>43358.524687500001</v>
      </c>
    </row>
    <row r="1492" spans="6:9" x14ac:dyDescent="0.25">
      <c r="F1492" s="40" t="s">
        <v>1345</v>
      </c>
      <c r="G1492" s="24">
        <v>1</v>
      </c>
      <c r="H1492" s="24" t="s">
        <v>1318</v>
      </c>
      <c r="I1492" s="46">
        <v>43358.524629629632</v>
      </c>
    </row>
    <row r="1493" spans="6:9" x14ac:dyDescent="0.25">
      <c r="F1493" s="40" t="s">
        <v>62</v>
      </c>
      <c r="G1493" s="24">
        <v>1</v>
      </c>
      <c r="H1493" s="24" t="s">
        <v>1318</v>
      </c>
      <c r="I1493" s="46">
        <v>43358.52416666667</v>
      </c>
    </row>
    <row r="1494" spans="6:9" x14ac:dyDescent="0.25">
      <c r="F1494" s="40" t="s">
        <v>149</v>
      </c>
      <c r="G1494" s="24">
        <v>2</v>
      </c>
      <c r="H1494" s="24" t="s">
        <v>1318</v>
      </c>
      <c r="I1494" s="46">
        <v>43358.523912037039</v>
      </c>
    </row>
    <row r="1495" spans="6:9" x14ac:dyDescent="0.25">
      <c r="F1495" s="40" t="s">
        <v>21</v>
      </c>
      <c r="G1495" s="24">
        <v>2</v>
      </c>
      <c r="H1495" s="24" t="s">
        <v>1318</v>
      </c>
      <c r="I1495" s="46">
        <v>43358.523854166669</v>
      </c>
    </row>
    <row r="1496" spans="6:9" x14ac:dyDescent="0.25">
      <c r="F1496" s="40" t="s">
        <v>146</v>
      </c>
      <c r="G1496" s="24">
        <v>14</v>
      </c>
      <c r="H1496" s="24" t="s">
        <v>1318</v>
      </c>
      <c r="I1496" s="46">
        <v>43358.523692129631</v>
      </c>
    </row>
    <row r="1497" spans="6:9" x14ac:dyDescent="0.25">
      <c r="F1497" s="67" t="s">
        <v>173</v>
      </c>
      <c r="G1497" s="24">
        <v>1</v>
      </c>
      <c r="H1497" s="24" t="s">
        <v>1324</v>
      </c>
      <c r="I1497" s="46">
        <v>43358.523668981485</v>
      </c>
    </row>
    <row r="1498" spans="6:9" x14ac:dyDescent="0.25">
      <c r="F1498" s="40" t="s">
        <v>29</v>
      </c>
      <c r="G1498" s="24">
        <v>1</v>
      </c>
      <c r="H1498" s="24" t="s">
        <v>1318</v>
      </c>
      <c r="I1498" s="46">
        <v>43358.523564814815</v>
      </c>
    </row>
    <row r="1499" spans="6:9" x14ac:dyDescent="0.25">
      <c r="F1499" s="40" t="s">
        <v>170</v>
      </c>
      <c r="G1499" s="24">
        <v>2</v>
      </c>
      <c r="H1499" s="24" t="s">
        <v>1318</v>
      </c>
      <c r="I1499" s="46">
        <v>43358.523506944446</v>
      </c>
    </row>
    <row r="1500" spans="6:9" x14ac:dyDescent="0.25">
      <c r="F1500" s="67" t="s">
        <v>242</v>
      </c>
      <c r="G1500" s="24">
        <v>1</v>
      </c>
      <c r="H1500" s="24" t="s">
        <v>1324</v>
      </c>
      <c r="I1500" s="46">
        <v>43358.5234375</v>
      </c>
    </row>
    <row r="1501" spans="6:9" x14ac:dyDescent="0.25">
      <c r="F1501" s="40" t="s">
        <v>340</v>
      </c>
      <c r="G1501" s="24">
        <v>1</v>
      </c>
      <c r="H1501" s="24" t="s">
        <v>1318</v>
      </c>
      <c r="I1501" s="46">
        <v>43358.523368055554</v>
      </c>
    </row>
    <row r="1502" spans="6:9" x14ac:dyDescent="0.25">
      <c r="F1502" s="40" t="s">
        <v>151</v>
      </c>
      <c r="G1502" s="24">
        <v>4</v>
      </c>
      <c r="H1502" s="24" t="s">
        <v>1318</v>
      </c>
      <c r="I1502" s="46">
        <v>43358.523194444446</v>
      </c>
    </row>
    <row r="1503" spans="6:9" x14ac:dyDescent="0.25">
      <c r="F1503" s="40" t="s">
        <v>155</v>
      </c>
      <c r="G1503" s="24">
        <v>13</v>
      </c>
      <c r="H1503" s="24" t="s">
        <v>1318</v>
      </c>
      <c r="I1503" s="46">
        <v>43358.522928240738</v>
      </c>
    </row>
    <row r="1504" spans="6:9" x14ac:dyDescent="0.25">
      <c r="F1504" s="40" t="s">
        <v>42</v>
      </c>
      <c r="G1504" s="24">
        <v>1</v>
      </c>
      <c r="H1504" s="24" t="s">
        <v>1318</v>
      </c>
      <c r="I1504" s="46">
        <v>43358.522812499999</v>
      </c>
    </row>
    <row r="1505" spans="6:9" x14ac:dyDescent="0.25">
      <c r="F1505" s="40" t="s">
        <v>52</v>
      </c>
      <c r="G1505" s="24">
        <v>1</v>
      </c>
      <c r="H1505" s="24" t="s">
        <v>1318</v>
      </c>
      <c r="I1505" s="46">
        <v>43358.522766203707</v>
      </c>
    </row>
    <row r="1506" spans="6:9" x14ac:dyDescent="0.25">
      <c r="F1506" s="40" t="s">
        <v>50</v>
      </c>
      <c r="G1506" s="24">
        <v>1</v>
      </c>
      <c r="H1506" s="24" t="s">
        <v>1318</v>
      </c>
      <c r="I1506" s="46">
        <v>43358.522546296299</v>
      </c>
    </row>
    <row r="1507" spans="6:9" x14ac:dyDescent="0.25">
      <c r="F1507" s="40" t="s">
        <v>50</v>
      </c>
      <c r="G1507" s="24">
        <v>1</v>
      </c>
      <c r="H1507" s="24" t="s">
        <v>1318</v>
      </c>
      <c r="I1507" s="46">
        <v>43358.522476851853</v>
      </c>
    </row>
    <row r="1508" spans="6:9" x14ac:dyDescent="0.25">
      <c r="F1508" s="40" t="s">
        <v>51</v>
      </c>
      <c r="G1508" s="24">
        <v>2</v>
      </c>
      <c r="H1508" s="24" t="s">
        <v>1318</v>
      </c>
      <c r="I1508" s="46">
        <v>43358.522372685184</v>
      </c>
    </row>
    <row r="1509" spans="6:9" x14ac:dyDescent="0.25">
      <c r="F1509" s="40" t="s">
        <v>40</v>
      </c>
      <c r="G1509" s="24">
        <v>1</v>
      </c>
      <c r="H1509" s="24" t="s">
        <v>1318</v>
      </c>
      <c r="I1509" s="46">
        <v>43358.522280092591</v>
      </c>
    </row>
    <row r="1510" spans="6:9" x14ac:dyDescent="0.25">
      <c r="F1510" s="40" t="s">
        <v>149</v>
      </c>
      <c r="G1510" s="24">
        <v>2</v>
      </c>
      <c r="H1510" s="24" t="s">
        <v>1318</v>
      </c>
      <c r="I1510" s="46">
        <v>43358.522118055553</v>
      </c>
    </row>
    <row r="1511" spans="6:9" x14ac:dyDescent="0.25">
      <c r="F1511" s="40" t="s">
        <v>1276</v>
      </c>
      <c r="G1511" s="24">
        <v>1</v>
      </c>
      <c r="H1511" s="24" t="s">
        <v>1318</v>
      </c>
      <c r="I1511" s="46">
        <v>43358.52207175926</v>
      </c>
    </row>
    <row r="1512" spans="6:9" x14ac:dyDescent="0.25">
      <c r="F1512" s="40" t="s">
        <v>355</v>
      </c>
      <c r="G1512" s="24">
        <v>1</v>
      </c>
      <c r="H1512" s="24" t="s">
        <v>1318</v>
      </c>
      <c r="I1512" s="46">
        <v>43358.521770833337</v>
      </c>
    </row>
    <row r="1513" spans="6:9" x14ac:dyDescent="0.25">
      <c r="F1513" s="40" t="s">
        <v>58</v>
      </c>
      <c r="G1513" s="24">
        <v>1</v>
      </c>
      <c r="H1513" s="24" t="s">
        <v>1318</v>
      </c>
      <c r="I1513" s="46">
        <v>43358.521689814814</v>
      </c>
    </row>
    <row r="1514" spans="6:9" x14ac:dyDescent="0.25">
      <c r="F1514" s="40" t="s">
        <v>349</v>
      </c>
      <c r="G1514" s="24">
        <v>10</v>
      </c>
      <c r="H1514" s="24" t="s">
        <v>1318</v>
      </c>
      <c r="I1514" s="46">
        <v>43358.521585648145</v>
      </c>
    </row>
    <row r="1515" spans="6:9" x14ac:dyDescent="0.25">
      <c r="F1515" s="40" t="s">
        <v>53</v>
      </c>
      <c r="G1515" s="24">
        <v>2</v>
      </c>
      <c r="H1515" s="24" t="s">
        <v>1318</v>
      </c>
      <c r="I1515" s="46">
        <v>43358.521053240744</v>
      </c>
    </row>
    <row r="1516" spans="6:9" x14ac:dyDescent="0.25">
      <c r="F1516" s="40" t="s">
        <v>4</v>
      </c>
      <c r="G1516" s="24">
        <v>1</v>
      </c>
      <c r="H1516" s="24" t="s">
        <v>1318</v>
      </c>
      <c r="I1516" s="46">
        <v>43358.520925925928</v>
      </c>
    </row>
    <row r="1517" spans="6:9" x14ac:dyDescent="0.25">
      <c r="F1517" s="40" t="s">
        <v>214</v>
      </c>
      <c r="G1517" s="24">
        <v>1</v>
      </c>
      <c r="H1517" s="24" t="s">
        <v>1318</v>
      </c>
      <c r="I1517" s="46">
        <v>43358.520856481482</v>
      </c>
    </row>
    <row r="1518" spans="6:9" x14ac:dyDescent="0.25">
      <c r="F1518" s="40" t="s">
        <v>1276</v>
      </c>
      <c r="G1518" s="24">
        <v>1</v>
      </c>
      <c r="H1518" s="24" t="s">
        <v>1320</v>
      </c>
      <c r="I1518" s="46">
        <v>43358.519490740742</v>
      </c>
    </row>
    <row r="1519" spans="6:9" x14ac:dyDescent="0.25">
      <c r="F1519" s="40" t="s">
        <v>118</v>
      </c>
      <c r="G1519" s="24">
        <v>1</v>
      </c>
      <c r="H1519" s="24" t="s">
        <v>1320</v>
      </c>
      <c r="I1519" s="46">
        <v>43358.519201388888</v>
      </c>
    </row>
    <row r="1520" spans="6:9" x14ac:dyDescent="0.25">
      <c r="F1520" s="40" t="s">
        <v>50</v>
      </c>
      <c r="G1520" s="24">
        <v>2</v>
      </c>
      <c r="H1520" s="24" t="s">
        <v>1320</v>
      </c>
      <c r="I1520" s="46">
        <v>43358.519062500003</v>
      </c>
    </row>
    <row r="1521" spans="6:9" x14ac:dyDescent="0.25">
      <c r="F1521" s="40" t="s">
        <v>149</v>
      </c>
      <c r="G1521" s="24">
        <v>16</v>
      </c>
      <c r="H1521" s="24" t="s">
        <v>1320</v>
      </c>
      <c r="I1521" s="46">
        <v>43358.518912037034</v>
      </c>
    </row>
    <row r="1522" spans="6:9" x14ac:dyDescent="0.25">
      <c r="F1522" s="40" t="s">
        <v>127</v>
      </c>
      <c r="G1522" s="24">
        <v>2</v>
      </c>
      <c r="H1522" s="24" t="s">
        <v>1320</v>
      </c>
      <c r="I1522" s="46">
        <v>43358.518761574072</v>
      </c>
    </row>
    <row r="1523" spans="6:9" x14ac:dyDescent="0.25">
      <c r="F1523" s="40" t="s">
        <v>40</v>
      </c>
      <c r="G1523" s="24">
        <v>2</v>
      </c>
      <c r="H1523" s="24" t="s">
        <v>1320</v>
      </c>
      <c r="I1523" s="46">
        <v>43358.518692129626</v>
      </c>
    </row>
    <row r="1524" spans="6:9" x14ac:dyDescent="0.25">
      <c r="F1524" s="40" t="s">
        <v>21</v>
      </c>
      <c r="G1524" s="24">
        <v>1</v>
      </c>
      <c r="H1524" s="24" t="s">
        <v>1320</v>
      </c>
      <c r="I1524" s="46">
        <v>43358.518611111111</v>
      </c>
    </row>
    <row r="1525" spans="6:9" x14ac:dyDescent="0.25">
      <c r="F1525" s="40" t="s">
        <v>11</v>
      </c>
      <c r="G1525" s="24">
        <v>19</v>
      </c>
      <c r="H1525" s="24" t="s">
        <v>1320</v>
      </c>
      <c r="I1525" s="46">
        <v>43358.51840277778</v>
      </c>
    </row>
    <row r="1526" spans="6:9" x14ac:dyDescent="0.25">
      <c r="F1526" s="40" t="s">
        <v>146</v>
      </c>
      <c r="G1526" s="24">
        <v>10</v>
      </c>
      <c r="H1526" s="24" t="s">
        <v>1320</v>
      </c>
      <c r="I1526" s="46">
        <v>43358.518321759257</v>
      </c>
    </row>
    <row r="1527" spans="6:9" x14ac:dyDescent="0.25">
      <c r="F1527" s="40" t="s">
        <v>3</v>
      </c>
      <c r="G1527" s="24">
        <v>1</v>
      </c>
      <c r="H1527" s="24" t="s">
        <v>1320</v>
      </c>
      <c r="I1527" s="46">
        <v>43358.518171296295</v>
      </c>
    </row>
    <row r="1528" spans="6:9" x14ac:dyDescent="0.25">
      <c r="F1528" s="40" t="s">
        <v>4</v>
      </c>
      <c r="G1528" s="24">
        <v>1</v>
      </c>
      <c r="H1528" s="24" t="s">
        <v>1320</v>
      </c>
      <c r="I1528" s="46">
        <v>43358.518125000002</v>
      </c>
    </row>
    <row r="1529" spans="6:9" x14ac:dyDescent="0.25">
      <c r="F1529" s="40" t="s">
        <v>2</v>
      </c>
      <c r="G1529" s="24">
        <v>4</v>
      </c>
      <c r="H1529" s="24" t="s">
        <v>1320</v>
      </c>
      <c r="I1529" s="46">
        <v>43358.518020833333</v>
      </c>
    </row>
    <row r="1530" spans="6:9" x14ac:dyDescent="0.25">
      <c r="F1530" s="40" t="s">
        <v>121</v>
      </c>
      <c r="G1530" s="24">
        <v>8</v>
      </c>
      <c r="H1530" s="24" t="s">
        <v>1320</v>
      </c>
      <c r="I1530" s="46">
        <v>43358.517824074072</v>
      </c>
    </row>
    <row r="1531" spans="6:9" x14ac:dyDescent="0.25">
      <c r="F1531" s="40" t="s">
        <v>258</v>
      </c>
      <c r="G1531" s="24">
        <v>2</v>
      </c>
      <c r="H1531" s="24" t="s">
        <v>1320</v>
      </c>
      <c r="I1531" s="46">
        <v>43358.51761574074</v>
      </c>
    </row>
    <row r="1532" spans="6:9" x14ac:dyDescent="0.25">
      <c r="F1532" s="40" t="s">
        <v>257</v>
      </c>
      <c r="G1532" s="24">
        <v>3</v>
      </c>
      <c r="H1532" s="24" t="s">
        <v>1320</v>
      </c>
      <c r="I1532" s="46">
        <v>43358.517418981479</v>
      </c>
    </row>
    <row r="1533" spans="6:9" x14ac:dyDescent="0.25">
      <c r="F1533" s="40" t="s">
        <v>348</v>
      </c>
      <c r="G1533" s="24">
        <v>1</v>
      </c>
      <c r="H1533" s="24" t="s">
        <v>1320</v>
      </c>
      <c r="I1533" s="46">
        <v>43358.517187500001</v>
      </c>
    </row>
    <row r="1534" spans="6:9" x14ac:dyDescent="0.25">
      <c r="F1534" s="40" t="s">
        <v>59</v>
      </c>
      <c r="G1534" s="24">
        <v>1</v>
      </c>
      <c r="H1534" s="24" t="s">
        <v>1320</v>
      </c>
      <c r="I1534" s="46">
        <v>43358.516886574071</v>
      </c>
    </row>
    <row r="1535" spans="6:9" x14ac:dyDescent="0.25">
      <c r="F1535" s="40" t="s">
        <v>58</v>
      </c>
      <c r="G1535" s="24">
        <v>4</v>
      </c>
      <c r="H1535" s="24" t="s">
        <v>1320</v>
      </c>
      <c r="I1535" s="46">
        <v>43358.516840277778</v>
      </c>
    </row>
    <row r="1536" spans="6:9" x14ac:dyDescent="0.25">
      <c r="F1536" s="40" t="s">
        <v>39</v>
      </c>
      <c r="G1536" s="24">
        <v>4</v>
      </c>
      <c r="H1536" s="24" t="s">
        <v>1320</v>
      </c>
      <c r="I1536" s="46">
        <v>43358.516759259262</v>
      </c>
    </row>
    <row r="1537" spans="6:9" x14ac:dyDescent="0.25">
      <c r="F1537" s="40" t="s">
        <v>186</v>
      </c>
      <c r="G1537" s="24">
        <v>1</v>
      </c>
      <c r="H1537" s="24" t="s">
        <v>1320</v>
      </c>
      <c r="I1537" s="46">
        <v>43358.516631944447</v>
      </c>
    </row>
    <row r="1538" spans="6:9" x14ac:dyDescent="0.25">
      <c r="F1538" s="40" t="s">
        <v>198</v>
      </c>
      <c r="G1538" s="24">
        <v>1</v>
      </c>
      <c r="H1538" s="24" t="s">
        <v>1320</v>
      </c>
      <c r="I1538" s="46">
        <v>43358.516574074078</v>
      </c>
    </row>
    <row r="1539" spans="6:9" x14ac:dyDescent="0.25">
      <c r="F1539" s="40" t="s">
        <v>199</v>
      </c>
      <c r="G1539" s="24">
        <v>3</v>
      </c>
      <c r="H1539" s="24" t="s">
        <v>1320</v>
      </c>
      <c r="I1539" s="46">
        <v>43358.51630787037</v>
      </c>
    </row>
    <row r="1540" spans="6:9" x14ac:dyDescent="0.25">
      <c r="F1540" s="40" t="s">
        <v>155</v>
      </c>
      <c r="G1540" s="24">
        <v>2</v>
      </c>
      <c r="H1540" s="24" t="s">
        <v>1320</v>
      </c>
      <c r="I1540" s="46">
        <v>43358.516168981485</v>
      </c>
    </row>
    <row r="1541" spans="6:9" x14ac:dyDescent="0.25">
      <c r="F1541" s="40" t="s">
        <v>155</v>
      </c>
      <c r="G1541" s="24">
        <v>5</v>
      </c>
      <c r="H1541" s="24" t="s">
        <v>1320</v>
      </c>
      <c r="I1541" s="46">
        <v>43358.516064814816</v>
      </c>
    </row>
    <row r="1542" spans="6:9" x14ac:dyDescent="0.25">
      <c r="F1542" s="40" t="s">
        <v>127</v>
      </c>
      <c r="G1542" s="24">
        <v>1</v>
      </c>
      <c r="H1542" s="24" t="s">
        <v>1317</v>
      </c>
      <c r="I1542" s="46">
        <v>43358.515451388892</v>
      </c>
    </row>
    <row r="1543" spans="6:9" x14ac:dyDescent="0.25">
      <c r="F1543" s="40" t="s">
        <v>228</v>
      </c>
      <c r="G1543" s="24">
        <v>1</v>
      </c>
      <c r="H1543" s="24" t="s">
        <v>1317</v>
      </c>
      <c r="I1543" s="46">
        <v>43358.515347222223</v>
      </c>
    </row>
    <row r="1544" spans="6:9" x14ac:dyDescent="0.25">
      <c r="F1544" s="40" t="s">
        <v>140</v>
      </c>
      <c r="G1544" s="24">
        <v>1</v>
      </c>
      <c r="H1544" s="24" t="s">
        <v>1317</v>
      </c>
      <c r="I1544" s="46">
        <v>43358.515173611115</v>
      </c>
    </row>
    <row r="1545" spans="6:9" x14ac:dyDescent="0.25">
      <c r="F1545" s="40" t="s">
        <v>118</v>
      </c>
      <c r="G1545" s="24">
        <v>1</v>
      </c>
      <c r="H1545" s="24" t="s">
        <v>1317</v>
      </c>
      <c r="I1545" s="46">
        <v>43358.515127314815</v>
      </c>
    </row>
    <row r="1546" spans="6:9" x14ac:dyDescent="0.25">
      <c r="F1546" s="40" t="s">
        <v>118</v>
      </c>
      <c r="G1546" s="24">
        <v>1</v>
      </c>
      <c r="H1546" s="24" t="s">
        <v>1317</v>
      </c>
      <c r="I1546" s="46">
        <v>43358.515081018515</v>
      </c>
    </row>
    <row r="1547" spans="6:9" x14ac:dyDescent="0.25">
      <c r="F1547" s="40" t="s">
        <v>29</v>
      </c>
      <c r="G1547" s="24">
        <v>1</v>
      </c>
      <c r="H1547" s="24" t="s">
        <v>1317</v>
      </c>
      <c r="I1547" s="46">
        <v>43358.514999999999</v>
      </c>
    </row>
    <row r="1548" spans="6:9" x14ac:dyDescent="0.25">
      <c r="F1548" s="40" t="s">
        <v>21</v>
      </c>
      <c r="G1548" s="24">
        <v>1</v>
      </c>
      <c r="H1548" s="24" t="s">
        <v>1317</v>
      </c>
      <c r="I1548" s="46">
        <v>43358.514953703707</v>
      </c>
    </row>
    <row r="1549" spans="6:9" x14ac:dyDescent="0.25">
      <c r="F1549" s="40" t="s">
        <v>39</v>
      </c>
      <c r="G1549" s="24">
        <v>5</v>
      </c>
      <c r="H1549" s="24" t="s">
        <v>1317</v>
      </c>
      <c r="I1549" s="46">
        <v>43358.514907407407</v>
      </c>
    </row>
    <row r="1550" spans="6:9" x14ac:dyDescent="0.25">
      <c r="F1550" s="40" t="s">
        <v>1216</v>
      </c>
      <c r="G1550" s="24">
        <v>1</v>
      </c>
      <c r="H1550" s="24" t="s">
        <v>1317</v>
      </c>
      <c r="I1550" s="46">
        <v>43358.514826388891</v>
      </c>
    </row>
    <row r="1551" spans="6:9" x14ac:dyDescent="0.25">
      <c r="F1551" s="40" t="s">
        <v>58</v>
      </c>
      <c r="G1551" s="24">
        <v>1</v>
      </c>
      <c r="H1551" s="24" t="s">
        <v>1317</v>
      </c>
      <c r="I1551" s="46">
        <v>43358.514502314814</v>
      </c>
    </row>
    <row r="1552" spans="6:9" x14ac:dyDescent="0.25">
      <c r="F1552" s="40" t="s">
        <v>210</v>
      </c>
      <c r="G1552" s="24">
        <v>1</v>
      </c>
      <c r="H1552" s="24" t="s">
        <v>1317</v>
      </c>
      <c r="I1552" s="46">
        <v>43358.514432870368</v>
      </c>
    </row>
    <row r="1553" spans="6:9" x14ac:dyDescent="0.25">
      <c r="F1553" s="40" t="s">
        <v>210</v>
      </c>
      <c r="G1553" s="24">
        <v>2</v>
      </c>
      <c r="H1553" s="24" t="s">
        <v>1317</v>
      </c>
      <c r="I1553" s="46">
        <v>43358.514305555553</v>
      </c>
    </row>
    <row r="1554" spans="6:9" x14ac:dyDescent="0.25">
      <c r="F1554" s="40" t="s">
        <v>210</v>
      </c>
      <c r="G1554" s="24">
        <v>1</v>
      </c>
      <c r="H1554" s="24" t="s">
        <v>1317</v>
      </c>
      <c r="I1554" s="46">
        <v>43358.514016203706</v>
      </c>
    </row>
    <row r="1555" spans="6:9" x14ac:dyDescent="0.25">
      <c r="F1555" s="40" t="s">
        <v>183</v>
      </c>
      <c r="G1555" s="24">
        <v>1</v>
      </c>
      <c r="H1555" s="24" t="s">
        <v>1317</v>
      </c>
      <c r="I1555" s="46">
        <v>43358.513935185183</v>
      </c>
    </row>
    <row r="1556" spans="6:9" x14ac:dyDescent="0.25">
      <c r="F1556" s="40" t="s">
        <v>355</v>
      </c>
      <c r="G1556" s="24">
        <v>1</v>
      </c>
      <c r="H1556" s="24" t="s">
        <v>1317</v>
      </c>
      <c r="I1556" s="46">
        <v>43358.513622685183</v>
      </c>
    </row>
    <row r="1557" spans="6:9" x14ac:dyDescent="0.25">
      <c r="F1557" s="40" t="s">
        <v>371</v>
      </c>
      <c r="G1557" s="24">
        <v>1</v>
      </c>
      <c r="H1557" s="24" t="s">
        <v>1317</v>
      </c>
      <c r="I1557" s="46">
        <v>43358.513541666667</v>
      </c>
    </row>
    <row r="1558" spans="6:9" x14ac:dyDescent="0.25">
      <c r="F1558" s="40" t="s">
        <v>348</v>
      </c>
      <c r="G1558" s="24">
        <v>9</v>
      </c>
      <c r="H1558" s="24" t="s">
        <v>1317</v>
      </c>
      <c r="I1558" s="46">
        <v>43358.513310185182</v>
      </c>
    </row>
    <row r="1559" spans="6:9" x14ac:dyDescent="0.25">
      <c r="F1559" s="40" t="s">
        <v>174</v>
      </c>
      <c r="G1559" s="24">
        <v>2</v>
      </c>
      <c r="H1559" s="24" t="s">
        <v>1317</v>
      </c>
      <c r="I1559" s="46">
        <v>43358.513159722221</v>
      </c>
    </row>
    <row r="1560" spans="6:9" x14ac:dyDescent="0.25">
      <c r="F1560" s="40" t="s">
        <v>200</v>
      </c>
      <c r="G1560" s="24">
        <v>3</v>
      </c>
      <c r="H1560" s="24" t="s">
        <v>1317</v>
      </c>
      <c r="I1560" s="46">
        <v>43358.512974537036</v>
      </c>
    </row>
    <row r="1561" spans="6:9" x14ac:dyDescent="0.25">
      <c r="F1561" s="40" t="s">
        <v>121</v>
      </c>
      <c r="G1561" s="24">
        <v>2</v>
      </c>
      <c r="H1561" s="24" t="s">
        <v>1317</v>
      </c>
      <c r="I1561" s="46">
        <v>43358.512604166666</v>
      </c>
    </row>
    <row r="1562" spans="6:9" x14ac:dyDescent="0.25">
      <c r="F1562" s="40" t="s">
        <v>21</v>
      </c>
      <c r="G1562" s="24">
        <v>1</v>
      </c>
      <c r="H1562" s="24" t="s">
        <v>1317</v>
      </c>
      <c r="I1562" s="46">
        <v>43358.512546296297</v>
      </c>
    </row>
    <row r="1563" spans="6:9" x14ac:dyDescent="0.25">
      <c r="F1563" s="40" t="s">
        <v>149</v>
      </c>
      <c r="G1563" s="24">
        <v>3</v>
      </c>
      <c r="H1563" s="24" t="s">
        <v>1317</v>
      </c>
      <c r="I1563" s="46">
        <v>43358.512476851851</v>
      </c>
    </row>
    <row r="1564" spans="6:9" x14ac:dyDescent="0.25">
      <c r="F1564" s="40" t="s">
        <v>146</v>
      </c>
      <c r="G1564" s="24">
        <v>10</v>
      </c>
      <c r="H1564" s="24" t="s">
        <v>1317</v>
      </c>
      <c r="I1564" s="46">
        <v>43358.512407407405</v>
      </c>
    </row>
    <row r="1565" spans="6:9" x14ac:dyDescent="0.25">
      <c r="F1565" s="40" t="s">
        <v>183</v>
      </c>
      <c r="G1565" s="24">
        <v>3</v>
      </c>
      <c r="H1565" s="24" t="s">
        <v>1317</v>
      </c>
      <c r="I1565" s="46">
        <v>43358.512314814812</v>
      </c>
    </row>
    <row r="1566" spans="6:9" x14ac:dyDescent="0.25">
      <c r="F1566" s="40" t="s">
        <v>210</v>
      </c>
      <c r="G1566" s="24">
        <v>1</v>
      </c>
      <c r="H1566" s="24" t="s">
        <v>1317</v>
      </c>
      <c r="I1566" s="46">
        <v>43358.512152777781</v>
      </c>
    </row>
    <row r="1567" spans="6:9" x14ac:dyDescent="0.25">
      <c r="F1567" s="40" t="s">
        <v>373</v>
      </c>
      <c r="G1567" s="24">
        <v>2</v>
      </c>
      <c r="H1567" s="24" t="s">
        <v>1317</v>
      </c>
      <c r="I1567" s="46">
        <v>43358.511979166666</v>
      </c>
    </row>
    <row r="1568" spans="6:9" x14ac:dyDescent="0.25">
      <c r="F1568" s="40" t="s">
        <v>182</v>
      </c>
      <c r="G1568" s="24">
        <v>1</v>
      </c>
      <c r="H1568" s="24" t="s">
        <v>1317</v>
      </c>
      <c r="I1568" s="46">
        <v>43358.511782407404</v>
      </c>
    </row>
    <row r="1569" spans="6:9" x14ac:dyDescent="0.25">
      <c r="F1569" s="40" t="s">
        <v>184</v>
      </c>
      <c r="G1569" s="24">
        <v>1</v>
      </c>
      <c r="H1569" s="24" t="s">
        <v>1317</v>
      </c>
      <c r="I1569" s="46">
        <v>43358.511608796296</v>
      </c>
    </row>
    <row r="1570" spans="6:9" x14ac:dyDescent="0.25">
      <c r="F1570" s="40" t="s">
        <v>199</v>
      </c>
      <c r="G1570" s="24">
        <v>1</v>
      </c>
      <c r="H1570" s="24" t="s">
        <v>1317</v>
      </c>
      <c r="I1570" s="46">
        <v>43358.511446759258</v>
      </c>
    </row>
    <row r="1571" spans="6:9" x14ac:dyDescent="0.25">
      <c r="F1571" s="40" t="s">
        <v>186</v>
      </c>
      <c r="G1571" s="24">
        <v>1</v>
      </c>
      <c r="H1571" s="24" t="s">
        <v>1317</v>
      </c>
      <c r="I1571" s="46">
        <v>43358.511134259257</v>
      </c>
    </row>
    <row r="1572" spans="6:9" x14ac:dyDescent="0.25">
      <c r="F1572" s="40" t="s">
        <v>149</v>
      </c>
      <c r="G1572" s="24">
        <v>13</v>
      </c>
      <c r="H1572" s="24" t="s">
        <v>1317</v>
      </c>
      <c r="I1572" s="46">
        <v>43358.510868055557</v>
      </c>
    </row>
    <row r="1573" spans="6:9" x14ac:dyDescent="0.25">
      <c r="F1573" s="40" t="s">
        <v>3</v>
      </c>
      <c r="G1573" s="24">
        <v>1</v>
      </c>
      <c r="H1573" s="24" t="s">
        <v>1317</v>
      </c>
      <c r="I1573" s="46">
        <v>43358.510821759257</v>
      </c>
    </row>
    <row r="1574" spans="6:9" x14ac:dyDescent="0.25">
      <c r="F1574" s="40" t="s">
        <v>2</v>
      </c>
      <c r="G1574" s="24">
        <v>3</v>
      </c>
      <c r="H1574" s="24" t="s">
        <v>1317</v>
      </c>
      <c r="I1574" s="46">
        <v>43358.510601851849</v>
      </c>
    </row>
    <row r="1575" spans="6:9" x14ac:dyDescent="0.25">
      <c r="F1575" s="40" t="s">
        <v>11</v>
      </c>
      <c r="G1575" s="24">
        <v>1</v>
      </c>
      <c r="H1575" s="24" t="s">
        <v>1317</v>
      </c>
      <c r="I1575" s="46">
        <v>43358.51048611111</v>
      </c>
    </row>
    <row r="1576" spans="6:9" x14ac:dyDescent="0.25">
      <c r="F1576" s="40" t="s">
        <v>155</v>
      </c>
      <c r="G1576" s="24">
        <v>10</v>
      </c>
      <c r="H1576" s="24" t="s">
        <v>1317</v>
      </c>
      <c r="I1576" s="46">
        <v>43358.510069444441</v>
      </c>
    </row>
    <row r="1577" spans="6:9" x14ac:dyDescent="0.25">
      <c r="F1577" s="40" t="s">
        <v>149</v>
      </c>
      <c r="G1577" s="24">
        <v>3</v>
      </c>
      <c r="H1577" s="24" t="s">
        <v>1317</v>
      </c>
      <c r="I1577" s="46">
        <v>43358.509988425925</v>
      </c>
    </row>
    <row r="1578" spans="6:9" x14ac:dyDescent="0.25">
      <c r="F1578" s="40" t="s">
        <v>11</v>
      </c>
      <c r="G1578" s="24">
        <v>2</v>
      </c>
      <c r="H1578" s="24" t="s">
        <v>1317</v>
      </c>
      <c r="I1578" s="46">
        <v>43358.509895833333</v>
      </c>
    </row>
    <row r="1579" spans="6:9" x14ac:dyDescent="0.25">
      <c r="F1579" s="40" t="s">
        <v>138</v>
      </c>
      <c r="G1579" s="24">
        <v>1</v>
      </c>
      <c r="H1579" s="24" t="s">
        <v>1317</v>
      </c>
      <c r="I1579" s="46">
        <v>43358.509826388887</v>
      </c>
    </row>
    <row r="1580" spans="6:9" x14ac:dyDescent="0.25">
      <c r="F1580" s="40" t="s">
        <v>336</v>
      </c>
      <c r="G1580" s="24">
        <v>1</v>
      </c>
      <c r="H1580" s="24" t="s">
        <v>1317</v>
      </c>
      <c r="I1580" s="46">
        <v>43358.509768518517</v>
      </c>
    </row>
    <row r="1581" spans="6:9" x14ac:dyDescent="0.25">
      <c r="F1581" s="40" t="s">
        <v>146</v>
      </c>
      <c r="G1581" s="24">
        <v>1</v>
      </c>
      <c r="H1581" s="24" t="s">
        <v>1317</v>
      </c>
      <c r="I1581" s="46">
        <v>43358.509699074071</v>
      </c>
    </row>
    <row r="1582" spans="6:9" x14ac:dyDescent="0.25">
      <c r="F1582" s="40" t="s">
        <v>121</v>
      </c>
      <c r="G1582" s="24">
        <v>3</v>
      </c>
      <c r="H1582" s="24" t="s">
        <v>1317</v>
      </c>
      <c r="I1582" s="46">
        <v>43358.509618055556</v>
      </c>
    </row>
    <row r="1583" spans="6:9" x14ac:dyDescent="0.25">
      <c r="F1583" s="40" t="s">
        <v>29</v>
      </c>
      <c r="G1583" s="24">
        <v>4</v>
      </c>
      <c r="H1583" s="24" t="s">
        <v>1317</v>
      </c>
      <c r="I1583" s="46">
        <v>43358.509166666663</v>
      </c>
    </row>
    <row r="1584" spans="6:9" x14ac:dyDescent="0.25">
      <c r="F1584" s="40" t="s">
        <v>198</v>
      </c>
      <c r="G1584" s="24">
        <v>6</v>
      </c>
      <c r="H1584" s="24" t="s">
        <v>1317</v>
      </c>
      <c r="I1584" s="46">
        <v>43358.509074074071</v>
      </c>
    </row>
    <row r="1585" spans="6:9" x14ac:dyDescent="0.25">
      <c r="F1585" s="40" t="s">
        <v>59</v>
      </c>
      <c r="G1585" s="24">
        <v>3</v>
      </c>
      <c r="H1585" s="24" t="s">
        <v>1317</v>
      </c>
      <c r="I1585" s="46">
        <v>43358.508877314816</v>
      </c>
    </row>
    <row r="1586" spans="6:9" x14ac:dyDescent="0.25">
      <c r="F1586" s="40" t="s">
        <v>349</v>
      </c>
      <c r="G1586" s="24">
        <v>12</v>
      </c>
      <c r="H1586" s="24" t="s">
        <v>1317</v>
      </c>
      <c r="I1586" s="46">
        <v>43358.508611111109</v>
      </c>
    </row>
    <row r="1587" spans="6:9" x14ac:dyDescent="0.25">
      <c r="F1587" s="40" t="s">
        <v>11</v>
      </c>
      <c r="G1587" s="24">
        <v>6</v>
      </c>
      <c r="H1587" s="24" t="s">
        <v>1317</v>
      </c>
      <c r="I1587" s="46">
        <v>43358.50854166667</v>
      </c>
    </row>
    <row r="1588" spans="6:9" x14ac:dyDescent="0.25">
      <c r="F1588" s="40" t="s">
        <v>1311</v>
      </c>
      <c r="G1588" s="24">
        <v>3</v>
      </c>
      <c r="H1588" s="24" t="s">
        <v>1317</v>
      </c>
      <c r="I1588" s="46">
        <v>43358.508483796293</v>
      </c>
    </row>
    <row r="1589" spans="6:9" x14ac:dyDescent="0.25">
      <c r="F1589" s="40" t="s">
        <v>155</v>
      </c>
      <c r="G1589" s="24">
        <v>18</v>
      </c>
      <c r="H1589" s="24" t="s">
        <v>1317</v>
      </c>
      <c r="I1589" s="46">
        <v>43358.508206018516</v>
      </c>
    </row>
    <row r="1590" spans="6:9" x14ac:dyDescent="0.25">
      <c r="F1590" s="40" t="s">
        <v>45</v>
      </c>
      <c r="G1590" s="24">
        <v>1</v>
      </c>
      <c r="H1590" s="24" t="s">
        <v>1317</v>
      </c>
      <c r="I1590" s="46">
        <v>43358.508043981485</v>
      </c>
    </row>
    <row r="1591" spans="6:9" x14ac:dyDescent="0.25">
      <c r="F1591" s="40" t="s">
        <v>51</v>
      </c>
      <c r="G1591" s="24">
        <v>1</v>
      </c>
      <c r="H1591" s="24" t="s">
        <v>1317</v>
      </c>
      <c r="I1591" s="46">
        <v>43358.507824074077</v>
      </c>
    </row>
    <row r="1592" spans="6:9" x14ac:dyDescent="0.25">
      <c r="F1592" s="40" t="s">
        <v>50</v>
      </c>
      <c r="G1592" s="24">
        <v>2</v>
      </c>
      <c r="H1592" s="24" t="s">
        <v>1317</v>
      </c>
      <c r="I1592" s="46">
        <v>43358.507731481484</v>
      </c>
    </row>
    <row r="1593" spans="6:9" x14ac:dyDescent="0.25">
      <c r="F1593" s="40" t="s">
        <v>4</v>
      </c>
      <c r="G1593" s="24">
        <v>2</v>
      </c>
      <c r="H1593" s="24" t="s">
        <v>1317</v>
      </c>
      <c r="I1593" s="46">
        <v>43358.507638888892</v>
      </c>
    </row>
    <row r="1594" spans="6:9" x14ac:dyDescent="0.25">
      <c r="F1594" s="40" t="s">
        <v>140</v>
      </c>
      <c r="G1594" s="24">
        <v>1</v>
      </c>
      <c r="H1594" s="24" t="s">
        <v>1318</v>
      </c>
      <c r="I1594" s="46">
        <v>43358.507280092592</v>
      </c>
    </row>
    <row r="1595" spans="6:9" x14ac:dyDescent="0.25">
      <c r="F1595" s="40" t="s">
        <v>186</v>
      </c>
      <c r="G1595" s="24">
        <v>1</v>
      </c>
      <c r="H1595" s="24" t="s">
        <v>1318</v>
      </c>
      <c r="I1595" s="46">
        <v>43358.507199074076</v>
      </c>
    </row>
    <row r="1596" spans="6:9" x14ac:dyDescent="0.25">
      <c r="F1596" s="40" t="s">
        <v>138</v>
      </c>
      <c r="G1596" s="24">
        <v>1</v>
      </c>
      <c r="H1596" s="24" t="s">
        <v>1318</v>
      </c>
      <c r="I1596" s="46">
        <v>43358.506932870368</v>
      </c>
    </row>
    <row r="1597" spans="6:9" x14ac:dyDescent="0.25">
      <c r="F1597" s="40" t="s">
        <v>21</v>
      </c>
      <c r="G1597" s="24">
        <v>1</v>
      </c>
      <c r="H1597" s="24" t="s">
        <v>1318</v>
      </c>
      <c r="I1597" s="46">
        <v>43358.506851851853</v>
      </c>
    </row>
    <row r="1598" spans="6:9" x14ac:dyDescent="0.25">
      <c r="F1598" s="40" t="s">
        <v>39</v>
      </c>
      <c r="G1598" s="24">
        <v>2</v>
      </c>
      <c r="H1598" s="24" t="s">
        <v>1318</v>
      </c>
      <c r="I1598" s="46">
        <v>43358.506539351853</v>
      </c>
    </row>
    <row r="1599" spans="6:9" x14ac:dyDescent="0.25">
      <c r="F1599" s="40" t="s">
        <v>151</v>
      </c>
      <c r="G1599" s="24">
        <v>1</v>
      </c>
      <c r="H1599" s="24" t="s">
        <v>1318</v>
      </c>
      <c r="I1599" s="46">
        <v>43358.506481481483</v>
      </c>
    </row>
    <row r="1600" spans="6:9" x14ac:dyDescent="0.25">
      <c r="F1600" s="40" t="s">
        <v>121</v>
      </c>
      <c r="G1600" s="24">
        <v>2</v>
      </c>
      <c r="H1600" s="24" t="s">
        <v>1318</v>
      </c>
      <c r="I1600" s="46">
        <v>43358.50640046296</v>
      </c>
    </row>
    <row r="1601" spans="6:9" x14ac:dyDescent="0.25">
      <c r="F1601" s="40" t="s">
        <v>184</v>
      </c>
      <c r="G1601" s="24">
        <v>2</v>
      </c>
      <c r="H1601" s="24" t="s">
        <v>1318</v>
      </c>
      <c r="I1601" s="46">
        <v>43358.506319444445</v>
      </c>
    </row>
    <row r="1602" spans="6:9" x14ac:dyDescent="0.25">
      <c r="F1602" s="40" t="s">
        <v>340</v>
      </c>
      <c r="G1602" s="24">
        <v>2</v>
      </c>
      <c r="H1602" s="24" t="s">
        <v>1318</v>
      </c>
      <c r="I1602" s="46">
        <v>43358.506261574075</v>
      </c>
    </row>
    <row r="1603" spans="6:9" x14ac:dyDescent="0.25">
      <c r="F1603" s="40" t="s">
        <v>149</v>
      </c>
      <c r="G1603" s="24">
        <v>3</v>
      </c>
      <c r="H1603" s="24" t="s">
        <v>1318</v>
      </c>
      <c r="I1603" s="46">
        <v>43358.506168981483</v>
      </c>
    </row>
    <row r="1604" spans="6:9" x14ac:dyDescent="0.25">
      <c r="F1604" s="40" t="s">
        <v>262</v>
      </c>
      <c r="G1604" s="24">
        <v>1</v>
      </c>
      <c r="H1604" s="24" t="s">
        <v>1318</v>
      </c>
      <c r="I1604" s="46">
        <v>43358.505995370368</v>
      </c>
    </row>
    <row r="1605" spans="6:9" x14ac:dyDescent="0.25">
      <c r="F1605" s="40" t="s">
        <v>1359</v>
      </c>
      <c r="G1605" s="24">
        <v>1</v>
      </c>
      <c r="H1605" s="24" t="s">
        <v>1318</v>
      </c>
      <c r="I1605" s="46">
        <v>43358.505740740744</v>
      </c>
    </row>
    <row r="1606" spans="6:9" x14ac:dyDescent="0.25">
      <c r="F1606" s="40" t="s">
        <v>29</v>
      </c>
      <c r="G1606" s="24">
        <v>1</v>
      </c>
      <c r="H1606" s="24" t="s">
        <v>1318</v>
      </c>
      <c r="I1606" s="46">
        <v>43358.505497685182</v>
      </c>
    </row>
    <row r="1607" spans="6:9" x14ac:dyDescent="0.25">
      <c r="F1607" s="40" t="s">
        <v>50</v>
      </c>
      <c r="G1607" s="24">
        <v>2</v>
      </c>
      <c r="H1607" s="24" t="s">
        <v>1318</v>
      </c>
      <c r="I1607" s="46">
        <v>43358.505439814813</v>
      </c>
    </row>
    <row r="1608" spans="6:9" x14ac:dyDescent="0.25">
      <c r="F1608" s="40" t="s">
        <v>336</v>
      </c>
      <c r="G1608" s="24">
        <v>1</v>
      </c>
      <c r="H1608" s="24" t="s">
        <v>1318</v>
      </c>
      <c r="I1608" s="46">
        <v>43358.505324074074</v>
      </c>
    </row>
    <row r="1609" spans="6:9" x14ac:dyDescent="0.25">
      <c r="F1609" s="40" t="s">
        <v>118</v>
      </c>
      <c r="G1609" s="24">
        <v>4</v>
      </c>
      <c r="H1609" s="24" t="s">
        <v>1318</v>
      </c>
      <c r="I1609" s="46">
        <v>43358.505254629628</v>
      </c>
    </row>
    <row r="1610" spans="6:9" x14ac:dyDescent="0.25">
      <c r="F1610" s="40" t="s">
        <v>186</v>
      </c>
      <c r="G1610" s="24">
        <v>3</v>
      </c>
      <c r="H1610" s="24" t="s">
        <v>1318</v>
      </c>
      <c r="I1610" s="46">
        <v>43358.504895833335</v>
      </c>
    </row>
    <row r="1611" spans="6:9" x14ac:dyDescent="0.25">
      <c r="F1611" s="40" t="s">
        <v>149</v>
      </c>
      <c r="G1611" s="24">
        <v>1</v>
      </c>
      <c r="H1611" s="24" t="s">
        <v>1318</v>
      </c>
      <c r="I1611" s="46">
        <v>43358.504826388889</v>
      </c>
    </row>
    <row r="1612" spans="6:9" x14ac:dyDescent="0.25">
      <c r="F1612" s="40" t="s">
        <v>182</v>
      </c>
      <c r="G1612" s="24">
        <v>2</v>
      </c>
      <c r="H1612" s="24" t="s">
        <v>1318</v>
      </c>
      <c r="I1612" s="46">
        <v>43358.504733796297</v>
      </c>
    </row>
    <row r="1613" spans="6:9" x14ac:dyDescent="0.25">
      <c r="F1613" s="40" t="s">
        <v>262</v>
      </c>
      <c r="G1613" s="24">
        <v>3</v>
      </c>
      <c r="H1613" s="24" t="s">
        <v>1318</v>
      </c>
      <c r="I1613" s="46">
        <v>43358.504629629628</v>
      </c>
    </row>
    <row r="1614" spans="6:9" x14ac:dyDescent="0.25">
      <c r="F1614" s="40" t="s">
        <v>40</v>
      </c>
      <c r="G1614" s="24">
        <v>3</v>
      </c>
      <c r="H1614" s="24" t="s">
        <v>1318</v>
      </c>
      <c r="I1614" s="46">
        <v>43358.504340277781</v>
      </c>
    </row>
    <row r="1615" spans="6:9" x14ac:dyDescent="0.25">
      <c r="F1615" s="40" t="s">
        <v>349</v>
      </c>
      <c r="G1615" s="24">
        <v>19</v>
      </c>
      <c r="H1615" s="24" t="s">
        <v>1318</v>
      </c>
      <c r="I1615" s="46">
        <v>43358.503321759257</v>
      </c>
    </row>
    <row r="1616" spans="6:9" x14ac:dyDescent="0.25">
      <c r="F1616" s="40" t="s">
        <v>59</v>
      </c>
      <c r="G1616" s="24">
        <v>3</v>
      </c>
      <c r="H1616" s="24" t="s">
        <v>1318</v>
      </c>
      <c r="I1616" s="46">
        <v>43358.503240740742</v>
      </c>
    </row>
    <row r="1617" spans="6:9" x14ac:dyDescent="0.25">
      <c r="F1617" s="40" t="s">
        <v>58</v>
      </c>
      <c r="G1617" s="24">
        <v>2</v>
      </c>
      <c r="H1617" s="24" t="s">
        <v>1318</v>
      </c>
      <c r="I1617" s="46">
        <v>43358.503159722219</v>
      </c>
    </row>
    <row r="1618" spans="6:9" x14ac:dyDescent="0.25">
      <c r="F1618" s="40" t="s">
        <v>4</v>
      </c>
      <c r="G1618" s="24">
        <v>2</v>
      </c>
      <c r="H1618" s="24" t="s">
        <v>1318</v>
      </c>
      <c r="I1618" s="46">
        <v>43358.50304398148</v>
      </c>
    </row>
    <row r="1619" spans="6:9" x14ac:dyDescent="0.25">
      <c r="F1619" s="40" t="s">
        <v>155</v>
      </c>
      <c r="G1619" s="24">
        <v>6</v>
      </c>
      <c r="H1619" s="24" t="s">
        <v>1318</v>
      </c>
      <c r="I1619" s="46">
        <v>43358.502638888887</v>
      </c>
    </row>
    <row r="1620" spans="6:9" x14ac:dyDescent="0.25">
      <c r="F1620" s="40" t="s">
        <v>12</v>
      </c>
      <c r="G1620" s="24">
        <v>1</v>
      </c>
      <c r="H1620" s="24" t="s">
        <v>1318</v>
      </c>
      <c r="I1620" s="46">
        <v>43358.50167824074</v>
      </c>
    </row>
    <row r="1621" spans="6:9" x14ac:dyDescent="0.25">
      <c r="F1621" s="40" t="s">
        <v>2</v>
      </c>
      <c r="G1621" s="24">
        <v>2</v>
      </c>
      <c r="H1621" s="24" t="s">
        <v>1318</v>
      </c>
      <c r="I1621" s="46">
        <v>43358.501608796294</v>
      </c>
    </row>
    <row r="1622" spans="6:9" x14ac:dyDescent="0.25">
      <c r="F1622" s="40" t="s">
        <v>3</v>
      </c>
      <c r="G1622" s="24">
        <v>1</v>
      </c>
      <c r="H1622" s="24" t="s">
        <v>1318</v>
      </c>
      <c r="I1622" s="46">
        <v>43358.501504629632</v>
      </c>
    </row>
    <row r="1623" spans="6:9" x14ac:dyDescent="0.25">
      <c r="F1623" s="40" t="s">
        <v>11</v>
      </c>
      <c r="G1623" s="24">
        <v>8</v>
      </c>
      <c r="H1623" s="24" t="s">
        <v>1318</v>
      </c>
      <c r="I1623" s="46">
        <v>43358.501145833332</v>
      </c>
    </row>
    <row r="1624" spans="6:9" x14ac:dyDescent="0.25">
      <c r="F1624" s="40" t="s">
        <v>146</v>
      </c>
      <c r="G1624" s="24">
        <v>26</v>
      </c>
      <c r="H1624" s="24" t="s">
        <v>1318</v>
      </c>
      <c r="I1624" s="46">
        <v>43358.500439814816</v>
      </c>
    </row>
    <row r="1625" spans="6:9" x14ac:dyDescent="0.25">
      <c r="F1625" s="40" t="s">
        <v>146</v>
      </c>
      <c r="G1625" s="24">
        <v>9</v>
      </c>
      <c r="H1625" s="24" t="s">
        <v>1318</v>
      </c>
      <c r="I1625" s="46">
        <v>43358.500231481485</v>
      </c>
    </row>
    <row r="1626" spans="6:9" x14ac:dyDescent="0.25">
      <c r="F1626" s="40" t="s">
        <v>138</v>
      </c>
      <c r="G1626" s="24">
        <v>1</v>
      </c>
      <c r="H1626" s="24" t="s">
        <v>1322</v>
      </c>
      <c r="I1626" s="46">
        <v>43358.480081018519</v>
      </c>
    </row>
    <row r="1627" spans="6:9" x14ac:dyDescent="0.25">
      <c r="F1627" s="40" t="s">
        <v>221</v>
      </c>
      <c r="G1627" s="24">
        <v>1</v>
      </c>
      <c r="H1627" s="24" t="s">
        <v>1322</v>
      </c>
      <c r="I1627" s="46">
        <v>43358.480023148149</v>
      </c>
    </row>
    <row r="1628" spans="6:9" x14ac:dyDescent="0.25">
      <c r="F1628" s="40" t="s">
        <v>168</v>
      </c>
      <c r="G1628" s="24">
        <v>1</v>
      </c>
      <c r="H1628" s="24" t="s">
        <v>1322</v>
      </c>
      <c r="I1628" s="46">
        <v>43358.479699074072</v>
      </c>
    </row>
    <row r="1629" spans="6:9" x14ac:dyDescent="0.25">
      <c r="F1629" s="40" t="s">
        <v>64</v>
      </c>
      <c r="G1629" s="24">
        <v>1</v>
      </c>
      <c r="H1629" s="24" t="s">
        <v>1322</v>
      </c>
      <c r="I1629" s="46">
        <v>43358.479583333334</v>
      </c>
    </row>
    <row r="1630" spans="6:9" x14ac:dyDescent="0.25">
      <c r="F1630" s="40" t="s">
        <v>62</v>
      </c>
      <c r="G1630" s="24">
        <v>1</v>
      </c>
      <c r="H1630" s="24" t="s">
        <v>1322</v>
      </c>
      <c r="I1630" s="46">
        <v>43358.479363425926</v>
      </c>
    </row>
    <row r="1631" spans="6:9" x14ac:dyDescent="0.25">
      <c r="F1631" s="40" t="s">
        <v>199</v>
      </c>
      <c r="G1631" s="24">
        <v>1</v>
      </c>
      <c r="H1631" s="24" t="s">
        <v>1322</v>
      </c>
      <c r="I1631" s="46">
        <v>43358.479247685187</v>
      </c>
    </row>
    <row r="1632" spans="6:9" x14ac:dyDescent="0.25">
      <c r="F1632" s="40" t="s">
        <v>222</v>
      </c>
      <c r="G1632" s="24">
        <v>1</v>
      </c>
      <c r="H1632" s="24" t="s">
        <v>1322</v>
      </c>
      <c r="I1632" s="46">
        <v>43358.478981481479</v>
      </c>
    </row>
    <row r="1633" spans="6:9" x14ac:dyDescent="0.25">
      <c r="F1633" s="40" t="s">
        <v>121</v>
      </c>
      <c r="G1633" s="24">
        <v>7</v>
      </c>
      <c r="H1633" s="24" t="s">
        <v>1322</v>
      </c>
      <c r="I1633" s="46">
        <v>43358.478865740741</v>
      </c>
    </row>
    <row r="1634" spans="6:9" x14ac:dyDescent="0.25">
      <c r="F1634" s="40" t="s">
        <v>151</v>
      </c>
      <c r="G1634" s="24">
        <v>5</v>
      </c>
      <c r="H1634" s="24" t="s">
        <v>1322</v>
      </c>
      <c r="I1634" s="46">
        <v>43358.478750000002</v>
      </c>
    </row>
    <row r="1635" spans="6:9" x14ac:dyDescent="0.25">
      <c r="F1635" s="40" t="s">
        <v>369</v>
      </c>
      <c r="G1635" s="24">
        <v>1</v>
      </c>
      <c r="H1635" s="24" t="s">
        <v>1322</v>
      </c>
      <c r="I1635" s="46">
        <v>43358.478460648148</v>
      </c>
    </row>
    <row r="1636" spans="6:9" x14ac:dyDescent="0.25">
      <c r="F1636" s="40" t="s">
        <v>149</v>
      </c>
      <c r="G1636" s="24">
        <v>15</v>
      </c>
      <c r="H1636" s="24" t="s">
        <v>1322</v>
      </c>
      <c r="I1636" s="46">
        <v>43358.478055555555</v>
      </c>
    </row>
    <row r="1637" spans="6:9" x14ac:dyDescent="0.25">
      <c r="F1637" s="40" t="s">
        <v>21</v>
      </c>
      <c r="G1637" s="24">
        <v>8</v>
      </c>
      <c r="H1637" s="24" t="s">
        <v>1322</v>
      </c>
      <c r="I1637" s="46">
        <v>43358.47761574074</v>
      </c>
    </row>
    <row r="1638" spans="6:9" x14ac:dyDescent="0.25">
      <c r="F1638" s="40" t="s">
        <v>4</v>
      </c>
      <c r="G1638" s="24">
        <v>3</v>
      </c>
      <c r="H1638" s="24" t="s">
        <v>1322</v>
      </c>
      <c r="I1638" s="46">
        <v>43358.477500000001</v>
      </c>
    </row>
    <row r="1639" spans="6:9" x14ac:dyDescent="0.25">
      <c r="F1639" s="40" t="s">
        <v>3</v>
      </c>
      <c r="G1639" s="24">
        <v>2</v>
      </c>
      <c r="H1639" s="24" t="s">
        <v>1322</v>
      </c>
      <c r="I1639" s="46">
        <v>43358.477407407408</v>
      </c>
    </row>
    <row r="1640" spans="6:9" x14ac:dyDescent="0.25">
      <c r="F1640" s="40" t="s">
        <v>146</v>
      </c>
      <c r="G1640" s="24">
        <v>3</v>
      </c>
      <c r="H1640" s="24" t="s">
        <v>1322</v>
      </c>
      <c r="I1640" s="46">
        <v>43358.477152777778</v>
      </c>
    </row>
    <row r="1641" spans="6:9" x14ac:dyDescent="0.25">
      <c r="F1641" s="40" t="s">
        <v>146</v>
      </c>
      <c r="G1641" s="24">
        <v>4</v>
      </c>
      <c r="H1641" s="24" t="s">
        <v>1322</v>
      </c>
      <c r="I1641" s="46">
        <v>43358.476793981485</v>
      </c>
    </row>
    <row r="1642" spans="6:9" x14ac:dyDescent="0.25">
      <c r="F1642" s="40" t="s">
        <v>11</v>
      </c>
      <c r="G1642" s="24">
        <v>14</v>
      </c>
      <c r="H1642" s="24" t="s">
        <v>1322</v>
      </c>
      <c r="I1642" s="46">
        <v>43358.4766087963</v>
      </c>
    </row>
    <row r="1643" spans="6:9" x14ac:dyDescent="0.25">
      <c r="F1643" s="40" t="s">
        <v>12</v>
      </c>
      <c r="G1643" s="24">
        <v>1</v>
      </c>
      <c r="H1643" s="24" t="s">
        <v>1322</v>
      </c>
      <c r="I1643" s="46">
        <v>43358.4765162037</v>
      </c>
    </row>
    <row r="1644" spans="6:9" x14ac:dyDescent="0.25">
      <c r="F1644" s="40" t="s">
        <v>59</v>
      </c>
      <c r="G1644" s="24">
        <v>2</v>
      </c>
      <c r="H1644" s="24" t="s">
        <v>1322</v>
      </c>
      <c r="I1644" s="46">
        <v>43358.476365740738</v>
      </c>
    </row>
    <row r="1645" spans="6:9" x14ac:dyDescent="0.25">
      <c r="F1645" s="40" t="s">
        <v>58</v>
      </c>
      <c r="G1645" s="24">
        <v>10</v>
      </c>
      <c r="H1645" s="24" t="s">
        <v>1322</v>
      </c>
      <c r="I1645" s="46">
        <v>43358.476273148146</v>
      </c>
    </row>
    <row r="1646" spans="6:9" x14ac:dyDescent="0.25">
      <c r="F1646" s="40" t="s">
        <v>50</v>
      </c>
      <c r="G1646" s="24">
        <v>1</v>
      </c>
      <c r="H1646" s="24" t="s">
        <v>1322</v>
      </c>
      <c r="I1646" s="46">
        <v>43358.476111111115</v>
      </c>
    </row>
    <row r="1647" spans="6:9" x14ac:dyDescent="0.25">
      <c r="F1647" s="40" t="s">
        <v>39</v>
      </c>
      <c r="G1647" s="24">
        <v>13</v>
      </c>
      <c r="H1647" s="24" t="s">
        <v>1322</v>
      </c>
      <c r="I1647" s="46">
        <v>43358.475983796299</v>
      </c>
    </row>
    <row r="1648" spans="6:9" x14ac:dyDescent="0.25">
      <c r="F1648" s="40" t="s">
        <v>186</v>
      </c>
      <c r="G1648" s="24">
        <v>1</v>
      </c>
      <c r="H1648" s="24" t="s">
        <v>1322</v>
      </c>
      <c r="I1648" s="46">
        <v>43358.475844907407</v>
      </c>
    </row>
    <row r="1649" spans="6:9" x14ac:dyDescent="0.25">
      <c r="F1649" s="40" t="s">
        <v>118</v>
      </c>
      <c r="G1649" s="24">
        <v>2</v>
      </c>
      <c r="H1649" s="24" t="s">
        <v>1322</v>
      </c>
      <c r="I1649" s="46">
        <v>43358.475659722222</v>
      </c>
    </row>
    <row r="1650" spans="6:9" x14ac:dyDescent="0.25">
      <c r="F1650" s="40" t="s">
        <v>209</v>
      </c>
      <c r="G1650" s="24">
        <v>6</v>
      </c>
      <c r="H1650" s="24" t="s">
        <v>1322</v>
      </c>
      <c r="I1650" s="46">
        <v>43358.47483796296</v>
      </c>
    </row>
    <row r="1651" spans="6:9" x14ac:dyDescent="0.25">
      <c r="F1651" s="40" t="s">
        <v>155</v>
      </c>
      <c r="G1651" s="24">
        <v>14</v>
      </c>
      <c r="H1651" s="24" t="s">
        <v>1322</v>
      </c>
      <c r="I1651" s="46">
        <v>43358.474733796298</v>
      </c>
    </row>
    <row r="1652" spans="6:9" x14ac:dyDescent="0.25">
      <c r="F1652" s="40" t="s">
        <v>149</v>
      </c>
      <c r="G1652" s="24">
        <v>21</v>
      </c>
      <c r="H1652" s="24" t="s">
        <v>1322</v>
      </c>
      <c r="I1652" s="46">
        <v>43358.474594907406</v>
      </c>
    </row>
    <row r="1653" spans="6:9" x14ac:dyDescent="0.25">
      <c r="F1653" s="40" t="s">
        <v>1379</v>
      </c>
      <c r="G1653" s="24">
        <v>1</v>
      </c>
      <c r="H1653" s="24" t="s">
        <v>1322</v>
      </c>
      <c r="I1653" s="46">
        <v>43358.474456018521</v>
      </c>
    </row>
    <row r="1654" spans="6:9" x14ac:dyDescent="0.25">
      <c r="F1654" s="67" t="s">
        <v>198</v>
      </c>
      <c r="G1654" s="24">
        <v>1</v>
      </c>
      <c r="H1654" s="24" t="s">
        <v>1324</v>
      </c>
      <c r="I1654" s="46">
        <v>43358.474398148152</v>
      </c>
    </row>
    <row r="1655" spans="6:9" x14ac:dyDescent="0.25">
      <c r="F1655" s="40" t="s">
        <v>65</v>
      </c>
      <c r="G1655" s="24">
        <v>11</v>
      </c>
      <c r="H1655" s="24" t="s">
        <v>1322</v>
      </c>
      <c r="I1655" s="46">
        <v>43358.474351851852</v>
      </c>
    </row>
    <row r="1656" spans="6:9" x14ac:dyDescent="0.25">
      <c r="F1656" s="67" t="s">
        <v>155</v>
      </c>
      <c r="G1656" s="24">
        <v>4</v>
      </c>
      <c r="H1656" s="24" t="s">
        <v>1324</v>
      </c>
      <c r="I1656" s="46">
        <v>43358.474247685182</v>
      </c>
    </row>
    <row r="1657" spans="6:9" x14ac:dyDescent="0.25">
      <c r="F1657" s="40" t="s">
        <v>59</v>
      </c>
      <c r="G1657" s="24">
        <v>4</v>
      </c>
      <c r="H1657" s="24" t="s">
        <v>1326</v>
      </c>
      <c r="I1657" s="46">
        <v>43358.47388888889</v>
      </c>
    </row>
    <row r="1658" spans="6:9" x14ac:dyDescent="0.25">
      <c r="F1658" s="67" t="s">
        <v>612</v>
      </c>
      <c r="G1658" s="24">
        <v>1</v>
      </c>
      <c r="H1658" s="24" t="s">
        <v>1324</v>
      </c>
      <c r="I1658" s="46">
        <v>43358.473819444444</v>
      </c>
    </row>
    <row r="1659" spans="6:9" x14ac:dyDescent="0.25">
      <c r="F1659" s="67" t="s">
        <v>1369</v>
      </c>
      <c r="G1659" s="24">
        <v>1</v>
      </c>
      <c r="H1659" s="24" t="s">
        <v>1324</v>
      </c>
      <c r="I1659" s="46">
        <v>43358.473726851851</v>
      </c>
    </row>
    <row r="1660" spans="6:9" x14ac:dyDescent="0.25">
      <c r="F1660" s="40" t="s">
        <v>160</v>
      </c>
      <c r="G1660" s="24">
        <v>1</v>
      </c>
      <c r="H1660" s="24" t="s">
        <v>1326</v>
      </c>
      <c r="I1660" s="46">
        <v>43358.473611111112</v>
      </c>
    </row>
    <row r="1661" spans="6:9" x14ac:dyDescent="0.25">
      <c r="F1661" s="40" t="s">
        <v>182</v>
      </c>
      <c r="G1661" s="24">
        <v>2</v>
      </c>
      <c r="H1661" s="24" t="s">
        <v>1326</v>
      </c>
      <c r="I1661" s="46">
        <v>43358.473541666666</v>
      </c>
    </row>
    <row r="1662" spans="6:9" x14ac:dyDescent="0.25">
      <c r="F1662" s="67" t="s">
        <v>39</v>
      </c>
      <c r="G1662" s="24">
        <v>1</v>
      </c>
      <c r="H1662" s="24" t="s">
        <v>1324</v>
      </c>
      <c r="I1662" s="46">
        <v>43358.47351851852</v>
      </c>
    </row>
    <row r="1663" spans="6:9" x14ac:dyDescent="0.25">
      <c r="F1663" s="67" t="s">
        <v>1369</v>
      </c>
      <c r="G1663" s="24">
        <v>2</v>
      </c>
      <c r="H1663" s="24" t="s">
        <v>1324</v>
      </c>
      <c r="I1663" s="46">
        <v>43358.473437499997</v>
      </c>
    </row>
    <row r="1664" spans="6:9" x14ac:dyDescent="0.25">
      <c r="F1664" s="67" t="s">
        <v>169</v>
      </c>
      <c r="G1664" s="24">
        <v>2</v>
      </c>
      <c r="H1664" s="24" t="s">
        <v>1324</v>
      </c>
      <c r="I1664" s="46">
        <v>43358.473182870373</v>
      </c>
    </row>
    <row r="1665" spans="6:9" x14ac:dyDescent="0.25">
      <c r="F1665" s="67" t="s">
        <v>2</v>
      </c>
      <c r="G1665" s="24">
        <v>4</v>
      </c>
      <c r="H1665" s="24" t="s">
        <v>1324</v>
      </c>
      <c r="I1665" s="46">
        <v>43358.473055555558</v>
      </c>
    </row>
    <row r="1666" spans="6:9" x14ac:dyDescent="0.25">
      <c r="F1666" s="67" t="s">
        <v>3</v>
      </c>
      <c r="G1666" s="24">
        <v>3</v>
      </c>
      <c r="H1666" s="24" t="s">
        <v>1324</v>
      </c>
      <c r="I1666" s="46">
        <v>43358.472986111112</v>
      </c>
    </row>
    <row r="1667" spans="6:9" x14ac:dyDescent="0.25">
      <c r="F1667" s="67" t="s">
        <v>11</v>
      </c>
      <c r="G1667" s="24">
        <v>2</v>
      </c>
      <c r="H1667" s="24" t="s">
        <v>1324</v>
      </c>
      <c r="I1667" s="46">
        <v>43358.472905092596</v>
      </c>
    </row>
    <row r="1668" spans="6:9" x14ac:dyDescent="0.25">
      <c r="F1668" s="40" t="s">
        <v>1379</v>
      </c>
      <c r="G1668" s="24">
        <v>1</v>
      </c>
      <c r="H1668" s="24" t="s">
        <v>1326</v>
      </c>
      <c r="I1668" s="46">
        <v>43358.472870370373</v>
      </c>
    </row>
    <row r="1669" spans="6:9" x14ac:dyDescent="0.25">
      <c r="F1669" s="67" t="s">
        <v>140</v>
      </c>
      <c r="G1669" s="24">
        <v>3</v>
      </c>
      <c r="H1669" s="24" t="s">
        <v>1324</v>
      </c>
      <c r="I1669" s="46">
        <v>43358.47283564815</v>
      </c>
    </row>
    <row r="1670" spans="6:9" x14ac:dyDescent="0.25">
      <c r="F1670" s="67" t="s">
        <v>1564</v>
      </c>
      <c r="G1670" s="24">
        <v>1</v>
      </c>
      <c r="H1670" s="24" t="s">
        <v>1324</v>
      </c>
      <c r="I1670" s="46">
        <v>43358.472731481481</v>
      </c>
    </row>
    <row r="1671" spans="6:9" x14ac:dyDescent="0.25">
      <c r="F1671" s="67" t="s">
        <v>1570</v>
      </c>
      <c r="G1671" s="24">
        <v>1</v>
      </c>
      <c r="H1671" s="24" t="s">
        <v>1324</v>
      </c>
      <c r="I1671" s="46">
        <v>43358.472650462965</v>
      </c>
    </row>
    <row r="1672" spans="6:9" x14ac:dyDescent="0.25">
      <c r="F1672" s="40" t="s">
        <v>1377</v>
      </c>
      <c r="G1672" s="24">
        <v>2</v>
      </c>
      <c r="H1672" s="24" t="s">
        <v>1326</v>
      </c>
      <c r="I1672" s="46">
        <v>43358.472627314812</v>
      </c>
    </row>
    <row r="1673" spans="6:9" x14ac:dyDescent="0.25">
      <c r="F1673" s="40" t="s">
        <v>52</v>
      </c>
      <c r="G1673" s="24">
        <v>1</v>
      </c>
      <c r="H1673" s="24" t="s">
        <v>1326</v>
      </c>
      <c r="I1673" s="46">
        <v>43358.472488425927</v>
      </c>
    </row>
    <row r="1674" spans="6:9" x14ac:dyDescent="0.25">
      <c r="F1674" s="40" t="s">
        <v>1369</v>
      </c>
      <c r="G1674" s="24">
        <v>1</v>
      </c>
      <c r="H1674" s="24" t="s">
        <v>1326</v>
      </c>
      <c r="I1674" s="46">
        <v>43358.472233796296</v>
      </c>
    </row>
    <row r="1675" spans="6:9" x14ac:dyDescent="0.25">
      <c r="F1675" s="67" t="s">
        <v>58</v>
      </c>
      <c r="G1675" s="24">
        <v>10</v>
      </c>
      <c r="H1675" s="24" t="s">
        <v>1324</v>
      </c>
      <c r="I1675" s="46">
        <v>43358.471979166665</v>
      </c>
    </row>
    <row r="1676" spans="6:9" x14ac:dyDescent="0.25">
      <c r="F1676" s="40" t="s">
        <v>29</v>
      </c>
      <c r="G1676" s="24">
        <v>1</v>
      </c>
      <c r="H1676" s="24" t="s">
        <v>1326</v>
      </c>
      <c r="I1676" s="46">
        <v>43358.471898148149</v>
      </c>
    </row>
    <row r="1677" spans="6:9" x14ac:dyDescent="0.25">
      <c r="F1677" s="67" t="s">
        <v>39</v>
      </c>
      <c r="G1677" s="24">
        <v>2</v>
      </c>
      <c r="H1677" s="24" t="s">
        <v>1324</v>
      </c>
      <c r="I1677" s="46">
        <v>43358.471863425926</v>
      </c>
    </row>
    <row r="1678" spans="6:9" x14ac:dyDescent="0.25">
      <c r="F1678" s="40" t="s">
        <v>39</v>
      </c>
      <c r="G1678" s="24">
        <v>5</v>
      </c>
      <c r="H1678" s="24" t="s">
        <v>1326</v>
      </c>
      <c r="I1678" s="46">
        <v>43358.47179398148</v>
      </c>
    </row>
    <row r="1679" spans="6:9" x14ac:dyDescent="0.25">
      <c r="F1679" s="67" t="s">
        <v>1277</v>
      </c>
      <c r="G1679" s="24">
        <v>1</v>
      </c>
      <c r="H1679" s="24" t="s">
        <v>1324</v>
      </c>
      <c r="I1679" s="46">
        <v>43358.471759259257</v>
      </c>
    </row>
    <row r="1680" spans="6:9" x14ac:dyDescent="0.25">
      <c r="F1680" s="40" t="s">
        <v>21</v>
      </c>
      <c r="G1680" s="24">
        <v>5</v>
      </c>
      <c r="H1680" s="24" t="s">
        <v>1326</v>
      </c>
      <c r="I1680" s="46">
        <v>43358.471701388888</v>
      </c>
    </row>
    <row r="1681" spans="6:9" x14ac:dyDescent="0.25">
      <c r="F1681" s="40" t="s">
        <v>155</v>
      </c>
      <c r="G1681" s="24">
        <v>7</v>
      </c>
      <c r="H1681" s="24" t="s">
        <v>1326</v>
      </c>
      <c r="I1681" s="46">
        <v>43358.471574074072</v>
      </c>
    </row>
    <row r="1682" spans="6:9" x14ac:dyDescent="0.25">
      <c r="F1682" s="67" t="s">
        <v>175</v>
      </c>
      <c r="G1682" s="24">
        <v>1</v>
      </c>
      <c r="H1682" s="24" t="s">
        <v>1324</v>
      </c>
      <c r="I1682" s="46">
        <v>43358.471539351849</v>
      </c>
    </row>
    <row r="1683" spans="6:9" x14ac:dyDescent="0.25">
      <c r="F1683" s="40" t="s">
        <v>121</v>
      </c>
      <c r="G1683" s="24">
        <v>5</v>
      </c>
      <c r="H1683" s="24" t="s">
        <v>1326</v>
      </c>
      <c r="I1683" s="46">
        <v>43358.471504629626</v>
      </c>
    </row>
    <row r="1684" spans="6:9" x14ac:dyDescent="0.25">
      <c r="F1684" s="67" t="s">
        <v>62</v>
      </c>
      <c r="G1684" s="24">
        <v>2</v>
      </c>
      <c r="H1684" s="24" t="s">
        <v>1324</v>
      </c>
      <c r="I1684" s="46">
        <v>43358.471435185187</v>
      </c>
    </row>
    <row r="1685" spans="6:9" x14ac:dyDescent="0.25">
      <c r="F1685" s="40" t="s">
        <v>3</v>
      </c>
      <c r="G1685" s="24">
        <v>1</v>
      </c>
      <c r="H1685" s="24" t="s">
        <v>1326</v>
      </c>
      <c r="I1685" s="46">
        <v>43358.471365740741</v>
      </c>
    </row>
    <row r="1686" spans="6:9" x14ac:dyDescent="0.25">
      <c r="F1686" s="40" t="s">
        <v>4</v>
      </c>
      <c r="G1686" s="24">
        <v>2</v>
      </c>
      <c r="H1686" s="24" t="s">
        <v>1326</v>
      </c>
      <c r="I1686" s="46">
        <v>43358.471296296295</v>
      </c>
    </row>
    <row r="1687" spans="6:9" x14ac:dyDescent="0.25">
      <c r="F1687" s="67" t="s">
        <v>265</v>
      </c>
      <c r="G1687" s="24">
        <v>1</v>
      </c>
      <c r="H1687" s="24" t="s">
        <v>1324</v>
      </c>
      <c r="I1687" s="46">
        <v>43358.471180555556</v>
      </c>
    </row>
    <row r="1688" spans="6:9" x14ac:dyDescent="0.25">
      <c r="F1688" s="40" t="s">
        <v>11</v>
      </c>
      <c r="G1688" s="24">
        <v>9</v>
      </c>
      <c r="H1688" s="24" t="s">
        <v>1326</v>
      </c>
      <c r="I1688" s="46">
        <v>43358.47111111111</v>
      </c>
    </row>
    <row r="1689" spans="6:9" x14ac:dyDescent="0.25">
      <c r="F1689" s="67" t="s">
        <v>50</v>
      </c>
      <c r="G1689" s="24">
        <v>2</v>
      </c>
      <c r="H1689" s="24" t="s">
        <v>1324</v>
      </c>
      <c r="I1689" s="46">
        <v>43358.470995370371</v>
      </c>
    </row>
    <row r="1690" spans="6:9" x14ac:dyDescent="0.25">
      <c r="F1690" s="67" t="s">
        <v>40</v>
      </c>
      <c r="G1690" s="24">
        <v>1</v>
      </c>
      <c r="H1690" s="24" t="s">
        <v>1324</v>
      </c>
      <c r="I1690" s="46">
        <v>43358.470902777779</v>
      </c>
    </row>
    <row r="1691" spans="6:9" x14ac:dyDescent="0.25">
      <c r="F1691" s="40" t="s">
        <v>12</v>
      </c>
      <c r="G1691" s="24">
        <v>1</v>
      </c>
      <c r="H1691" s="24" t="s">
        <v>1326</v>
      </c>
      <c r="I1691" s="46">
        <v>43358.47078703704</v>
      </c>
    </row>
    <row r="1692" spans="6:9" x14ac:dyDescent="0.25">
      <c r="F1692" s="67" t="s">
        <v>21</v>
      </c>
      <c r="G1692" s="24">
        <v>6</v>
      </c>
      <c r="H1692" s="24" t="s">
        <v>1324</v>
      </c>
      <c r="I1692" s="46">
        <v>43358.470763888887</v>
      </c>
    </row>
    <row r="1693" spans="6:9" x14ac:dyDescent="0.25">
      <c r="F1693" s="67" t="s">
        <v>4</v>
      </c>
      <c r="G1693" s="24">
        <v>5</v>
      </c>
      <c r="H1693" s="24" t="s">
        <v>1324</v>
      </c>
      <c r="I1693" s="46">
        <v>43358.470648148148</v>
      </c>
    </row>
    <row r="1694" spans="6:9" x14ac:dyDescent="0.25">
      <c r="F1694" s="40" t="s">
        <v>149</v>
      </c>
      <c r="G1694" s="24">
        <v>16</v>
      </c>
      <c r="H1694" s="24" t="s">
        <v>1326</v>
      </c>
      <c r="I1694" s="46">
        <v>43358.470590277779</v>
      </c>
    </row>
    <row r="1695" spans="6:9" x14ac:dyDescent="0.25">
      <c r="F1695" s="67" t="s">
        <v>348</v>
      </c>
      <c r="G1695" s="24">
        <v>6</v>
      </c>
      <c r="H1695" s="24" t="s">
        <v>1324</v>
      </c>
      <c r="I1695" s="46">
        <v>43358.470462962963</v>
      </c>
    </row>
    <row r="1696" spans="6:9" x14ac:dyDescent="0.25">
      <c r="F1696" s="40" t="s">
        <v>146</v>
      </c>
      <c r="G1696" s="24">
        <v>13</v>
      </c>
      <c r="H1696" s="24" t="s">
        <v>1326</v>
      </c>
      <c r="I1696" s="46">
        <v>43358.470324074071</v>
      </c>
    </row>
    <row r="1697" spans="6:9" x14ac:dyDescent="0.25">
      <c r="F1697" s="67" t="s">
        <v>1380</v>
      </c>
      <c r="G1697" s="24">
        <v>8</v>
      </c>
      <c r="H1697" s="24" t="s">
        <v>1324</v>
      </c>
      <c r="I1697" s="46">
        <v>43358.470219907409</v>
      </c>
    </row>
    <row r="1698" spans="6:9" x14ac:dyDescent="0.25">
      <c r="F1698" s="40" t="s">
        <v>65</v>
      </c>
      <c r="G1698" s="24">
        <v>8</v>
      </c>
      <c r="H1698" s="24" t="s">
        <v>1326</v>
      </c>
      <c r="I1698" s="46">
        <v>43358.470185185186</v>
      </c>
    </row>
    <row r="1699" spans="6:9" x14ac:dyDescent="0.25">
      <c r="F1699" s="40" t="s">
        <v>1379</v>
      </c>
      <c r="G1699" s="24">
        <v>1</v>
      </c>
      <c r="H1699" s="24" t="s">
        <v>1326</v>
      </c>
      <c r="I1699" s="46">
        <v>43358.469861111109</v>
      </c>
    </row>
    <row r="1700" spans="6:9" x14ac:dyDescent="0.25">
      <c r="F1700" s="67" t="s">
        <v>149</v>
      </c>
      <c r="G1700" s="24">
        <v>7</v>
      </c>
      <c r="H1700" s="24" t="s">
        <v>1324</v>
      </c>
      <c r="I1700" s="46">
        <v>43358.46979166667</v>
      </c>
    </row>
    <row r="1701" spans="6:9" x14ac:dyDescent="0.25">
      <c r="F1701" s="40" t="s">
        <v>1377</v>
      </c>
      <c r="G1701" s="24">
        <v>1</v>
      </c>
      <c r="H1701" s="24" t="s">
        <v>1326</v>
      </c>
      <c r="I1701" s="46">
        <v>43358.469548611109</v>
      </c>
    </row>
    <row r="1702" spans="6:9" x14ac:dyDescent="0.25">
      <c r="F1702" s="67" t="s">
        <v>149</v>
      </c>
      <c r="G1702" s="24">
        <v>7</v>
      </c>
      <c r="H1702" s="24" t="s">
        <v>1324</v>
      </c>
      <c r="I1702" s="46">
        <v>43358.469537037039</v>
      </c>
    </row>
    <row r="1703" spans="6:9" x14ac:dyDescent="0.25">
      <c r="F1703" s="67" t="s">
        <v>121</v>
      </c>
      <c r="G1703" s="24">
        <v>10</v>
      </c>
      <c r="H1703" s="24" t="s">
        <v>1324</v>
      </c>
      <c r="I1703" s="46">
        <v>43358.469398148147</v>
      </c>
    </row>
    <row r="1704" spans="6:9" x14ac:dyDescent="0.25">
      <c r="F1704" s="67" t="s">
        <v>146</v>
      </c>
      <c r="G1704" s="24">
        <v>7</v>
      </c>
      <c r="H1704" s="24" t="s">
        <v>1324</v>
      </c>
      <c r="I1704" s="46">
        <v>43358.469270833331</v>
      </c>
    </row>
    <row r="1705" spans="6:9" x14ac:dyDescent="0.25">
      <c r="F1705" s="67" t="s">
        <v>29</v>
      </c>
      <c r="G1705" s="24">
        <v>1</v>
      </c>
      <c r="H1705" s="24" t="s">
        <v>1324</v>
      </c>
      <c r="I1705" s="46">
        <v>43358.469050925924</v>
      </c>
    </row>
    <row r="1706" spans="6:9" x14ac:dyDescent="0.25">
      <c r="F1706" s="40" t="s">
        <v>155</v>
      </c>
      <c r="G1706" s="24">
        <v>6</v>
      </c>
      <c r="H1706" s="24" t="s">
        <v>1326</v>
      </c>
      <c r="I1706" s="46">
        <v>43358.469050925924</v>
      </c>
    </row>
    <row r="1707" spans="6:9" x14ac:dyDescent="0.25">
      <c r="F1707" s="67" t="s">
        <v>33</v>
      </c>
      <c r="G1707" s="24">
        <v>1</v>
      </c>
      <c r="H1707" s="24" t="s">
        <v>1324</v>
      </c>
      <c r="I1707" s="46">
        <v>43358.468958333331</v>
      </c>
    </row>
    <row r="1708" spans="6:9" x14ac:dyDescent="0.25">
      <c r="F1708" s="67" t="s">
        <v>11</v>
      </c>
      <c r="G1708" s="24">
        <v>5</v>
      </c>
      <c r="H1708" s="24" t="s">
        <v>1324</v>
      </c>
      <c r="I1708" s="46">
        <v>43358.468611111108</v>
      </c>
    </row>
    <row r="1709" spans="6:9" x14ac:dyDescent="0.25">
      <c r="F1709" s="67" t="s">
        <v>11</v>
      </c>
      <c r="G1709" s="24">
        <v>7</v>
      </c>
      <c r="H1709" s="24" t="s">
        <v>1324</v>
      </c>
      <c r="I1709" s="46">
        <v>43358.468414351853</v>
      </c>
    </row>
    <row r="1710" spans="6:9" x14ac:dyDescent="0.25">
      <c r="F1710" s="40" t="s">
        <v>186</v>
      </c>
      <c r="G1710" s="24">
        <v>2</v>
      </c>
      <c r="H1710" s="24" t="s">
        <v>1318</v>
      </c>
      <c r="I1710" s="46">
        <v>43358.447337962964</v>
      </c>
    </row>
    <row r="1711" spans="6:9" x14ac:dyDescent="0.25">
      <c r="F1711" s="40" t="s">
        <v>349</v>
      </c>
      <c r="G1711" s="24">
        <v>31</v>
      </c>
      <c r="H1711" s="24" t="s">
        <v>1318</v>
      </c>
      <c r="I1711" s="46">
        <v>43358.447245370371</v>
      </c>
    </row>
    <row r="1712" spans="6:9" x14ac:dyDescent="0.25">
      <c r="F1712" s="40" t="s">
        <v>65</v>
      </c>
      <c r="G1712" s="24">
        <v>6</v>
      </c>
      <c r="H1712" s="24" t="s">
        <v>1318</v>
      </c>
      <c r="I1712" s="46">
        <v>43358.447175925925</v>
      </c>
    </row>
    <row r="1713" spans="6:9" x14ac:dyDescent="0.25">
      <c r="F1713" s="40" t="s">
        <v>182</v>
      </c>
      <c r="G1713" s="24">
        <v>4</v>
      </c>
      <c r="H1713" s="24" t="s">
        <v>1318</v>
      </c>
      <c r="I1713" s="46">
        <v>43358.44703703704</v>
      </c>
    </row>
    <row r="1714" spans="6:9" x14ac:dyDescent="0.25">
      <c r="F1714" s="40" t="s">
        <v>336</v>
      </c>
      <c r="G1714" s="24">
        <v>1</v>
      </c>
      <c r="H1714" s="24" t="s">
        <v>1318</v>
      </c>
      <c r="I1714" s="46">
        <v>43358.446550925924</v>
      </c>
    </row>
    <row r="1715" spans="6:9" x14ac:dyDescent="0.25">
      <c r="F1715" s="40" t="s">
        <v>340</v>
      </c>
      <c r="G1715" s="24">
        <v>1</v>
      </c>
      <c r="H1715" s="24" t="s">
        <v>1318</v>
      </c>
      <c r="I1715" s="46">
        <v>43358.446319444447</v>
      </c>
    </row>
    <row r="1716" spans="6:9" x14ac:dyDescent="0.25">
      <c r="F1716" s="40" t="s">
        <v>118</v>
      </c>
      <c r="G1716" s="24">
        <v>2</v>
      </c>
      <c r="H1716" s="24" t="s">
        <v>1318</v>
      </c>
      <c r="I1716" s="46">
        <v>43358.446157407408</v>
      </c>
    </row>
    <row r="1717" spans="6:9" x14ac:dyDescent="0.25">
      <c r="F1717" s="40" t="s">
        <v>118</v>
      </c>
      <c r="G1717" s="24">
        <v>2</v>
      </c>
      <c r="H1717" s="24" t="s">
        <v>1318</v>
      </c>
      <c r="I1717" s="46">
        <v>43358.446076388886</v>
      </c>
    </row>
    <row r="1718" spans="6:9" x14ac:dyDescent="0.25">
      <c r="F1718" s="40" t="s">
        <v>198</v>
      </c>
      <c r="G1718" s="24">
        <v>3</v>
      </c>
      <c r="H1718" s="24" t="s">
        <v>1318</v>
      </c>
      <c r="I1718" s="46">
        <v>43358.445706018516</v>
      </c>
    </row>
    <row r="1719" spans="6:9" x14ac:dyDescent="0.25">
      <c r="F1719" s="40" t="s">
        <v>138</v>
      </c>
      <c r="G1719" s="24">
        <v>1</v>
      </c>
      <c r="H1719" s="24" t="s">
        <v>1318</v>
      </c>
      <c r="I1719" s="46">
        <v>43358.445543981485</v>
      </c>
    </row>
    <row r="1720" spans="6:9" x14ac:dyDescent="0.25">
      <c r="F1720" s="40" t="s">
        <v>140</v>
      </c>
      <c r="G1720" s="24">
        <v>1</v>
      </c>
      <c r="H1720" s="24" t="s">
        <v>1318</v>
      </c>
      <c r="I1720" s="46">
        <v>43358.445486111108</v>
      </c>
    </row>
    <row r="1721" spans="6:9" x14ac:dyDescent="0.25">
      <c r="F1721" s="40" t="s">
        <v>155</v>
      </c>
      <c r="G1721" s="24">
        <v>3</v>
      </c>
      <c r="H1721" s="24" t="s">
        <v>1318</v>
      </c>
      <c r="I1721" s="46">
        <v>43358.445393518516</v>
      </c>
    </row>
    <row r="1722" spans="6:9" x14ac:dyDescent="0.25">
      <c r="F1722" s="40" t="s">
        <v>41</v>
      </c>
      <c r="G1722" s="24">
        <v>1</v>
      </c>
      <c r="H1722" s="24" t="s">
        <v>1318</v>
      </c>
      <c r="I1722" s="46">
        <v>43358.444895833331</v>
      </c>
    </row>
    <row r="1723" spans="6:9" x14ac:dyDescent="0.25">
      <c r="F1723" s="40" t="s">
        <v>62</v>
      </c>
      <c r="G1723" s="24">
        <v>1</v>
      </c>
      <c r="H1723" s="24" t="s">
        <v>1318</v>
      </c>
      <c r="I1723" s="46">
        <v>43358.444699074076</v>
      </c>
    </row>
    <row r="1724" spans="6:9" x14ac:dyDescent="0.25">
      <c r="F1724" s="40" t="s">
        <v>59</v>
      </c>
      <c r="G1724" s="24">
        <v>4</v>
      </c>
      <c r="H1724" s="24" t="s">
        <v>1318</v>
      </c>
      <c r="I1724" s="46">
        <v>43358.444594907407</v>
      </c>
    </row>
    <row r="1725" spans="6:9" x14ac:dyDescent="0.25">
      <c r="F1725" s="40" t="s">
        <v>59</v>
      </c>
      <c r="G1725" s="24">
        <v>1</v>
      </c>
      <c r="H1725" s="24" t="s">
        <v>1318</v>
      </c>
      <c r="I1725" s="46">
        <v>43358.444224537037</v>
      </c>
    </row>
    <row r="1726" spans="6:9" x14ac:dyDescent="0.25">
      <c r="F1726" s="40" t="s">
        <v>28</v>
      </c>
      <c r="G1726" s="24">
        <v>1</v>
      </c>
      <c r="H1726" s="24" t="s">
        <v>1318</v>
      </c>
      <c r="I1726" s="46">
        <v>43358.443842592591</v>
      </c>
    </row>
    <row r="1727" spans="6:9" x14ac:dyDescent="0.25">
      <c r="F1727" s="40" t="s">
        <v>200</v>
      </c>
      <c r="G1727" s="24">
        <v>1</v>
      </c>
      <c r="H1727" s="24" t="s">
        <v>1318</v>
      </c>
      <c r="I1727" s="46">
        <v>43358.443784722222</v>
      </c>
    </row>
    <row r="1728" spans="6:9" x14ac:dyDescent="0.25">
      <c r="F1728" s="40" t="s">
        <v>39</v>
      </c>
      <c r="G1728" s="24">
        <v>2</v>
      </c>
      <c r="H1728" s="24" t="s">
        <v>1318</v>
      </c>
      <c r="I1728" s="46">
        <v>43358.443518518521</v>
      </c>
    </row>
    <row r="1729" spans="6:9" x14ac:dyDescent="0.25">
      <c r="F1729" s="40" t="s">
        <v>121</v>
      </c>
      <c r="G1729" s="24">
        <v>6</v>
      </c>
      <c r="H1729" s="24" t="s">
        <v>1318</v>
      </c>
      <c r="I1729" s="46">
        <v>43358.443344907406</v>
      </c>
    </row>
    <row r="1730" spans="6:9" x14ac:dyDescent="0.25">
      <c r="F1730" s="40" t="s">
        <v>146</v>
      </c>
      <c r="G1730" s="24">
        <v>7</v>
      </c>
      <c r="H1730" s="24" t="s">
        <v>1318</v>
      </c>
      <c r="I1730" s="46">
        <v>43358.443090277775</v>
      </c>
    </row>
    <row r="1731" spans="6:9" x14ac:dyDescent="0.25">
      <c r="F1731" s="40" t="s">
        <v>149</v>
      </c>
      <c r="G1731" s="24">
        <v>3</v>
      </c>
      <c r="H1731" s="24" t="s">
        <v>1318</v>
      </c>
      <c r="I1731" s="46">
        <v>43358.443032407406</v>
      </c>
    </row>
    <row r="1732" spans="6:9" x14ac:dyDescent="0.25">
      <c r="F1732" s="40" t="s">
        <v>149</v>
      </c>
      <c r="G1732" s="24">
        <v>5</v>
      </c>
      <c r="H1732" s="24" t="s">
        <v>1318</v>
      </c>
      <c r="I1732" s="46">
        <v>43358.44290509259</v>
      </c>
    </row>
    <row r="1733" spans="6:9" x14ac:dyDescent="0.25">
      <c r="F1733" s="40" t="s">
        <v>149</v>
      </c>
      <c r="G1733" s="24">
        <v>3</v>
      </c>
      <c r="H1733" s="24" t="s">
        <v>1318</v>
      </c>
      <c r="I1733" s="46">
        <v>43358.442789351851</v>
      </c>
    </row>
    <row r="1734" spans="6:9" x14ac:dyDescent="0.25">
      <c r="F1734" s="40" t="s">
        <v>11</v>
      </c>
      <c r="G1734" s="24">
        <v>4</v>
      </c>
      <c r="H1734" s="24" t="s">
        <v>1318</v>
      </c>
      <c r="I1734" s="46">
        <v>43358.442696759259</v>
      </c>
    </row>
    <row r="1735" spans="6:9" x14ac:dyDescent="0.25">
      <c r="F1735" s="40" t="s">
        <v>51</v>
      </c>
      <c r="G1735" s="24">
        <v>1</v>
      </c>
      <c r="H1735" s="24" t="s">
        <v>1318</v>
      </c>
      <c r="I1735" s="46">
        <v>43358.44263888889</v>
      </c>
    </row>
    <row r="1736" spans="6:9" x14ac:dyDescent="0.25">
      <c r="F1736" s="40" t="s">
        <v>52</v>
      </c>
      <c r="G1736" s="24">
        <v>1</v>
      </c>
      <c r="H1736" s="24" t="s">
        <v>1318</v>
      </c>
      <c r="I1736" s="46">
        <v>43358.442546296297</v>
      </c>
    </row>
    <row r="1737" spans="6:9" x14ac:dyDescent="0.25">
      <c r="F1737" s="40" t="s">
        <v>4</v>
      </c>
      <c r="G1737" s="24">
        <v>1</v>
      </c>
      <c r="H1737" s="24" t="s">
        <v>1318</v>
      </c>
      <c r="I1737" s="46">
        <v>43358.442164351851</v>
      </c>
    </row>
    <row r="1738" spans="6:9" x14ac:dyDescent="0.25">
      <c r="F1738" s="40" t="s">
        <v>2</v>
      </c>
      <c r="G1738" s="24">
        <v>1</v>
      </c>
      <c r="H1738" s="24" t="s">
        <v>1318</v>
      </c>
      <c r="I1738" s="46">
        <v>43358.442094907405</v>
      </c>
    </row>
    <row r="1739" spans="6:9" x14ac:dyDescent="0.25">
      <c r="F1739" s="67" t="s">
        <v>4</v>
      </c>
      <c r="G1739" s="24">
        <v>2</v>
      </c>
      <c r="H1739" s="24" t="s">
        <v>1328</v>
      </c>
      <c r="I1739" s="46">
        <v>43358.439212962963</v>
      </c>
    </row>
    <row r="1740" spans="6:9" x14ac:dyDescent="0.25">
      <c r="F1740" s="67" t="s">
        <v>349</v>
      </c>
      <c r="G1740" s="24">
        <v>1</v>
      </c>
      <c r="H1740" s="24" t="s">
        <v>1328</v>
      </c>
      <c r="I1740" s="46">
        <v>43358.439212962963</v>
      </c>
    </row>
    <row r="1741" spans="6:9" x14ac:dyDescent="0.25">
      <c r="F1741" s="67" t="s">
        <v>612</v>
      </c>
      <c r="G1741" s="24">
        <v>1</v>
      </c>
      <c r="H1741" s="24" t="s">
        <v>1328</v>
      </c>
      <c r="I1741" s="46">
        <v>43358.438900462963</v>
      </c>
    </row>
    <row r="1742" spans="6:9" x14ac:dyDescent="0.25">
      <c r="F1742" s="67" t="s">
        <v>162</v>
      </c>
      <c r="G1742" s="24">
        <v>1</v>
      </c>
      <c r="H1742" s="24" t="s">
        <v>1328</v>
      </c>
      <c r="I1742" s="46">
        <v>43358.438703703701</v>
      </c>
    </row>
    <row r="1743" spans="6:9" x14ac:dyDescent="0.25">
      <c r="F1743" s="67" t="s">
        <v>1211</v>
      </c>
      <c r="G1743" s="24">
        <v>1</v>
      </c>
      <c r="H1743" s="24" t="s">
        <v>1328</v>
      </c>
      <c r="I1743" s="46">
        <v>43358.438622685186</v>
      </c>
    </row>
    <row r="1744" spans="6:9" x14ac:dyDescent="0.25">
      <c r="F1744" s="67" t="s">
        <v>232</v>
      </c>
      <c r="G1744" s="24">
        <v>1</v>
      </c>
      <c r="H1744" s="24" t="s">
        <v>1328</v>
      </c>
      <c r="I1744" s="46">
        <v>43358.438356481478</v>
      </c>
    </row>
    <row r="1745" spans="6:9" x14ac:dyDescent="0.25">
      <c r="F1745" s="67" t="s">
        <v>175</v>
      </c>
      <c r="G1745" s="24">
        <v>1</v>
      </c>
      <c r="H1745" s="24" t="s">
        <v>1328</v>
      </c>
      <c r="I1745" s="46">
        <v>43358.438217592593</v>
      </c>
    </row>
    <row r="1746" spans="6:9" x14ac:dyDescent="0.25">
      <c r="F1746" s="67" t="s">
        <v>1214</v>
      </c>
      <c r="G1746" s="24">
        <v>1</v>
      </c>
      <c r="H1746" s="24" t="s">
        <v>1328</v>
      </c>
      <c r="I1746" s="46">
        <v>43358.438067129631</v>
      </c>
    </row>
    <row r="1747" spans="6:9" x14ac:dyDescent="0.25">
      <c r="F1747" s="67" t="s">
        <v>1385</v>
      </c>
      <c r="G1747" s="24">
        <v>1</v>
      </c>
      <c r="H1747" s="24" t="s">
        <v>1328</v>
      </c>
      <c r="I1747" s="46">
        <v>43358.4377662037</v>
      </c>
    </row>
    <row r="1748" spans="6:9" x14ac:dyDescent="0.25">
      <c r="F1748" s="67" t="s">
        <v>612</v>
      </c>
      <c r="G1748" s="24">
        <v>1</v>
      </c>
      <c r="H1748" s="24" t="s">
        <v>1328</v>
      </c>
      <c r="I1748" s="46">
        <v>43358.437418981484</v>
      </c>
    </row>
    <row r="1749" spans="6:9" x14ac:dyDescent="0.25">
      <c r="F1749" s="67" t="s">
        <v>140</v>
      </c>
      <c r="G1749" s="24">
        <v>1</v>
      </c>
      <c r="H1749" s="24" t="s">
        <v>1328</v>
      </c>
      <c r="I1749" s="46">
        <v>43358.437314814815</v>
      </c>
    </row>
    <row r="1750" spans="6:9" x14ac:dyDescent="0.25">
      <c r="F1750" s="67" t="s">
        <v>160</v>
      </c>
      <c r="G1750" s="24">
        <v>1</v>
      </c>
      <c r="H1750" s="24" t="s">
        <v>1328</v>
      </c>
      <c r="I1750" s="46">
        <v>43358.437037037038</v>
      </c>
    </row>
    <row r="1751" spans="6:9" x14ac:dyDescent="0.25">
      <c r="F1751" s="67" t="s">
        <v>1369</v>
      </c>
      <c r="G1751" s="24">
        <v>2</v>
      </c>
      <c r="H1751" s="24" t="s">
        <v>1328</v>
      </c>
      <c r="I1751" s="46">
        <v>43358.436909722222</v>
      </c>
    </row>
    <row r="1752" spans="6:9" x14ac:dyDescent="0.25">
      <c r="F1752" s="67" t="s">
        <v>170</v>
      </c>
      <c r="G1752" s="24">
        <v>1</v>
      </c>
      <c r="H1752" s="24" t="s">
        <v>1328</v>
      </c>
      <c r="I1752" s="46">
        <v>43358.436423611114</v>
      </c>
    </row>
    <row r="1753" spans="6:9" x14ac:dyDescent="0.25">
      <c r="F1753" s="67" t="s">
        <v>30</v>
      </c>
      <c r="G1753" s="24">
        <v>1</v>
      </c>
      <c r="H1753" s="24" t="s">
        <v>1328</v>
      </c>
      <c r="I1753" s="46">
        <v>43358.436157407406</v>
      </c>
    </row>
    <row r="1754" spans="6:9" x14ac:dyDescent="0.25">
      <c r="F1754" s="67" t="s">
        <v>29</v>
      </c>
      <c r="G1754" s="24">
        <v>4</v>
      </c>
      <c r="H1754" s="24" t="s">
        <v>1328</v>
      </c>
      <c r="I1754" s="46">
        <v>43358.436076388891</v>
      </c>
    </row>
    <row r="1755" spans="6:9" x14ac:dyDescent="0.25">
      <c r="F1755" s="67" t="s">
        <v>123</v>
      </c>
      <c r="G1755" s="24">
        <v>1</v>
      </c>
      <c r="H1755" s="24" t="s">
        <v>1328</v>
      </c>
      <c r="I1755" s="46">
        <v>43358.435833333337</v>
      </c>
    </row>
    <row r="1756" spans="6:9" x14ac:dyDescent="0.25">
      <c r="F1756" s="67" t="s">
        <v>355</v>
      </c>
      <c r="G1756" s="24">
        <v>4</v>
      </c>
      <c r="H1756" s="24" t="s">
        <v>1328</v>
      </c>
      <c r="I1756" s="46">
        <v>43358.435729166667</v>
      </c>
    </row>
    <row r="1757" spans="6:9" x14ac:dyDescent="0.25">
      <c r="F1757" s="67" t="s">
        <v>211</v>
      </c>
      <c r="G1757" s="24">
        <v>1</v>
      </c>
      <c r="H1757" s="24" t="s">
        <v>1328</v>
      </c>
      <c r="I1757" s="46">
        <v>43358.435648148145</v>
      </c>
    </row>
    <row r="1758" spans="6:9" x14ac:dyDescent="0.25">
      <c r="F1758" s="67" t="s">
        <v>23</v>
      </c>
      <c r="G1758" s="24">
        <v>1</v>
      </c>
      <c r="H1758" s="24" t="s">
        <v>1328</v>
      </c>
      <c r="I1758" s="46">
        <v>43358.435416666667</v>
      </c>
    </row>
    <row r="1759" spans="6:9" x14ac:dyDescent="0.25">
      <c r="F1759" s="67" t="s">
        <v>52</v>
      </c>
      <c r="G1759" s="24">
        <v>1</v>
      </c>
      <c r="H1759" s="24" t="s">
        <v>1328</v>
      </c>
      <c r="I1759" s="46">
        <v>43358.435219907406</v>
      </c>
    </row>
    <row r="1760" spans="6:9" x14ac:dyDescent="0.25">
      <c r="F1760" s="67" t="s">
        <v>53</v>
      </c>
      <c r="G1760" s="24">
        <v>2</v>
      </c>
      <c r="H1760" s="24" t="s">
        <v>1328</v>
      </c>
      <c r="I1760" s="46">
        <v>43358.435127314813</v>
      </c>
    </row>
    <row r="1761" spans="6:9" x14ac:dyDescent="0.25">
      <c r="F1761" s="67" t="s">
        <v>50</v>
      </c>
      <c r="G1761" s="24">
        <v>8</v>
      </c>
      <c r="H1761" s="24" t="s">
        <v>1328</v>
      </c>
      <c r="I1761" s="46">
        <v>43358.434907407405</v>
      </c>
    </row>
    <row r="1762" spans="6:9" x14ac:dyDescent="0.25">
      <c r="F1762" s="67" t="s">
        <v>146</v>
      </c>
      <c r="G1762" s="24">
        <v>2</v>
      </c>
      <c r="H1762" s="24" t="s">
        <v>1328</v>
      </c>
      <c r="I1762" s="46">
        <v>43358.43476851852</v>
      </c>
    </row>
    <row r="1763" spans="6:9" x14ac:dyDescent="0.25">
      <c r="F1763" s="67" t="s">
        <v>1571</v>
      </c>
      <c r="G1763" s="24">
        <v>1</v>
      </c>
      <c r="H1763" s="24" t="s">
        <v>1328</v>
      </c>
      <c r="I1763" s="46">
        <v>43358.434699074074</v>
      </c>
    </row>
    <row r="1764" spans="6:9" x14ac:dyDescent="0.25">
      <c r="F1764" s="67" t="s">
        <v>3</v>
      </c>
      <c r="G1764" s="24">
        <v>1</v>
      </c>
      <c r="H1764" s="24" t="s">
        <v>1328</v>
      </c>
      <c r="I1764" s="46">
        <v>43358.43408564815</v>
      </c>
    </row>
    <row r="1765" spans="6:9" x14ac:dyDescent="0.25">
      <c r="F1765" s="67" t="s">
        <v>155</v>
      </c>
      <c r="G1765" s="24">
        <v>1</v>
      </c>
      <c r="H1765" s="24" t="s">
        <v>1328</v>
      </c>
      <c r="I1765" s="46">
        <v>43358.434039351851</v>
      </c>
    </row>
    <row r="1766" spans="6:9" x14ac:dyDescent="0.25">
      <c r="F1766" s="67" t="s">
        <v>370</v>
      </c>
      <c r="G1766" s="24">
        <v>2</v>
      </c>
      <c r="H1766" s="24" t="s">
        <v>1328</v>
      </c>
      <c r="I1766" s="46">
        <v>43358.433761574073</v>
      </c>
    </row>
    <row r="1767" spans="6:9" x14ac:dyDescent="0.25">
      <c r="F1767" s="67" t="s">
        <v>21</v>
      </c>
      <c r="G1767" s="24">
        <v>1</v>
      </c>
      <c r="H1767" s="24" t="s">
        <v>1328</v>
      </c>
      <c r="I1767" s="46">
        <v>43358.433657407404</v>
      </c>
    </row>
    <row r="1768" spans="6:9" x14ac:dyDescent="0.25">
      <c r="F1768" s="67" t="s">
        <v>138</v>
      </c>
      <c r="G1768" s="24">
        <v>6</v>
      </c>
      <c r="H1768" s="24" t="s">
        <v>1328</v>
      </c>
      <c r="I1768" s="46">
        <v>43358.433391203704</v>
      </c>
    </row>
    <row r="1769" spans="6:9" x14ac:dyDescent="0.25">
      <c r="F1769" s="67" t="s">
        <v>149</v>
      </c>
      <c r="G1769" s="24">
        <v>3</v>
      </c>
      <c r="H1769" s="24" t="s">
        <v>1328</v>
      </c>
      <c r="I1769" s="46">
        <v>43358.433275462965</v>
      </c>
    </row>
    <row r="1770" spans="6:9" x14ac:dyDescent="0.25">
      <c r="F1770" s="67" t="s">
        <v>259</v>
      </c>
      <c r="G1770" s="24">
        <v>1</v>
      </c>
      <c r="H1770" s="24" t="s">
        <v>1328</v>
      </c>
      <c r="I1770" s="46">
        <v>43358.433136574073</v>
      </c>
    </row>
    <row r="1771" spans="6:9" x14ac:dyDescent="0.25">
      <c r="F1771" s="67" t="s">
        <v>258</v>
      </c>
      <c r="G1771" s="24">
        <v>3</v>
      </c>
      <c r="H1771" s="24" t="s">
        <v>1328</v>
      </c>
      <c r="I1771" s="46">
        <v>43358.432997685188</v>
      </c>
    </row>
    <row r="1772" spans="6:9" x14ac:dyDescent="0.25">
      <c r="F1772" s="67" t="s">
        <v>257</v>
      </c>
      <c r="G1772" s="24">
        <v>4</v>
      </c>
      <c r="H1772" s="24" t="s">
        <v>1328</v>
      </c>
      <c r="I1772" s="46">
        <v>43358.432627314818</v>
      </c>
    </row>
    <row r="1773" spans="6:9" x14ac:dyDescent="0.25">
      <c r="F1773" s="67" t="s">
        <v>21</v>
      </c>
      <c r="G1773" s="24">
        <v>38</v>
      </c>
      <c r="H1773" s="24" t="s">
        <v>1328</v>
      </c>
      <c r="I1773" s="46">
        <v>43358.432233796295</v>
      </c>
    </row>
    <row r="1774" spans="6:9" x14ac:dyDescent="0.25">
      <c r="F1774" s="67" t="s">
        <v>340</v>
      </c>
      <c r="G1774" s="24">
        <v>1</v>
      </c>
      <c r="H1774" s="24" t="s">
        <v>1328</v>
      </c>
      <c r="I1774" s="46">
        <v>43358.432141203702</v>
      </c>
    </row>
    <row r="1775" spans="6:9" x14ac:dyDescent="0.25">
      <c r="F1775" s="67" t="s">
        <v>127</v>
      </c>
      <c r="G1775" s="24">
        <v>3</v>
      </c>
      <c r="H1775" s="24" t="s">
        <v>1328</v>
      </c>
      <c r="I1775" s="46">
        <v>43358.432060185187</v>
      </c>
    </row>
    <row r="1776" spans="6:9" x14ac:dyDescent="0.25">
      <c r="F1776" s="67" t="s">
        <v>209</v>
      </c>
      <c r="G1776" s="24">
        <v>1</v>
      </c>
      <c r="H1776" s="24" t="s">
        <v>1328</v>
      </c>
      <c r="I1776" s="46">
        <v>43358.431990740741</v>
      </c>
    </row>
    <row r="1777" spans="6:9" x14ac:dyDescent="0.25">
      <c r="F1777" s="67" t="s">
        <v>184</v>
      </c>
      <c r="G1777" s="24">
        <v>1</v>
      </c>
      <c r="H1777" s="24" t="s">
        <v>1328</v>
      </c>
      <c r="I1777" s="46">
        <v>43358.431574074071</v>
      </c>
    </row>
    <row r="1778" spans="6:9" x14ac:dyDescent="0.25">
      <c r="F1778" s="67" t="s">
        <v>369</v>
      </c>
      <c r="G1778" s="24">
        <v>3</v>
      </c>
      <c r="H1778" s="24" t="s">
        <v>1328</v>
      </c>
      <c r="I1778" s="46">
        <v>43358.431192129632</v>
      </c>
    </row>
    <row r="1779" spans="6:9" x14ac:dyDescent="0.25">
      <c r="F1779" s="67" t="s">
        <v>42</v>
      </c>
      <c r="G1779" s="24">
        <v>1</v>
      </c>
      <c r="H1779" s="24" t="s">
        <v>1328</v>
      </c>
      <c r="I1779" s="46">
        <v>43358.430821759262</v>
      </c>
    </row>
    <row r="1780" spans="6:9" x14ac:dyDescent="0.25">
      <c r="F1780" s="67" t="s">
        <v>40</v>
      </c>
      <c r="G1780" s="24">
        <v>2</v>
      </c>
      <c r="H1780" s="24" t="s">
        <v>1328</v>
      </c>
      <c r="I1780" s="46">
        <v>43358.430659722224</v>
      </c>
    </row>
    <row r="1781" spans="6:9" x14ac:dyDescent="0.25">
      <c r="F1781" s="67" t="s">
        <v>46</v>
      </c>
      <c r="G1781" s="24">
        <v>1</v>
      </c>
      <c r="H1781" s="24" t="s">
        <v>1328</v>
      </c>
      <c r="I1781" s="46">
        <v>43358.430462962962</v>
      </c>
    </row>
    <row r="1782" spans="6:9" x14ac:dyDescent="0.25">
      <c r="F1782" s="67" t="s">
        <v>1359</v>
      </c>
      <c r="G1782" s="24">
        <v>1</v>
      </c>
      <c r="H1782" s="24" t="s">
        <v>1328</v>
      </c>
      <c r="I1782" s="46">
        <v>43358.430347222224</v>
      </c>
    </row>
    <row r="1783" spans="6:9" x14ac:dyDescent="0.25">
      <c r="F1783" s="67" t="s">
        <v>261</v>
      </c>
      <c r="G1783" s="24">
        <v>1</v>
      </c>
      <c r="H1783" s="24" t="s">
        <v>1328</v>
      </c>
      <c r="I1783" s="46">
        <v>43358.429976851854</v>
      </c>
    </row>
    <row r="1784" spans="6:9" x14ac:dyDescent="0.25">
      <c r="F1784" s="67" t="s">
        <v>144</v>
      </c>
      <c r="G1784" s="24">
        <v>1</v>
      </c>
      <c r="H1784" s="24" t="s">
        <v>1328</v>
      </c>
      <c r="I1784" s="46">
        <v>43358.4296412037</v>
      </c>
    </row>
    <row r="1785" spans="6:9" x14ac:dyDescent="0.25">
      <c r="F1785" s="67" t="s">
        <v>144</v>
      </c>
      <c r="G1785" s="24">
        <v>5</v>
      </c>
      <c r="H1785" s="24" t="s">
        <v>1328</v>
      </c>
      <c r="I1785" s="46">
        <v>43358.429270833331</v>
      </c>
    </row>
    <row r="1786" spans="6:9" x14ac:dyDescent="0.25">
      <c r="F1786" s="67" t="s">
        <v>39</v>
      </c>
      <c r="G1786" s="24">
        <v>14</v>
      </c>
      <c r="H1786" s="24" t="s">
        <v>1328</v>
      </c>
      <c r="I1786" s="46">
        <v>43358.429120370369</v>
      </c>
    </row>
    <row r="1787" spans="6:9" x14ac:dyDescent="0.25">
      <c r="F1787" s="67" t="s">
        <v>141</v>
      </c>
      <c r="G1787" s="24">
        <v>1</v>
      </c>
      <c r="H1787" s="24" t="s">
        <v>1328</v>
      </c>
      <c r="I1787" s="46">
        <v>43358.428784722222</v>
      </c>
    </row>
    <row r="1788" spans="6:9" x14ac:dyDescent="0.25">
      <c r="F1788" s="67" t="s">
        <v>140</v>
      </c>
      <c r="G1788" s="24">
        <v>3</v>
      </c>
      <c r="H1788" s="24" t="s">
        <v>1328</v>
      </c>
      <c r="I1788" s="46">
        <v>43358.428576388891</v>
      </c>
    </row>
    <row r="1789" spans="6:9" x14ac:dyDescent="0.25">
      <c r="F1789" s="67" t="s">
        <v>121</v>
      </c>
      <c r="G1789" s="24">
        <v>28</v>
      </c>
      <c r="H1789" s="24" t="s">
        <v>1328</v>
      </c>
      <c r="I1789" s="46">
        <v>43358.428506944445</v>
      </c>
    </row>
    <row r="1790" spans="6:9" x14ac:dyDescent="0.25">
      <c r="F1790" s="67" t="s">
        <v>149</v>
      </c>
      <c r="G1790" s="24">
        <v>35</v>
      </c>
      <c r="H1790" s="24" t="s">
        <v>1328</v>
      </c>
      <c r="I1790" s="46">
        <v>43358.428449074076</v>
      </c>
    </row>
    <row r="1791" spans="6:9" x14ac:dyDescent="0.25">
      <c r="F1791" s="67" t="s">
        <v>56</v>
      </c>
      <c r="G1791" s="24">
        <v>1</v>
      </c>
      <c r="H1791" s="24" t="s">
        <v>1328</v>
      </c>
      <c r="I1791" s="46">
        <v>43358.428159722222</v>
      </c>
    </row>
    <row r="1792" spans="6:9" x14ac:dyDescent="0.25">
      <c r="F1792" s="67" t="s">
        <v>58</v>
      </c>
      <c r="G1792" s="24">
        <v>24</v>
      </c>
      <c r="H1792" s="24" t="s">
        <v>1328</v>
      </c>
      <c r="I1792" s="46">
        <v>43358.428090277775</v>
      </c>
    </row>
    <row r="1793" spans="6:9" x14ac:dyDescent="0.25">
      <c r="F1793" s="67" t="s">
        <v>59</v>
      </c>
      <c r="G1793" s="24">
        <v>20</v>
      </c>
      <c r="H1793" s="24" t="s">
        <v>1328</v>
      </c>
      <c r="I1793" s="46">
        <v>43358.427986111114</v>
      </c>
    </row>
    <row r="1794" spans="6:9" x14ac:dyDescent="0.25">
      <c r="F1794" s="67" t="s">
        <v>21</v>
      </c>
      <c r="G1794" s="24">
        <v>7</v>
      </c>
      <c r="H1794" s="24" t="s">
        <v>1328</v>
      </c>
      <c r="I1794" s="46">
        <v>43358.427881944444</v>
      </c>
    </row>
    <row r="1795" spans="6:9" x14ac:dyDescent="0.25">
      <c r="F1795" s="67" t="s">
        <v>1572</v>
      </c>
      <c r="G1795" s="24">
        <v>1</v>
      </c>
      <c r="H1795" s="24" t="s">
        <v>1328</v>
      </c>
      <c r="I1795" s="46">
        <v>43358.427800925929</v>
      </c>
    </row>
    <row r="1796" spans="6:9" x14ac:dyDescent="0.25">
      <c r="F1796" s="67" t="s">
        <v>62</v>
      </c>
      <c r="G1796" s="24">
        <v>4</v>
      </c>
      <c r="H1796" s="24" t="s">
        <v>1328</v>
      </c>
      <c r="I1796" s="46">
        <v>43358.427303240744</v>
      </c>
    </row>
    <row r="1797" spans="6:9" x14ac:dyDescent="0.25">
      <c r="F1797" s="67" t="s">
        <v>349</v>
      </c>
      <c r="G1797" s="24">
        <v>7</v>
      </c>
      <c r="H1797" s="24" t="s">
        <v>1328</v>
      </c>
      <c r="I1797" s="46">
        <v>43358.427060185182</v>
      </c>
    </row>
    <row r="1798" spans="6:9" x14ac:dyDescent="0.25">
      <c r="F1798" s="67" t="s">
        <v>66</v>
      </c>
      <c r="G1798" s="24">
        <v>1</v>
      </c>
      <c r="H1798" s="24" t="s">
        <v>1328</v>
      </c>
      <c r="I1798" s="46">
        <v>43358.426793981482</v>
      </c>
    </row>
    <row r="1799" spans="6:9" x14ac:dyDescent="0.25">
      <c r="F1799" s="67" t="s">
        <v>149</v>
      </c>
      <c r="G1799" s="24">
        <v>14</v>
      </c>
      <c r="H1799" s="24" t="s">
        <v>1328</v>
      </c>
      <c r="I1799" s="46">
        <v>43358.426296296297</v>
      </c>
    </row>
    <row r="1800" spans="6:9" x14ac:dyDescent="0.25">
      <c r="F1800" s="67" t="s">
        <v>146</v>
      </c>
      <c r="G1800" s="24">
        <v>1</v>
      </c>
      <c r="H1800" s="24" t="s">
        <v>1328</v>
      </c>
      <c r="I1800" s="46">
        <v>43358.426064814812</v>
      </c>
    </row>
    <row r="1801" spans="6:9" x14ac:dyDescent="0.25">
      <c r="F1801" s="67" t="s">
        <v>118</v>
      </c>
      <c r="G1801" s="24">
        <v>2</v>
      </c>
      <c r="H1801" s="24" t="s">
        <v>1328</v>
      </c>
      <c r="I1801" s="46">
        <v>43358.42597222222</v>
      </c>
    </row>
    <row r="1802" spans="6:9" x14ac:dyDescent="0.25">
      <c r="F1802" s="67" t="s">
        <v>120</v>
      </c>
      <c r="G1802" s="24">
        <v>1</v>
      </c>
      <c r="H1802" s="24" t="s">
        <v>1328</v>
      </c>
      <c r="I1802" s="46">
        <v>43358.425902777781</v>
      </c>
    </row>
    <row r="1803" spans="6:9" x14ac:dyDescent="0.25">
      <c r="F1803" s="67" t="s">
        <v>336</v>
      </c>
      <c r="G1803" s="24">
        <v>1</v>
      </c>
      <c r="H1803" s="24" t="s">
        <v>1328</v>
      </c>
      <c r="I1803" s="46">
        <v>43358.425613425927</v>
      </c>
    </row>
    <row r="1804" spans="6:9" x14ac:dyDescent="0.25">
      <c r="F1804" s="67" t="s">
        <v>340</v>
      </c>
      <c r="G1804" s="24">
        <v>4</v>
      </c>
      <c r="H1804" s="24" t="s">
        <v>1328</v>
      </c>
      <c r="I1804" s="46">
        <v>43358.425104166665</v>
      </c>
    </row>
    <row r="1805" spans="6:9" x14ac:dyDescent="0.25">
      <c r="F1805" s="67" t="s">
        <v>160</v>
      </c>
      <c r="G1805" s="24">
        <v>4</v>
      </c>
      <c r="H1805" s="24" t="s">
        <v>1328</v>
      </c>
      <c r="I1805" s="46">
        <v>43358.424953703703</v>
      </c>
    </row>
    <row r="1806" spans="6:9" x14ac:dyDescent="0.25">
      <c r="F1806" s="67" t="s">
        <v>121</v>
      </c>
      <c r="G1806" s="24">
        <v>6</v>
      </c>
      <c r="H1806" s="24" t="s">
        <v>1328</v>
      </c>
      <c r="I1806" s="46">
        <v>43358.424884259257</v>
      </c>
    </row>
    <row r="1807" spans="6:9" x14ac:dyDescent="0.25">
      <c r="F1807" s="67" t="s">
        <v>149</v>
      </c>
      <c r="G1807" s="24">
        <v>30</v>
      </c>
      <c r="H1807" s="24" t="s">
        <v>1328</v>
      </c>
      <c r="I1807" s="46">
        <v>43358.424814814818</v>
      </c>
    </row>
    <row r="1808" spans="6:9" x14ac:dyDescent="0.25">
      <c r="F1808" s="67" t="s">
        <v>186</v>
      </c>
      <c r="G1808" s="24">
        <v>5</v>
      </c>
      <c r="H1808" s="24" t="s">
        <v>1328</v>
      </c>
      <c r="I1808" s="46">
        <v>43358.424583333333</v>
      </c>
    </row>
    <row r="1809" spans="6:9" x14ac:dyDescent="0.25">
      <c r="F1809" s="67" t="s">
        <v>2</v>
      </c>
      <c r="G1809" s="24">
        <v>7</v>
      </c>
      <c r="H1809" s="24" t="s">
        <v>1328</v>
      </c>
      <c r="I1809" s="46">
        <v>43358.42428240741</v>
      </c>
    </row>
    <row r="1810" spans="6:9" x14ac:dyDescent="0.25">
      <c r="F1810" s="67" t="s">
        <v>149</v>
      </c>
      <c r="G1810" s="24">
        <v>20</v>
      </c>
      <c r="H1810" s="24" t="s">
        <v>1328</v>
      </c>
      <c r="I1810" s="46">
        <v>43358.424131944441</v>
      </c>
    </row>
    <row r="1811" spans="6:9" x14ac:dyDescent="0.25">
      <c r="F1811" s="67" t="s">
        <v>349</v>
      </c>
      <c r="G1811" s="24">
        <v>47</v>
      </c>
      <c r="H1811" s="24" t="s">
        <v>1328</v>
      </c>
      <c r="I1811" s="46">
        <v>43358.423842592594</v>
      </c>
    </row>
    <row r="1812" spans="6:9" x14ac:dyDescent="0.25">
      <c r="F1812" s="67" t="s">
        <v>11</v>
      </c>
      <c r="G1812" s="24">
        <v>7</v>
      </c>
      <c r="H1812" s="24" t="s">
        <v>1328</v>
      </c>
      <c r="I1812" s="46">
        <v>43358.423680555556</v>
      </c>
    </row>
    <row r="1813" spans="6:9" x14ac:dyDescent="0.25">
      <c r="F1813" s="67" t="s">
        <v>349</v>
      </c>
      <c r="G1813" s="24">
        <v>80</v>
      </c>
      <c r="H1813" s="24" t="s">
        <v>1328</v>
      </c>
      <c r="I1813" s="46">
        <v>43358.423518518517</v>
      </c>
    </row>
    <row r="1814" spans="6:9" x14ac:dyDescent="0.25">
      <c r="F1814" s="67" t="s">
        <v>11</v>
      </c>
      <c r="G1814" s="24">
        <v>6</v>
      </c>
      <c r="H1814" s="24" t="s">
        <v>1328</v>
      </c>
      <c r="I1814" s="46">
        <v>43358.423379629632</v>
      </c>
    </row>
    <row r="1815" spans="6:9" x14ac:dyDescent="0.25">
      <c r="F1815" s="67" t="s">
        <v>123</v>
      </c>
      <c r="G1815" s="24">
        <v>3</v>
      </c>
      <c r="H1815" s="24" t="s">
        <v>1328</v>
      </c>
      <c r="I1815" s="46">
        <v>43358.42328703704</v>
      </c>
    </row>
    <row r="1816" spans="6:9" x14ac:dyDescent="0.25">
      <c r="F1816" s="67" t="s">
        <v>2</v>
      </c>
      <c r="G1816" s="24">
        <v>6</v>
      </c>
      <c r="H1816" s="24" t="s">
        <v>1328</v>
      </c>
      <c r="I1816" s="46">
        <v>43358.423229166663</v>
      </c>
    </row>
    <row r="1817" spans="6:9" x14ac:dyDescent="0.25">
      <c r="F1817" s="67" t="s">
        <v>3</v>
      </c>
      <c r="G1817" s="24">
        <v>6</v>
      </c>
      <c r="H1817" s="24" t="s">
        <v>1328</v>
      </c>
      <c r="I1817" s="46">
        <v>43358.423032407409</v>
      </c>
    </row>
    <row r="1818" spans="6:9" x14ac:dyDescent="0.25">
      <c r="F1818" s="67" t="s">
        <v>149</v>
      </c>
      <c r="G1818" s="24">
        <v>7</v>
      </c>
      <c r="H1818" s="24" t="s">
        <v>1328</v>
      </c>
      <c r="I1818" s="46">
        <v>43358.422800925924</v>
      </c>
    </row>
    <row r="1819" spans="6:9" x14ac:dyDescent="0.25">
      <c r="F1819" s="67" t="s">
        <v>11</v>
      </c>
      <c r="G1819" s="24">
        <v>17</v>
      </c>
      <c r="H1819" s="24" t="s">
        <v>1328</v>
      </c>
      <c r="I1819" s="46">
        <v>43358.422754629632</v>
      </c>
    </row>
    <row r="1820" spans="6:9" x14ac:dyDescent="0.25">
      <c r="F1820" s="67" t="s">
        <v>11</v>
      </c>
      <c r="G1820" s="24">
        <v>6</v>
      </c>
      <c r="H1820" s="24" t="s">
        <v>1328</v>
      </c>
      <c r="I1820" s="46">
        <v>43358.422407407408</v>
      </c>
    </row>
    <row r="1821" spans="6:9" x14ac:dyDescent="0.25">
      <c r="F1821" s="67" t="s">
        <v>4</v>
      </c>
      <c r="G1821" s="24">
        <v>2</v>
      </c>
      <c r="H1821" s="24" t="s">
        <v>1328</v>
      </c>
      <c r="I1821" s="46">
        <v>43358.422337962962</v>
      </c>
    </row>
    <row r="1822" spans="6:9" x14ac:dyDescent="0.25">
      <c r="F1822" s="67" t="s">
        <v>146</v>
      </c>
      <c r="G1822" s="24">
        <v>12</v>
      </c>
      <c r="H1822" s="24" t="s">
        <v>1328</v>
      </c>
      <c r="I1822" s="46">
        <v>43358.422002314815</v>
      </c>
    </row>
    <row r="1823" spans="6:9" x14ac:dyDescent="0.25">
      <c r="F1823" s="67" t="s">
        <v>11</v>
      </c>
      <c r="G1823" s="24">
        <v>9</v>
      </c>
      <c r="H1823" s="24" t="s">
        <v>1328</v>
      </c>
      <c r="I1823" s="46">
        <v>43358.421863425923</v>
      </c>
    </row>
    <row r="1824" spans="6:9" x14ac:dyDescent="0.25">
      <c r="F1824" s="67" t="s">
        <v>2</v>
      </c>
      <c r="G1824" s="24">
        <v>8</v>
      </c>
      <c r="H1824" s="24" t="s">
        <v>1328</v>
      </c>
      <c r="I1824" s="46">
        <v>43358.421747685185</v>
      </c>
    </row>
    <row r="1825" spans="6:9" x14ac:dyDescent="0.25">
      <c r="F1825" s="67" t="s">
        <v>4</v>
      </c>
      <c r="G1825" s="24">
        <v>3</v>
      </c>
      <c r="H1825" s="24" t="s">
        <v>1328</v>
      </c>
      <c r="I1825" s="46">
        <v>43358.421273148146</v>
      </c>
    </row>
    <row r="1826" spans="6:9" x14ac:dyDescent="0.25">
      <c r="F1826" s="67" t="s">
        <v>11</v>
      </c>
      <c r="G1826" s="24">
        <v>14</v>
      </c>
      <c r="H1826" s="24" t="s">
        <v>1328</v>
      </c>
      <c r="I1826" s="46">
        <v>43358.42119212963</v>
      </c>
    </row>
    <row r="1827" spans="6:9" x14ac:dyDescent="0.25">
      <c r="F1827" s="67" t="s">
        <v>4</v>
      </c>
      <c r="G1827" s="24">
        <v>4</v>
      </c>
      <c r="H1827" s="24" t="s">
        <v>1328</v>
      </c>
      <c r="I1827" s="46">
        <v>43358.420775462961</v>
      </c>
    </row>
    <row r="1828" spans="6:9" x14ac:dyDescent="0.25">
      <c r="F1828" s="67" t="s">
        <v>4</v>
      </c>
      <c r="G1828" s="24">
        <v>3</v>
      </c>
      <c r="H1828" s="24" t="s">
        <v>1328</v>
      </c>
      <c r="I1828" s="46">
        <v>43358.420439814814</v>
      </c>
    </row>
    <row r="1829" spans="6:9" x14ac:dyDescent="0.25">
      <c r="F1829" s="67" t="s">
        <v>4</v>
      </c>
      <c r="G1829" s="24">
        <v>3</v>
      </c>
      <c r="H1829" s="24" t="s">
        <v>1328</v>
      </c>
      <c r="I1829" s="46">
        <v>43358.420347222222</v>
      </c>
    </row>
    <row r="1830" spans="6:9" x14ac:dyDescent="0.25">
      <c r="F1830" s="67" t="s">
        <v>4</v>
      </c>
      <c r="G1830" s="24">
        <v>3</v>
      </c>
      <c r="H1830" s="24" t="s">
        <v>1328</v>
      </c>
      <c r="I1830" s="46">
        <v>43358.420254629629</v>
      </c>
    </row>
    <row r="1831" spans="6:9" x14ac:dyDescent="0.25">
      <c r="F1831" s="67" t="s">
        <v>11</v>
      </c>
      <c r="G1831" s="24">
        <v>6</v>
      </c>
      <c r="H1831" s="24" t="s">
        <v>1328</v>
      </c>
      <c r="I1831" s="46">
        <v>43358.420185185183</v>
      </c>
    </row>
    <row r="1832" spans="6:9" x14ac:dyDescent="0.25">
      <c r="F1832" s="67" t="s">
        <v>11</v>
      </c>
      <c r="G1832" s="24">
        <v>11</v>
      </c>
      <c r="H1832" s="24" t="s">
        <v>1328</v>
      </c>
      <c r="I1832" s="46">
        <v>43358.420092592591</v>
      </c>
    </row>
    <row r="1833" spans="6:9" x14ac:dyDescent="0.25">
      <c r="F1833" s="67" t="s">
        <v>4</v>
      </c>
      <c r="G1833" s="24">
        <v>3</v>
      </c>
      <c r="H1833" s="24" t="s">
        <v>1328</v>
      </c>
      <c r="I1833" s="46">
        <v>43358.419791666667</v>
      </c>
    </row>
    <row r="1834" spans="6:9" x14ac:dyDescent="0.25">
      <c r="F1834" s="67" t="s">
        <v>4</v>
      </c>
      <c r="G1834" s="24">
        <v>3</v>
      </c>
      <c r="H1834" s="24" t="s">
        <v>1328</v>
      </c>
      <c r="I1834" s="46">
        <v>43358.419571759259</v>
      </c>
    </row>
    <row r="1835" spans="6:9" x14ac:dyDescent="0.25">
      <c r="F1835" s="67" t="s">
        <v>4</v>
      </c>
      <c r="G1835" s="24">
        <v>3</v>
      </c>
      <c r="H1835" s="24" t="s">
        <v>1328</v>
      </c>
      <c r="I1835" s="46">
        <v>43358.419502314813</v>
      </c>
    </row>
    <row r="1836" spans="6:9" x14ac:dyDescent="0.25">
      <c r="F1836" s="67" t="s">
        <v>11</v>
      </c>
      <c r="G1836" s="24">
        <v>9</v>
      </c>
      <c r="H1836" s="24" t="s">
        <v>1328</v>
      </c>
      <c r="I1836" s="46">
        <v>43358.419398148151</v>
      </c>
    </row>
    <row r="1837" spans="6:9" x14ac:dyDescent="0.25">
      <c r="F1837" s="67" t="s">
        <v>4</v>
      </c>
      <c r="G1837" s="24">
        <v>3</v>
      </c>
      <c r="H1837" s="24" t="s">
        <v>1328</v>
      </c>
      <c r="I1837" s="46">
        <v>43358.419340277775</v>
      </c>
    </row>
    <row r="1838" spans="6:9" x14ac:dyDescent="0.25">
      <c r="F1838" s="67" t="s">
        <v>2</v>
      </c>
      <c r="G1838" s="24">
        <v>7</v>
      </c>
      <c r="H1838" s="24" t="s">
        <v>1328</v>
      </c>
      <c r="I1838" s="46">
        <v>43358.419247685182</v>
      </c>
    </row>
    <row r="1839" spans="6:9" x14ac:dyDescent="0.25">
      <c r="F1839" s="67" t="s">
        <v>155</v>
      </c>
      <c r="G1839" s="24">
        <v>28</v>
      </c>
      <c r="H1839" s="24" t="s">
        <v>1328</v>
      </c>
      <c r="I1839" s="46">
        <v>43358.418912037036</v>
      </c>
    </row>
    <row r="1840" spans="6:9" x14ac:dyDescent="0.25">
      <c r="F1840" s="67" t="s">
        <v>11</v>
      </c>
      <c r="G1840" s="24">
        <v>7</v>
      </c>
      <c r="H1840" s="24" t="s">
        <v>1328</v>
      </c>
      <c r="I1840" s="46">
        <v>43358.418807870374</v>
      </c>
    </row>
    <row r="1841" spans="6:9" x14ac:dyDescent="0.25">
      <c r="F1841" s="67" t="s">
        <v>11</v>
      </c>
      <c r="G1841" s="24">
        <v>6</v>
      </c>
      <c r="H1841" s="24" t="s">
        <v>1328</v>
      </c>
      <c r="I1841" s="46">
        <v>43358.418414351851</v>
      </c>
    </row>
    <row r="1842" spans="6:9" x14ac:dyDescent="0.25">
      <c r="F1842" s="67" t="s">
        <v>11</v>
      </c>
      <c r="G1842" s="24">
        <v>11</v>
      </c>
      <c r="H1842" s="24" t="s">
        <v>1328</v>
      </c>
      <c r="I1842" s="46">
        <v>43358.418229166666</v>
      </c>
    </row>
    <row r="1843" spans="6:9" x14ac:dyDescent="0.25">
      <c r="F1843" s="67" t="s">
        <v>11</v>
      </c>
      <c r="G1843" s="24">
        <v>9</v>
      </c>
      <c r="H1843" s="24" t="s">
        <v>1328</v>
      </c>
      <c r="I1843" s="46">
        <v>43358.417326388888</v>
      </c>
    </row>
    <row r="1844" spans="6:9" x14ac:dyDescent="0.25">
      <c r="F1844" s="67" t="s">
        <v>149</v>
      </c>
      <c r="G1844" s="24">
        <v>5</v>
      </c>
      <c r="H1844" s="24" t="s">
        <v>1328</v>
      </c>
      <c r="I1844" s="46">
        <v>43358.416909722226</v>
      </c>
    </row>
    <row r="1845" spans="6:9" x14ac:dyDescent="0.25">
      <c r="F1845" s="67" t="s">
        <v>11</v>
      </c>
      <c r="G1845" s="24">
        <v>5</v>
      </c>
      <c r="H1845" s="24" t="s">
        <v>1328</v>
      </c>
      <c r="I1845" s="46">
        <v>43358.41678240741</v>
      </c>
    </row>
    <row r="1846" spans="6:9" x14ac:dyDescent="0.25">
      <c r="F1846" s="67" t="s">
        <v>11</v>
      </c>
      <c r="G1846" s="24">
        <v>9</v>
      </c>
      <c r="H1846" s="24" t="s">
        <v>1328</v>
      </c>
      <c r="I1846" s="46">
        <v>43358.416226851848</v>
      </c>
    </row>
    <row r="1847" spans="6:9" x14ac:dyDescent="0.25">
      <c r="F1847" s="67" t="s">
        <v>39</v>
      </c>
      <c r="G1847" s="24">
        <v>3</v>
      </c>
      <c r="H1847" s="24" t="s">
        <v>1328</v>
      </c>
      <c r="I1847" s="46">
        <v>43358.40079861111</v>
      </c>
    </row>
    <row r="1848" spans="6:9" x14ac:dyDescent="0.25">
      <c r="F1848" s="67" t="s">
        <v>1380</v>
      </c>
      <c r="G1848" s="24">
        <v>13</v>
      </c>
      <c r="H1848" s="24" t="s">
        <v>1328</v>
      </c>
      <c r="I1848" s="46">
        <v>43358.400671296295</v>
      </c>
    </row>
    <row r="1849" spans="6:9" x14ac:dyDescent="0.25">
      <c r="F1849" s="67" t="s">
        <v>52</v>
      </c>
      <c r="G1849" s="24">
        <v>1</v>
      </c>
      <c r="H1849" s="24" t="s">
        <v>1328</v>
      </c>
      <c r="I1849" s="46">
        <v>43358.399861111109</v>
      </c>
    </row>
    <row r="1850" spans="6:9" x14ac:dyDescent="0.25">
      <c r="F1850" s="67" t="s">
        <v>50</v>
      </c>
      <c r="G1850" s="24">
        <v>1</v>
      </c>
      <c r="H1850" s="24" t="s">
        <v>1328</v>
      </c>
      <c r="I1850" s="46">
        <v>43358.399780092594</v>
      </c>
    </row>
    <row r="1851" spans="6:9" x14ac:dyDescent="0.25">
      <c r="F1851" s="67" t="s">
        <v>170</v>
      </c>
      <c r="G1851" s="24">
        <v>1</v>
      </c>
      <c r="H1851" s="24" t="s">
        <v>1328</v>
      </c>
      <c r="I1851" s="46">
        <v>43358.39949074074</v>
      </c>
    </row>
    <row r="1852" spans="6:9" x14ac:dyDescent="0.25">
      <c r="F1852" s="67" t="s">
        <v>1333</v>
      </c>
      <c r="G1852" s="24">
        <v>1</v>
      </c>
      <c r="H1852" s="24" t="s">
        <v>1328</v>
      </c>
      <c r="I1852" s="46">
        <v>43358.399282407408</v>
      </c>
    </row>
    <row r="1853" spans="6:9" x14ac:dyDescent="0.25">
      <c r="F1853" s="67" t="s">
        <v>146</v>
      </c>
      <c r="G1853" s="24">
        <v>3</v>
      </c>
      <c r="H1853" s="24" t="s">
        <v>1328</v>
      </c>
      <c r="I1853" s="46">
        <v>43358.398923611108</v>
      </c>
    </row>
    <row r="1854" spans="6:9" x14ac:dyDescent="0.25">
      <c r="F1854" s="67" t="s">
        <v>21</v>
      </c>
      <c r="G1854" s="24">
        <v>1</v>
      </c>
      <c r="H1854" s="24" t="s">
        <v>1328</v>
      </c>
      <c r="I1854" s="46">
        <v>43358.398761574077</v>
      </c>
    </row>
    <row r="1855" spans="6:9" x14ac:dyDescent="0.25">
      <c r="F1855" s="67" t="s">
        <v>182</v>
      </c>
      <c r="G1855" s="24">
        <v>3</v>
      </c>
      <c r="H1855" s="24" t="s">
        <v>1328</v>
      </c>
      <c r="I1855" s="46">
        <v>43358.398414351854</v>
      </c>
    </row>
    <row r="1856" spans="6:9" x14ac:dyDescent="0.25">
      <c r="F1856" s="67" t="s">
        <v>155</v>
      </c>
      <c r="G1856" s="24">
        <v>1</v>
      </c>
      <c r="H1856" s="24" t="s">
        <v>1328</v>
      </c>
      <c r="I1856" s="46">
        <v>43358.398206018515</v>
      </c>
    </row>
    <row r="1857" spans="6:9" x14ac:dyDescent="0.25">
      <c r="F1857" s="67" t="s">
        <v>1573</v>
      </c>
      <c r="G1857" s="24">
        <v>2</v>
      </c>
      <c r="H1857" s="24" t="s">
        <v>1328</v>
      </c>
      <c r="I1857" s="46">
        <v>43358.398078703707</v>
      </c>
    </row>
    <row r="1858" spans="6:9" x14ac:dyDescent="0.25">
      <c r="F1858" s="67" t="s">
        <v>121</v>
      </c>
      <c r="G1858" s="24">
        <v>5</v>
      </c>
      <c r="H1858" s="24" t="s">
        <v>1328</v>
      </c>
      <c r="I1858" s="46">
        <v>43358.397314814814</v>
      </c>
    </row>
    <row r="1859" spans="6:9" x14ac:dyDescent="0.25">
      <c r="F1859" s="67" t="s">
        <v>123</v>
      </c>
      <c r="G1859" s="24">
        <v>1</v>
      </c>
      <c r="H1859" s="24" t="s">
        <v>1328</v>
      </c>
      <c r="I1859" s="46">
        <v>43358.397210648145</v>
      </c>
    </row>
    <row r="1860" spans="6:9" x14ac:dyDescent="0.25">
      <c r="F1860" s="67" t="s">
        <v>140</v>
      </c>
      <c r="G1860" s="24">
        <v>1</v>
      </c>
      <c r="H1860" s="24" t="s">
        <v>1328</v>
      </c>
      <c r="I1860" s="46">
        <v>43358.397129629629</v>
      </c>
    </row>
    <row r="1861" spans="6:9" x14ac:dyDescent="0.25">
      <c r="F1861" s="67" t="s">
        <v>2</v>
      </c>
      <c r="G1861" s="24">
        <v>1</v>
      </c>
      <c r="H1861" s="24" t="s">
        <v>1328</v>
      </c>
      <c r="I1861" s="46">
        <v>43358.397013888891</v>
      </c>
    </row>
    <row r="1862" spans="6:9" x14ac:dyDescent="0.25">
      <c r="F1862" s="67" t="s">
        <v>149</v>
      </c>
      <c r="G1862" s="24">
        <v>16</v>
      </c>
      <c r="H1862" s="24" t="s">
        <v>1328</v>
      </c>
      <c r="I1862" s="46">
        <v>43358.396909722222</v>
      </c>
    </row>
    <row r="1863" spans="6:9" x14ac:dyDescent="0.25">
      <c r="F1863" s="67" t="s">
        <v>149</v>
      </c>
      <c r="G1863" s="24">
        <v>2</v>
      </c>
      <c r="H1863" s="24" t="s">
        <v>1328</v>
      </c>
      <c r="I1863" s="46">
        <v>43358.396539351852</v>
      </c>
    </row>
    <row r="1864" spans="6:9" x14ac:dyDescent="0.25">
      <c r="F1864" s="67" t="s">
        <v>149</v>
      </c>
      <c r="G1864" s="24">
        <v>4</v>
      </c>
      <c r="H1864" s="24" t="s">
        <v>1328</v>
      </c>
      <c r="I1864" s="46">
        <v>43358.396423611113</v>
      </c>
    </row>
    <row r="1865" spans="6:9" x14ac:dyDescent="0.25">
      <c r="F1865" s="67" t="s">
        <v>3</v>
      </c>
      <c r="G1865" s="24">
        <v>3</v>
      </c>
      <c r="H1865" s="24" t="s">
        <v>1328</v>
      </c>
      <c r="I1865" s="46">
        <v>43358.39603009259</v>
      </c>
    </row>
    <row r="1866" spans="6:9" x14ac:dyDescent="0.25">
      <c r="F1866" s="67" t="s">
        <v>4</v>
      </c>
      <c r="G1866" s="24">
        <v>2</v>
      </c>
      <c r="H1866" s="24" t="s">
        <v>1328</v>
      </c>
      <c r="I1866" s="46">
        <v>43358.395879629628</v>
      </c>
    </row>
    <row r="1867" spans="6:9" x14ac:dyDescent="0.25">
      <c r="F1867" s="67" t="s">
        <v>12</v>
      </c>
      <c r="G1867" s="24">
        <v>1</v>
      </c>
      <c r="H1867" s="24" t="s">
        <v>1328</v>
      </c>
      <c r="I1867" s="46">
        <v>43358.393078703702</v>
      </c>
    </row>
    <row r="1868" spans="6:9" x14ac:dyDescent="0.25">
      <c r="F1868" s="67" t="s">
        <v>11</v>
      </c>
      <c r="G1868" s="24">
        <v>14</v>
      </c>
      <c r="H1868" s="24" t="s">
        <v>1328</v>
      </c>
      <c r="I1868" s="46">
        <v>43358.392372685186</v>
      </c>
    </row>
  </sheetData>
  <mergeCells count="4">
    <mergeCell ref="A3:B3"/>
    <mergeCell ref="A6:B6"/>
    <mergeCell ref="A9:B9"/>
    <mergeCell ref="E1:F1"/>
  </mergeCells>
  <conditionalFormatting sqref="F5:F1868">
    <cfRule type="expression" dxfId="88" priority="7">
      <formula>COUNTIF(lista,F5)=0</formula>
    </cfRule>
  </conditionalFormatting>
  <conditionalFormatting sqref="F590:F1226">
    <cfRule type="expression" dxfId="8" priority="2">
      <formula>COUNTIF(lista,F590)=0</formula>
    </cfRule>
  </conditionalFormatting>
  <conditionalFormatting sqref="F1227:F1868">
    <cfRule type="expression" dxfId="7" priority="1">
      <formula>COUNTIF(lista,F1227)=0</formula>
    </cfRule>
  </conditionalFormatting>
  <hyperlinks>
    <hyperlink ref="A3" location="Categorias!A1" display="Categorias" xr:uid="{00000000-0004-0000-0100-000000000000}"/>
    <hyperlink ref="A9:B9" location="'Resumo total'!A1" display="Resumo" xr:uid="{00000000-0004-0000-0100-000001000000}"/>
    <hyperlink ref="A3:B3" location="topocategorias" display="Categorias" xr:uid="{00000000-0004-0000-0100-000002000000}"/>
    <hyperlink ref="A6:B6" location="topo1" display="Cadastro" xr:uid="{00000000-0004-0000-0100-000003000000}"/>
    <hyperlink ref="D1" location="topo_cb" display="Topo" xr:uid="{00000000-0004-0000-0100-000004000000}"/>
  </hyperlinks>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6" id="{551F6B82-C651-4F24-85DA-51FCAACC8BAE}">
            <xm:f>OR(Cadastro!A7="A",Cadastro!A7="B",Cadastro!A7="C",Cadastro!A7="D",Cadastro!A7="E",Cadastro!A7="F",Cadastro!A7="G",Cadastro!A7="H",Cadastro!A7="I",Cadastro!A7="J",Cadastro!A7="K",Cadastro!A7="L",Cadastro!A7="M",Cadastro!A7="N",Cadastro!A7="O",Cadastro!A7="P",Cadastro!A7="Q",Cadastro!A7="R",Cadastro!A7="S",Cadastro!A7="T",Cadastro!A7="U",Cadastro!A7="V",Cadastro!A7="W",Cadastro!A7="X",Cadastro!A7="Y",Cadastro!A7="Z")</xm:f>
            <x14:dxf>
              <font>
                <b/>
                <i val="0"/>
                <strike val="0"/>
                <color theme="0"/>
              </font>
              <fill>
                <patternFill>
                  <bgColor rgb="FFC00000"/>
                </patternFill>
              </fill>
            </x14:dxf>
          </x14:cfRule>
          <xm:sqref>A7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Categorias!$M$9:$M$27</xm:f>
          </x14:formula1>
          <xm:sqref>A7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92D050"/>
  </sheetPr>
  <dimension ref="A1:BW375"/>
  <sheetViews>
    <sheetView showGridLines="0" tabSelected="1" zoomScaleNormal="100" workbookViewId="0">
      <selection activeCell="A41" sqref="A41:G42"/>
    </sheetView>
  </sheetViews>
  <sheetFormatPr defaultRowHeight="15" outlineLevelCol="1" x14ac:dyDescent="0.25"/>
  <cols>
    <col min="1" max="1" width="30.42578125" customWidth="1"/>
    <col min="2" max="2" width="14.7109375" style="24" customWidth="1"/>
    <col min="3" max="6" width="13.5703125" style="24" customWidth="1"/>
    <col min="7" max="7" width="14.42578125" style="24" customWidth="1"/>
    <col min="8" max="8" width="2.28515625" customWidth="1"/>
    <col min="9" max="9" width="30.5703125" bestFit="1" customWidth="1"/>
    <col min="10" max="10" width="16.42578125" customWidth="1"/>
    <col min="11" max="11" width="11.42578125" customWidth="1"/>
    <col min="12" max="19" width="11.42578125" hidden="1" customWidth="1" outlineLevel="1"/>
    <col min="20" max="25" width="12.42578125" hidden="1" customWidth="1" outlineLevel="1"/>
    <col min="26" max="26" width="11.5703125" hidden="1" customWidth="1" outlineLevel="1"/>
    <col min="27" max="27" width="12" hidden="1" customWidth="1" outlineLevel="1"/>
    <col min="28" max="28" width="12" style="24" hidden="1" customWidth="1" outlineLevel="1"/>
    <col min="29" max="29" width="9.85546875" hidden="1" customWidth="1" outlineLevel="1"/>
    <col min="30" max="30" width="9.85546875" style="24" hidden="1" customWidth="1" outlineLevel="1"/>
    <col min="31" max="31" width="14.42578125" customWidth="1" collapsed="1"/>
    <col min="32" max="32" width="16.85546875" bestFit="1" customWidth="1"/>
    <col min="33" max="33" width="12.140625" customWidth="1"/>
    <col min="34" max="34" width="32.85546875" bestFit="1" customWidth="1"/>
    <col min="35" max="35" width="19" bestFit="1" customWidth="1"/>
    <col min="36" max="36" width="11.42578125" customWidth="1"/>
    <col min="37" max="43" width="11.42578125" hidden="1" customWidth="1" outlineLevel="1"/>
    <col min="44" max="49" width="12.42578125" hidden="1" customWidth="1" outlineLevel="1"/>
    <col min="50" max="50" width="11.5703125" hidden="1" customWidth="1" outlineLevel="1"/>
    <col min="51" max="51" width="12" hidden="1" customWidth="1" outlineLevel="1"/>
    <col min="52" max="52" width="11.7109375" hidden="1" customWidth="1" outlineLevel="1"/>
    <col min="53" max="53" width="11.7109375" style="24" hidden="1" customWidth="1" outlineLevel="1"/>
    <col min="54" max="54" width="14.42578125" hidden="1" customWidth="1" outlineLevel="1"/>
    <col min="55" max="55" width="14.42578125" style="24" hidden="1" customWidth="1" outlineLevel="1"/>
    <col min="56" max="56" width="16.85546875" bestFit="1" customWidth="1" collapsed="1"/>
    <col min="57" max="57" width="11.7109375" customWidth="1"/>
    <col min="59" max="59" width="23.85546875" customWidth="1"/>
    <col min="61" max="61" width="22.85546875" bestFit="1" customWidth="1"/>
    <col min="63" max="63" width="22.85546875" bestFit="1" customWidth="1"/>
    <col min="64" max="64" width="9.140625" customWidth="1"/>
    <col min="65" max="65" width="22.85546875" bestFit="1" customWidth="1"/>
    <col min="66" max="66" width="23.85546875" customWidth="1"/>
    <col min="68" max="68" width="22.85546875" bestFit="1" customWidth="1"/>
    <col min="69" max="69" width="14.7109375" style="24" bestFit="1" customWidth="1"/>
    <col min="70" max="70" width="32" bestFit="1" customWidth="1"/>
    <col min="71" max="71" width="14.7109375" style="24" bestFit="1" customWidth="1"/>
    <col min="72" max="72" width="22.85546875" bestFit="1" customWidth="1"/>
    <col min="73" max="73" width="9.140625" customWidth="1"/>
    <col min="74" max="74" width="32" bestFit="1" customWidth="1"/>
    <col min="75" max="76" width="9.140625" customWidth="1"/>
  </cols>
  <sheetData>
    <row r="1" spans="1:75" ht="21" customHeight="1" x14ac:dyDescent="0.25">
      <c r="A1" s="40"/>
      <c r="I1" s="12" t="s">
        <v>102</v>
      </c>
    </row>
    <row r="2" spans="1:75" ht="15.75" thickBot="1" x14ac:dyDescent="0.3">
      <c r="AI2" s="22"/>
    </row>
    <row r="3" spans="1:75" x14ac:dyDescent="0.25">
      <c r="A3" s="90" t="s">
        <v>101</v>
      </c>
      <c r="B3" s="90"/>
      <c r="C3" s="90"/>
      <c r="D3" s="90"/>
      <c r="E3" s="90"/>
      <c r="F3" s="90"/>
      <c r="G3" s="90"/>
      <c r="H3" s="36"/>
      <c r="I3" s="95" t="s">
        <v>0</v>
      </c>
      <c r="J3" s="96"/>
      <c r="K3" s="96"/>
      <c r="L3" s="96"/>
      <c r="M3" s="96"/>
      <c r="N3" s="96"/>
      <c r="O3" s="96"/>
      <c r="P3" s="96"/>
      <c r="Q3" s="96"/>
      <c r="R3" s="96"/>
      <c r="S3" s="96"/>
      <c r="T3" s="96"/>
      <c r="U3" s="96"/>
      <c r="V3" s="96"/>
      <c r="W3" s="96"/>
      <c r="X3" s="96"/>
      <c r="Y3" s="96"/>
      <c r="Z3" s="96"/>
      <c r="AA3" s="96"/>
      <c r="AB3" s="96"/>
      <c r="AC3" s="96"/>
      <c r="AD3" s="96"/>
      <c r="AE3" s="96"/>
      <c r="AF3" s="96"/>
      <c r="AG3" s="97"/>
      <c r="AH3" s="92" t="s">
        <v>25</v>
      </c>
      <c r="AI3" s="93"/>
      <c r="AJ3" s="93"/>
      <c r="AK3" s="93"/>
      <c r="AL3" s="93"/>
      <c r="AM3" s="93"/>
      <c r="AN3" s="93"/>
      <c r="AO3" s="93"/>
      <c r="AP3" s="93"/>
      <c r="AQ3" s="93"/>
      <c r="AR3" s="93"/>
      <c r="AS3" s="93"/>
      <c r="AT3" s="93"/>
      <c r="AU3" s="93"/>
      <c r="AV3" s="93"/>
      <c r="AW3" s="93"/>
      <c r="AX3" s="93"/>
      <c r="AY3" s="93"/>
      <c r="AZ3" s="93"/>
      <c r="BA3" s="93"/>
      <c r="BB3" s="93"/>
      <c r="BC3" s="93"/>
      <c r="BD3" s="93"/>
      <c r="BE3" s="93"/>
      <c r="BF3" s="94"/>
      <c r="BI3" s="89" t="s">
        <v>0</v>
      </c>
      <c r="BJ3" s="89"/>
      <c r="BK3" s="89"/>
      <c r="BL3" s="89"/>
      <c r="BM3" s="89"/>
      <c r="BN3" s="89"/>
      <c r="BP3" s="89" t="s">
        <v>25</v>
      </c>
      <c r="BQ3" s="89"/>
      <c r="BR3" s="89"/>
      <c r="BS3" s="89"/>
      <c r="BT3" s="89"/>
      <c r="BU3" s="89"/>
      <c r="BV3" s="89"/>
      <c r="BW3" s="89"/>
    </row>
    <row r="4" spans="1:75" x14ac:dyDescent="0.25">
      <c r="A4" s="27"/>
      <c r="B4" s="27"/>
      <c r="C4" s="27"/>
      <c r="D4" s="27"/>
      <c r="E4" s="27"/>
      <c r="F4" s="27"/>
      <c r="G4" s="27"/>
      <c r="I4" s="30" t="s">
        <v>26</v>
      </c>
      <c r="J4" s="31" t="s">
        <v>27</v>
      </c>
      <c r="K4" s="31" t="s">
        <v>176</v>
      </c>
      <c r="L4" s="31" t="s">
        <v>70</v>
      </c>
      <c r="M4" s="31" t="s">
        <v>71</v>
      </c>
      <c r="N4" s="31" t="s">
        <v>105</v>
      </c>
      <c r="O4" s="31" t="s">
        <v>106</v>
      </c>
      <c r="P4" s="31" t="s">
        <v>107</v>
      </c>
      <c r="Q4" s="31" t="s">
        <v>108</v>
      </c>
      <c r="R4" s="31" t="s">
        <v>109</v>
      </c>
      <c r="S4" s="31" t="s">
        <v>110</v>
      </c>
      <c r="T4" s="31" t="s">
        <v>111</v>
      </c>
      <c r="U4" s="31" t="s">
        <v>112</v>
      </c>
      <c r="V4" s="31" t="s">
        <v>113</v>
      </c>
      <c r="W4" s="31" t="s">
        <v>114</v>
      </c>
      <c r="X4" s="31" t="s">
        <v>115</v>
      </c>
      <c r="Y4" s="31" t="s">
        <v>237</v>
      </c>
      <c r="Z4" s="31" t="s">
        <v>238</v>
      </c>
      <c r="AA4" s="31" t="s">
        <v>390</v>
      </c>
      <c r="AB4" s="31" t="s">
        <v>1192</v>
      </c>
      <c r="AC4" s="31" t="s">
        <v>1193</v>
      </c>
      <c r="AD4" s="31" t="s">
        <v>1195</v>
      </c>
      <c r="AE4" s="31" t="s">
        <v>74</v>
      </c>
      <c r="AF4" s="31" t="s">
        <v>194</v>
      </c>
      <c r="AG4" s="32" t="s">
        <v>69</v>
      </c>
      <c r="AH4" s="30" t="s">
        <v>26</v>
      </c>
      <c r="AI4" s="31" t="s">
        <v>27</v>
      </c>
      <c r="AJ4" s="31" t="s">
        <v>176</v>
      </c>
      <c r="AK4" s="31" t="s">
        <v>70</v>
      </c>
      <c r="AL4" s="31" t="s">
        <v>71</v>
      </c>
      <c r="AM4" s="31" t="s">
        <v>105</v>
      </c>
      <c r="AN4" s="31" t="s">
        <v>106</v>
      </c>
      <c r="AO4" s="31" t="s">
        <v>107</v>
      </c>
      <c r="AP4" s="31" t="s">
        <v>108</v>
      </c>
      <c r="AQ4" s="31" t="s">
        <v>109</v>
      </c>
      <c r="AR4" s="31" t="s">
        <v>110</v>
      </c>
      <c r="AS4" s="31" t="s">
        <v>111</v>
      </c>
      <c r="AT4" s="31" t="s">
        <v>112</v>
      </c>
      <c r="AU4" s="31" t="s">
        <v>113</v>
      </c>
      <c r="AV4" s="31" t="s">
        <v>114</v>
      </c>
      <c r="AW4" s="31" t="s">
        <v>115</v>
      </c>
      <c r="AX4" s="31" t="s">
        <v>237</v>
      </c>
      <c r="AY4" s="31" t="s">
        <v>238</v>
      </c>
      <c r="AZ4" s="31" t="s">
        <v>390</v>
      </c>
      <c r="BA4" s="31" t="s">
        <v>1192</v>
      </c>
      <c r="BB4" s="31" t="s">
        <v>1193</v>
      </c>
      <c r="BC4" s="31" t="s">
        <v>1195</v>
      </c>
      <c r="BD4" s="31" t="s">
        <v>74</v>
      </c>
      <c r="BE4" s="31" t="s">
        <v>194</v>
      </c>
      <c r="BF4" s="32" t="s">
        <v>69</v>
      </c>
      <c r="BI4" s="33" t="s">
        <v>26</v>
      </c>
      <c r="BJ4" s="33" t="s">
        <v>304</v>
      </c>
      <c r="BK4" s="33" t="s">
        <v>304</v>
      </c>
      <c r="BL4" s="33" t="s">
        <v>69</v>
      </c>
      <c r="BM4" s="33" t="s">
        <v>26</v>
      </c>
      <c r="BN4" s="33" t="s">
        <v>69</v>
      </c>
      <c r="BP4" s="33" t="s">
        <v>26</v>
      </c>
      <c r="BQ4" s="33" t="s">
        <v>304</v>
      </c>
      <c r="BR4" s="33" t="s">
        <v>304</v>
      </c>
      <c r="BS4" s="33" t="s">
        <v>306</v>
      </c>
      <c r="BT4" s="33" t="s">
        <v>307</v>
      </c>
      <c r="BU4" s="33" t="s">
        <v>305</v>
      </c>
      <c r="BV4" s="33" t="s">
        <v>26</v>
      </c>
      <c r="BW4" s="33" t="s">
        <v>305</v>
      </c>
    </row>
    <row r="5" spans="1:75" x14ac:dyDescent="0.25">
      <c r="A5" s="90" t="s">
        <v>103</v>
      </c>
      <c r="B5" s="90"/>
      <c r="C5" s="90"/>
      <c r="D5" s="90" t="s">
        <v>392</v>
      </c>
      <c r="E5" s="90"/>
      <c r="F5" s="90"/>
      <c r="G5" s="90"/>
      <c r="I5" s="25" t="str">
        <f>alimentos[[#This Row],[Item]]</f>
        <v>A</v>
      </c>
      <c r="J5" s="1">
        <f>IFERROR(alimentos[[#This Row],[kg/embalagem]],0)</f>
        <v>0</v>
      </c>
      <c r="K5" s="1">
        <f>IFERROR(alimentos[[#This Row],[Preço]],0)</f>
        <v>0</v>
      </c>
      <c r="L5" s="1">
        <f>SUMIFS(super1[Qtde],super1[Item],tab_alimentos[[#This Row],[Item]],super1[Bairro],mercado1)+SUMIFS(supercb[Qtde],supercb[Item],tab_alimentos[[#This Row],[Item]],supercb[Bairro],mercado1)</f>
        <v>0</v>
      </c>
      <c r="M5" s="1">
        <f>SUMIFS(super1[Qtde],super1[Item],tab_alimentos[[#This Row],[Item]],super1[Bairro],mercado2)+SUMIFS(supercb[Qtde],supercb[Item],tab_alimentos[[#This Row],[Item]],supercb[Bairro],mercado2)</f>
        <v>0</v>
      </c>
      <c r="N5" s="1">
        <f>SUMIFS(super1[Qtde],super1[Item],tab_alimentos[[#This Row],[Item]],super1[Bairro],mercado3)+SUMIFS(supercb[Qtde],supercb[Item],tab_alimentos[[#This Row],[Item]],supercb[Bairro],mercado3)</f>
        <v>0</v>
      </c>
      <c r="O5" s="1">
        <f>SUMIFS(super1[Qtde],super1[Item],tab_alimentos[[#This Row],[Item]],super1[Bairro],mercado4)+SUMIFS(supercb[Qtde],supercb[Item],tab_alimentos[[#This Row],[Item]],supercb[Bairro],mercado4)</f>
        <v>0</v>
      </c>
      <c r="P5" s="1">
        <f>SUMIFS(super1[Qtde],super1[Item],tab_alimentos[[#This Row],[Item]],super1[Bairro],mercado5)+SUMIFS(supercb[Qtde],supercb[Item],tab_alimentos[[#This Row],[Item]],supercb[Bairro],mercado5)</f>
        <v>0</v>
      </c>
      <c r="Q5" s="1">
        <f>SUMIFS(super1[Qtde],super1[Item],tab_alimentos[[#This Row],[Item]],super1[Bairro],mercado6)+SUMIFS(supercb[Qtde],supercb[Item],tab_alimentos[[#This Row],[Item]],supercb[Bairro],mercado6)</f>
        <v>0</v>
      </c>
      <c r="R5" s="1">
        <f>SUMIFS(super1[Qtde],super1[Item],tab_alimentos[[#This Row],[Item]],super1[Bairro],mercado7)+SUMIFS(supercb[Qtde],supercb[Item],tab_alimentos[[#This Row],[Item]],supercb[Bairro],mercado7)</f>
        <v>0</v>
      </c>
      <c r="S5" s="1">
        <f>SUMIFS(super1[Qtde],super1[Item],tab_alimentos[[#This Row],[Item]],super1[Bairro],mercado8)+SUMIFS(supercb[Qtde],supercb[Item],tab_alimentos[[#This Row],[Item]],supercb[Bairro],mercado8)</f>
        <v>0</v>
      </c>
      <c r="T5" s="1">
        <f>SUMIFS(super1[Qtde],super1[Item],tab_alimentos[[#This Row],[Item]],super1[Bairro],mercado9)+SUMIFS(supercb[Qtde],supercb[Item],tab_alimentos[[#This Row],[Item]],supercb[Bairro],mercado9)</f>
        <v>0</v>
      </c>
      <c r="U5" s="1">
        <f>SUMIFS(super1[Qtde],super1[Item],tab_alimentos[[#This Row],[Item]],super1[Bairro],mercado10)+SUMIFS(supercb[Qtde],supercb[Item],tab_alimentos[[#This Row],[Item]],supercb[Bairro],mercado10)</f>
        <v>0</v>
      </c>
      <c r="V5" s="1">
        <f>SUMIFS(super1[Qtde],super1[Item],tab_alimentos[[#This Row],[Item]],super1[Bairro],mercado11)+SUMIFS(supercb[Qtde],supercb[Item],tab_alimentos[[#This Row],[Item]],supercb[Bairro],mercado11)</f>
        <v>0</v>
      </c>
      <c r="W5" s="1">
        <f>SUMIFS(super1[Qtde],super1[Item],tab_alimentos[[#This Row],[Item]],super1[Bairro],mercado12)+SUMIFS(supercb[Qtde],supercb[Item],tab_alimentos[[#This Row],[Item]],supercb[Bairro],mercado12)</f>
        <v>0</v>
      </c>
      <c r="X5" s="1">
        <f>SUMIFS(super1[Qtde],super1[Item],tab_alimentos[[#This Row],[Item]],super1[Bairro],mercado13)+SUMIFS(supercb[Qtde],supercb[Item],tab_alimentos[[#This Row],[Item]],supercb[Bairro],mercado13)</f>
        <v>0</v>
      </c>
      <c r="Y5" s="1">
        <f>SUMIFS(super1[Qtde],super1[Item],tab_alimentos[[#This Row],[Item]],super1[Bairro],mercado14)+SUMIFS(supercb[Qtde],supercb[Item],tab_alimentos[[#This Row],[Item]],supercb[Bairro],mercado14)</f>
        <v>0</v>
      </c>
      <c r="Z5" s="1">
        <f>SUMIFS(super1[Qtde],super1[Item],tab_alimentos[[#This Row],[Item]],super1[Bairro],mercado15)+SUMIFS(supercb[Qtde],supercb[Item],tab_alimentos[[#This Row],[Item]],supercb[Bairro],mercado15)</f>
        <v>0</v>
      </c>
      <c r="AA5" s="1">
        <f>SUMIFS(super1[Qtde],super1[Item],tab_alimentos[[#This Row],[Item]],super1[Bairro],mercado16)+SUMIFS(supercb[Qtde],supercb[Item],tab_alimentos[[#This Row],[Item]],supercb[Bairro],mercado16)</f>
        <v>0</v>
      </c>
      <c r="AB5" s="1">
        <f>SUMIFS(super1[Qtde],super1[Item],tab_alimentos[[#This Row],[Item]],super1[Bairro],mercado17)+SUMIFS(supercb[Qtde],supercb[Item],tab_alimentos[[#This Row],[Item]],supercb[Bairro],mercado17)</f>
        <v>0</v>
      </c>
      <c r="AC5" s="1">
        <f>SUMIFS(super1[Qtde],super1[Item],tab_alimentos[[#This Row],[Item]],super1[Bairro],mercado18)+SUMIFS(supercb[Qtde],supercb[Item],tab_alimentos[[#This Row],[Item]],supercb[Bairro],mercado18)</f>
        <v>0</v>
      </c>
      <c r="AD5" s="1">
        <f>SUMIFS(super1[Qtde],super1[Item],tab_alimentos[[#This Row],[Item]],super1[Bairro],extras)+SUMIFS(supercb[Qtde],supercb[Item],tab_alimentos[[#This Row],[Item]],supercb[Bairro],extras)</f>
        <v>0</v>
      </c>
      <c r="AE5" s="1">
        <f t="shared" ref="AE5:AE36" si="0">SUM(L5:AC5)</f>
        <v>0</v>
      </c>
      <c r="AF5" s="1">
        <f t="shared" ref="AF5:AF36" si="1">IFERROR(AE5*K5,0)</f>
        <v>0</v>
      </c>
      <c r="AG5" s="3">
        <f t="shared" ref="AG5:AG36" si="2">IFERROR(J5*AE5,0)</f>
        <v>0</v>
      </c>
      <c r="AH5" s="25" t="str">
        <f>higiene[[#This Row],[Item]]</f>
        <v>A</v>
      </c>
      <c r="AI5" s="1">
        <f>IFERROR(higiene[[#This Row],[Kg equivalente]],0)</f>
        <v>0</v>
      </c>
      <c r="AJ5" s="1" t="str">
        <f>IFERROR(higiene[[#This Row],[Preço por produto]],0)</f>
        <v/>
      </c>
      <c r="AK5" s="1">
        <f>SUMIFS(super1[Qtde],super1[Item],tab_higiene[[#This Row],[Item]],super1[Bairro],mercado1)+SUMIFS(supercb[Qtde],supercb[Item],tab_higiene[[#This Row],[Item]],supercb[Bairro],mercado1)</f>
        <v>0</v>
      </c>
      <c r="AL5" s="1">
        <f>SUMIFS(super1[Qtde],super1[Item],tab_higiene[[#This Row],[Item]],super1[Bairro],mercado2)+SUMIFS(supercb[Qtde],supercb[Item],tab_higiene[[#This Row],[Item]],supercb[Bairro],mercado2)</f>
        <v>0</v>
      </c>
      <c r="AM5" s="1">
        <f>SUMIFS(super1[Qtde],super1[Item],tab_higiene[[#This Row],[Item]],super1[Bairro],mercado3)+SUMIFS(supercb[Qtde],supercb[Item],tab_higiene[[#This Row],[Item]],supercb[Bairro],mercado3)</f>
        <v>0</v>
      </c>
      <c r="AN5" s="1">
        <f>SUMIFS(super1[Qtde],super1[Item],tab_higiene[[#This Row],[Item]],super1[Bairro],mercado4)+SUMIFS(supercb[Qtde],supercb[Item],tab_higiene[[#This Row],[Item]],supercb[Bairro],mercado4)</f>
        <v>0</v>
      </c>
      <c r="AO5" s="1">
        <f>SUMIFS(super1[Qtde],super1[Item],tab_higiene[[#This Row],[Item]],super1[Bairro],mercado5)+SUMIFS(supercb[Qtde],supercb[Item],tab_higiene[[#This Row],[Item]],supercb[Bairro],mercado5)</f>
        <v>0</v>
      </c>
      <c r="AP5" s="1">
        <f>SUMIFS(super1[Qtde],super1[Item],tab_higiene[[#This Row],[Item]],super1[Bairro],mercado6)+SUMIFS(supercb[Qtde],supercb[Item],tab_higiene[[#This Row],[Item]],supercb[Bairro],mercado6)</f>
        <v>0</v>
      </c>
      <c r="AQ5" s="1">
        <f>SUMIFS(super1[Qtde],super1[Item],tab_higiene[[#This Row],[Item]],super1[Bairro],mercado7)+SUMIFS(supercb[Qtde],supercb[Item],tab_higiene[[#This Row],[Item]],supercb[Bairro],mercado7)</f>
        <v>0</v>
      </c>
      <c r="AR5" s="1">
        <f>SUMIFS(super1[Qtde],super1[Item],tab_higiene[[#This Row],[Item]],super1[Bairro],mercado8)+SUMIFS(supercb[Qtde],supercb[Item],tab_higiene[[#This Row],[Item]],supercb[Bairro],mercado8)</f>
        <v>0</v>
      </c>
      <c r="AS5" s="1">
        <f>SUMIFS(super1[Qtde],super1[Item],tab_higiene[[#This Row],[Item]],super1[Bairro],mercado9)+SUMIFS(supercb[Qtde],supercb[Item],tab_higiene[[#This Row],[Item]],supercb[Bairro],mercado9)</f>
        <v>0</v>
      </c>
      <c r="AT5" s="1">
        <f>SUMIFS(super1[Qtde],super1[Item],tab_higiene[[#This Row],[Item]],super1[Bairro],mercado10)+SUMIFS(supercb[Qtde],supercb[Item],tab_higiene[[#This Row],[Item]],supercb[Bairro],mercado10)</f>
        <v>0</v>
      </c>
      <c r="AU5" s="1">
        <f>SUMIFS(super1[Qtde],super1[Item],tab_higiene[[#This Row],[Item]],super1[Bairro],mercado11)+SUMIFS(supercb[Qtde],supercb[Item],tab_higiene[[#This Row],[Item]],supercb[Bairro],mercado11)</f>
        <v>0</v>
      </c>
      <c r="AV5" s="1">
        <f>SUMIFS(super1[Qtde],super1[Item],tab_higiene[[#This Row],[Item]],super1[Bairro],mercado12)+SUMIFS(supercb[Qtde],supercb[Item],tab_higiene[[#This Row],[Item]],supercb[Bairro],mercado12)</f>
        <v>0</v>
      </c>
      <c r="AW5" s="1">
        <f>SUMIFS(super1[Qtde],super1[Item],tab_higiene[[#This Row],[Item]],super1[Bairro],mercado13)+SUMIFS(supercb[Qtde],supercb[Item],tab_higiene[[#This Row],[Item]],supercb[Bairro],mercado13)</f>
        <v>0</v>
      </c>
      <c r="AX5" s="1">
        <f>SUMIFS(super1[Qtde],super1[Item],tab_higiene[[#This Row],[Item]],super1[Bairro],mercado14)+SUMIFS(supercb[Qtde],supercb[Item],tab_higiene[[#This Row],[Item]],supercb[Bairro],mercado14)</f>
        <v>0</v>
      </c>
      <c r="AY5" s="1">
        <f>SUMIFS(super1[Qtde],super1[Item],tab_higiene[[#This Row],[Item]],super1[Bairro],mercado15)+SUMIFS(supercb[Qtde],supercb[Item],tab_higiene[[#This Row],[Item]],supercb[Bairro],mercado15)</f>
        <v>0</v>
      </c>
      <c r="AZ5" s="1">
        <f>SUMIFS(super1[Qtde],super1[Item],tab_higiene[[#This Row],[Item]],super1[Bairro],mercado16)+SUMIFS(supercb[Qtde],supercb[Item],tab_higiene[[#This Row],[Item]],supercb[Bairro],mercado16)</f>
        <v>0</v>
      </c>
      <c r="BA5" s="1">
        <f>SUMIFS(super1[Qtde],super1[Item],tab_higiene[[#This Row],[Item]],super1[Bairro],mercado17)+SUMIFS(supercb[Qtde],supercb[Item],tab_higiene[[#This Row],[Item]],supercb[Bairro],mercado17)</f>
        <v>0</v>
      </c>
      <c r="BB5" s="1">
        <f>SUMIFS(super1[Qtde],super1[Item],tab_higiene[[#This Row],[Item]],super1[Bairro],mercado18)+SUMIFS(supercb[Qtde],supercb[Item],tab_higiene[[#This Row],[Item]],supercb[Bairro],mercado18)</f>
        <v>0</v>
      </c>
      <c r="BC5" s="1">
        <f>SUMIFS(super1[Qtde],super1[Item],tab_higiene[[#This Row],[Item]],super1[Bairro],extras)+SUMIFS(supercb[Qtde],supercb[Item],tab_higiene[[#This Row],[Item]],supercb[Bairro],extras)</f>
        <v>0</v>
      </c>
      <c r="BD5" s="1">
        <f t="shared" ref="BD5:BD36" si="3">SUM(AK5:BB5)</f>
        <v>0</v>
      </c>
      <c r="BE5" s="1">
        <f t="shared" ref="BE5:BE36" si="4">IFERROR(BD5*AJ5,0)</f>
        <v>0</v>
      </c>
      <c r="BF5" s="26">
        <f t="shared" ref="BF5:BF36" si="5">IFERROR(AI5*BD5,0)</f>
        <v>0</v>
      </c>
      <c r="BI5" s="33" t="str">
        <f>tab_alimentos[[#This Row],[Item]]</f>
        <v>A</v>
      </c>
      <c r="BJ5" s="33">
        <f t="shared" ref="BJ5:BJ67" si="6">IFERROR(FIND(" (",BI5),0)</f>
        <v>0</v>
      </c>
      <c r="BK5" s="33" t="str">
        <f t="shared" ref="BK5:BK67" si="7">IF(BJ5=0,BI5,LEFT(BI5,BJ5-1))</f>
        <v>A</v>
      </c>
      <c r="BL5" s="33">
        <f>tab_alimentos[[#This Row],[kg]]</f>
        <v>0</v>
      </c>
      <c r="BM5" s="33" t="s">
        <v>76</v>
      </c>
      <c r="BN5" s="33">
        <f>SUMIF($BJ$5:$BJ$158,BM5,$BK$5:$BK$158)</f>
        <v>0</v>
      </c>
      <c r="BP5" s="33" t="str">
        <f>tab_higiene[[#This Row],[Item]]</f>
        <v>A</v>
      </c>
      <c r="BQ5" s="33">
        <f t="shared" ref="BQ5:BQ68" si="8">IFERROR(FIND(" (",BP5),0)</f>
        <v>0</v>
      </c>
      <c r="BR5" s="33" t="str">
        <f t="shared" ref="BR5:BR68" si="9">IF(BQ5=0,BP5,LEFT(BP5,BQ5-1))</f>
        <v>A</v>
      </c>
      <c r="BS5" s="33">
        <f>higiene[[#This Row],[Quantidade]]</f>
        <v>0</v>
      </c>
      <c r="BT5" s="33">
        <f>tab_higiene[Qtde (tot)]</f>
        <v>0</v>
      </c>
      <c r="BU5" s="33">
        <f>BS5*BT5</f>
        <v>0</v>
      </c>
      <c r="BV5" s="33" t="s">
        <v>76</v>
      </c>
      <c r="BW5" s="33">
        <f t="shared" ref="BW5:BW36" si="10">SUMIF($BR$5:$BR$142,BV5,$BU$5:$BU$142)</f>
        <v>0</v>
      </c>
    </row>
    <row r="6" spans="1:75" x14ac:dyDescent="0.25">
      <c r="B6"/>
      <c r="C6"/>
      <c r="D6" s="36"/>
      <c r="E6"/>
      <c r="F6"/>
      <c r="G6"/>
      <c r="I6" s="25" t="str">
        <f>alimentos[[#This Row],[Item]]</f>
        <v>Abacaxi em calda (820g)</v>
      </c>
      <c r="J6" s="1">
        <f>IFERROR(alimentos[[#This Row],[kg/embalagem]],0)</f>
        <v>0.82</v>
      </c>
      <c r="K6" s="1">
        <f>IFERROR(alimentos[[#This Row],[Preço]],0)</f>
        <v>7.95</v>
      </c>
      <c r="L6" s="1">
        <f>SUMIFS(super1[Qtde],super1[Item],tab_alimentos[[#This Row],[Item]],super1[Bairro],mercado1)+SUMIFS(supercb[Qtde],supercb[Item],tab_alimentos[[#This Row],[Item]],supercb[Bairro],mercado1)</f>
        <v>0</v>
      </c>
      <c r="M6" s="1">
        <f>SUMIFS(super1[Qtde],super1[Item],tab_alimentos[[#This Row],[Item]],super1[Bairro],mercado2)+SUMIFS(supercb[Qtde],supercb[Item],tab_alimentos[[#This Row],[Item]],supercb[Bairro],mercado2)</f>
        <v>0</v>
      </c>
      <c r="N6" s="1">
        <f>SUMIFS(super1[Qtde],super1[Item],tab_alimentos[[#This Row],[Item]],super1[Bairro],mercado3)+SUMIFS(supercb[Qtde],supercb[Item],tab_alimentos[[#This Row],[Item]],supercb[Bairro],mercado3)</f>
        <v>0</v>
      </c>
      <c r="O6" s="1">
        <f>SUMIFS(super1[Qtde],super1[Item],tab_alimentos[[#This Row],[Item]],super1[Bairro],mercado4)+SUMIFS(supercb[Qtde],supercb[Item],tab_alimentos[[#This Row],[Item]],supercb[Bairro],mercado4)</f>
        <v>0</v>
      </c>
      <c r="P6" s="1">
        <f>SUMIFS(super1[Qtde],super1[Item],tab_alimentos[[#This Row],[Item]],super1[Bairro],mercado5)+SUMIFS(supercb[Qtde],supercb[Item],tab_alimentos[[#This Row],[Item]],supercb[Bairro],mercado5)</f>
        <v>0</v>
      </c>
      <c r="Q6" s="1">
        <f>SUMIFS(super1[Qtde],super1[Item],tab_alimentos[[#This Row],[Item]],super1[Bairro],mercado6)+SUMIFS(supercb[Qtde],supercb[Item],tab_alimentos[[#This Row],[Item]],supercb[Bairro],mercado6)</f>
        <v>0</v>
      </c>
      <c r="R6" s="1">
        <f>SUMIFS(super1[Qtde],super1[Item],tab_alimentos[[#This Row],[Item]],super1[Bairro],mercado7)+SUMIFS(supercb[Qtde],supercb[Item],tab_alimentos[[#This Row],[Item]],supercb[Bairro],mercado7)</f>
        <v>0</v>
      </c>
      <c r="S6" s="1">
        <f>SUMIFS(super1[Qtde],super1[Item],tab_alimentos[[#This Row],[Item]],super1[Bairro],mercado8)+SUMIFS(supercb[Qtde],supercb[Item],tab_alimentos[[#This Row],[Item]],supercb[Bairro],mercado8)</f>
        <v>0</v>
      </c>
      <c r="T6" s="1">
        <f>SUMIFS(super1[Qtde],super1[Item],tab_alimentos[[#This Row],[Item]],super1[Bairro],mercado9)+SUMIFS(supercb[Qtde],supercb[Item],tab_alimentos[[#This Row],[Item]],supercb[Bairro],mercado9)</f>
        <v>0</v>
      </c>
      <c r="U6" s="1">
        <f>SUMIFS(super1[Qtde],super1[Item],tab_alimentos[[#This Row],[Item]],super1[Bairro],mercado10)+SUMIFS(supercb[Qtde],supercb[Item],tab_alimentos[[#This Row],[Item]],supercb[Bairro],mercado10)</f>
        <v>0</v>
      </c>
      <c r="V6" s="1">
        <f>SUMIFS(super1[Qtde],super1[Item],tab_alimentos[[#This Row],[Item]],super1[Bairro],mercado11)+SUMIFS(supercb[Qtde],supercb[Item],tab_alimentos[[#This Row],[Item]],supercb[Bairro],mercado11)</f>
        <v>0</v>
      </c>
      <c r="W6" s="1">
        <f>SUMIFS(super1[Qtde],super1[Item],tab_alimentos[[#This Row],[Item]],super1[Bairro],mercado12)+SUMIFS(supercb[Qtde],supercb[Item],tab_alimentos[[#This Row],[Item]],supercb[Bairro],mercado12)</f>
        <v>0</v>
      </c>
      <c r="X6" s="1">
        <f>SUMIFS(super1[Qtde],super1[Item],tab_alimentos[[#This Row],[Item]],super1[Bairro],mercado13)+SUMIFS(supercb[Qtde],supercb[Item],tab_alimentos[[#This Row],[Item]],supercb[Bairro],mercado13)</f>
        <v>0</v>
      </c>
      <c r="Y6" s="1">
        <f>SUMIFS(super1[Qtde],super1[Item],tab_alimentos[[#This Row],[Item]],super1[Bairro],mercado14)+SUMIFS(supercb[Qtde],supercb[Item],tab_alimentos[[#This Row],[Item]],supercb[Bairro],mercado14)</f>
        <v>0</v>
      </c>
      <c r="Z6" s="1">
        <f>SUMIFS(super1[Qtde],super1[Item],tab_alimentos[[#This Row],[Item]],super1[Bairro],mercado15)+SUMIFS(supercb[Qtde],supercb[Item],tab_alimentos[[#This Row],[Item]],supercb[Bairro],mercado15)</f>
        <v>0</v>
      </c>
      <c r="AA6" s="1">
        <f>SUMIFS(super1[Qtde],super1[Item],tab_alimentos[[#This Row],[Item]],super1[Bairro],mercado16)+SUMIFS(supercb[Qtde],supercb[Item],tab_alimentos[[#This Row],[Item]],supercb[Bairro],mercado16)</f>
        <v>0</v>
      </c>
      <c r="AB6" s="1">
        <f>SUMIFS(super1[Qtde],super1[Item],tab_alimentos[[#This Row],[Item]],super1[Bairro],mercado17)+SUMIFS(supercb[Qtde],supercb[Item],tab_alimentos[[#This Row],[Item]],supercb[Bairro],mercado17)</f>
        <v>0</v>
      </c>
      <c r="AC6" s="1">
        <f>SUMIFS(super1[Qtde],super1[Item],tab_alimentos[[#This Row],[Item]],super1[Bairro],mercado18)+SUMIFS(supercb[Qtde],supercb[Item],tab_alimentos[[#This Row],[Item]],supercb[Bairro],mercado18)</f>
        <v>0</v>
      </c>
      <c r="AD6" s="1">
        <f>SUMIFS(super1[Qtde],super1[Item],tab_alimentos[[#This Row],[Item]],super1[Bairro],extras)+SUMIFS(supercb[Qtde],supercb[Item],tab_alimentos[[#This Row],[Item]],supercb[Bairro],extras)</f>
        <v>0</v>
      </c>
      <c r="AE6" s="1">
        <f t="shared" si="0"/>
        <v>0</v>
      </c>
      <c r="AF6" s="1">
        <f t="shared" si="1"/>
        <v>0</v>
      </c>
      <c r="AG6" s="3">
        <f t="shared" si="2"/>
        <v>0</v>
      </c>
      <c r="AH6" s="25" t="str">
        <f>higiene[[#This Row],[Item]]</f>
        <v>Absorvente (08un)</v>
      </c>
      <c r="AI6" s="1">
        <f>IFERROR(higiene[[#This Row],[Kg equivalente]],0)</f>
        <v>1.0566317401281049</v>
      </c>
      <c r="AJ6" s="1">
        <f>IFERROR(higiene[[#This Row],[Preço por produto]],0)</f>
        <v>3.5</v>
      </c>
      <c r="AK6" s="1">
        <f>SUMIFS(super1[Qtde],super1[Item],tab_higiene[[#This Row],[Item]],super1[Bairro],mercado1)+SUMIFS(supercb[Qtde],supercb[Item],tab_higiene[[#This Row],[Item]],supercb[Bairro],mercado1)</f>
        <v>5</v>
      </c>
      <c r="AL6" s="1">
        <f>SUMIFS(super1[Qtde],super1[Item],tab_higiene[[#This Row],[Item]],super1[Bairro],mercado2)+SUMIFS(supercb[Qtde],supercb[Item],tab_higiene[[#This Row],[Item]],supercb[Bairro],mercado2)</f>
        <v>0</v>
      </c>
      <c r="AM6" s="1">
        <f>SUMIFS(super1[Qtde],super1[Item],tab_higiene[[#This Row],[Item]],super1[Bairro],mercado3)+SUMIFS(supercb[Qtde],supercb[Item],tab_higiene[[#This Row],[Item]],supercb[Bairro],mercado3)</f>
        <v>0</v>
      </c>
      <c r="AN6" s="1">
        <f>SUMIFS(super1[Qtde],super1[Item],tab_higiene[[#This Row],[Item]],super1[Bairro],mercado4)+SUMIFS(supercb[Qtde],supercb[Item],tab_higiene[[#This Row],[Item]],supercb[Bairro],mercado4)</f>
        <v>0</v>
      </c>
      <c r="AO6" s="1">
        <f>SUMIFS(super1[Qtde],super1[Item],tab_higiene[[#This Row],[Item]],super1[Bairro],mercado5)+SUMIFS(supercb[Qtde],supercb[Item],tab_higiene[[#This Row],[Item]],supercb[Bairro],mercado5)</f>
        <v>2</v>
      </c>
      <c r="AP6" s="1">
        <f>SUMIFS(super1[Qtde],super1[Item],tab_higiene[[#This Row],[Item]],super1[Bairro],mercado6)+SUMIFS(supercb[Qtde],supercb[Item],tab_higiene[[#This Row],[Item]],supercb[Bairro],mercado6)</f>
        <v>0</v>
      </c>
      <c r="AQ6" s="1">
        <f>SUMIFS(super1[Qtde],super1[Item],tab_higiene[[#This Row],[Item]],super1[Bairro],mercado7)+SUMIFS(supercb[Qtde],supercb[Item],tab_higiene[[#This Row],[Item]],supercb[Bairro],mercado7)</f>
        <v>0</v>
      </c>
      <c r="AR6" s="1">
        <f>SUMIFS(super1[Qtde],super1[Item],tab_higiene[[#This Row],[Item]],super1[Bairro],mercado8)+SUMIFS(supercb[Qtde],supercb[Item],tab_higiene[[#This Row],[Item]],supercb[Bairro],mercado8)</f>
        <v>0</v>
      </c>
      <c r="AS6" s="1">
        <f>SUMIFS(super1[Qtde],super1[Item],tab_higiene[[#This Row],[Item]],super1[Bairro],mercado9)+SUMIFS(supercb[Qtde],supercb[Item],tab_higiene[[#This Row],[Item]],supercb[Bairro],mercado9)</f>
        <v>0</v>
      </c>
      <c r="AT6" s="1">
        <f>SUMIFS(super1[Qtde],super1[Item],tab_higiene[[#This Row],[Item]],super1[Bairro],mercado10)+SUMIFS(supercb[Qtde],supercb[Item],tab_higiene[[#This Row],[Item]],supercb[Bairro],mercado10)</f>
        <v>2</v>
      </c>
      <c r="AU6" s="1">
        <f>SUMIFS(super1[Qtde],super1[Item],tab_higiene[[#This Row],[Item]],super1[Bairro],mercado11)+SUMIFS(supercb[Qtde],supercb[Item],tab_higiene[[#This Row],[Item]],supercb[Bairro],mercado11)</f>
        <v>0</v>
      </c>
      <c r="AV6" s="1">
        <f>SUMIFS(super1[Qtde],super1[Item],tab_higiene[[#This Row],[Item]],super1[Bairro],mercado12)+SUMIFS(supercb[Qtde],supercb[Item],tab_higiene[[#This Row],[Item]],supercb[Bairro],mercado12)</f>
        <v>0</v>
      </c>
      <c r="AW6" s="1">
        <f>SUMIFS(super1[Qtde],super1[Item],tab_higiene[[#This Row],[Item]],super1[Bairro],mercado13)+SUMIFS(supercb[Qtde],supercb[Item],tab_higiene[[#This Row],[Item]],supercb[Bairro],mercado13)</f>
        <v>4</v>
      </c>
      <c r="AX6" s="1">
        <f>SUMIFS(super1[Qtde],super1[Item],tab_higiene[[#This Row],[Item]],super1[Bairro],mercado14)+SUMIFS(supercb[Qtde],supercb[Item],tab_higiene[[#This Row],[Item]],supercb[Bairro],mercado14)</f>
        <v>0</v>
      </c>
      <c r="AY6" s="1">
        <f>SUMIFS(super1[Qtde],super1[Item],tab_higiene[[#This Row],[Item]],super1[Bairro],mercado15)+SUMIFS(supercb[Qtde],supercb[Item],tab_higiene[[#This Row],[Item]],supercb[Bairro],mercado15)</f>
        <v>0</v>
      </c>
      <c r="AZ6" s="1">
        <f>SUMIFS(super1[Qtde],super1[Item],tab_higiene[[#This Row],[Item]],super1[Bairro],mercado16)+SUMIFS(supercb[Qtde],supercb[Item],tab_higiene[[#This Row],[Item]],supercb[Bairro],mercado16)</f>
        <v>0</v>
      </c>
      <c r="BA6" s="1">
        <f>SUMIFS(super1[Qtde],super1[Item],tab_higiene[[#This Row],[Item]],super1[Bairro],mercado17)+SUMIFS(supercb[Qtde],supercb[Item],tab_higiene[[#This Row],[Item]],supercb[Bairro],mercado17)</f>
        <v>0</v>
      </c>
      <c r="BB6" s="1">
        <f>SUMIFS(super1[Qtde],super1[Item],tab_higiene[[#This Row],[Item]],super1[Bairro],mercado18)+SUMIFS(supercb[Qtde],supercb[Item],tab_higiene[[#This Row],[Item]],supercb[Bairro],mercado18)</f>
        <v>0</v>
      </c>
      <c r="BC6" s="1">
        <f>SUMIFS(super1[Qtde],super1[Item],tab_higiene[[#This Row],[Item]],super1[Bairro],extras)+SUMIFS(supercb[Qtde],supercb[Item],tab_higiene[[#This Row],[Item]],supercb[Bairro],extras)</f>
        <v>0</v>
      </c>
      <c r="BD6" s="1">
        <f t="shared" si="3"/>
        <v>13</v>
      </c>
      <c r="BE6" s="1">
        <f t="shared" si="4"/>
        <v>45.5</v>
      </c>
      <c r="BF6" s="26">
        <f t="shared" si="5"/>
        <v>13.736212621665363</v>
      </c>
      <c r="BI6" s="34" t="str">
        <f>tab_alimentos[[#This Row],[Item]]</f>
        <v>Abacaxi em calda (820g)</v>
      </c>
      <c r="BJ6" s="33">
        <f t="shared" si="6"/>
        <v>17</v>
      </c>
      <c r="BK6" s="33" t="str">
        <f t="shared" si="7"/>
        <v>Abacaxi em calda</v>
      </c>
      <c r="BL6" s="33">
        <f>tab_alimentos[[#This Row],[kg]]</f>
        <v>0</v>
      </c>
      <c r="BM6" s="33" t="s">
        <v>269</v>
      </c>
      <c r="BN6" s="35">
        <f t="shared" ref="BN6:BN69" si="11">SUMIF($BJ$5:$BJ$158,BM6,$BK$5:$BK$158)</f>
        <v>0</v>
      </c>
      <c r="BP6" s="33" t="str">
        <f>tab_higiene[[#This Row],[Item]]</f>
        <v>Absorvente (08un)</v>
      </c>
      <c r="BQ6" s="33">
        <f t="shared" si="8"/>
        <v>11</v>
      </c>
      <c r="BR6" s="33" t="str">
        <f t="shared" si="9"/>
        <v>Absorvente</v>
      </c>
      <c r="BS6" s="33">
        <f>higiene[[#This Row],[Quantidade]]</f>
        <v>8</v>
      </c>
      <c r="BT6" s="33">
        <f>tab_higiene[Qtde (tot)]</f>
        <v>13</v>
      </c>
      <c r="BU6" s="33">
        <f t="shared" ref="BU6:BU69" si="12">BS6*BT6</f>
        <v>104</v>
      </c>
      <c r="BV6" s="33" t="s">
        <v>308</v>
      </c>
      <c r="BW6" s="33">
        <f t="shared" si="10"/>
        <v>263</v>
      </c>
    </row>
    <row r="7" spans="1:75" x14ac:dyDescent="0.25">
      <c r="A7" s="91" t="s">
        <v>247</v>
      </c>
      <c r="B7" s="87" t="s">
        <v>0</v>
      </c>
      <c r="C7" s="87"/>
      <c r="D7" s="87" t="s">
        <v>25</v>
      </c>
      <c r="E7" s="87"/>
      <c r="F7" s="87" t="s">
        <v>244</v>
      </c>
      <c r="G7" s="87"/>
      <c r="I7" s="25" t="str">
        <f>alimentos[[#This Row],[Item]]</f>
        <v>Abacaxi em calda (830g)</v>
      </c>
      <c r="J7" s="1">
        <f>IFERROR(alimentos[[#This Row],[kg/embalagem]],0)</f>
        <v>0.83</v>
      </c>
      <c r="K7" s="1">
        <f>IFERROR(alimentos[[#This Row],[Preço]],0)</f>
        <v>8.75</v>
      </c>
      <c r="L7" s="1">
        <f>SUMIFS(super1[Qtde],super1[Item],tab_alimentos[[#This Row],[Item]],super1[Bairro],mercado1)+SUMIFS(supercb[Qtde],supercb[Item],tab_alimentos[[#This Row],[Item]],supercb[Bairro],mercado1)</f>
        <v>0</v>
      </c>
      <c r="M7" s="1">
        <f>SUMIFS(super1[Qtde],super1[Item],tab_alimentos[[#This Row],[Item]],super1[Bairro],mercado2)+SUMIFS(supercb[Qtde],supercb[Item],tab_alimentos[[#This Row],[Item]],supercb[Bairro],mercado2)</f>
        <v>0</v>
      </c>
      <c r="N7" s="1">
        <f>SUMIFS(super1[Qtde],super1[Item],tab_alimentos[[#This Row],[Item]],super1[Bairro],mercado3)+SUMIFS(supercb[Qtde],supercb[Item],tab_alimentos[[#This Row],[Item]],supercb[Bairro],mercado3)</f>
        <v>0</v>
      </c>
      <c r="O7" s="1">
        <f>SUMIFS(super1[Qtde],super1[Item],tab_alimentos[[#This Row],[Item]],super1[Bairro],mercado4)+SUMIFS(supercb[Qtde],supercb[Item],tab_alimentos[[#This Row],[Item]],supercb[Bairro],mercado4)</f>
        <v>0</v>
      </c>
      <c r="P7" s="1">
        <f>SUMIFS(super1[Qtde],super1[Item],tab_alimentos[[#This Row],[Item]],super1[Bairro],mercado5)+SUMIFS(supercb[Qtde],supercb[Item],tab_alimentos[[#This Row],[Item]],supercb[Bairro],mercado5)</f>
        <v>0</v>
      </c>
      <c r="Q7" s="1">
        <f>SUMIFS(super1[Qtde],super1[Item],tab_alimentos[[#This Row],[Item]],super1[Bairro],mercado6)+SUMIFS(supercb[Qtde],supercb[Item],tab_alimentos[[#This Row],[Item]],supercb[Bairro],mercado6)</f>
        <v>0</v>
      </c>
      <c r="R7" s="1">
        <f>SUMIFS(super1[Qtde],super1[Item],tab_alimentos[[#This Row],[Item]],super1[Bairro],mercado7)+SUMIFS(supercb[Qtde],supercb[Item],tab_alimentos[[#This Row],[Item]],supercb[Bairro],mercado7)</f>
        <v>0</v>
      </c>
      <c r="S7" s="1">
        <f>SUMIFS(super1[Qtde],super1[Item],tab_alimentos[[#This Row],[Item]],super1[Bairro],mercado8)+SUMIFS(supercb[Qtde],supercb[Item],tab_alimentos[[#This Row],[Item]],supercb[Bairro],mercado8)</f>
        <v>0</v>
      </c>
      <c r="T7" s="1">
        <f>SUMIFS(super1[Qtde],super1[Item],tab_alimentos[[#This Row],[Item]],super1[Bairro],mercado9)+SUMIFS(supercb[Qtde],supercb[Item],tab_alimentos[[#This Row],[Item]],supercb[Bairro],mercado9)</f>
        <v>0</v>
      </c>
      <c r="U7" s="1">
        <f>SUMIFS(super1[Qtde],super1[Item],tab_alimentos[[#This Row],[Item]],super1[Bairro],mercado10)+SUMIFS(supercb[Qtde],supercb[Item],tab_alimentos[[#This Row],[Item]],supercb[Bairro],mercado10)</f>
        <v>0</v>
      </c>
      <c r="V7" s="1">
        <f>SUMIFS(super1[Qtde],super1[Item],tab_alimentos[[#This Row],[Item]],super1[Bairro],mercado11)+SUMIFS(supercb[Qtde],supercb[Item],tab_alimentos[[#This Row],[Item]],supercb[Bairro],mercado11)</f>
        <v>0</v>
      </c>
      <c r="W7" s="1">
        <f>SUMIFS(super1[Qtde],super1[Item],tab_alimentos[[#This Row],[Item]],super1[Bairro],mercado12)+SUMIFS(supercb[Qtde],supercb[Item],tab_alimentos[[#This Row],[Item]],supercb[Bairro],mercado12)</f>
        <v>0</v>
      </c>
      <c r="X7" s="1">
        <f>SUMIFS(super1[Qtde],super1[Item],tab_alimentos[[#This Row],[Item]],super1[Bairro],mercado13)+SUMIFS(supercb[Qtde],supercb[Item],tab_alimentos[[#This Row],[Item]],supercb[Bairro],mercado13)</f>
        <v>0</v>
      </c>
      <c r="Y7" s="1">
        <f>SUMIFS(super1[Qtde],super1[Item],tab_alimentos[[#This Row],[Item]],super1[Bairro],mercado14)+SUMIFS(supercb[Qtde],supercb[Item],tab_alimentos[[#This Row],[Item]],supercb[Bairro],mercado14)</f>
        <v>0</v>
      </c>
      <c r="Z7" s="1">
        <f>SUMIFS(super1[Qtde],super1[Item],tab_alimentos[[#This Row],[Item]],super1[Bairro],mercado15)+SUMIFS(supercb[Qtde],supercb[Item],tab_alimentos[[#This Row],[Item]],supercb[Bairro],mercado15)</f>
        <v>0</v>
      </c>
      <c r="AA7" s="1">
        <f>SUMIFS(super1[Qtde],super1[Item],tab_alimentos[[#This Row],[Item]],super1[Bairro],mercado16)+SUMIFS(supercb[Qtde],supercb[Item],tab_alimentos[[#This Row],[Item]],supercb[Bairro],mercado16)</f>
        <v>0</v>
      </c>
      <c r="AB7" s="1">
        <f>SUMIFS(super1[Qtde],super1[Item],tab_alimentos[[#This Row],[Item]],super1[Bairro],mercado17)+SUMIFS(supercb[Qtde],supercb[Item],tab_alimentos[[#This Row],[Item]],supercb[Bairro],mercado17)</f>
        <v>0</v>
      </c>
      <c r="AC7" s="1">
        <f>SUMIFS(super1[Qtde],super1[Item],tab_alimentos[[#This Row],[Item]],super1[Bairro],mercado18)+SUMIFS(supercb[Qtde],supercb[Item],tab_alimentos[[#This Row],[Item]],supercb[Bairro],mercado18)</f>
        <v>0</v>
      </c>
      <c r="AD7" s="1">
        <f>SUMIFS(super1[Qtde],super1[Item],tab_alimentos[[#This Row],[Item]],super1[Bairro],extras)+SUMIFS(supercb[Qtde],supercb[Item],tab_alimentos[[#This Row],[Item]],supercb[Bairro],extras)</f>
        <v>0</v>
      </c>
      <c r="AE7" s="1">
        <f t="shared" si="0"/>
        <v>0</v>
      </c>
      <c r="AF7" s="1">
        <f t="shared" si="1"/>
        <v>0</v>
      </c>
      <c r="AG7" s="3">
        <f t="shared" si="2"/>
        <v>0</v>
      </c>
      <c r="AH7" s="25" t="str">
        <f>higiene[[#This Row],[Item]]</f>
        <v>Absorvente (15un)</v>
      </c>
      <c r="AI7" s="1">
        <f>IFERROR(higiene[[#This Row],[Kg equivalente]],0)</f>
        <v>1.7177813146654048</v>
      </c>
      <c r="AJ7" s="1">
        <f>IFERROR(higiene[[#This Row],[Preço por produto]],0)</f>
        <v>5.69</v>
      </c>
      <c r="AK7" s="1">
        <f>SUMIFS(super1[Qtde],super1[Item],tab_higiene[[#This Row],[Item]],super1[Bairro],mercado1)+SUMIFS(supercb[Qtde],supercb[Item],tab_higiene[[#This Row],[Item]],supercb[Bairro],mercado1)</f>
        <v>0</v>
      </c>
      <c r="AL7" s="1">
        <f>SUMIFS(super1[Qtde],super1[Item],tab_higiene[[#This Row],[Item]],super1[Bairro],mercado2)+SUMIFS(supercb[Qtde],supercb[Item],tab_higiene[[#This Row],[Item]],supercb[Bairro],mercado2)</f>
        <v>0</v>
      </c>
      <c r="AM7" s="1">
        <f>SUMIFS(super1[Qtde],super1[Item],tab_higiene[[#This Row],[Item]],super1[Bairro],mercado3)+SUMIFS(supercb[Qtde],supercb[Item],tab_higiene[[#This Row],[Item]],supercb[Bairro],mercado3)</f>
        <v>0</v>
      </c>
      <c r="AN7" s="1">
        <f>SUMIFS(super1[Qtde],super1[Item],tab_higiene[[#This Row],[Item]],super1[Bairro],mercado4)+SUMIFS(supercb[Qtde],supercb[Item],tab_higiene[[#This Row],[Item]],supercb[Bairro],mercado4)</f>
        <v>0</v>
      </c>
      <c r="AO7" s="1">
        <f>SUMIFS(super1[Qtde],super1[Item],tab_higiene[[#This Row],[Item]],super1[Bairro],mercado5)+SUMIFS(supercb[Qtde],supercb[Item],tab_higiene[[#This Row],[Item]],supercb[Bairro],mercado5)</f>
        <v>0</v>
      </c>
      <c r="AP7" s="1">
        <f>SUMIFS(super1[Qtde],super1[Item],tab_higiene[[#This Row],[Item]],super1[Bairro],mercado6)+SUMIFS(supercb[Qtde],supercb[Item],tab_higiene[[#This Row],[Item]],supercb[Bairro],mercado6)</f>
        <v>0</v>
      </c>
      <c r="AQ7" s="1">
        <f>SUMIFS(super1[Qtde],super1[Item],tab_higiene[[#This Row],[Item]],super1[Bairro],mercado7)+SUMIFS(supercb[Qtde],supercb[Item],tab_higiene[[#This Row],[Item]],supercb[Bairro],mercado7)</f>
        <v>0</v>
      </c>
      <c r="AR7" s="1">
        <f>SUMIFS(super1[Qtde],super1[Item],tab_higiene[[#This Row],[Item]],super1[Bairro],mercado8)+SUMIFS(supercb[Qtde],supercb[Item],tab_higiene[[#This Row],[Item]],supercb[Bairro],mercado8)</f>
        <v>0</v>
      </c>
      <c r="AS7" s="1">
        <f>SUMIFS(super1[Qtde],super1[Item],tab_higiene[[#This Row],[Item]],super1[Bairro],mercado9)+SUMIFS(supercb[Qtde],supercb[Item],tab_higiene[[#This Row],[Item]],supercb[Bairro],mercado9)</f>
        <v>0</v>
      </c>
      <c r="AT7" s="1">
        <f>SUMIFS(super1[Qtde],super1[Item],tab_higiene[[#This Row],[Item]],super1[Bairro],mercado10)+SUMIFS(supercb[Qtde],supercb[Item],tab_higiene[[#This Row],[Item]],supercb[Bairro],mercado10)</f>
        <v>1</v>
      </c>
      <c r="AU7" s="1">
        <f>SUMIFS(super1[Qtde],super1[Item],tab_higiene[[#This Row],[Item]],super1[Bairro],mercado11)+SUMIFS(supercb[Qtde],supercb[Item],tab_higiene[[#This Row],[Item]],supercb[Bairro],mercado11)</f>
        <v>0</v>
      </c>
      <c r="AV7" s="1">
        <f>SUMIFS(super1[Qtde],super1[Item],tab_higiene[[#This Row],[Item]],super1[Bairro],mercado12)+SUMIFS(supercb[Qtde],supercb[Item],tab_higiene[[#This Row],[Item]],supercb[Bairro],mercado12)</f>
        <v>0</v>
      </c>
      <c r="AW7" s="1">
        <f>SUMIFS(super1[Qtde],super1[Item],tab_higiene[[#This Row],[Item]],super1[Bairro],mercado13)+SUMIFS(supercb[Qtde],supercb[Item],tab_higiene[[#This Row],[Item]],supercb[Bairro],mercado13)</f>
        <v>0</v>
      </c>
      <c r="AX7" s="1">
        <f>SUMIFS(super1[Qtde],super1[Item],tab_higiene[[#This Row],[Item]],super1[Bairro],mercado14)+SUMIFS(supercb[Qtde],supercb[Item],tab_higiene[[#This Row],[Item]],supercb[Bairro],mercado14)</f>
        <v>0</v>
      </c>
      <c r="AY7" s="1">
        <f>SUMIFS(super1[Qtde],super1[Item],tab_higiene[[#This Row],[Item]],super1[Bairro],mercado15)+SUMIFS(supercb[Qtde],supercb[Item],tab_higiene[[#This Row],[Item]],supercb[Bairro],mercado15)</f>
        <v>0</v>
      </c>
      <c r="AZ7" s="1">
        <f>SUMIFS(super1[Qtde],super1[Item],tab_higiene[[#This Row],[Item]],super1[Bairro],mercado16)+SUMIFS(supercb[Qtde],supercb[Item],tab_higiene[[#This Row],[Item]],supercb[Bairro],mercado16)</f>
        <v>0</v>
      </c>
      <c r="BA7" s="1">
        <f>SUMIFS(super1[Qtde],super1[Item],tab_higiene[[#This Row],[Item]],super1[Bairro],mercado17)+SUMIFS(supercb[Qtde],supercb[Item],tab_higiene[[#This Row],[Item]],supercb[Bairro],mercado17)</f>
        <v>0</v>
      </c>
      <c r="BB7" s="1">
        <f>SUMIFS(super1[Qtde],super1[Item],tab_higiene[[#This Row],[Item]],super1[Bairro],mercado18)+SUMIFS(supercb[Qtde],supercb[Item],tab_higiene[[#This Row],[Item]],supercb[Bairro],mercado18)</f>
        <v>0</v>
      </c>
      <c r="BC7" s="1">
        <f>SUMIFS(super1[Qtde],super1[Item],tab_higiene[[#This Row],[Item]],super1[Bairro],extras)+SUMIFS(supercb[Qtde],supercb[Item],tab_higiene[[#This Row],[Item]],supercb[Bairro],extras)</f>
        <v>0</v>
      </c>
      <c r="BD7" s="1">
        <f t="shared" si="3"/>
        <v>1</v>
      </c>
      <c r="BE7" s="1">
        <f t="shared" si="4"/>
        <v>5.69</v>
      </c>
      <c r="BF7" s="26">
        <f t="shared" si="5"/>
        <v>1.7177813146654048</v>
      </c>
      <c r="BI7" s="33" t="str">
        <f>tab_alimentos[[#This Row],[Item]]</f>
        <v>Abacaxi em calda (830g)</v>
      </c>
      <c r="BJ7" s="33">
        <f t="shared" si="6"/>
        <v>17</v>
      </c>
      <c r="BK7" s="33" t="str">
        <f t="shared" si="7"/>
        <v>Abacaxi em calda</v>
      </c>
      <c r="BL7" s="33">
        <f>tab_alimentos[[#This Row],[kg]]</f>
        <v>0</v>
      </c>
      <c r="BM7" s="33" t="s">
        <v>270</v>
      </c>
      <c r="BN7" s="35">
        <f t="shared" si="11"/>
        <v>0</v>
      </c>
      <c r="BP7" s="33" t="str">
        <f>tab_higiene[[#This Row],[Item]]</f>
        <v>Absorvente (15un)</v>
      </c>
      <c r="BQ7" s="33">
        <f t="shared" si="8"/>
        <v>11</v>
      </c>
      <c r="BR7" s="33" t="str">
        <f t="shared" si="9"/>
        <v>Absorvente</v>
      </c>
      <c r="BS7" s="33">
        <f>higiene[[#This Row],[Quantidade]]</f>
        <v>15</v>
      </c>
      <c r="BT7" s="33">
        <f>tab_higiene[Qtde (tot)]</f>
        <v>1</v>
      </c>
      <c r="BU7" s="33">
        <f t="shared" si="12"/>
        <v>15</v>
      </c>
      <c r="BV7" s="37" t="s">
        <v>309</v>
      </c>
      <c r="BW7" s="33">
        <f t="shared" si="10"/>
        <v>116</v>
      </c>
    </row>
    <row r="8" spans="1:75" x14ac:dyDescent="0.25">
      <c r="A8" s="91"/>
      <c r="B8" s="28" t="s">
        <v>245</v>
      </c>
      <c r="C8" s="28" t="s">
        <v>246</v>
      </c>
      <c r="D8" s="28" t="s">
        <v>245</v>
      </c>
      <c r="E8" s="28" t="s">
        <v>246</v>
      </c>
      <c r="F8" s="28" t="s">
        <v>245</v>
      </c>
      <c r="G8" s="28" t="s">
        <v>246</v>
      </c>
      <c r="I8" s="25" t="str">
        <f>alimentos[[#This Row],[Item]]</f>
        <v>Achocolatado (1kg)</v>
      </c>
      <c r="J8" s="1">
        <f>IFERROR(alimentos[[#This Row],[kg/embalagem]],0)</f>
        <v>1</v>
      </c>
      <c r="K8" s="1">
        <f>IFERROR(alimentos[[#This Row],[Preço]],0)</f>
        <v>12.191999999999998</v>
      </c>
      <c r="L8" s="1">
        <f>SUMIFS(super1[Qtde],super1[Item],tab_alimentos[[#This Row],[Item]],super1[Bairro],mercado1)+SUMIFS(supercb[Qtde],supercb[Item],tab_alimentos[[#This Row],[Item]],supercb[Bairro],mercado1)</f>
        <v>0</v>
      </c>
      <c r="M8" s="1">
        <f>SUMIFS(super1[Qtde],super1[Item],tab_alimentos[[#This Row],[Item]],super1[Bairro],mercado2)+SUMIFS(supercb[Qtde],supercb[Item],tab_alimentos[[#This Row],[Item]],supercb[Bairro],mercado2)</f>
        <v>3</v>
      </c>
      <c r="N8" s="1">
        <f>SUMIFS(super1[Qtde],super1[Item],tab_alimentos[[#This Row],[Item]],super1[Bairro],mercado3)+SUMIFS(supercb[Qtde],supercb[Item],tab_alimentos[[#This Row],[Item]],supercb[Bairro],mercado3)</f>
        <v>0</v>
      </c>
      <c r="O8" s="1">
        <f>SUMIFS(super1[Qtde],super1[Item],tab_alimentos[[#This Row],[Item]],super1[Bairro],mercado4)+SUMIFS(supercb[Qtde],supercb[Item],tab_alimentos[[#This Row],[Item]],supercb[Bairro],mercado4)</f>
        <v>0</v>
      </c>
      <c r="P8" s="1">
        <f>SUMIFS(super1[Qtde],super1[Item],tab_alimentos[[#This Row],[Item]],super1[Bairro],mercado5)+SUMIFS(supercb[Qtde],supercb[Item],tab_alimentos[[#This Row],[Item]],supercb[Bairro],mercado5)</f>
        <v>2</v>
      </c>
      <c r="Q8" s="1">
        <f>SUMIFS(super1[Qtde],super1[Item],tab_alimentos[[#This Row],[Item]],super1[Bairro],mercado6)+SUMIFS(supercb[Qtde],supercb[Item],tab_alimentos[[#This Row],[Item]],supercb[Bairro],mercado6)</f>
        <v>3</v>
      </c>
      <c r="R8" s="1">
        <f>SUMIFS(super1[Qtde],super1[Item],tab_alimentos[[#This Row],[Item]],super1[Bairro],mercado7)+SUMIFS(supercb[Qtde],supercb[Item],tab_alimentos[[#This Row],[Item]],supercb[Bairro],mercado7)</f>
        <v>0</v>
      </c>
      <c r="S8" s="1">
        <f>SUMIFS(super1[Qtde],super1[Item],tab_alimentos[[#This Row],[Item]],super1[Bairro],mercado8)+SUMIFS(supercb[Qtde],supercb[Item],tab_alimentos[[#This Row],[Item]],supercb[Bairro],mercado8)</f>
        <v>3</v>
      </c>
      <c r="T8" s="1">
        <f>SUMIFS(super1[Qtde],super1[Item],tab_alimentos[[#This Row],[Item]],super1[Bairro],mercado9)+SUMIFS(supercb[Qtde],supercb[Item],tab_alimentos[[#This Row],[Item]],supercb[Bairro],mercado9)</f>
        <v>0</v>
      </c>
      <c r="U8" s="1">
        <f>SUMIFS(super1[Qtde],super1[Item],tab_alimentos[[#This Row],[Item]],super1[Bairro],mercado10)+SUMIFS(supercb[Qtde],supercb[Item],tab_alimentos[[#This Row],[Item]],supercb[Bairro],mercado10)</f>
        <v>1</v>
      </c>
      <c r="V8" s="1">
        <f>SUMIFS(super1[Qtde],super1[Item],tab_alimentos[[#This Row],[Item]],super1[Bairro],mercado11)+SUMIFS(supercb[Qtde],supercb[Item],tab_alimentos[[#This Row],[Item]],supercb[Bairro],mercado11)</f>
        <v>0</v>
      </c>
      <c r="W8" s="1">
        <f>SUMIFS(super1[Qtde],super1[Item],tab_alimentos[[#This Row],[Item]],super1[Bairro],mercado12)+SUMIFS(supercb[Qtde],supercb[Item],tab_alimentos[[#This Row],[Item]],supercb[Bairro],mercado12)</f>
        <v>0</v>
      </c>
      <c r="X8" s="1">
        <f>SUMIFS(super1[Qtde],super1[Item],tab_alimentos[[#This Row],[Item]],super1[Bairro],mercado13)+SUMIFS(supercb[Qtde],supercb[Item],tab_alimentos[[#This Row],[Item]],supercb[Bairro],mercado13)</f>
        <v>1</v>
      </c>
      <c r="Y8" s="1">
        <f>SUMIFS(super1[Qtde],super1[Item],tab_alimentos[[#This Row],[Item]],super1[Bairro],mercado14)+SUMIFS(supercb[Qtde],supercb[Item],tab_alimentos[[#This Row],[Item]],supercb[Bairro],mercado14)</f>
        <v>0</v>
      </c>
      <c r="Z8" s="1">
        <f>SUMIFS(super1[Qtde],super1[Item],tab_alimentos[[#This Row],[Item]],super1[Bairro],mercado15)+SUMIFS(supercb[Qtde],supercb[Item],tab_alimentos[[#This Row],[Item]],supercb[Bairro],mercado15)</f>
        <v>0</v>
      </c>
      <c r="AA8" s="1">
        <f>SUMIFS(super1[Qtde],super1[Item],tab_alimentos[[#This Row],[Item]],super1[Bairro],mercado16)+SUMIFS(supercb[Qtde],supercb[Item],tab_alimentos[[#This Row],[Item]],supercb[Bairro],mercado16)</f>
        <v>0</v>
      </c>
      <c r="AB8" s="1">
        <f>SUMIFS(super1[Qtde],super1[Item],tab_alimentos[[#This Row],[Item]],super1[Bairro],mercado17)+SUMIFS(supercb[Qtde],supercb[Item],tab_alimentos[[#This Row],[Item]],supercb[Bairro],mercado17)</f>
        <v>0</v>
      </c>
      <c r="AC8" s="1">
        <f>SUMIFS(super1[Qtde],super1[Item],tab_alimentos[[#This Row],[Item]],super1[Bairro],mercado18)+SUMIFS(supercb[Qtde],supercb[Item],tab_alimentos[[#This Row],[Item]],supercb[Bairro],mercado18)</f>
        <v>0</v>
      </c>
      <c r="AD8" s="1">
        <f>SUMIFS(super1[Qtde],super1[Item],tab_alimentos[[#This Row],[Item]],super1[Bairro],extras)+SUMIFS(supercb[Qtde],supercb[Item],tab_alimentos[[#This Row],[Item]],supercb[Bairro],extras)</f>
        <v>0</v>
      </c>
      <c r="AE8" s="1">
        <f t="shared" si="0"/>
        <v>13</v>
      </c>
      <c r="AF8" s="1">
        <f t="shared" si="1"/>
        <v>158.49599999999998</v>
      </c>
      <c r="AG8" s="3">
        <f t="shared" si="2"/>
        <v>13</v>
      </c>
      <c r="AH8" s="25" t="str">
        <f>higiene[[#This Row],[Item]]</f>
        <v>Absorvente (16un)</v>
      </c>
      <c r="AI8" s="1">
        <f>IFERROR(higiene[[#This Row],[Kg equivalente]],0)</f>
        <v>1.934541768783113</v>
      </c>
      <c r="AJ8" s="1">
        <f>IFERROR(higiene[[#This Row],[Preço por produto]],0)</f>
        <v>6.4079999999999995</v>
      </c>
      <c r="AK8" s="1">
        <f>SUMIFS(super1[Qtde],super1[Item],tab_higiene[[#This Row],[Item]],super1[Bairro],mercado1)+SUMIFS(supercb[Qtde],supercb[Item],tab_higiene[[#This Row],[Item]],supercb[Bairro],mercado1)</f>
        <v>2</v>
      </c>
      <c r="AL8" s="1">
        <f>SUMIFS(super1[Qtde],super1[Item],tab_higiene[[#This Row],[Item]],super1[Bairro],mercado2)+SUMIFS(supercb[Qtde],supercb[Item],tab_higiene[[#This Row],[Item]],supercb[Bairro],mercado2)</f>
        <v>0</v>
      </c>
      <c r="AM8" s="1">
        <f>SUMIFS(super1[Qtde],super1[Item],tab_higiene[[#This Row],[Item]],super1[Bairro],mercado3)+SUMIFS(supercb[Qtde],supercb[Item],tab_higiene[[#This Row],[Item]],supercb[Bairro],mercado3)</f>
        <v>0</v>
      </c>
      <c r="AN8" s="1">
        <f>SUMIFS(super1[Qtde],super1[Item],tab_higiene[[#This Row],[Item]],super1[Bairro],mercado4)+SUMIFS(supercb[Qtde],supercb[Item],tab_higiene[[#This Row],[Item]],supercb[Bairro],mercado4)</f>
        <v>0</v>
      </c>
      <c r="AO8" s="1">
        <f>SUMIFS(super1[Qtde],super1[Item],tab_higiene[[#This Row],[Item]],super1[Bairro],mercado5)+SUMIFS(supercb[Qtde],supercb[Item],tab_higiene[[#This Row],[Item]],supercb[Bairro],mercado5)</f>
        <v>0</v>
      </c>
      <c r="AP8" s="1">
        <f>SUMIFS(super1[Qtde],super1[Item],tab_higiene[[#This Row],[Item]],super1[Bairro],mercado6)+SUMIFS(supercb[Qtde],supercb[Item],tab_higiene[[#This Row],[Item]],supercb[Bairro],mercado6)</f>
        <v>0</v>
      </c>
      <c r="AQ8" s="1">
        <f>SUMIFS(super1[Qtde],super1[Item],tab_higiene[[#This Row],[Item]],super1[Bairro],mercado7)+SUMIFS(supercb[Qtde],supercb[Item],tab_higiene[[#This Row],[Item]],supercb[Bairro],mercado7)</f>
        <v>0</v>
      </c>
      <c r="AR8" s="1">
        <f>SUMIFS(super1[Qtde],super1[Item],tab_higiene[[#This Row],[Item]],super1[Bairro],mercado8)+SUMIFS(supercb[Qtde],supercb[Item],tab_higiene[[#This Row],[Item]],supercb[Bairro],mercado8)</f>
        <v>0</v>
      </c>
      <c r="AS8" s="1">
        <f>SUMIFS(super1[Qtde],super1[Item],tab_higiene[[#This Row],[Item]],super1[Bairro],mercado9)+SUMIFS(supercb[Qtde],supercb[Item],tab_higiene[[#This Row],[Item]],supercb[Bairro],mercado9)</f>
        <v>0</v>
      </c>
      <c r="AT8" s="1">
        <f>SUMIFS(super1[Qtde],super1[Item],tab_higiene[[#This Row],[Item]],super1[Bairro],mercado10)+SUMIFS(supercb[Qtde],supercb[Item],tab_higiene[[#This Row],[Item]],supercb[Bairro],mercado10)</f>
        <v>0</v>
      </c>
      <c r="AU8" s="1">
        <f>SUMIFS(super1[Qtde],super1[Item],tab_higiene[[#This Row],[Item]],super1[Bairro],mercado11)+SUMIFS(supercb[Qtde],supercb[Item],tab_higiene[[#This Row],[Item]],supercb[Bairro],mercado11)</f>
        <v>0</v>
      </c>
      <c r="AV8" s="1">
        <f>SUMIFS(super1[Qtde],super1[Item],tab_higiene[[#This Row],[Item]],super1[Bairro],mercado12)+SUMIFS(supercb[Qtde],supercb[Item],tab_higiene[[#This Row],[Item]],supercb[Bairro],mercado12)</f>
        <v>0</v>
      </c>
      <c r="AW8" s="1">
        <f>SUMIFS(super1[Qtde],super1[Item],tab_higiene[[#This Row],[Item]],super1[Bairro],mercado13)+SUMIFS(supercb[Qtde],supercb[Item],tab_higiene[[#This Row],[Item]],supercb[Bairro],mercado13)</f>
        <v>3</v>
      </c>
      <c r="AX8" s="1">
        <f>SUMIFS(super1[Qtde],super1[Item],tab_higiene[[#This Row],[Item]],super1[Bairro],mercado14)+SUMIFS(supercb[Qtde],supercb[Item],tab_higiene[[#This Row],[Item]],supercb[Bairro],mercado14)</f>
        <v>0</v>
      </c>
      <c r="AY8" s="1">
        <f>SUMIFS(super1[Qtde],super1[Item],tab_higiene[[#This Row],[Item]],super1[Bairro],mercado15)+SUMIFS(supercb[Qtde],supercb[Item],tab_higiene[[#This Row],[Item]],supercb[Bairro],mercado15)</f>
        <v>0</v>
      </c>
      <c r="AZ8" s="1">
        <f>SUMIFS(super1[Qtde],super1[Item],tab_higiene[[#This Row],[Item]],super1[Bairro],mercado16)+SUMIFS(supercb[Qtde],supercb[Item],tab_higiene[[#This Row],[Item]],supercb[Bairro],mercado16)</f>
        <v>0</v>
      </c>
      <c r="BA8" s="1">
        <f>SUMIFS(super1[Qtde],super1[Item],tab_higiene[[#This Row],[Item]],super1[Bairro],mercado17)+SUMIFS(supercb[Qtde],supercb[Item],tab_higiene[[#This Row],[Item]],supercb[Bairro],mercado17)</f>
        <v>0</v>
      </c>
      <c r="BB8" s="1">
        <f>SUMIFS(super1[Qtde],super1[Item],tab_higiene[[#This Row],[Item]],super1[Bairro],mercado18)+SUMIFS(supercb[Qtde],supercb[Item],tab_higiene[[#This Row],[Item]],supercb[Bairro],mercado18)</f>
        <v>0</v>
      </c>
      <c r="BC8" s="1">
        <f>SUMIFS(super1[Qtde],super1[Item],tab_higiene[[#This Row],[Item]],super1[Bairro],extras)+SUMIFS(supercb[Qtde],supercb[Item],tab_higiene[[#This Row],[Item]],supercb[Bairro],extras)</f>
        <v>0</v>
      </c>
      <c r="BD8" s="1">
        <f t="shared" si="3"/>
        <v>5</v>
      </c>
      <c r="BE8" s="1">
        <f t="shared" si="4"/>
        <v>32.04</v>
      </c>
      <c r="BF8" s="26">
        <f t="shared" si="5"/>
        <v>9.6727088439155651</v>
      </c>
      <c r="BI8" s="33" t="str">
        <f>tab_alimentos[[#This Row],[Item]]</f>
        <v>Achocolatado (1kg)</v>
      </c>
      <c r="BJ8" s="33">
        <f t="shared" si="6"/>
        <v>13</v>
      </c>
      <c r="BK8" s="33" t="str">
        <f t="shared" si="7"/>
        <v>Achocolatado</v>
      </c>
      <c r="BL8" s="33">
        <f>tab_alimentos[[#This Row],[kg]]</f>
        <v>13</v>
      </c>
      <c r="BM8" s="33" t="s">
        <v>1</v>
      </c>
      <c r="BN8" s="35">
        <f t="shared" si="11"/>
        <v>0</v>
      </c>
      <c r="BP8" s="33" t="str">
        <f>tab_higiene[[#This Row],[Item]]</f>
        <v>Absorvente (16un)</v>
      </c>
      <c r="BQ8" s="33">
        <f t="shared" si="8"/>
        <v>11</v>
      </c>
      <c r="BR8" s="33" t="str">
        <f t="shared" si="9"/>
        <v>Absorvente</v>
      </c>
      <c r="BS8" s="33">
        <f>higiene[[#This Row],[Quantidade]]</f>
        <v>16</v>
      </c>
      <c r="BT8" s="33">
        <f>tab_higiene[Qtde (tot)]</f>
        <v>5</v>
      </c>
      <c r="BU8" s="33">
        <f t="shared" si="12"/>
        <v>80</v>
      </c>
      <c r="BV8" s="37" t="s">
        <v>310</v>
      </c>
      <c r="BW8" s="33">
        <f t="shared" si="10"/>
        <v>1</v>
      </c>
    </row>
    <row r="9" spans="1:75" x14ac:dyDescent="0.25">
      <c r="A9" s="24" t="str">
        <f>tabMercados[[#This Row],[Supermercados]]</f>
        <v>Jaú Cidade Jardim</v>
      </c>
      <c r="B9" s="29">
        <f>SUMPRODUCT(tab_alimentos[kg/embalagem],tab_alimentos[Qtde (S1)])</f>
        <v>208.95999999999998</v>
      </c>
      <c r="C9" s="29">
        <f>SUMPRODUCT(tab_alimentos[Preço],tab_alimentos[Qtde (S1)])</f>
        <v>690.70516666666686</v>
      </c>
      <c r="D9" s="29">
        <f>SUMPRODUCT(tab_higiene[kg/embalagem],tab_higiene[Qtde (S1)])</f>
        <v>80.163530544096076</v>
      </c>
      <c r="E9" s="29">
        <f>SUMPRODUCT(tab_higiene[Preço],tab_higiene[Qtde (S1)])</f>
        <v>265.53466666666668</v>
      </c>
      <c r="F9" s="29">
        <f>B9+D9</f>
        <v>289.12353054409607</v>
      </c>
      <c r="G9" s="29">
        <f>C9+E9</f>
        <v>956.23983333333354</v>
      </c>
      <c r="I9" s="25" t="str">
        <f>alimentos[[#This Row],[Item]]</f>
        <v>Achocolatado (200g)</v>
      </c>
      <c r="J9" s="1">
        <f>IFERROR(alimentos[[#This Row],[kg/embalagem]],0)</f>
        <v>0.2</v>
      </c>
      <c r="K9" s="1">
        <f>IFERROR(alimentos[[#This Row],[Preço]],0)</f>
        <v>4.1900000000000004</v>
      </c>
      <c r="L9" s="1">
        <f>SUMIFS(super1[Qtde],super1[Item],tab_alimentos[[#This Row],[Item]],super1[Bairro],mercado1)+SUMIFS(supercb[Qtde],supercb[Item],tab_alimentos[[#This Row],[Item]],supercb[Bairro],mercado1)</f>
        <v>0</v>
      </c>
      <c r="M9" s="1">
        <f>SUMIFS(super1[Qtde],super1[Item],tab_alimentos[[#This Row],[Item]],super1[Bairro],mercado2)+SUMIFS(supercb[Qtde],supercb[Item],tab_alimentos[[#This Row],[Item]],supercb[Bairro],mercado2)</f>
        <v>0</v>
      </c>
      <c r="N9" s="1">
        <f>SUMIFS(super1[Qtde],super1[Item],tab_alimentos[[#This Row],[Item]],super1[Bairro],mercado3)+SUMIFS(supercb[Qtde],supercb[Item],tab_alimentos[[#This Row],[Item]],supercb[Bairro],mercado3)</f>
        <v>0</v>
      </c>
      <c r="O9" s="1">
        <f>SUMIFS(super1[Qtde],super1[Item],tab_alimentos[[#This Row],[Item]],super1[Bairro],mercado4)+SUMIFS(supercb[Qtde],supercb[Item],tab_alimentos[[#This Row],[Item]],supercb[Bairro],mercado4)</f>
        <v>0</v>
      </c>
      <c r="P9" s="1">
        <f>SUMIFS(super1[Qtde],super1[Item],tab_alimentos[[#This Row],[Item]],super1[Bairro],mercado5)+SUMIFS(supercb[Qtde],supercb[Item],tab_alimentos[[#This Row],[Item]],supercb[Bairro],mercado5)</f>
        <v>0</v>
      </c>
      <c r="Q9" s="1">
        <f>SUMIFS(super1[Qtde],super1[Item],tab_alimentos[[#This Row],[Item]],super1[Bairro],mercado6)+SUMIFS(supercb[Qtde],supercb[Item],tab_alimentos[[#This Row],[Item]],supercb[Bairro],mercado6)</f>
        <v>0</v>
      </c>
      <c r="R9" s="1">
        <f>SUMIFS(super1[Qtde],super1[Item],tab_alimentos[[#This Row],[Item]],super1[Bairro],mercado7)+SUMIFS(supercb[Qtde],supercb[Item],tab_alimentos[[#This Row],[Item]],supercb[Bairro],mercado7)</f>
        <v>0</v>
      </c>
      <c r="S9" s="1">
        <f>SUMIFS(super1[Qtde],super1[Item],tab_alimentos[[#This Row],[Item]],super1[Bairro],mercado8)+SUMIFS(supercb[Qtde],supercb[Item],tab_alimentos[[#This Row],[Item]],supercb[Bairro],mercado8)</f>
        <v>0</v>
      </c>
      <c r="T9" s="1">
        <f>SUMIFS(super1[Qtde],super1[Item],tab_alimentos[[#This Row],[Item]],super1[Bairro],mercado9)+SUMIFS(supercb[Qtde],supercb[Item],tab_alimentos[[#This Row],[Item]],supercb[Bairro],mercado9)</f>
        <v>0</v>
      </c>
      <c r="U9" s="1">
        <f>SUMIFS(super1[Qtde],super1[Item],tab_alimentos[[#This Row],[Item]],super1[Bairro],mercado10)+SUMIFS(supercb[Qtde],supercb[Item],tab_alimentos[[#This Row],[Item]],supercb[Bairro],mercado10)</f>
        <v>0</v>
      </c>
      <c r="V9" s="1">
        <f>SUMIFS(super1[Qtde],super1[Item],tab_alimentos[[#This Row],[Item]],super1[Bairro],mercado11)+SUMIFS(supercb[Qtde],supercb[Item],tab_alimentos[[#This Row],[Item]],supercb[Bairro],mercado11)</f>
        <v>0</v>
      </c>
      <c r="W9" s="1">
        <f>SUMIFS(super1[Qtde],super1[Item],tab_alimentos[[#This Row],[Item]],super1[Bairro],mercado12)+SUMIFS(supercb[Qtde],supercb[Item],tab_alimentos[[#This Row],[Item]],supercb[Bairro],mercado12)</f>
        <v>0</v>
      </c>
      <c r="X9" s="1">
        <f>SUMIFS(super1[Qtde],super1[Item],tab_alimentos[[#This Row],[Item]],super1[Bairro],mercado13)+SUMIFS(supercb[Qtde],supercb[Item],tab_alimentos[[#This Row],[Item]],supercb[Bairro],mercado13)</f>
        <v>0</v>
      </c>
      <c r="Y9" s="1">
        <f>SUMIFS(super1[Qtde],super1[Item],tab_alimentos[[#This Row],[Item]],super1[Bairro],mercado14)+SUMIFS(supercb[Qtde],supercb[Item],tab_alimentos[[#This Row],[Item]],supercb[Bairro],mercado14)</f>
        <v>0</v>
      </c>
      <c r="Z9" s="1">
        <f>SUMIFS(super1[Qtde],super1[Item],tab_alimentos[[#This Row],[Item]],super1[Bairro],mercado15)+SUMIFS(supercb[Qtde],supercb[Item],tab_alimentos[[#This Row],[Item]],supercb[Bairro],mercado15)</f>
        <v>0</v>
      </c>
      <c r="AA9" s="1">
        <f>SUMIFS(super1[Qtde],super1[Item],tab_alimentos[[#This Row],[Item]],super1[Bairro],mercado16)+SUMIFS(supercb[Qtde],supercb[Item],tab_alimentos[[#This Row],[Item]],supercb[Bairro],mercado16)</f>
        <v>0</v>
      </c>
      <c r="AB9" s="1">
        <f>SUMIFS(super1[Qtde],super1[Item],tab_alimentos[[#This Row],[Item]],super1[Bairro],mercado17)+SUMIFS(supercb[Qtde],supercb[Item],tab_alimentos[[#This Row],[Item]],supercb[Bairro],mercado17)</f>
        <v>0</v>
      </c>
      <c r="AC9" s="1">
        <f>SUMIFS(super1[Qtde],super1[Item],tab_alimentos[[#This Row],[Item]],super1[Bairro],mercado18)+SUMIFS(supercb[Qtde],supercb[Item],tab_alimentos[[#This Row],[Item]],supercb[Bairro],mercado18)</f>
        <v>0</v>
      </c>
      <c r="AD9" s="1">
        <f>SUMIFS(super1[Qtde],super1[Item],tab_alimentos[[#This Row],[Item]],super1[Bairro],extras)+SUMIFS(supercb[Qtde],supercb[Item],tab_alimentos[[#This Row],[Item]],supercb[Bairro],extras)</f>
        <v>0</v>
      </c>
      <c r="AE9" s="1">
        <f t="shared" si="0"/>
        <v>0</v>
      </c>
      <c r="AF9" s="1">
        <f t="shared" si="1"/>
        <v>0</v>
      </c>
      <c r="AG9" s="3">
        <f t="shared" si="2"/>
        <v>0</v>
      </c>
      <c r="AH9" s="25" t="str">
        <f>higiene[[#This Row],[Item]]</f>
        <v>Absorvente (32un)</v>
      </c>
      <c r="AI9" s="1">
        <f>IFERROR(higiene[[#This Row],[Kg equivalente]],0)</f>
        <v>4.3376242406173171</v>
      </c>
      <c r="AJ9" s="1">
        <f>IFERROR(higiene[[#This Row],[Preço por produto]],0)</f>
        <v>14.368</v>
      </c>
      <c r="AK9" s="1">
        <f>SUMIFS(super1[Qtde],super1[Item],tab_higiene[[#This Row],[Item]],super1[Bairro],mercado1)+SUMIFS(supercb[Qtde],supercb[Item],tab_higiene[[#This Row],[Item]],supercb[Bairro],mercado1)</f>
        <v>0</v>
      </c>
      <c r="AL9" s="1">
        <f>SUMIFS(super1[Qtde],super1[Item],tab_higiene[[#This Row],[Item]],super1[Bairro],mercado2)+SUMIFS(supercb[Qtde],supercb[Item],tab_higiene[[#This Row],[Item]],supercb[Bairro],mercado2)</f>
        <v>0</v>
      </c>
      <c r="AM9" s="1">
        <f>SUMIFS(super1[Qtde],super1[Item],tab_higiene[[#This Row],[Item]],super1[Bairro],mercado3)+SUMIFS(supercb[Qtde],supercb[Item],tab_higiene[[#This Row],[Item]],supercb[Bairro],mercado3)</f>
        <v>0</v>
      </c>
      <c r="AN9" s="1">
        <f>SUMIFS(super1[Qtde],super1[Item],tab_higiene[[#This Row],[Item]],super1[Bairro],mercado4)+SUMIFS(supercb[Qtde],supercb[Item],tab_higiene[[#This Row],[Item]],supercb[Bairro],mercado4)</f>
        <v>0</v>
      </c>
      <c r="AO9" s="1">
        <f>SUMIFS(super1[Qtde],super1[Item],tab_higiene[[#This Row],[Item]],super1[Bairro],mercado5)+SUMIFS(supercb[Qtde],supercb[Item],tab_higiene[[#This Row],[Item]],supercb[Bairro],mercado5)</f>
        <v>0</v>
      </c>
      <c r="AP9" s="1">
        <f>SUMIFS(super1[Qtde],super1[Item],tab_higiene[[#This Row],[Item]],super1[Bairro],mercado6)+SUMIFS(supercb[Qtde],supercb[Item],tab_higiene[[#This Row],[Item]],supercb[Bairro],mercado6)</f>
        <v>0</v>
      </c>
      <c r="AQ9" s="1">
        <f>SUMIFS(super1[Qtde],super1[Item],tab_higiene[[#This Row],[Item]],super1[Bairro],mercado7)+SUMIFS(supercb[Qtde],supercb[Item],tab_higiene[[#This Row],[Item]],supercb[Bairro],mercado7)</f>
        <v>0</v>
      </c>
      <c r="AR9" s="1">
        <f>SUMIFS(super1[Qtde],super1[Item],tab_higiene[[#This Row],[Item]],super1[Bairro],mercado8)+SUMIFS(supercb[Qtde],supercb[Item],tab_higiene[[#This Row],[Item]],supercb[Bairro],mercado8)</f>
        <v>0</v>
      </c>
      <c r="AS9" s="1">
        <f>SUMIFS(super1[Qtde],super1[Item],tab_higiene[[#This Row],[Item]],super1[Bairro],mercado9)+SUMIFS(supercb[Qtde],supercb[Item],tab_higiene[[#This Row],[Item]],supercb[Bairro],mercado9)</f>
        <v>0</v>
      </c>
      <c r="AT9" s="1">
        <f>SUMIFS(super1[Qtde],super1[Item],tab_higiene[[#This Row],[Item]],super1[Bairro],mercado10)+SUMIFS(supercb[Qtde],supercb[Item],tab_higiene[[#This Row],[Item]],supercb[Bairro],mercado10)</f>
        <v>1</v>
      </c>
      <c r="AU9" s="1">
        <f>SUMIFS(super1[Qtde],super1[Item],tab_higiene[[#This Row],[Item]],super1[Bairro],mercado11)+SUMIFS(supercb[Qtde],supercb[Item],tab_higiene[[#This Row],[Item]],supercb[Bairro],mercado11)</f>
        <v>0</v>
      </c>
      <c r="AV9" s="1">
        <f>SUMIFS(super1[Qtde],super1[Item],tab_higiene[[#This Row],[Item]],super1[Bairro],mercado12)+SUMIFS(supercb[Qtde],supercb[Item],tab_higiene[[#This Row],[Item]],supercb[Bairro],mercado12)</f>
        <v>0</v>
      </c>
      <c r="AW9" s="1">
        <f>SUMIFS(super1[Qtde],super1[Item],tab_higiene[[#This Row],[Item]],super1[Bairro],mercado13)+SUMIFS(supercb[Qtde],supercb[Item],tab_higiene[[#This Row],[Item]],supercb[Bairro],mercado13)</f>
        <v>1</v>
      </c>
      <c r="AX9" s="1">
        <f>SUMIFS(super1[Qtde],super1[Item],tab_higiene[[#This Row],[Item]],super1[Bairro],mercado14)+SUMIFS(supercb[Qtde],supercb[Item],tab_higiene[[#This Row],[Item]],supercb[Bairro],mercado14)</f>
        <v>0</v>
      </c>
      <c r="AY9" s="1">
        <f>SUMIFS(super1[Qtde],super1[Item],tab_higiene[[#This Row],[Item]],super1[Bairro],mercado15)+SUMIFS(supercb[Qtde],supercb[Item],tab_higiene[[#This Row],[Item]],supercb[Bairro],mercado15)</f>
        <v>0</v>
      </c>
      <c r="AZ9" s="1">
        <f>SUMIFS(super1[Qtde],super1[Item],tab_higiene[[#This Row],[Item]],super1[Bairro],mercado16)+SUMIFS(supercb[Qtde],supercb[Item],tab_higiene[[#This Row],[Item]],supercb[Bairro],mercado16)</f>
        <v>0</v>
      </c>
      <c r="BA9" s="1">
        <f>SUMIFS(super1[Qtde],super1[Item],tab_higiene[[#This Row],[Item]],super1[Bairro],mercado17)+SUMIFS(supercb[Qtde],supercb[Item],tab_higiene[[#This Row],[Item]],supercb[Bairro],mercado17)</f>
        <v>0</v>
      </c>
      <c r="BB9" s="1">
        <f>SUMIFS(super1[Qtde],super1[Item],tab_higiene[[#This Row],[Item]],super1[Bairro],mercado18)+SUMIFS(supercb[Qtde],supercb[Item],tab_higiene[[#This Row],[Item]],supercb[Bairro],mercado18)</f>
        <v>0</v>
      </c>
      <c r="BC9" s="1">
        <f>SUMIFS(super1[Qtde],super1[Item],tab_higiene[[#This Row],[Item]],super1[Bairro],extras)+SUMIFS(supercb[Qtde],supercb[Item],tab_higiene[[#This Row],[Item]],supercb[Bairro],extras)</f>
        <v>0</v>
      </c>
      <c r="BD9" s="1">
        <f t="shared" si="3"/>
        <v>2</v>
      </c>
      <c r="BE9" s="1">
        <f t="shared" si="4"/>
        <v>28.736000000000001</v>
      </c>
      <c r="BF9" s="26">
        <f t="shared" si="5"/>
        <v>8.6752484812346342</v>
      </c>
      <c r="BI9" s="33" t="str">
        <f>tab_alimentos[[#This Row],[Item]]</f>
        <v>Achocolatado (200g)</v>
      </c>
      <c r="BJ9" s="33">
        <f t="shared" si="6"/>
        <v>13</v>
      </c>
      <c r="BK9" s="33" t="str">
        <f t="shared" si="7"/>
        <v>Achocolatado</v>
      </c>
      <c r="BL9" s="33">
        <f>tab_alimentos[[#This Row],[kg]]</f>
        <v>0</v>
      </c>
      <c r="BM9" s="33" t="s">
        <v>271</v>
      </c>
      <c r="BN9" s="35">
        <f t="shared" si="11"/>
        <v>0</v>
      </c>
      <c r="BP9" s="33" t="str">
        <f>tab_higiene[[#This Row],[Item]]</f>
        <v>Absorvente (32un)</v>
      </c>
      <c r="BQ9" s="33">
        <f t="shared" si="8"/>
        <v>11</v>
      </c>
      <c r="BR9" s="33" t="str">
        <f t="shared" si="9"/>
        <v>Absorvente</v>
      </c>
      <c r="BS9" s="33">
        <f>higiene[[#This Row],[Quantidade]]</f>
        <v>32</v>
      </c>
      <c r="BT9" s="33">
        <f>tab_higiene[Qtde (tot)]</f>
        <v>2</v>
      </c>
      <c r="BU9" s="33">
        <f t="shared" si="12"/>
        <v>64</v>
      </c>
      <c r="BV9" s="37" t="s">
        <v>311</v>
      </c>
      <c r="BW9" s="33">
        <f t="shared" si="10"/>
        <v>0</v>
      </c>
    </row>
    <row r="10" spans="1:75" x14ac:dyDescent="0.25">
      <c r="A10" s="24" t="str">
        <f>tabMercados[[#This Row],[Supermercados]]</f>
        <v>Jaú Padre Teixeira</v>
      </c>
      <c r="B10" s="29">
        <f>SUMPRODUCT(tab_alimentos[kg/embalagem],tab_alimentos[Qtde (S2)])</f>
        <v>280.66000000000003</v>
      </c>
      <c r="C10" s="29">
        <f>SUMPRODUCT(tab_alimentos[Preço],tab_alimentos[Qtde (S2)])</f>
        <v>900.12983333333341</v>
      </c>
      <c r="D10" s="29">
        <f>SUMPRODUCT(tab_higiene[kg/embalagem],tab_higiene[Qtde (S2)])</f>
        <v>115.74062312899228</v>
      </c>
      <c r="E10" s="29">
        <f>SUMPRODUCT(tab_higiene[Preço],tab_higiene[Qtde (S2)])</f>
        <v>383.38066666666674</v>
      </c>
      <c r="F10" s="29">
        <f t="shared" ref="F10:G23" si="13">B10+D10</f>
        <v>396.40062312899232</v>
      </c>
      <c r="G10" s="29">
        <f t="shared" si="13"/>
        <v>1283.5105000000001</v>
      </c>
      <c r="I10" s="25" t="str">
        <f>alimentos[[#This Row],[Item]]</f>
        <v>Achocolatado (300g)</v>
      </c>
      <c r="J10" s="1">
        <f>IFERROR(alimentos[[#This Row],[kg/embalagem]],0)</f>
        <v>0.3</v>
      </c>
      <c r="K10" s="1">
        <f>IFERROR(alimentos[[#This Row],[Preço]],0)</f>
        <v>7.0175000000000001</v>
      </c>
      <c r="L10" s="1">
        <f>SUMIFS(super1[Qtde],super1[Item],tab_alimentos[[#This Row],[Item]],super1[Bairro],mercado1)+SUMIFS(supercb[Qtde],supercb[Item],tab_alimentos[[#This Row],[Item]],supercb[Bairro],mercado1)</f>
        <v>0</v>
      </c>
      <c r="M10" s="1">
        <f>SUMIFS(super1[Qtde],super1[Item],tab_alimentos[[#This Row],[Item]],super1[Bairro],mercado2)+SUMIFS(supercb[Qtde],supercb[Item],tab_alimentos[[#This Row],[Item]],supercb[Bairro],mercado2)</f>
        <v>0</v>
      </c>
      <c r="N10" s="1">
        <f>SUMIFS(super1[Qtde],super1[Item],tab_alimentos[[#This Row],[Item]],super1[Bairro],mercado3)+SUMIFS(supercb[Qtde],supercb[Item],tab_alimentos[[#This Row],[Item]],supercb[Bairro],mercado3)</f>
        <v>0</v>
      </c>
      <c r="O10" s="1">
        <f>SUMIFS(super1[Qtde],super1[Item],tab_alimentos[[#This Row],[Item]],super1[Bairro],mercado4)+SUMIFS(supercb[Qtde],supercb[Item],tab_alimentos[[#This Row],[Item]],supercb[Bairro],mercado4)</f>
        <v>0</v>
      </c>
      <c r="P10" s="1">
        <f>SUMIFS(super1[Qtde],super1[Item],tab_alimentos[[#This Row],[Item]],super1[Bairro],mercado5)+SUMIFS(supercb[Qtde],supercb[Item],tab_alimentos[[#This Row],[Item]],supercb[Bairro],mercado5)</f>
        <v>0</v>
      </c>
      <c r="Q10" s="1">
        <f>SUMIFS(super1[Qtde],super1[Item],tab_alimentos[[#This Row],[Item]],super1[Bairro],mercado6)+SUMIFS(supercb[Qtde],supercb[Item],tab_alimentos[[#This Row],[Item]],supercb[Bairro],mercado6)</f>
        <v>0</v>
      </c>
      <c r="R10" s="1">
        <f>SUMIFS(super1[Qtde],super1[Item],tab_alimentos[[#This Row],[Item]],super1[Bairro],mercado7)+SUMIFS(supercb[Qtde],supercb[Item],tab_alimentos[[#This Row],[Item]],supercb[Bairro],mercado7)</f>
        <v>0</v>
      </c>
      <c r="S10" s="1">
        <f>SUMIFS(super1[Qtde],super1[Item],tab_alimentos[[#This Row],[Item]],super1[Bairro],mercado8)+SUMIFS(supercb[Qtde],supercb[Item],tab_alimentos[[#This Row],[Item]],supercb[Bairro],mercado8)</f>
        <v>0</v>
      </c>
      <c r="T10" s="1">
        <f>SUMIFS(super1[Qtde],super1[Item],tab_alimentos[[#This Row],[Item]],super1[Bairro],mercado9)+SUMIFS(supercb[Qtde],supercb[Item],tab_alimentos[[#This Row],[Item]],supercb[Bairro],mercado9)</f>
        <v>0</v>
      </c>
      <c r="U10" s="1">
        <f>SUMIFS(super1[Qtde],super1[Item],tab_alimentos[[#This Row],[Item]],super1[Bairro],mercado10)+SUMIFS(supercb[Qtde],supercb[Item],tab_alimentos[[#This Row],[Item]],supercb[Bairro],mercado10)</f>
        <v>0</v>
      </c>
      <c r="V10" s="1">
        <f>SUMIFS(super1[Qtde],super1[Item],tab_alimentos[[#This Row],[Item]],super1[Bairro],mercado11)+SUMIFS(supercb[Qtde],supercb[Item],tab_alimentos[[#This Row],[Item]],supercb[Bairro],mercado11)</f>
        <v>0</v>
      </c>
      <c r="W10" s="1">
        <f>SUMIFS(super1[Qtde],super1[Item],tab_alimentos[[#This Row],[Item]],super1[Bairro],mercado12)+SUMIFS(supercb[Qtde],supercb[Item],tab_alimentos[[#This Row],[Item]],supercb[Bairro],mercado12)</f>
        <v>0</v>
      </c>
      <c r="X10" s="1">
        <f>SUMIFS(super1[Qtde],super1[Item],tab_alimentos[[#This Row],[Item]],super1[Bairro],mercado13)+SUMIFS(supercb[Qtde],supercb[Item],tab_alimentos[[#This Row],[Item]],supercb[Bairro],mercado13)</f>
        <v>0</v>
      </c>
      <c r="Y10" s="1">
        <f>SUMIFS(super1[Qtde],super1[Item],tab_alimentos[[#This Row],[Item]],super1[Bairro],mercado14)+SUMIFS(supercb[Qtde],supercb[Item],tab_alimentos[[#This Row],[Item]],supercb[Bairro],mercado14)</f>
        <v>0</v>
      </c>
      <c r="Z10" s="1">
        <f>SUMIFS(super1[Qtde],super1[Item],tab_alimentos[[#This Row],[Item]],super1[Bairro],mercado15)+SUMIFS(supercb[Qtde],supercb[Item],tab_alimentos[[#This Row],[Item]],supercb[Bairro],mercado15)</f>
        <v>0</v>
      </c>
      <c r="AA10" s="1">
        <f>SUMIFS(super1[Qtde],super1[Item],tab_alimentos[[#This Row],[Item]],super1[Bairro],mercado16)+SUMIFS(supercb[Qtde],supercb[Item],tab_alimentos[[#This Row],[Item]],supercb[Bairro],mercado16)</f>
        <v>0</v>
      </c>
      <c r="AB10" s="1">
        <f>SUMIFS(super1[Qtde],super1[Item],tab_alimentos[[#This Row],[Item]],super1[Bairro],mercado17)+SUMIFS(supercb[Qtde],supercb[Item],tab_alimentos[[#This Row],[Item]],supercb[Bairro],mercado17)</f>
        <v>0</v>
      </c>
      <c r="AC10" s="1">
        <f>SUMIFS(super1[Qtde],super1[Item],tab_alimentos[[#This Row],[Item]],super1[Bairro],mercado18)+SUMIFS(supercb[Qtde],supercb[Item],tab_alimentos[[#This Row],[Item]],supercb[Bairro],mercado18)</f>
        <v>0</v>
      </c>
      <c r="AD10" s="1">
        <f>SUMIFS(super1[Qtde],super1[Item],tab_alimentos[[#This Row],[Item]],super1[Bairro],extras)+SUMIFS(supercb[Qtde],supercb[Item],tab_alimentos[[#This Row],[Item]],supercb[Bairro],extras)</f>
        <v>0</v>
      </c>
      <c r="AE10" s="1">
        <f t="shared" si="0"/>
        <v>0</v>
      </c>
      <c r="AF10" s="1">
        <f t="shared" si="1"/>
        <v>0</v>
      </c>
      <c r="AG10" s="3">
        <f t="shared" si="2"/>
        <v>0</v>
      </c>
      <c r="AH10" s="25" t="str">
        <f>higiene[[#This Row],[Item]]</f>
        <v>Absorvente (36un)</v>
      </c>
      <c r="AI10" s="1">
        <f>IFERROR(higiene[[#This Row],[Kg equivalente]],0)</f>
        <v>6.1677104145191946</v>
      </c>
      <c r="AJ10" s="1">
        <f>IFERROR(higiene[[#This Row],[Preço por produto]],0)</f>
        <v>20.43</v>
      </c>
      <c r="AK10" s="1">
        <f>SUMIFS(super1[Qtde],super1[Item],tab_higiene[[#This Row],[Item]],super1[Bairro],mercado1)+SUMIFS(supercb[Qtde],supercb[Item],tab_higiene[[#This Row],[Item]],supercb[Bairro],mercado1)</f>
        <v>0</v>
      </c>
      <c r="AL10" s="1">
        <f>SUMIFS(super1[Qtde],super1[Item],tab_higiene[[#This Row],[Item]],super1[Bairro],mercado2)+SUMIFS(supercb[Qtde],supercb[Item],tab_higiene[[#This Row],[Item]],supercb[Bairro],mercado2)</f>
        <v>0</v>
      </c>
      <c r="AM10" s="1">
        <f>SUMIFS(super1[Qtde],super1[Item],tab_higiene[[#This Row],[Item]],super1[Bairro],mercado3)+SUMIFS(supercb[Qtde],supercb[Item],tab_higiene[[#This Row],[Item]],supercb[Bairro],mercado3)</f>
        <v>0</v>
      </c>
      <c r="AN10" s="1">
        <f>SUMIFS(super1[Qtde],super1[Item],tab_higiene[[#This Row],[Item]],super1[Bairro],mercado4)+SUMIFS(supercb[Qtde],supercb[Item],tab_higiene[[#This Row],[Item]],supercb[Bairro],mercado4)</f>
        <v>0</v>
      </c>
      <c r="AO10" s="1">
        <f>SUMIFS(super1[Qtde],super1[Item],tab_higiene[[#This Row],[Item]],super1[Bairro],mercado5)+SUMIFS(supercb[Qtde],supercb[Item],tab_higiene[[#This Row],[Item]],supercb[Bairro],mercado5)</f>
        <v>0</v>
      </c>
      <c r="AP10" s="1">
        <f>SUMIFS(super1[Qtde],super1[Item],tab_higiene[[#This Row],[Item]],super1[Bairro],mercado6)+SUMIFS(supercb[Qtde],supercb[Item],tab_higiene[[#This Row],[Item]],supercb[Bairro],mercado6)</f>
        <v>0</v>
      </c>
      <c r="AQ10" s="1">
        <f>SUMIFS(super1[Qtde],super1[Item],tab_higiene[[#This Row],[Item]],super1[Bairro],mercado7)+SUMIFS(supercb[Qtde],supercb[Item],tab_higiene[[#This Row],[Item]],supercb[Bairro],mercado7)</f>
        <v>0</v>
      </c>
      <c r="AR10" s="1">
        <f>SUMIFS(super1[Qtde],super1[Item],tab_higiene[[#This Row],[Item]],super1[Bairro],mercado8)+SUMIFS(supercb[Qtde],supercb[Item],tab_higiene[[#This Row],[Item]],supercb[Bairro],mercado8)</f>
        <v>0</v>
      </c>
      <c r="AS10" s="1">
        <f>SUMIFS(super1[Qtde],super1[Item],tab_higiene[[#This Row],[Item]],super1[Bairro],mercado9)+SUMIFS(supercb[Qtde],supercb[Item],tab_higiene[[#This Row],[Item]],supercb[Bairro],mercado9)</f>
        <v>0</v>
      </c>
      <c r="AT10" s="1">
        <f>SUMIFS(super1[Qtde],super1[Item],tab_higiene[[#This Row],[Item]],super1[Bairro],mercado10)+SUMIFS(supercb[Qtde],supercb[Item],tab_higiene[[#This Row],[Item]],supercb[Bairro],mercado10)</f>
        <v>0</v>
      </c>
      <c r="AU10" s="1">
        <f>SUMIFS(super1[Qtde],super1[Item],tab_higiene[[#This Row],[Item]],super1[Bairro],mercado11)+SUMIFS(supercb[Qtde],supercb[Item],tab_higiene[[#This Row],[Item]],supercb[Bairro],mercado11)</f>
        <v>0</v>
      </c>
      <c r="AV10" s="1">
        <f>SUMIFS(super1[Qtde],super1[Item],tab_higiene[[#This Row],[Item]],super1[Bairro],mercado12)+SUMIFS(supercb[Qtde],supercb[Item],tab_higiene[[#This Row],[Item]],supercb[Bairro],mercado12)</f>
        <v>0</v>
      </c>
      <c r="AW10" s="1">
        <f>SUMIFS(super1[Qtde],super1[Item],tab_higiene[[#This Row],[Item]],super1[Bairro],mercado13)+SUMIFS(supercb[Qtde],supercb[Item],tab_higiene[[#This Row],[Item]],supercb[Bairro],mercado13)</f>
        <v>0</v>
      </c>
      <c r="AX10" s="1">
        <f>SUMIFS(super1[Qtde],super1[Item],tab_higiene[[#This Row],[Item]],super1[Bairro],mercado14)+SUMIFS(supercb[Qtde],supercb[Item],tab_higiene[[#This Row],[Item]],supercb[Bairro],mercado14)</f>
        <v>0</v>
      </c>
      <c r="AY10" s="1">
        <f>SUMIFS(super1[Qtde],super1[Item],tab_higiene[[#This Row],[Item]],super1[Bairro],mercado15)+SUMIFS(supercb[Qtde],supercb[Item],tab_higiene[[#This Row],[Item]],supercb[Bairro],mercado15)</f>
        <v>0</v>
      </c>
      <c r="AZ10" s="1">
        <f>SUMIFS(super1[Qtde],super1[Item],tab_higiene[[#This Row],[Item]],super1[Bairro],mercado16)+SUMIFS(supercb[Qtde],supercb[Item],tab_higiene[[#This Row],[Item]],supercb[Bairro],mercado16)</f>
        <v>0</v>
      </c>
      <c r="BA10" s="1">
        <f>SUMIFS(super1[Qtde],super1[Item],tab_higiene[[#This Row],[Item]],super1[Bairro],mercado17)+SUMIFS(supercb[Qtde],supercb[Item],tab_higiene[[#This Row],[Item]],supercb[Bairro],mercado17)</f>
        <v>0</v>
      </c>
      <c r="BB10" s="1">
        <f>SUMIFS(super1[Qtde],super1[Item],tab_higiene[[#This Row],[Item]],super1[Bairro],mercado18)+SUMIFS(supercb[Qtde],supercb[Item],tab_higiene[[#This Row],[Item]],supercb[Bairro],mercado18)</f>
        <v>0</v>
      </c>
      <c r="BC10" s="1">
        <f>SUMIFS(super1[Qtde],super1[Item],tab_higiene[[#This Row],[Item]],super1[Bairro],extras)+SUMIFS(supercb[Qtde],supercb[Item],tab_higiene[[#This Row],[Item]],supercb[Bairro],extras)</f>
        <v>0</v>
      </c>
      <c r="BD10" s="1">
        <f t="shared" si="3"/>
        <v>0</v>
      </c>
      <c r="BE10" s="1">
        <f t="shared" si="4"/>
        <v>0</v>
      </c>
      <c r="BF10" s="26">
        <f t="shared" si="5"/>
        <v>0</v>
      </c>
      <c r="BI10" s="33" t="str">
        <f>tab_alimentos[[#This Row],[Item]]</f>
        <v>Achocolatado (300g)</v>
      </c>
      <c r="BJ10" s="33">
        <f t="shared" si="6"/>
        <v>13</v>
      </c>
      <c r="BK10" s="33" t="str">
        <f t="shared" si="7"/>
        <v>Achocolatado</v>
      </c>
      <c r="BL10" s="33">
        <f>tab_alimentos[[#This Row],[kg]]</f>
        <v>0</v>
      </c>
      <c r="BM10" s="37" t="s">
        <v>272</v>
      </c>
      <c r="BN10" s="35">
        <f t="shared" si="11"/>
        <v>0</v>
      </c>
      <c r="BP10" s="33" t="str">
        <f>tab_higiene[[#This Row],[Item]]</f>
        <v>Absorvente (36un)</v>
      </c>
      <c r="BQ10" s="33">
        <f t="shared" si="8"/>
        <v>11</v>
      </c>
      <c r="BR10" s="33" t="str">
        <f t="shared" si="9"/>
        <v>Absorvente</v>
      </c>
      <c r="BS10" s="33">
        <f>higiene[[#This Row],[Quantidade]]</f>
        <v>36</v>
      </c>
      <c r="BT10" s="33">
        <f>tab_higiene[Qtde (tot)]</f>
        <v>0</v>
      </c>
      <c r="BU10" s="33">
        <f t="shared" si="12"/>
        <v>0</v>
      </c>
      <c r="BV10" s="37" t="s">
        <v>312</v>
      </c>
      <c r="BW10" s="33">
        <f t="shared" si="10"/>
        <v>0</v>
      </c>
    </row>
    <row r="11" spans="1:75" x14ac:dyDescent="0.25">
      <c r="A11" s="24" t="str">
        <f>tabMercados[[#This Row],[Supermercados]]</f>
        <v>Jaú Raimundo Correa</v>
      </c>
      <c r="B11" s="29">
        <f>SUMPRODUCT(tab_alimentos[kg/embalagem],tab_alimentos[Qtde (S3)])</f>
        <v>101.48999999999998</v>
      </c>
      <c r="C11" s="29">
        <f>SUMPRODUCT(tab_alimentos[Preço],tab_alimentos[Qtde (S3)])</f>
        <v>339.22300000000001</v>
      </c>
      <c r="D11" s="29">
        <f>SUMPRODUCT(tab_higiene[kg/embalagem],tab_higiene[Qtde (S3)])</f>
        <v>60.99240677758894</v>
      </c>
      <c r="E11" s="29">
        <f>SUMPRODUCT(tab_higiene[Preço],tab_higiene[Qtde (S3)])</f>
        <v>202.03199999999995</v>
      </c>
      <c r="F11" s="29">
        <f t="shared" si="13"/>
        <v>162.48240677758892</v>
      </c>
      <c r="G11" s="29">
        <f t="shared" si="13"/>
        <v>541.255</v>
      </c>
      <c r="I11" s="25" t="str">
        <f>alimentos[[#This Row],[Item]]</f>
        <v>Achocolatado (400g)</v>
      </c>
      <c r="J11" s="1">
        <f>IFERROR(alimentos[[#This Row],[kg/embalagem]],0)</f>
        <v>0.4</v>
      </c>
      <c r="K11" s="1">
        <f>IFERROR(alimentos[[#This Row],[Preço]],0)</f>
        <v>3.8533333333333331</v>
      </c>
      <c r="L11" s="1">
        <f>SUMIFS(super1[Qtde],super1[Item],tab_alimentos[[#This Row],[Item]],super1[Bairro],mercado1)+SUMIFS(supercb[Qtde],supercb[Item],tab_alimentos[[#This Row],[Item]],supercb[Bairro],mercado1)</f>
        <v>2</v>
      </c>
      <c r="M11" s="1">
        <f>SUMIFS(super1[Qtde],super1[Item],tab_alimentos[[#This Row],[Item]],super1[Bairro],mercado2)+SUMIFS(supercb[Qtde],supercb[Item],tab_alimentos[[#This Row],[Item]],supercb[Bairro],mercado2)</f>
        <v>3</v>
      </c>
      <c r="N11" s="1">
        <f>SUMIFS(super1[Qtde],super1[Item],tab_alimentos[[#This Row],[Item]],super1[Bairro],mercado3)+SUMIFS(supercb[Qtde],supercb[Item],tab_alimentos[[#This Row],[Item]],supercb[Bairro],mercado3)</f>
        <v>1</v>
      </c>
      <c r="O11" s="1">
        <f>SUMIFS(super1[Qtde],super1[Item],tab_alimentos[[#This Row],[Item]],super1[Bairro],mercado4)+SUMIFS(supercb[Qtde],supercb[Item],tab_alimentos[[#This Row],[Item]],supercb[Bairro],mercado4)</f>
        <v>1</v>
      </c>
      <c r="P11" s="1">
        <f>SUMIFS(super1[Qtde],super1[Item],tab_alimentos[[#This Row],[Item]],super1[Bairro],mercado5)+SUMIFS(supercb[Qtde],supercb[Item],tab_alimentos[[#This Row],[Item]],supercb[Bairro],mercado5)</f>
        <v>9</v>
      </c>
      <c r="Q11" s="1">
        <f>SUMIFS(super1[Qtde],super1[Item],tab_alimentos[[#This Row],[Item]],super1[Bairro],mercado6)+SUMIFS(supercb[Qtde],supercb[Item],tab_alimentos[[#This Row],[Item]],supercb[Bairro],mercado6)</f>
        <v>2</v>
      </c>
      <c r="R11" s="1">
        <f>SUMIFS(super1[Qtde],super1[Item],tab_alimentos[[#This Row],[Item]],super1[Bairro],mercado7)+SUMIFS(supercb[Qtde],supercb[Item],tab_alimentos[[#This Row],[Item]],supercb[Bairro],mercado7)</f>
        <v>0</v>
      </c>
      <c r="S11" s="1">
        <f>SUMIFS(super1[Qtde],super1[Item],tab_alimentos[[#This Row],[Item]],super1[Bairro],mercado8)+SUMIFS(supercb[Qtde],supercb[Item],tab_alimentos[[#This Row],[Item]],supercb[Bairro],mercado8)</f>
        <v>3</v>
      </c>
      <c r="T11" s="1">
        <f>SUMIFS(super1[Qtde],super1[Item],tab_alimentos[[#This Row],[Item]],super1[Bairro],mercado9)+SUMIFS(supercb[Qtde],supercb[Item],tab_alimentos[[#This Row],[Item]],supercb[Bairro],mercado9)</f>
        <v>12</v>
      </c>
      <c r="U11" s="1">
        <f>SUMIFS(super1[Qtde],super1[Item],tab_alimentos[[#This Row],[Item]],super1[Bairro],mercado10)+SUMIFS(supercb[Qtde],supercb[Item],tab_alimentos[[#This Row],[Item]],supercb[Bairro],mercado10)</f>
        <v>6</v>
      </c>
      <c r="V11" s="1">
        <f>SUMIFS(super1[Qtde],super1[Item],tab_alimentos[[#This Row],[Item]],super1[Bairro],mercado11)+SUMIFS(supercb[Qtde],supercb[Item],tab_alimentos[[#This Row],[Item]],supercb[Bairro],mercado11)</f>
        <v>5</v>
      </c>
      <c r="W11" s="1">
        <f>SUMIFS(super1[Qtde],super1[Item],tab_alimentos[[#This Row],[Item]],super1[Bairro],mercado12)+SUMIFS(supercb[Qtde],supercb[Item],tab_alimentos[[#This Row],[Item]],supercb[Bairro],mercado12)</f>
        <v>0</v>
      </c>
      <c r="X11" s="1">
        <f>SUMIFS(super1[Qtde],super1[Item],tab_alimentos[[#This Row],[Item]],super1[Bairro],mercado13)+SUMIFS(supercb[Qtde],supercb[Item],tab_alimentos[[#This Row],[Item]],supercb[Bairro],mercado13)</f>
        <v>2</v>
      </c>
      <c r="Y11" s="1">
        <f>SUMIFS(super1[Qtde],super1[Item],tab_alimentos[[#This Row],[Item]],super1[Bairro],mercado14)+SUMIFS(supercb[Qtde],supercb[Item],tab_alimentos[[#This Row],[Item]],supercb[Bairro],mercado14)</f>
        <v>0</v>
      </c>
      <c r="Z11" s="1">
        <f>SUMIFS(super1[Qtde],super1[Item],tab_alimentos[[#This Row],[Item]],super1[Bairro],mercado15)+SUMIFS(supercb[Qtde],supercb[Item],tab_alimentos[[#This Row],[Item]],supercb[Bairro],mercado15)</f>
        <v>0</v>
      </c>
      <c r="AA11" s="1">
        <f>SUMIFS(super1[Qtde],super1[Item],tab_alimentos[[#This Row],[Item]],super1[Bairro],mercado16)+SUMIFS(supercb[Qtde],supercb[Item],tab_alimentos[[#This Row],[Item]],supercb[Bairro],mercado16)</f>
        <v>0</v>
      </c>
      <c r="AB11" s="1">
        <f>SUMIFS(super1[Qtde],super1[Item],tab_alimentos[[#This Row],[Item]],super1[Bairro],mercado17)+SUMIFS(supercb[Qtde],supercb[Item],tab_alimentos[[#This Row],[Item]],supercb[Bairro],mercado17)</f>
        <v>0</v>
      </c>
      <c r="AC11" s="1">
        <f>SUMIFS(super1[Qtde],super1[Item],tab_alimentos[[#This Row],[Item]],super1[Bairro],mercado18)+SUMIFS(supercb[Qtde],supercb[Item],tab_alimentos[[#This Row],[Item]],supercb[Bairro],mercado18)</f>
        <v>0</v>
      </c>
      <c r="AD11" s="1">
        <f>SUMIFS(super1[Qtde],super1[Item],tab_alimentos[[#This Row],[Item]],super1[Bairro],extras)+SUMIFS(supercb[Qtde],supercb[Item],tab_alimentos[[#This Row],[Item]],supercb[Bairro],extras)</f>
        <v>0</v>
      </c>
      <c r="AE11" s="1">
        <f t="shared" si="0"/>
        <v>46</v>
      </c>
      <c r="AF11" s="1">
        <f t="shared" si="1"/>
        <v>177.25333333333333</v>
      </c>
      <c r="AG11" s="3">
        <f t="shared" si="2"/>
        <v>18.400000000000002</v>
      </c>
      <c r="AH11" s="25" t="str">
        <f>higiene[[#This Row],[Item]]</f>
        <v>Absorvente (40 un)</v>
      </c>
      <c r="AI11" s="1">
        <f>IFERROR(higiene[[#This Row],[Kg equivalente]],0)</f>
        <v>2.8770572809773824</v>
      </c>
      <c r="AJ11" s="1">
        <f>IFERROR(higiene[[#This Row],[Preço por produto]],0)</f>
        <v>9.5299999999999994</v>
      </c>
      <c r="AK11" s="1">
        <f>SUMIFS(super1[Qtde],super1[Item],tab_higiene[[#This Row],[Item]],super1[Bairro],mercado1)+SUMIFS(supercb[Qtde],supercb[Item],tab_higiene[[#This Row],[Item]],supercb[Bairro],mercado1)</f>
        <v>0</v>
      </c>
      <c r="AL11" s="1">
        <f>SUMIFS(super1[Qtde],super1[Item],tab_higiene[[#This Row],[Item]],super1[Bairro],mercado2)+SUMIFS(supercb[Qtde],supercb[Item],tab_higiene[[#This Row],[Item]],supercb[Bairro],mercado2)</f>
        <v>0</v>
      </c>
      <c r="AM11" s="1">
        <f>SUMIFS(super1[Qtde],super1[Item],tab_higiene[[#This Row],[Item]],super1[Bairro],mercado3)+SUMIFS(supercb[Qtde],supercb[Item],tab_higiene[[#This Row],[Item]],supercb[Bairro],mercado3)</f>
        <v>0</v>
      </c>
      <c r="AN11" s="1">
        <f>SUMIFS(super1[Qtde],super1[Item],tab_higiene[[#This Row],[Item]],super1[Bairro],mercado4)+SUMIFS(supercb[Qtde],supercb[Item],tab_higiene[[#This Row],[Item]],supercb[Bairro],mercado4)</f>
        <v>0</v>
      </c>
      <c r="AO11" s="1">
        <f>SUMIFS(super1[Qtde],super1[Item],tab_higiene[[#This Row],[Item]],super1[Bairro],mercado5)+SUMIFS(supercb[Qtde],supercb[Item],tab_higiene[[#This Row],[Item]],supercb[Bairro],mercado5)</f>
        <v>0</v>
      </c>
      <c r="AP11" s="1">
        <f>SUMIFS(super1[Qtde],super1[Item],tab_higiene[[#This Row],[Item]],super1[Bairro],mercado6)+SUMIFS(supercb[Qtde],supercb[Item],tab_higiene[[#This Row],[Item]],supercb[Bairro],mercado6)</f>
        <v>0</v>
      </c>
      <c r="AQ11" s="1">
        <f>SUMIFS(super1[Qtde],super1[Item],tab_higiene[[#This Row],[Item]],super1[Bairro],mercado7)+SUMIFS(supercb[Qtde],supercb[Item],tab_higiene[[#This Row],[Item]],supercb[Bairro],mercado7)</f>
        <v>0</v>
      </c>
      <c r="AR11" s="1">
        <f>SUMIFS(super1[Qtde],super1[Item],tab_higiene[[#This Row],[Item]],super1[Bairro],mercado8)+SUMIFS(supercb[Qtde],supercb[Item],tab_higiene[[#This Row],[Item]],supercb[Bairro],mercado8)</f>
        <v>0</v>
      </c>
      <c r="AS11" s="1">
        <f>SUMIFS(super1[Qtde],super1[Item],tab_higiene[[#This Row],[Item]],super1[Bairro],mercado9)+SUMIFS(supercb[Qtde],supercb[Item],tab_higiene[[#This Row],[Item]],supercb[Bairro],mercado9)</f>
        <v>0</v>
      </c>
      <c r="AT11" s="1">
        <f>SUMIFS(super1[Qtde],super1[Item],tab_higiene[[#This Row],[Item]],super1[Bairro],mercado10)+SUMIFS(supercb[Qtde],supercb[Item],tab_higiene[[#This Row],[Item]],supercb[Bairro],mercado10)</f>
        <v>0</v>
      </c>
      <c r="AU11" s="1">
        <f>SUMIFS(super1[Qtde],super1[Item],tab_higiene[[#This Row],[Item]],super1[Bairro],mercado11)+SUMIFS(supercb[Qtde],supercb[Item],tab_higiene[[#This Row],[Item]],supercb[Bairro],mercado11)</f>
        <v>0</v>
      </c>
      <c r="AV11" s="1">
        <f>SUMIFS(super1[Qtde],super1[Item],tab_higiene[[#This Row],[Item]],super1[Bairro],mercado12)+SUMIFS(supercb[Qtde],supercb[Item],tab_higiene[[#This Row],[Item]],supercb[Bairro],mercado12)</f>
        <v>0</v>
      </c>
      <c r="AW11" s="1">
        <f>SUMIFS(super1[Qtde],super1[Item],tab_higiene[[#This Row],[Item]],super1[Bairro],mercado13)+SUMIFS(supercb[Qtde],supercb[Item],tab_higiene[[#This Row],[Item]],supercb[Bairro],mercado13)</f>
        <v>0</v>
      </c>
      <c r="AX11" s="1">
        <f>SUMIFS(super1[Qtde],super1[Item],tab_higiene[[#This Row],[Item]],super1[Bairro],mercado14)+SUMIFS(supercb[Qtde],supercb[Item],tab_higiene[[#This Row],[Item]],supercb[Bairro],mercado14)</f>
        <v>0</v>
      </c>
      <c r="AY11" s="1">
        <f>SUMIFS(super1[Qtde],super1[Item],tab_higiene[[#This Row],[Item]],super1[Bairro],mercado15)+SUMIFS(supercb[Qtde],supercb[Item],tab_higiene[[#This Row],[Item]],supercb[Bairro],mercado15)</f>
        <v>0</v>
      </c>
      <c r="AZ11" s="1">
        <f>SUMIFS(super1[Qtde],super1[Item],tab_higiene[[#This Row],[Item]],super1[Bairro],mercado16)+SUMIFS(supercb[Qtde],supercb[Item],tab_higiene[[#This Row],[Item]],supercb[Bairro],mercado16)</f>
        <v>0</v>
      </c>
      <c r="BA11" s="1">
        <f>SUMIFS(super1[Qtde],super1[Item],tab_higiene[[#This Row],[Item]],super1[Bairro],mercado17)+SUMIFS(supercb[Qtde],supercb[Item],tab_higiene[[#This Row],[Item]],supercb[Bairro],mercado17)</f>
        <v>0</v>
      </c>
      <c r="BB11" s="1">
        <f>SUMIFS(super1[Qtde],super1[Item],tab_higiene[[#This Row],[Item]],super1[Bairro],mercado18)+SUMIFS(supercb[Qtde],supercb[Item],tab_higiene[[#This Row],[Item]],supercb[Bairro],mercado18)</f>
        <v>0</v>
      </c>
      <c r="BC11" s="1">
        <f>SUMIFS(super1[Qtde],super1[Item],tab_higiene[[#This Row],[Item]],super1[Bairro],extras)+SUMIFS(supercb[Qtde],supercb[Item],tab_higiene[[#This Row],[Item]],supercb[Bairro],extras)</f>
        <v>0</v>
      </c>
      <c r="BD11" s="1">
        <f t="shared" si="3"/>
        <v>0</v>
      </c>
      <c r="BE11" s="1">
        <f t="shared" si="4"/>
        <v>0</v>
      </c>
      <c r="BF11" s="26">
        <f t="shared" si="5"/>
        <v>0</v>
      </c>
      <c r="BI11" s="33" t="str">
        <f>tab_alimentos[[#This Row],[Item]]</f>
        <v>Achocolatado (400g)</v>
      </c>
      <c r="BJ11" s="33">
        <f t="shared" si="6"/>
        <v>13</v>
      </c>
      <c r="BK11" s="33" t="str">
        <f t="shared" si="7"/>
        <v>Achocolatado</v>
      </c>
      <c r="BL11" s="33">
        <f>tab_alimentos[[#This Row],[kg]]</f>
        <v>18.400000000000002</v>
      </c>
      <c r="BM11" s="37" t="s">
        <v>6</v>
      </c>
      <c r="BN11" s="35">
        <f t="shared" si="11"/>
        <v>0</v>
      </c>
      <c r="BP11" s="33" t="str">
        <f>tab_higiene[[#This Row],[Item]]</f>
        <v>Absorvente (40 un)</v>
      </c>
      <c r="BQ11" s="33">
        <f t="shared" si="8"/>
        <v>11</v>
      </c>
      <c r="BR11" s="33" t="str">
        <f t="shared" si="9"/>
        <v>Absorvente</v>
      </c>
      <c r="BS11" s="33">
        <f>higiene[[#This Row],[Quantidade]]</f>
        <v>40</v>
      </c>
      <c r="BT11" s="33">
        <f>tab_higiene[Qtde (tot)]</f>
        <v>0</v>
      </c>
      <c r="BU11" s="33">
        <f t="shared" si="12"/>
        <v>0</v>
      </c>
      <c r="BV11" s="37" t="s">
        <v>313</v>
      </c>
      <c r="BW11" s="33">
        <f t="shared" si="10"/>
        <v>0</v>
      </c>
    </row>
    <row r="12" spans="1:75" x14ac:dyDescent="0.25">
      <c r="A12" s="24" t="str">
        <f>tabMercados[[#This Row],[Supermercados]]</f>
        <v>Jaú Redenção</v>
      </c>
      <c r="B12" s="29">
        <f>SUMPRODUCT(tab_alimentos[kg/embalagem],tab_alimentos[Qtde (S4)])</f>
        <v>227.64500000000001</v>
      </c>
      <c r="C12" s="29">
        <f>SUMPRODUCT(tab_alimentos[Preço],tab_alimentos[Qtde (S4)])</f>
        <v>759.20516666666663</v>
      </c>
      <c r="D12" s="29">
        <f>SUMPRODUCT(tab_higiene[kg/embalagem],tab_higiene[Qtde (S4)])</f>
        <v>133.51603699838446</v>
      </c>
      <c r="E12" s="29">
        <f>SUMPRODUCT(tab_higiene[Preço],tab_higiene[Qtde (S4)])</f>
        <v>442.26016666666669</v>
      </c>
      <c r="F12" s="29">
        <f t="shared" si="13"/>
        <v>361.16103699838447</v>
      </c>
      <c r="G12" s="29">
        <f t="shared" si="13"/>
        <v>1201.4653333333333</v>
      </c>
      <c r="I12" s="25" t="str">
        <f>alimentos[[#This Row],[Item]]</f>
        <v>Achocolatado (500g)</v>
      </c>
      <c r="J12" s="1">
        <f>IFERROR(alimentos[[#This Row],[kg/embalagem]],0)</f>
        <v>0.5</v>
      </c>
      <c r="K12" s="1">
        <f>IFERROR(alimentos[[#This Row],[Preço]],0)</f>
        <v>5.99</v>
      </c>
      <c r="L12" s="1">
        <f>SUMIFS(super1[Qtde],super1[Item],tab_alimentos[[#This Row],[Item]],super1[Bairro],mercado1)+SUMIFS(supercb[Qtde],supercb[Item],tab_alimentos[[#This Row],[Item]],supercb[Bairro],mercado1)</f>
        <v>0</v>
      </c>
      <c r="M12" s="1">
        <f>SUMIFS(super1[Qtde],super1[Item],tab_alimentos[[#This Row],[Item]],super1[Bairro],mercado2)+SUMIFS(supercb[Qtde],supercb[Item],tab_alimentos[[#This Row],[Item]],supercb[Bairro],mercado2)</f>
        <v>0</v>
      </c>
      <c r="N12" s="1">
        <f>SUMIFS(super1[Qtde],super1[Item],tab_alimentos[[#This Row],[Item]],super1[Bairro],mercado3)+SUMIFS(supercb[Qtde],supercb[Item],tab_alimentos[[#This Row],[Item]],supercb[Bairro],mercado3)</f>
        <v>0</v>
      </c>
      <c r="O12" s="1">
        <f>SUMIFS(super1[Qtde],super1[Item],tab_alimentos[[#This Row],[Item]],super1[Bairro],mercado4)+SUMIFS(supercb[Qtde],supercb[Item],tab_alimentos[[#This Row],[Item]],supercb[Bairro],mercado4)</f>
        <v>0</v>
      </c>
      <c r="P12" s="1">
        <f>SUMIFS(super1[Qtde],super1[Item],tab_alimentos[[#This Row],[Item]],super1[Bairro],mercado5)+SUMIFS(supercb[Qtde],supercb[Item],tab_alimentos[[#This Row],[Item]],supercb[Bairro],mercado5)</f>
        <v>0</v>
      </c>
      <c r="Q12" s="1">
        <f>SUMIFS(super1[Qtde],super1[Item],tab_alimentos[[#This Row],[Item]],super1[Bairro],mercado6)+SUMIFS(supercb[Qtde],supercb[Item],tab_alimentos[[#This Row],[Item]],supercb[Bairro],mercado6)</f>
        <v>0</v>
      </c>
      <c r="R12" s="1">
        <f>SUMIFS(super1[Qtde],super1[Item],tab_alimentos[[#This Row],[Item]],super1[Bairro],mercado7)+SUMIFS(supercb[Qtde],supercb[Item],tab_alimentos[[#This Row],[Item]],supercb[Bairro],mercado7)</f>
        <v>0</v>
      </c>
      <c r="S12" s="1">
        <f>SUMIFS(super1[Qtde],super1[Item],tab_alimentos[[#This Row],[Item]],super1[Bairro],mercado8)+SUMIFS(supercb[Qtde],supercb[Item],tab_alimentos[[#This Row],[Item]],supercb[Bairro],mercado8)</f>
        <v>0</v>
      </c>
      <c r="T12" s="1">
        <f>SUMIFS(super1[Qtde],super1[Item],tab_alimentos[[#This Row],[Item]],super1[Bairro],mercado9)+SUMIFS(supercb[Qtde],supercb[Item],tab_alimentos[[#This Row],[Item]],supercb[Bairro],mercado9)</f>
        <v>0</v>
      </c>
      <c r="U12" s="1">
        <f>SUMIFS(super1[Qtde],super1[Item],tab_alimentos[[#This Row],[Item]],super1[Bairro],mercado10)+SUMIFS(supercb[Qtde],supercb[Item],tab_alimentos[[#This Row],[Item]],supercb[Bairro],mercado10)</f>
        <v>0</v>
      </c>
      <c r="V12" s="1">
        <f>SUMIFS(super1[Qtde],super1[Item],tab_alimentos[[#This Row],[Item]],super1[Bairro],mercado11)+SUMIFS(supercb[Qtde],supercb[Item],tab_alimentos[[#This Row],[Item]],supercb[Bairro],mercado11)</f>
        <v>0</v>
      </c>
      <c r="W12" s="1">
        <f>SUMIFS(super1[Qtde],super1[Item],tab_alimentos[[#This Row],[Item]],super1[Bairro],mercado12)+SUMIFS(supercb[Qtde],supercb[Item],tab_alimentos[[#This Row],[Item]],supercb[Bairro],mercado12)</f>
        <v>0</v>
      </c>
      <c r="X12" s="1">
        <f>SUMIFS(super1[Qtde],super1[Item],tab_alimentos[[#This Row],[Item]],super1[Bairro],mercado13)+SUMIFS(supercb[Qtde],supercb[Item],tab_alimentos[[#This Row],[Item]],supercb[Bairro],mercado13)</f>
        <v>0</v>
      </c>
      <c r="Y12" s="1">
        <f>SUMIFS(super1[Qtde],super1[Item],tab_alimentos[[#This Row],[Item]],super1[Bairro],mercado14)+SUMIFS(supercb[Qtde],supercb[Item],tab_alimentos[[#This Row],[Item]],supercb[Bairro],mercado14)</f>
        <v>0</v>
      </c>
      <c r="Z12" s="1">
        <f>SUMIFS(super1[Qtde],super1[Item],tab_alimentos[[#This Row],[Item]],super1[Bairro],mercado15)+SUMIFS(supercb[Qtde],supercb[Item],tab_alimentos[[#This Row],[Item]],supercb[Bairro],mercado15)</f>
        <v>0</v>
      </c>
      <c r="AA12" s="1">
        <f>SUMIFS(super1[Qtde],super1[Item],tab_alimentos[[#This Row],[Item]],super1[Bairro],mercado16)+SUMIFS(supercb[Qtde],supercb[Item],tab_alimentos[[#This Row],[Item]],supercb[Bairro],mercado16)</f>
        <v>0</v>
      </c>
      <c r="AB12" s="1">
        <f>SUMIFS(super1[Qtde],super1[Item],tab_alimentos[[#This Row],[Item]],super1[Bairro],mercado17)+SUMIFS(supercb[Qtde],supercb[Item],tab_alimentos[[#This Row],[Item]],supercb[Bairro],mercado17)</f>
        <v>0</v>
      </c>
      <c r="AC12" s="1">
        <f>SUMIFS(super1[Qtde],super1[Item],tab_alimentos[[#This Row],[Item]],super1[Bairro],mercado18)+SUMIFS(supercb[Qtde],supercb[Item],tab_alimentos[[#This Row],[Item]],supercb[Bairro],mercado18)</f>
        <v>0</v>
      </c>
      <c r="AD12" s="1">
        <f>SUMIFS(super1[Qtde],super1[Item],tab_alimentos[[#This Row],[Item]],super1[Bairro],extras)+SUMIFS(supercb[Qtde],supercb[Item],tab_alimentos[[#This Row],[Item]],supercb[Bairro],extras)</f>
        <v>0</v>
      </c>
      <c r="AE12" s="1">
        <f t="shared" si="0"/>
        <v>0</v>
      </c>
      <c r="AF12" s="1">
        <f t="shared" si="1"/>
        <v>0</v>
      </c>
      <c r="AG12" s="3">
        <f t="shared" si="2"/>
        <v>0</v>
      </c>
      <c r="AH12" s="25" t="str">
        <f>higiene[[#This Row],[Item]]</f>
        <v>Absorvente (60un)</v>
      </c>
      <c r="AI12" s="1">
        <f>IFERROR(higiene[[#This Row],[Kg equivalente]],0)</f>
        <v>4.785032308865846</v>
      </c>
      <c r="AJ12" s="1">
        <f>IFERROR(higiene[[#This Row],[Preço por produto]],0)</f>
        <v>15.85</v>
      </c>
      <c r="AK12" s="1">
        <f>SUMIFS(super1[Qtde],super1[Item],tab_higiene[[#This Row],[Item]],super1[Bairro],mercado1)+SUMIFS(supercb[Qtde],supercb[Item],tab_higiene[[#This Row],[Item]],supercb[Bairro],mercado1)</f>
        <v>0</v>
      </c>
      <c r="AL12" s="1">
        <f>SUMIFS(super1[Qtde],super1[Item],tab_higiene[[#This Row],[Item]],super1[Bairro],mercado2)+SUMIFS(supercb[Qtde],supercb[Item],tab_higiene[[#This Row],[Item]],supercb[Bairro],mercado2)</f>
        <v>0</v>
      </c>
      <c r="AM12" s="1">
        <f>SUMIFS(super1[Qtde],super1[Item],tab_higiene[[#This Row],[Item]],super1[Bairro],mercado3)+SUMIFS(supercb[Qtde],supercb[Item],tab_higiene[[#This Row],[Item]],supercb[Bairro],mercado3)</f>
        <v>0</v>
      </c>
      <c r="AN12" s="1">
        <f>SUMIFS(super1[Qtde],super1[Item],tab_higiene[[#This Row],[Item]],super1[Bairro],mercado4)+SUMIFS(supercb[Qtde],supercb[Item],tab_higiene[[#This Row],[Item]],supercb[Bairro],mercado4)</f>
        <v>0</v>
      </c>
      <c r="AO12" s="1">
        <f>SUMIFS(super1[Qtde],super1[Item],tab_higiene[[#This Row],[Item]],super1[Bairro],mercado5)+SUMIFS(supercb[Qtde],supercb[Item],tab_higiene[[#This Row],[Item]],supercb[Bairro],mercado5)</f>
        <v>0</v>
      </c>
      <c r="AP12" s="1">
        <f>SUMIFS(super1[Qtde],super1[Item],tab_higiene[[#This Row],[Item]],super1[Bairro],mercado6)+SUMIFS(supercb[Qtde],supercb[Item],tab_higiene[[#This Row],[Item]],supercb[Bairro],mercado6)</f>
        <v>0</v>
      </c>
      <c r="AQ12" s="1">
        <f>SUMIFS(super1[Qtde],super1[Item],tab_higiene[[#This Row],[Item]],super1[Bairro],mercado7)+SUMIFS(supercb[Qtde],supercb[Item],tab_higiene[[#This Row],[Item]],supercb[Bairro],mercado7)</f>
        <v>0</v>
      </c>
      <c r="AR12" s="1">
        <f>SUMIFS(super1[Qtde],super1[Item],tab_higiene[[#This Row],[Item]],super1[Bairro],mercado8)+SUMIFS(supercb[Qtde],supercb[Item],tab_higiene[[#This Row],[Item]],supercb[Bairro],mercado8)</f>
        <v>0</v>
      </c>
      <c r="AS12" s="1">
        <f>SUMIFS(super1[Qtde],super1[Item],tab_higiene[[#This Row],[Item]],super1[Bairro],mercado9)+SUMIFS(supercb[Qtde],supercb[Item],tab_higiene[[#This Row],[Item]],supercb[Bairro],mercado9)</f>
        <v>0</v>
      </c>
      <c r="AT12" s="1">
        <f>SUMIFS(super1[Qtde],super1[Item],tab_higiene[[#This Row],[Item]],super1[Bairro],mercado10)+SUMIFS(supercb[Qtde],supercb[Item],tab_higiene[[#This Row],[Item]],supercb[Bairro],mercado10)</f>
        <v>0</v>
      </c>
      <c r="AU12" s="1">
        <f>SUMIFS(super1[Qtde],super1[Item],tab_higiene[[#This Row],[Item]],super1[Bairro],mercado11)+SUMIFS(supercb[Qtde],supercb[Item],tab_higiene[[#This Row],[Item]],supercb[Bairro],mercado11)</f>
        <v>0</v>
      </c>
      <c r="AV12" s="1">
        <f>SUMIFS(super1[Qtde],super1[Item],tab_higiene[[#This Row],[Item]],super1[Bairro],mercado12)+SUMIFS(supercb[Qtde],supercb[Item],tab_higiene[[#This Row],[Item]],supercb[Bairro],mercado12)</f>
        <v>0</v>
      </c>
      <c r="AW12" s="1">
        <f>SUMIFS(super1[Qtde],super1[Item],tab_higiene[[#This Row],[Item]],super1[Bairro],mercado13)+SUMIFS(supercb[Qtde],supercb[Item],tab_higiene[[#This Row],[Item]],supercb[Bairro],mercado13)</f>
        <v>0</v>
      </c>
      <c r="AX12" s="1">
        <f>SUMIFS(super1[Qtde],super1[Item],tab_higiene[[#This Row],[Item]],super1[Bairro],mercado14)+SUMIFS(supercb[Qtde],supercb[Item],tab_higiene[[#This Row],[Item]],supercb[Bairro],mercado14)</f>
        <v>0</v>
      </c>
      <c r="AY12" s="1">
        <f>SUMIFS(super1[Qtde],super1[Item],tab_higiene[[#This Row],[Item]],super1[Bairro],mercado15)+SUMIFS(supercb[Qtde],supercb[Item],tab_higiene[[#This Row],[Item]],supercb[Bairro],mercado15)</f>
        <v>0</v>
      </c>
      <c r="AZ12" s="1">
        <f>SUMIFS(super1[Qtde],super1[Item],tab_higiene[[#This Row],[Item]],super1[Bairro],mercado16)+SUMIFS(supercb[Qtde],supercb[Item],tab_higiene[[#This Row],[Item]],supercb[Bairro],mercado16)</f>
        <v>0</v>
      </c>
      <c r="BA12" s="1">
        <f>SUMIFS(super1[Qtde],super1[Item],tab_higiene[[#This Row],[Item]],super1[Bairro],mercado17)+SUMIFS(supercb[Qtde],supercb[Item],tab_higiene[[#This Row],[Item]],supercb[Bairro],mercado17)</f>
        <v>0</v>
      </c>
      <c r="BB12" s="1">
        <f>SUMIFS(super1[Qtde],super1[Item],tab_higiene[[#This Row],[Item]],super1[Bairro],mercado18)+SUMIFS(supercb[Qtde],supercb[Item],tab_higiene[[#This Row],[Item]],supercb[Bairro],mercado18)</f>
        <v>0</v>
      </c>
      <c r="BC12" s="1">
        <f>SUMIFS(super1[Qtde],super1[Item],tab_higiene[[#This Row],[Item]],super1[Bairro],extras)+SUMIFS(supercb[Qtde],supercb[Item],tab_higiene[[#This Row],[Item]],supercb[Bairro],extras)</f>
        <v>0</v>
      </c>
      <c r="BD12" s="1">
        <f t="shared" si="3"/>
        <v>0</v>
      </c>
      <c r="BE12" s="1">
        <f t="shared" si="4"/>
        <v>0</v>
      </c>
      <c r="BF12" s="26">
        <f t="shared" si="5"/>
        <v>0</v>
      </c>
      <c r="BI12" s="33" t="str">
        <f>tab_alimentos[[#This Row],[Item]]</f>
        <v>Achocolatado (500g)</v>
      </c>
      <c r="BJ12" s="33">
        <f t="shared" si="6"/>
        <v>13</v>
      </c>
      <c r="BK12" s="33" t="str">
        <f t="shared" si="7"/>
        <v>Achocolatado</v>
      </c>
      <c r="BL12" s="33">
        <f>tab_alimentos[[#This Row],[kg]]</f>
        <v>0</v>
      </c>
      <c r="BM12" s="37" t="s">
        <v>273</v>
      </c>
      <c r="BN12" s="35">
        <f t="shared" si="11"/>
        <v>0</v>
      </c>
      <c r="BP12" s="33" t="str">
        <f>tab_higiene[[#This Row],[Item]]</f>
        <v>Absorvente (60un)</v>
      </c>
      <c r="BQ12" s="33">
        <f t="shared" si="8"/>
        <v>11</v>
      </c>
      <c r="BR12" s="33" t="str">
        <f t="shared" si="9"/>
        <v>Absorvente</v>
      </c>
      <c r="BS12" s="33">
        <f>higiene[[#This Row],[Quantidade]]</f>
        <v>60</v>
      </c>
      <c r="BT12" s="33">
        <f>tab_higiene[Qtde (tot)]</f>
        <v>0</v>
      </c>
      <c r="BU12" s="33">
        <f t="shared" si="12"/>
        <v>0</v>
      </c>
      <c r="BV12" s="37" t="s">
        <v>314</v>
      </c>
      <c r="BW12" s="33">
        <f t="shared" si="10"/>
        <v>2.2000000000000002</v>
      </c>
    </row>
    <row r="13" spans="1:75" x14ac:dyDescent="0.25">
      <c r="A13" s="24" t="str">
        <f>tabMercados[[#This Row],[Supermercados]]</f>
        <v>Jaú Rodoviária</v>
      </c>
      <c r="B13" s="29">
        <f>SUMPRODUCT(tab_alimentos[kg/embalagem],tab_alimentos[Qtde (S5)])</f>
        <v>442.57</v>
      </c>
      <c r="C13" s="29">
        <f>SUMPRODUCT(tab_alimentos[Preço],tab_alimentos[Qtde (S5)])</f>
        <v>1513.7609999999997</v>
      </c>
      <c r="D13" s="29">
        <f>SUMPRODUCT(tab_higiene[kg/embalagem],tab_higiene[Qtde (S5)])</f>
        <v>387.40230393723397</v>
      </c>
      <c r="E13" s="29">
        <f>SUMPRODUCT(tab_higiene[Preço],tab_higiene[Qtde (S5)])</f>
        <v>1283.2361666666666</v>
      </c>
      <c r="F13" s="29">
        <f t="shared" si="13"/>
        <v>829.97230393723396</v>
      </c>
      <c r="G13" s="29">
        <f t="shared" si="13"/>
        <v>2796.9971666666661</v>
      </c>
      <c r="I13" s="25" t="str">
        <f>alimentos[[#This Row],[Item]]</f>
        <v>Achocolatado (700g)</v>
      </c>
      <c r="J13" s="1">
        <f>IFERROR(alimentos[[#This Row],[kg/embalagem]],0)</f>
        <v>0.7</v>
      </c>
      <c r="K13" s="1">
        <f>IFERROR(alimentos[[#This Row],[Preço]],0)</f>
        <v>7.2566666666666668</v>
      </c>
      <c r="L13" s="1">
        <f>SUMIFS(super1[Qtde],super1[Item],tab_alimentos[[#This Row],[Item]],super1[Bairro],mercado1)+SUMIFS(supercb[Qtde],supercb[Item],tab_alimentos[[#This Row],[Item]],supercb[Bairro],mercado1)</f>
        <v>0</v>
      </c>
      <c r="M13" s="1">
        <f>SUMIFS(super1[Qtde],super1[Item],tab_alimentos[[#This Row],[Item]],super1[Bairro],mercado2)+SUMIFS(supercb[Qtde],supercb[Item],tab_alimentos[[#This Row],[Item]],supercb[Bairro],mercado2)</f>
        <v>1</v>
      </c>
      <c r="N13" s="1">
        <f>SUMIFS(super1[Qtde],super1[Item],tab_alimentos[[#This Row],[Item]],super1[Bairro],mercado3)+SUMIFS(supercb[Qtde],supercb[Item],tab_alimentos[[#This Row],[Item]],supercb[Bairro],mercado3)</f>
        <v>0</v>
      </c>
      <c r="O13" s="1">
        <f>SUMIFS(super1[Qtde],super1[Item],tab_alimentos[[#This Row],[Item]],super1[Bairro],mercado4)+SUMIFS(supercb[Qtde],supercb[Item],tab_alimentos[[#This Row],[Item]],supercb[Bairro],mercado4)</f>
        <v>0</v>
      </c>
      <c r="P13" s="1">
        <f>SUMIFS(super1[Qtde],super1[Item],tab_alimentos[[#This Row],[Item]],super1[Bairro],mercado5)+SUMIFS(supercb[Qtde],supercb[Item],tab_alimentos[[#This Row],[Item]],supercb[Bairro],mercado5)</f>
        <v>4</v>
      </c>
      <c r="Q13" s="1">
        <f>SUMIFS(super1[Qtde],super1[Item],tab_alimentos[[#This Row],[Item]],super1[Bairro],mercado6)+SUMIFS(supercb[Qtde],supercb[Item],tab_alimentos[[#This Row],[Item]],supercb[Bairro],mercado6)</f>
        <v>1</v>
      </c>
      <c r="R13" s="1">
        <f>SUMIFS(super1[Qtde],super1[Item],tab_alimentos[[#This Row],[Item]],super1[Bairro],mercado7)+SUMIFS(supercb[Qtde],supercb[Item],tab_alimentos[[#This Row],[Item]],supercb[Bairro],mercado7)</f>
        <v>0</v>
      </c>
      <c r="S13" s="1">
        <f>SUMIFS(super1[Qtde],super1[Item],tab_alimentos[[#This Row],[Item]],super1[Bairro],mercado8)+SUMIFS(supercb[Qtde],supercb[Item],tab_alimentos[[#This Row],[Item]],supercb[Bairro],mercado8)</f>
        <v>1</v>
      </c>
      <c r="T13" s="1">
        <f>SUMIFS(super1[Qtde],super1[Item],tab_alimentos[[#This Row],[Item]],super1[Bairro],mercado9)+SUMIFS(supercb[Qtde],supercb[Item],tab_alimentos[[#This Row],[Item]],supercb[Bairro],mercado9)</f>
        <v>0</v>
      </c>
      <c r="U13" s="1">
        <f>SUMIFS(super1[Qtde],super1[Item],tab_alimentos[[#This Row],[Item]],super1[Bairro],mercado10)+SUMIFS(supercb[Qtde],supercb[Item],tab_alimentos[[#This Row],[Item]],supercb[Bairro],mercado10)</f>
        <v>1</v>
      </c>
      <c r="V13" s="1">
        <f>SUMIFS(super1[Qtde],super1[Item],tab_alimentos[[#This Row],[Item]],super1[Bairro],mercado11)+SUMIFS(supercb[Qtde],supercb[Item],tab_alimentos[[#This Row],[Item]],supercb[Bairro],mercado11)</f>
        <v>0</v>
      </c>
      <c r="W13" s="1">
        <f>SUMIFS(super1[Qtde],super1[Item],tab_alimentos[[#This Row],[Item]],super1[Bairro],mercado12)+SUMIFS(supercb[Qtde],supercb[Item],tab_alimentos[[#This Row],[Item]],supercb[Bairro],mercado12)</f>
        <v>0</v>
      </c>
      <c r="X13" s="1">
        <f>SUMIFS(super1[Qtde],super1[Item],tab_alimentos[[#This Row],[Item]],super1[Bairro],mercado13)+SUMIFS(supercb[Qtde],supercb[Item],tab_alimentos[[#This Row],[Item]],supercb[Bairro],mercado13)</f>
        <v>5</v>
      </c>
      <c r="Y13" s="1">
        <f>SUMIFS(super1[Qtde],super1[Item],tab_alimentos[[#This Row],[Item]],super1[Bairro],mercado14)+SUMIFS(supercb[Qtde],supercb[Item],tab_alimentos[[#This Row],[Item]],supercb[Bairro],mercado14)</f>
        <v>0</v>
      </c>
      <c r="Z13" s="1">
        <f>SUMIFS(super1[Qtde],super1[Item],tab_alimentos[[#This Row],[Item]],super1[Bairro],mercado15)+SUMIFS(supercb[Qtde],supercb[Item],tab_alimentos[[#This Row],[Item]],supercb[Bairro],mercado15)</f>
        <v>0</v>
      </c>
      <c r="AA13" s="1">
        <f>SUMIFS(super1[Qtde],super1[Item],tab_alimentos[[#This Row],[Item]],super1[Bairro],mercado16)+SUMIFS(supercb[Qtde],supercb[Item],tab_alimentos[[#This Row],[Item]],supercb[Bairro],mercado16)</f>
        <v>0</v>
      </c>
      <c r="AB13" s="1">
        <f>SUMIFS(super1[Qtde],super1[Item],tab_alimentos[[#This Row],[Item]],super1[Bairro],mercado17)+SUMIFS(supercb[Qtde],supercb[Item],tab_alimentos[[#This Row],[Item]],supercb[Bairro],mercado17)</f>
        <v>0</v>
      </c>
      <c r="AC13" s="1">
        <f>SUMIFS(super1[Qtde],super1[Item],tab_alimentos[[#This Row],[Item]],super1[Bairro],mercado18)+SUMIFS(supercb[Qtde],supercb[Item],tab_alimentos[[#This Row],[Item]],supercb[Bairro],mercado18)</f>
        <v>0</v>
      </c>
      <c r="AD13" s="1">
        <f>SUMIFS(super1[Qtde],super1[Item],tab_alimentos[[#This Row],[Item]],super1[Bairro],extras)+SUMIFS(supercb[Qtde],supercb[Item],tab_alimentos[[#This Row],[Item]],supercb[Bairro],extras)</f>
        <v>0</v>
      </c>
      <c r="AE13" s="1">
        <f t="shared" si="0"/>
        <v>13</v>
      </c>
      <c r="AF13" s="1">
        <f t="shared" si="1"/>
        <v>94.336666666666673</v>
      </c>
      <c r="AG13" s="3">
        <f t="shared" si="2"/>
        <v>9.1</v>
      </c>
      <c r="AH13" s="25" t="str">
        <f>higiene[[#This Row],[Item]]</f>
        <v>Absorvente (80un)</v>
      </c>
      <c r="AI13" s="1">
        <f>IFERROR(higiene[[#This Row],[Kg equivalente]],0)</f>
        <v>4.5223838477482889</v>
      </c>
      <c r="AJ13" s="1">
        <f>IFERROR(higiene[[#This Row],[Preço por produto]],0)</f>
        <v>14.98</v>
      </c>
      <c r="AK13" s="1">
        <f>SUMIFS(super1[Qtde],super1[Item],tab_higiene[[#This Row],[Item]],super1[Bairro],mercado1)+SUMIFS(supercb[Qtde],supercb[Item],tab_higiene[[#This Row],[Item]],supercb[Bairro],mercado1)</f>
        <v>0</v>
      </c>
      <c r="AL13" s="1">
        <f>SUMIFS(super1[Qtde],super1[Item],tab_higiene[[#This Row],[Item]],super1[Bairro],mercado2)+SUMIFS(supercb[Qtde],supercb[Item],tab_higiene[[#This Row],[Item]],supercb[Bairro],mercado2)</f>
        <v>0</v>
      </c>
      <c r="AM13" s="1">
        <f>SUMIFS(super1[Qtde],super1[Item],tab_higiene[[#This Row],[Item]],super1[Bairro],mercado3)+SUMIFS(supercb[Qtde],supercb[Item],tab_higiene[[#This Row],[Item]],supercb[Bairro],mercado3)</f>
        <v>0</v>
      </c>
      <c r="AN13" s="1">
        <f>SUMIFS(super1[Qtde],super1[Item],tab_higiene[[#This Row],[Item]],super1[Bairro],mercado4)+SUMIFS(supercb[Qtde],supercb[Item],tab_higiene[[#This Row],[Item]],supercb[Bairro],mercado4)</f>
        <v>0</v>
      </c>
      <c r="AO13" s="1">
        <f>SUMIFS(super1[Qtde],super1[Item],tab_higiene[[#This Row],[Item]],super1[Bairro],mercado5)+SUMIFS(supercb[Qtde],supercb[Item],tab_higiene[[#This Row],[Item]],supercb[Bairro],mercado5)</f>
        <v>0</v>
      </c>
      <c r="AP13" s="1">
        <f>SUMIFS(super1[Qtde],super1[Item],tab_higiene[[#This Row],[Item]],super1[Bairro],mercado6)+SUMIFS(supercb[Qtde],supercb[Item],tab_higiene[[#This Row],[Item]],supercb[Bairro],mercado6)</f>
        <v>0</v>
      </c>
      <c r="AQ13" s="1">
        <f>SUMIFS(super1[Qtde],super1[Item],tab_higiene[[#This Row],[Item]],super1[Bairro],mercado7)+SUMIFS(supercb[Qtde],supercb[Item],tab_higiene[[#This Row],[Item]],supercb[Bairro],mercado7)</f>
        <v>0</v>
      </c>
      <c r="AR13" s="1">
        <f>SUMIFS(super1[Qtde],super1[Item],tab_higiene[[#This Row],[Item]],super1[Bairro],mercado8)+SUMIFS(supercb[Qtde],supercb[Item],tab_higiene[[#This Row],[Item]],supercb[Bairro],mercado8)</f>
        <v>0</v>
      </c>
      <c r="AS13" s="1">
        <f>SUMIFS(super1[Qtde],super1[Item],tab_higiene[[#This Row],[Item]],super1[Bairro],mercado9)+SUMIFS(supercb[Qtde],supercb[Item],tab_higiene[[#This Row],[Item]],supercb[Bairro],mercado9)</f>
        <v>0</v>
      </c>
      <c r="AT13" s="1">
        <f>SUMIFS(super1[Qtde],super1[Item],tab_higiene[[#This Row],[Item]],super1[Bairro],mercado10)+SUMIFS(supercb[Qtde],supercb[Item],tab_higiene[[#This Row],[Item]],supercb[Bairro],mercado10)</f>
        <v>0</v>
      </c>
      <c r="AU13" s="1">
        <f>SUMIFS(super1[Qtde],super1[Item],tab_higiene[[#This Row],[Item]],super1[Bairro],mercado11)+SUMIFS(supercb[Qtde],supercb[Item],tab_higiene[[#This Row],[Item]],supercb[Bairro],mercado11)</f>
        <v>0</v>
      </c>
      <c r="AV13" s="1">
        <f>SUMIFS(super1[Qtde],super1[Item],tab_higiene[[#This Row],[Item]],super1[Bairro],mercado12)+SUMIFS(supercb[Qtde],supercb[Item],tab_higiene[[#This Row],[Item]],supercb[Bairro],mercado12)</f>
        <v>0</v>
      </c>
      <c r="AW13" s="1">
        <f>SUMIFS(super1[Qtde],super1[Item],tab_higiene[[#This Row],[Item]],super1[Bairro],mercado13)+SUMIFS(supercb[Qtde],supercb[Item],tab_higiene[[#This Row],[Item]],supercb[Bairro],mercado13)</f>
        <v>0</v>
      </c>
      <c r="AX13" s="1">
        <f>SUMIFS(super1[Qtde],super1[Item],tab_higiene[[#This Row],[Item]],super1[Bairro],mercado14)+SUMIFS(supercb[Qtde],supercb[Item],tab_higiene[[#This Row],[Item]],supercb[Bairro],mercado14)</f>
        <v>0</v>
      </c>
      <c r="AY13" s="1">
        <f>SUMIFS(super1[Qtde],super1[Item],tab_higiene[[#This Row],[Item]],super1[Bairro],mercado15)+SUMIFS(supercb[Qtde],supercb[Item],tab_higiene[[#This Row],[Item]],supercb[Bairro],mercado15)</f>
        <v>0</v>
      </c>
      <c r="AZ13" s="1">
        <f>SUMIFS(super1[Qtde],super1[Item],tab_higiene[[#This Row],[Item]],super1[Bairro],mercado16)+SUMIFS(supercb[Qtde],supercb[Item],tab_higiene[[#This Row],[Item]],supercb[Bairro],mercado16)</f>
        <v>0</v>
      </c>
      <c r="BA13" s="1">
        <f>SUMIFS(super1[Qtde],super1[Item],tab_higiene[[#This Row],[Item]],super1[Bairro],mercado17)+SUMIFS(supercb[Qtde],supercb[Item],tab_higiene[[#This Row],[Item]],supercb[Bairro],mercado17)</f>
        <v>0</v>
      </c>
      <c r="BB13" s="1">
        <f>SUMIFS(super1[Qtde],super1[Item],tab_higiene[[#This Row],[Item]],super1[Bairro],mercado18)+SUMIFS(supercb[Qtde],supercb[Item],tab_higiene[[#This Row],[Item]],supercb[Bairro],mercado18)</f>
        <v>0</v>
      </c>
      <c r="BC13" s="1">
        <f>SUMIFS(super1[Qtde],super1[Item],tab_higiene[[#This Row],[Item]],super1[Bairro],extras)+SUMIFS(supercb[Qtde],supercb[Item],tab_higiene[[#This Row],[Item]],supercb[Bairro],extras)</f>
        <v>0</v>
      </c>
      <c r="BD13" s="1">
        <f t="shared" si="3"/>
        <v>0</v>
      </c>
      <c r="BE13" s="1">
        <f t="shared" si="4"/>
        <v>0</v>
      </c>
      <c r="BF13" s="26">
        <f t="shared" si="5"/>
        <v>0</v>
      </c>
      <c r="BI13" s="33" t="str">
        <f>tab_alimentos[[#This Row],[Item]]</f>
        <v>Achocolatado (700g)</v>
      </c>
      <c r="BJ13" s="33">
        <f t="shared" si="6"/>
        <v>13</v>
      </c>
      <c r="BK13" s="33" t="str">
        <f t="shared" si="7"/>
        <v>Achocolatado</v>
      </c>
      <c r="BL13" s="33">
        <f>tab_alimentos[[#This Row],[kg]]</f>
        <v>9.1</v>
      </c>
      <c r="BM13" s="37" t="s">
        <v>274</v>
      </c>
      <c r="BN13" s="35">
        <f t="shared" si="11"/>
        <v>0</v>
      </c>
      <c r="BP13" s="33" t="str">
        <f>tab_higiene[[#This Row],[Item]]</f>
        <v>Absorvente (80un)</v>
      </c>
      <c r="BQ13" s="33">
        <f t="shared" si="8"/>
        <v>11</v>
      </c>
      <c r="BR13" s="33" t="str">
        <f t="shared" si="9"/>
        <v>Absorvente</v>
      </c>
      <c r="BS13" s="33">
        <f>higiene[[#This Row],[Quantidade]]</f>
        <v>80</v>
      </c>
      <c r="BT13" s="33">
        <f>tab_higiene[Qtde (tot)]</f>
        <v>0</v>
      </c>
      <c r="BU13" s="33">
        <f t="shared" si="12"/>
        <v>0</v>
      </c>
      <c r="BV13" s="37" t="s">
        <v>315</v>
      </c>
      <c r="BW13" s="33">
        <f t="shared" si="10"/>
        <v>0</v>
      </c>
    </row>
    <row r="14" spans="1:75" x14ac:dyDescent="0.25">
      <c r="A14" s="24" t="str">
        <f>tabMercados[[#This Row],[Supermercados]]</f>
        <v>Jaú Vila Nery</v>
      </c>
      <c r="B14" s="29">
        <f>SUMPRODUCT(tab_alimentos[kg/embalagem],tab_alimentos[Qtde (S6)])</f>
        <v>258.84499999999997</v>
      </c>
      <c r="C14" s="29">
        <f>SUMPRODUCT(tab_alimentos[Preço],tab_alimentos[Qtde (S6)])</f>
        <v>984.84066666666649</v>
      </c>
      <c r="D14" s="29">
        <f>SUMPRODUCT(tab_higiene[kg/embalagem],tab_higiene[Qtde (S6)])</f>
        <v>191.12938578684088</v>
      </c>
      <c r="E14" s="29">
        <f>SUMPRODUCT(tab_higiene[Preço],tab_higiene[Qtde (S6)])</f>
        <v>633.09933333333333</v>
      </c>
      <c r="F14" s="29">
        <f t="shared" si="13"/>
        <v>449.97438578684086</v>
      </c>
      <c r="G14" s="29">
        <f t="shared" si="13"/>
        <v>1617.9399999999998</v>
      </c>
      <c r="I14" s="25" t="str">
        <f>alimentos[[#This Row],[Item]]</f>
        <v>Achocolatado (800g)</v>
      </c>
      <c r="J14" s="1">
        <f>IFERROR(alimentos[[#This Row],[kg/embalagem]],0)</f>
        <v>0.8</v>
      </c>
      <c r="K14" s="1">
        <f>IFERROR(alimentos[[#This Row],[Preço]],0)</f>
        <v>10.123333333333335</v>
      </c>
      <c r="L14" s="1">
        <f>SUMIFS(super1[Qtde],super1[Item],tab_alimentos[[#This Row],[Item]],super1[Bairro],mercado1)+SUMIFS(supercb[Qtde],supercb[Item],tab_alimentos[[#This Row],[Item]],supercb[Bairro],mercado1)</f>
        <v>0</v>
      </c>
      <c r="M14" s="1">
        <f>SUMIFS(super1[Qtde],super1[Item],tab_alimentos[[#This Row],[Item]],super1[Bairro],mercado2)+SUMIFS(supercb[Qtde],supercb[Item],tab_alimentos[[#This Row],[Item]],supercb[Bairro],mercado2)</f>
        <v>0</v>
      </c>
      <c r="N14" s="1">
        <f>SUMIFS(super1[Qtde],super1[Item],tab_alimentos[[#This Row],[Item]],super1[Bairro],mercado3)+SUMIFS(supercb[Qtde],supercb[Item],tab_alimentos[[#This Row],[Item]],supercb[Bairro],mercado3)</f>
        <v>0</v>
      </c>
      <c r="O14" s="1">
        <f>SUMIFS(super1[Qtde],super1[Item],tab_alimentos[[#This Row],[Item]],super1[Bairro],mercado4)+SUMIFS(supercb[Qtde],supercb[Item],tab_alimentos[[#This Row],[Item]],supercb[Bairro],mercado4)</f>
        <v>1</v>
      </c>
      <c r="P14" s="1">
        <f>SUMIFS(super1[Qtde],super1[Item],tab_alimentos[[#This Row],[Item]],super1[Bairro],mercado5)+SUMIFS(supercb[Qtde],supercb[Item],tab_alimentos[[#This Row],[Item]],supercb[Bairro],mercado5)</f>
        <v>0</v>
      </c>
      <c r="Q14" s="1">
        <f>SUMIFS(super1[Qtde],super1[Item],tab_alimentos[[#This Row],[Item]],super1[Bairro],mercado6)+SUMIFS(supercb[Qtde],supercb[Item],tab_alimentos[[#This Row],[Item]],supercb[Bairro],mercado6)</f>
        <v>0</v>
      </c>
      <c r="R14" s="1">
        <f>SUMIFS(super1[Qtde],super1[Item],tab_alimentos[[#This Row],[Item]],super1[Bairro],mercado7)+SUMIFS(supercb[Qtde],supercb[Item],tab_alimentos[[#This Row],[Item]],supercb[Bairro],mercado7)</f>
        <v>0</v>
      </c>
      <c r="S14" s="1">
        <f>SUMIFS(super1[Qtde],super1[Item],tab_alimentos[[#This Row],[Item]],super1[Bairro],mercado8)+SUMIFS(supercb[Qtde],supercb[Item],tab_alimentos[[#This Row],[Item]],supercb[Bairro],mercado8)</f>
        <v>0</v>
      </c>
      <c r="T14" s="1">
        <f>SUMIFS(super1[Qtde],super1[Item],tab_alimentos[[#This Row],[Item]],super1[Bairro],mercado9)+SUMIFS(supercb[Qtde],supercb[Item],tab_alimentos[[#This Row],[Item]],supercb[Bairro],mercado9)</f>
        <v>1</v>
      </c>
      <c r="U14" s="1">
        <f>SUMIFS(super1[Qtde],super1[Item],tab_alimentos[[#This Row],[Item]],super1[Bairro],mercado10)+SUMIFS(supercb[Qtde],supercb[Item],tab_alimentos[[#This Row],[Item]],supercb[Bairro],mercado10)</f>
        <v>2</v>
      </c>
      <c r="V14" s="1">
        <f>SUMIFS(super1[Qtde],super1[Item],tab_alimentos[[#This Row],[Item]],super1[Bairro],mercado11)+SUMIFS(supercb[Qtde],supercb[Item],tab_alimentos[[#This Row],[Item]],supercb[Bairro],mercado11)</f>
        <v>2</v>
      </c>
      <c r="W14" s="1">
        <f>SUMIFS(super1[Qtde],super1[Item],tab_alimentos[[#This Row],[Item]],super1[Bairro],mercado12)+SUMIFS(supercb[Qtde],supercb[Item],tab_alimentos[[#This Row],[Item]],supercb[Bairro],mercado12)</f>
        <v>0</v>
      </c>
      <c r="X14" s="1">
        <f>SUMIFS(super1[Qtde],super1[Item],tab_alimentos[[#This Row],[Item]],super1[Bairro],mercado13)+SUMIFS(supercb[Qtde],supercb[Item],tab_alimentos[[#This Row],[Item]],supercb[Bairro],mercado13)</f>
        <v>1</v>
      </c>
      <c r="Y14" s="1">
        <f>SUMIFS(super1[Qtde],super1[Item],tab_alimentos[[#This Row],[Item]],super1[Bairro],mercado14)+SUMIFS(supercb[Qtde],supercb[Item],tab_alimentos[[#This Row],[Item]],supercb[Bairro],mercado14)</f>
        <v>0</v>
      </c>
      <c r="Z14" s="1">
        <f>SUMIFS(super1[Qtde],super1[Item],tab_alimentos[[#This Row],[Item]],super1[Bairro],mercado15)+SUMIFS(supercb[Qtde],supercb[Item],tab_alimentos[[#This Row],[Item]],supercb[Bairro],mercado15)</f>
        <v>0</v>
      </c>
      <c r="AA14" s="1">
        <f>SUMIFS(super1[Qtde],super1[Item],tab_alimentos[[#This Row],[Item]],super1[Bairro],mercado16)+SUMIFS(supercb[Qtde],supercb[Item],tab_alimentos[[#This Row],[Item]],supercb[Bairro],mercado16)</f>
        <v>0</v>
      </c>
      <c r="AB14" s="1">
        <f>SUMIFS(super1[Qtde],super1[Item],tab_alimentos[[#This Row],[Item]],super1[Bairro],mercado17)+SUMIFS(supercb[Qtde],supercb[Item],tab_alimentos[[#This Row],[Item]],supercb[Bairro],mercado17)</f>
        <v>0</v>
      </c>
      <c r="AC14" s="1">
        <f>SUMIFS(super1[Qtde],super1[Item],tab_alimentos[[#This Row],[Item]],super1[Bairro],mercado18)+SUMIFS(supercb[Qtde],supercb[Item],tab_alimentos[[#This Row],[Item]],supercb[Bairro],mercado18)</f>
        <v>0</v>
      </c>
      <c r="AD14" s="1">
        <f>SUMIFS(super1[Qtde],super1[Item],tab_alimentos[[#This Row],[Item]],super1[Bairro],extras)+SUMIFS(supercb[Qtde],supercb[Item],tab_alimentos[[#This Row],[Item]],supercb[Bairro],extras)</f>
        <v>0</v>
      </c>
      <c r="AE14" s="1">
        <f t="shared" si="0"/>
        <v>7</v>
      </c>
      <c r="AF14" s="1">
        <f t="shared" si="1"/>
        <v>70.863333333333344</v>
      </c>
      <c r="AG14" s="3">
        <f t="shared" si="2"/>
        <v>5.6000000000000005</v>
      </c>
      <c r="AH14" s="25" t="str">
        <f>higiene[[#This Row],[Item]]</f>
        <v>Água Sanitária (1L)</v>
      </c>
      <c r="AI14" s="1">
        <f>IFERROR(higiene[[#This Row],[Kg equivalente]],0)</f>
        <v>0.76922790681326036</v>
      </c>
      <c r="AJ14" s="1">
        <f>IFERROR(higiene[[#This Row],[Preço por produto]],0)</f>
        <v>2.548</v>
      </c>
      <c r="AK14" s="1">
        <f>SUMIFS(super1[Qtde],super1[Item],tab_higiene[[#This Row],[Item]],super1[Bairro],mercado1)+SUMIFS(supercb[Qtde],supercb[Item],tab_higiene[[#This Row],[Item]],supercb[Bairro],mercado1)</f>
        <v>1</v>
      </c>
      <c r="AL14" s="1">
        <f>SUMIFS(super1[Qtde],super1[Item],tab_higiene[[#This Row],[Item]],super1[Bairro],mercado2)+SUMIFS(supercb[Qtde],supercb[Item],tab_higiene[[#This Row],[Item]],supercb[Bairro],mercado2)</f>
        <v>0</v>
      </c>
      <c r="AM14" s="1">
        <f>SUMIFS(super1[Qtde],super1[Item],tab_higiene[[#This Row],[Item]],super1[Bairro],mercado3)+SUMIFS(supercb[Qtde],supercb[Item],tab_higiene[[#This Row],[Item]],supercb[Bairro],mercado3)</f>
        <v>0</v>
      </c>
      <c r="AN14" s="1">
        <f>SUMIFS(super1[Qtde],super1[Item],tab_higiene[[#This Row],[Item]],super1[Bairro],mercado4)+SUMIFS(supercb[Qtde],supercb[Item],tab_higiene[[#This Row],[Item]],supercb[Bairro],mercado4)</f>
        <v>0</v>
      </c>
      <c r="AO14" s="1">
        <f>SUMIFS(super1[Qtde],super1[Item],tab_higiene[[#This Row],[Item]],super1[Bairro],mercado5)+SUMIFS(supercb[Qtde],supercb[Item],tab_higiene[[#This Row],[Item]],supercb[Bairro],mercado5)</f>
        <v>1</v>
      </c>
      <c r="AP14" s="1">
        <f>SUMIFS(super1[Qtde],super1[Item],tab_higiene[[#This Row],[Item]],super1[Bairro],mercado6)+SUMIFS(supercb[Qtde],supercb[Item],tab_higiene[[#This Row],[Item]],supercb[Bairro],mercado6)</f>
        <v>0</v>
      </c>
      <c r="AQ14" s="1">
        <f>SUMIFS(super1[Qtde],super1[Item],tab_higiene[[#This Row],[Item]],super1[Bairro],mercado7)+SUMIFS(supercb[Qtde],supercb[Item],tab_higiene[[#This Row],[Item]],supercb[Bairro],mercado7)</f>
        <v>0</v>
      </c>
      <c r="AR14" s="1">
        <f>SUMIFS(super1[Qtde],super1[Item],tab_higiene[[#This Row],[Item]],super1[Bairro],mercado8)+SUMIFS(supercb[Qtde],supercb[Item],tab_higiene[[#This Row],[Item]],supercb[Bairro],mercado8)</f>
        <v>0</v>
      </c>
      <c r="AS14" s="1">
        <f>SUMIFS(super1[Qtde],super1[Item],tab_higiene[[#This Row],[Item]],super1[Bairro],mercado9)+SUMIFS(supercb[Qtde],supercb[Item],tab_higiene[[#This Row],[Item]],supercb[Bairro],mercado9)</f>
        <v>0</v>
      </c>
      <c r="AT14" s="1">
        <f>SUMIFS(super1[Qtde],super1[Item],tab_higiene[[#This Row],[Item]],super1[Bairro],mercado10)+SUMIFS(supercb[Qtde],supercb[Item],tab_higiene[[#This Row],[Item]],supercb[Bairro],mercado10)</f>
        <v>0</v>
      </c>
      <c r="AU14" s="1">
        <f>SUMIFS(super1[Qtde],super1[Item],tab_higiene[[#This Row],[Item]],super1[Bairro],mercado11)+SUMIFS(supercb[Qtde],supercb[Item],tab_higiene[[#This Row],[Item]],supercb[Bairro],mercado11)</f>
        <v>0</v>
      </c>
      <c r="AV14" s="1">
        <f>SUMIFS(super1[Qtde],super1[Item],tab_higiene[[#This Row],[Item]],super1[Bairro],mercado12)+SUMIFS(supercb[Qtde],supercb[Item],tab_higiene[[#This Row],[Item]],supercb[Bairro],mercado12)</f>
        <v>0</v>
      </c>
      <c r="AW14" s="1">
        <f>SUMIFS(super1[Qtde],super1[Item],tab_higiene[[#This Row],[Item]],super1[Bairro],mercado13)+SUMIFS(supercb[Qtde],supercb[Item],tab_higiene[[#This Row],[Item]],supercb[Bairro],mercado13)</f>
        <v>0</v>
      </c>
      <c r="AX14" s="1">
        <f>SUMIFS(super1[Qtde],super1[Item],tab_higiene[[#This Row],[Item]],super1[Bairro],mercado14)+SUMIFS(supercb[Qtde],supercb[Item],tab_higiene[[#This Row],[Item]],supercb[Bairro],mercado14)</f>
        <v>0</v>
      </c>
      <c r="AY14" s="1">
        <f>SUMIFS(super1[Qtde],super1[Item],tab_higiene[[#This Row],[Item]],super1[Bairro],mercado15)+SUMIFS(supercb[Qtde],supercb[Item],tab_higiene[[#This Row],[Item]],supercb[Bairro],mercado15)</f>
        <v>0</v>
      </c>
      <c r="AZ14" s="1">
        <f>SUMIFS(super1[Qtde],super1[Item],tab_higiene[[#This Row],[Item]],super1[Bairro],mercado16)+SUMIFS(supercb[Qtde],supercb[Item],tab_higiene[[#This Row],[Item]],supercb[Bairro],mercado16)</f>
        <v>0</v>
      </c>
      <c r="BA14" s="1">
        <f>SUMIFS(super1[Qtde],super1[Item],tab_higiene[[#This Row],[Item]],super1[Bairro],mercado17)+SUMIFS(supercb[Qtde],supercb[Item],tab_higiene[[#This Row],[Item]],supercb[Bairro],mercado17)</f>
        <v>0</v>
      </c>
      <c r="BB14" s="1">
        <f>SUMIFS(super1[Qtde],super1[Item],tab_higiene[[#This Row],[Item]],super1[Bairro],mercado18)+SUMIFS(supercb[Qtde],supercb[Item],tab_higiene[[#This Row],[Item]],supercb[Bairro],mercado18)</f>
        <v>0</v>
      </c>
      <c r="BC14" s="1">
        <f>SUMIFS(super1[Qtde],super1[Item],tab_higiene[[#This Row],[Item]],super1[Bairro],extras)+SUMIFS(supercb[Qtde],supercb[Item],tab_higiene[[#This Row],[Item]],supercb[Bairro],extras)</f>
        <v>0</v>
      </c>
      <c r="BD14" s="1">
        <f t="shared" si="3"/>
        <v>2</v>
      </c>
      <c r="BE14" s="1">
        <f t="shared" si="4"/>
        <v>5.0960000000000001</v>
      </c>
      <c r="BF14" s="26">
        <f t="shared" si="5"/>
        <v>1.5384558136265207</v>
      </c>
      <c r="BI14" s="33" t="str">
        <f>tab_alimentos[[#This Row],[Item]]</f>
        <v>Achocolatado (800g)</v>
      </c>
      <c r="BJ14" s="33">
        <f t="shared" si="6"/>
        <v>13</v>
      </c>
      <c r="BK14" s="33" t="str">
        <f t="shared" si="7"/>
        <v>Achocolatado</v>
      </c>
      <c r="BL14" s="33">
        <f>tab_alimentos[[#This Row],[kg]]</f>
        <v>5.6000000000000005</v>
      </c>
      <c r="BM14" s="37" t="s">
        <v>77</v>
      </c>
      <c r="BN14" s="35">
        <f t="shared" si="11"/>
        <v>0</v>
      </c>
      <c r="BP14" s="33" t="str">
        <f>tab_higiene[[#This Row],[Item]]</f>
        <v>Água Sanitária (1L)</v>
      </c>
      <c r="BQ14" s="33">
        <f t="shared" si="8"/>
        <v>15</v>
      </c>
      <c r="BR14" s="33" t="str">
        <f t="shared" si="9"/>
        <v>Água Sanitária</v>
      </c>
      <c r="BS14" s="33">
        <f>higiene[[#This Row],[Quantidade]]</f>
        <v>1</v>
      </c>
      <c r="BT14" s="33">
        <f>tab_higiene[Qtde (tot)]</f>
        <v>2</v>
      </c>
      <c r="BU14" s="33">
        <f t="shared" si="12"/>
        <v>2</v>
      </c>
      <c r="BV14" s="37" t="s">
        <v>77</v>
      </c>
      <c r="BW14" s="33">
        <f t="shared" si="10"/>
        <v>0</v>
      </c>
    </row>
    <row r="15" spans="1:75" x14ac:dyDescent="0.25">
      <c r="A15" s="24" t="str">
        <f>tabMercados[[#This Row],[Supermercados]]</f>
        <v>Jaú Vila Prado</v>
      </c>
      <c r="B15" s="29">
        <f>SUMPRODUCT(tab_alimentos[kg/embalagem],tab_alimentos[Qtde (S7)])</f>
        <v>200.09999999999997</v>
      </c>
      <c r="C15" s="29">
        <f>SUMPRODUCT(tab_alimentos[Preço],tab_alimentos[Qtde (S7)])</f>
        <v>682.71966666666651</v>
      </c>
      <c r="D15" s="29">
        <f>SUMPRODUCT(tab_higiene[kg/embalagem],tab_higiene[Qtde (S7)])</f>
        <v>141.96667576114615</v>
      </c>
      <c r="E15" s="29">
        <f>SUMPRODUCT(tab_higiene[Preço],tab_higiene[Qtde (S7)])</f>
        <v>470.2521666666666</v>
      </c>
      <c r="F15" s="29">
        <f t="shared" si="13"/>
        <v>342.06667576114614</v>
      </c>
      <c r="G15" s="29">
        <f t="shared" si="13"/>
        <v>1152.9718333333331</v>
      </c>
      <c r="I15" s="25" t="str">
        <f>alimentos[[#This Row],[Item]]</f>
        <v>Açúcar (1kg)</v>
      </c>
      <c r="J15" s="1">
        <f>IFERROR(alimentos[[#This Row],[kg/embalagem]],0)</f>
        <v>1</v>
      </c>
      <c r="K15" s="1">
        <f>IFERROR(alimentos[[#This Row],[Preço]],0)</f>
        <v>1.7183333333333335</v>
      </c>
      <c r="L15" s="1">
        <f>SUMIFS(super1[Qtde],super1[Item],tab_alimentos[[#This Row],[Item]],super1[Bairro],mercado1)+SUMIFS(supercb[Qtde],supercb[Item],tab_alimentos[[#This Row],[Item]],supercb[Bairro],mercado1)</f>
        <v>16</v>
      </c>
      <c r="M15" s="1">
        <f>SUMIFS(super1[Qtde],super1[Item],tab_alimentos[[#This Row],[Item]],super1[Bairro],mercado2)+SUMIFS(supercb[Qtde],supercb[Item],tab_alimentos[[#This Row],[Item]],supercb[Bairro],mercado2)</f>
        <v>32</v>
      </c>
      <c r="N15" s="1">
        <f>SUMIFS(super1[Qtde],super1[Item],tab_alimentos[[#This Row],[Item]],super1[Bairro],mercado3)+SUMIFS(supercb[Qtde],supercb[Item],tab_alimentos[[#This Row],[Item]],supercb[Bairro],mercado3)</f>
        <v>19</v>
      </c>
      <c r="O15" s="1">
        <f>SUMIFS(super1[Qtde],super1[Item],tab_alimentos[[#This Row],[Item]],super1[Bairro],mercado4)+SUMIFS(supercb[Qtde],supercb[Item],tab_alimentos[[#This Row],[Item]],supercb[Bairro],mercado4)</f>
        <v>33</v>
      </c>
      <c r="P15" s="1">
        <f>SUMIFS(super1[Qtde],super1[Item],tab_alimentos[[#This Row],[Item]],super1[Bairro],mercado5)+SUMIFS(supercb[Qtde],supercb[Item],tab_alimentos[[#This Row],[Item]],supercb[Bairro],mercado5)</f>
        <v>18</v>
      </c>
      <c r="Q15" s="1">
        <f>SUMIFS(super1[Qtde],super1[Item],tab_alimentos[[#This Row],[Item]],super1[Bairro],mercado6)+SUMIFS(supercb[Qtde],supercb[Item],tab_alimentos[[#This Row],[Item]],supercb[Bairro],mercado6)</f>
        <v>21</v>
      </c>
      <c r="R15" s="1">
        <f>SUMIFS(super1[Qtde],super1[Item],tab_alimentos[[#This Row],[Item]],super1[Bairro],mercado7)+SUMIFS(supercb[Qtde],supercb[Item],tab_alimentos[[#This Row],[Item]],supercb[Bairro],mercado7)</f>
        <v>22</v>
      </c>
      <c r="S15" s="1">
        <f>SUMIFS(super1[Qtde],super1[Item],tab_alimentos[[#This Row],[Item]],super1[Bairro],mercado8)+SUMIFS(supercb[Qtde],supercb[Item],tab_alimentos[[#This Row],[Item]],supercb[Bairro],mercado8)</f>
        <v>30</v>
      </c>
      <c r="T15" s="1">
        <f>SUMIFS(super1[Qtde],super1[Item],tab_alimentos[[#This Row],[Item]],super1[Bairro],mercado9)+SUMIFS(supercb[Qtde],supercb[Item],tab_alimentos[[#This Row],[Item]],supercb[Bairro],mercado9)</f>
        <v>22</v>
      </c>
      <c r="U15" s="1">
        <f>SUMIFS(super1[Qtde],super1[Item],tab_alimentos[[#This Row],[Item]],super1[Bairro],mercado10)+SUMIFS(supercb[Qtde],supercb[Item],tab_alimentos[[#This Row],[Item]],supercb[Bairro],mercado10)</f>
        <v>31</v>
      </c>
      <c r="V15" s="1">
        <f>SUMIFS(super1[Qtde],super1[Item],tab_alimentos[[#This Row],[Item]],super1[Bairro],mercado11)+SUMIFS(supercb[Qtde],supercb[Item],tab_alimentos[[#This Row],[Item]],supercb[Bairro],mercado11)</f>
        <v>31</v>
      </c>
      <c r="W15" s="1">
        <f>SUMIFS(super1[Qtde],super1[Item],tab_alimentos[[#This Row],[Item]],super1[Bairro],mercado12)+SUMIFS(supercb[Qtde],supercb[Item],tab_alimentos[[#This Row],[Item]],supercb[Bairro],mercado12)</f>
        <v>0</v>
      </c>
      <c r="X15" s="1">
        <f>SUMIFS(super1[Qtde],super1[Item],tab_alimentos[[#This Row],[Item]],super1[Bairro],mercado13)+SUMIFS(supercb[Qtde],supercb[Item],tab_alimentos[[#This Row],[Item]],supercb[Bairro],mercado13)</f>
        <v>47</v>
      </c>
      <c r="Y15" s="1">
        <f>SUMIFS(super1[Qtde],super1[Item],tab_alimentos[[#This Row],[Item]],super1[Bairro],mercado14)+SUMIFS(supercb[Qtde],supercb[Item],tab_alimentos[[#This Row],[Item]],supercb[Bairro],mercado14)</f>
        <v>0</v>
      </c>
      <c r="Z15" s="1">
        <f>SUMIFS(super1[Qtde],super1[Item],tab_alimentos[[#This Row],[Item]],super1[Bairro],mercado15)+SUMIFS(supercb[Qtde],supercb[Item],tab_alimentos[[#This Row],[Item]],supercb[Bairro],mercado15)</f>
        <v>0</v>
      </c>
      <c r="AA15" s="1">
        <f>SUMIFS(super1[Qtde],super1[Item],tab_alimentos[[#This Row],[Item]],super1[Bairro],mercado16)+SUMIFS(supercb[Qtde],supercb[Item],tab_alimentos[[#This Row],[Item]],supercb[Bairro],mercado16)</f>
        <v>0</v>
      </c>
      <c r="AB15" s="1">
        <f>SUMIFS(super1[Qtde],super1[Item],tab_alimentos[[#This Row],[Item]],super1[Bairro],mercado17)+SUMIFS(supercb[Qtde],supercb[Item],tab_alimentos[[#This Row],[Item]],supercb[Bairro],mercado17)</f>
        <v>0</v>
      </c>
      <c r="AC15" s="1">
        <f>SUMIFS(super1[Qtde],super1[Item],tab_alimentos[[#This Row],[Item]],super1[Bairro],mercado18)+SUMIFS(supercb[Qtde],supercb[Item],tab_alimentos[[#This Row],[Item]],supercb[Bairro],mercado18)</f>
        <v>0</v>
      </c>
      <c r="AD15" s="1">
        <f>SUMIFS(super1[Qtde],super1[Item],tab_alimentos[[#This Row],[Item]],super1[Bairro],extras)+SUMIFS(supercb[Qtde],supercb[Item],tab_alimentos[[#This Row],[Item]],supercb[Bairro],extras)</f>
        <v>0</v>
      </c>
      <c r="AE15" s="1">
        <f t="shared" si="0"/>
        <v>322</v>
      </c>
      <c r="AF15" s="1">
        <f t="shared" si="1"/>
        <v>553.3033333333334</v>
      </c>
      <c r="AG15" s="3">
        <f t="shared" si="2"/>
        <v>322</v>
      </c>
      <c r="AH15" s="25" t="str">
        <f>higiene[[#This Row],[Item]]</f>
        <v>Água Sanitária (2L)</v>
      </c>
      <c r="AI15" s="1">
        <f>IFERROR(higiene[[#This Row],[Kg equivalente]],0)</f>
        <v>1.0940666932069292</v>
      </c>
      <c r="AJ15" s="1">
        <f>IFERROR(higiene[[#This Row],[Preço por produto]],0)</f>
        <v>3.6240000000000001</v>
      </c>
      <c r="AK15" s="1">
        <f>SUMIFS(super1[Qtde],super1[Item],tab_higiene[[#This Row],[Item]],super1[Bairro],mercado1)+SUMIFS(supercb[Qtde],supercb[Item],tab_higiene[[#This Row],[Item]],supercb[Bairro],mercado1)</f>
        <v>2</v>
      </c>
      <c r="AL15" s="1">
        <f>SUMIFS(super1[Qtde],super1[Item],tab_higiene[[#This Row],[Item]],super1[Bairro],mercado2)+SUMIFS(supercb[Qtde],supercb[Item],tab_higiene[[#This Row],[Item]],supercb[Bairro],mercado2)</f>
        <v>1</v>
      </c>
      <c r="AM15" s="1">
        <f>SUMIFS(super1[Qtde],super1[Item],tab_higiene[[#This Row],[Item]],super1[Bairro],mercado3)+SUMIFS(supercb[Qtde],supercb[Item],tab_higiene[[#This Row],[Item]],supercb[Bairro],mercado3)</f>
        <v>3</v>
      </c>
      <c r="AN15" s="1">
        <f>SUMIFS(super1[Qtde],super1[Item],tab_higiene[[#This Row],[Item]],super1[Bairro],mercado4)+SUMIFS(supercb[Qtde],supercb[Item],tab_higiene[[#This Row],[Item]],supercb[Bairro],mercado4)</f>
        <v>2</v>
      </c>
      <c r="AO15" s="1">
        <f>SUMIFS(super1[Qtde],super1[Item],tab_higiene[[#This Row],[Item]],super1[Bairro],mercado5)+SUMIFS(supercb[Qtde],supercb[Item],tab_higiene[[#This Row],[Item]],supercb[Bairro],mercado5)</f>
        <v>7</v>
      </c>
      <c r="AP15" s="1">
        <f>SUMIFS(super1[Qtde],super1[Item],tab_higiene[[#This Row],[Item]],super1[Bairro],mercado6)+SUMIFS(supercb[Qtde],supercb[Item],tab_higiene[[#This Row],[Item]],supercb[Bairro],mercado6)</f>
        <v>8</v>
      </c>
      <c r="AQ15" s="1">
        <f>SUMIFS(super1[Qtde],super1[Item],tab_higiene[[#This Row],[Item]],super1[Bairro],mercado7)+SUMIFS(supercb[Qtde],supercb[Item],tab_higiene[[#This Row],[Item]],supercb[Bairro],mercado7)</f>
        <v>3</v>
      </c>
      <c r="AR15" s="1">
        <f>SUMIFS(super1[Qtde],super1[Item],tab_higiene[[#This Row],[Item]],super1[Bairro],mercado8)+SUMIFS(supercb[Qtde],supercb[Item],tab_higiene[[#This Row],[Item]],supercb[Bairro],mercado8)</f>
        <v>3</v>
      </c>
      <c r="AS15" s="1">
        <f>SUMIFS(super1[Qtde],super1[Item],tab_higiene[[#This Row],[Item]],super1[Bairro],mercado9)+SUMIFS(supercb[Qtde],supercb[Item],tab_higiene[[#This Row],[Item]],supercb[Bairro],mercado9)</f>
        <v>0</v>
      </c>
      <c r="AT15" s="1">
        <f>SUMIFS(super1[Qtde],super1[Item],tab_higiene[[#This Row],[Item]],super1[Bairro],mercado10)+SUMIFS(supercb[Qtde],supercb[Item],tab_higiene[[#This Row],[Item]],supercb[Bairro],mercado10)</f>
        <v>5</v>
      </c>
      <c r="AU15" s="1">
        <f>SUMIFS(super1[Qtde],super1[Item],tab_higiene[[#This Row],[Item]],super1[Bairro],mercado11)+SUMIFS(supercb[Qtde],supercb[Item],tab_higiene[[#This Row],[Item]],supercb[Bairro],mercado11)</f>
        <v>7</v>
      </c>
      <c r="AV15" s="1">
        <f>SUMIFS(super1[Qtde],super1[Item],tab_higiene[[#This Row],[Item]],super1[Bairro],mercado12)+SUMIFS(supercb[Qtde],supercb[Item],tab_higiene[[#This Row],[Item]],supercb[Bairro],mercado12)</f>
        <v>0</v>
      </c>
      <c r="AW15" s="1">
        <f>SUMIFS(super1[Qtde],super1[Item],tab_higiene[[#This Row],[Item]],super1[Bairro],mercado13)+SUMIFS(supercb[Qtde],supercb[Item],tab_higiene[[#This Row],[Item]],supercb[Bairro],mercado13)</f>
        <v>6</v>
      </c>
      <c r="AX15" s="1">
        <f>SUMIFS(super1[Qtde],super1[Item],tab_higiene[[#This Row],[Item]],super1[Bairro],mercado14)+SUMIFS(supercb[Qtde],supercb[Item],tab_higiene[[#This Row],[Item]],supercb[Bairro],mercado14)</f>
        <v>0</v>
      </c>
      <c r="AY15" s="1">
        <f>SUMIFS(super1[Qtde],super1[Item],tab_higiene[[#This Row],[Item]],super1[Bairro],mercado15)+SUMIFS(supercb[Qtde],supercb[Item],tab_higiene[[#This Row],[Item]],supercb[Bairro],mercado15)</f>
        <v>0</v>
      </c>
      <c r="AZ15" s="1">
        <f>SUMIFS(super1[Qtde],super1[Item],tab_higiene[[#This Row],[Item]],super1[Bairro],mercado16)+SUMIFS(supercb[Qtde],supercb[Item],tab_higiene[[#This Row],[Item]],supercb[Bairro],mercado16)</f>
        <v>0</v>
      </c>
      <c r="BA15" s="1">
        <f>SUMIFS(super1[Qtde],super1[Item],tab_higiene[[#This Row],[Item]],super1[Bairro],mercado17)+SUMIFS(supercb[Qtde],supercb[Item],tab_higiene[[#This Row],[Item]],supercb[Bairro],mercado17)</f>
        <v>0</v>
      </c>
      <c r="BB15" s="1">
        <f>SUMIFS(super1[Qtde],super1[Item],tab_higiene[[#This Row],[Item]],super1[Bairro],mercado18)+SUMIFS(supercb[Qtde],supercb[Item],tab_higiene[[#This Row],[Item]],supercb[Bairro],mercado18)</f>
        <v>0</v>
      </c>
      <c r="BC15" s="1">
        <f>SUMIFS(super1[Qtde],super1[Item],tab_higiene[[#This Row],[Item]],super1[Bairro],extras)+SUMIFS(supercb[Qtde],supercb[Item],tab_higiene[[#This Row],[Item]],supercb[Bairro],extras)</f>
        <v>0</v>
      </c>
      <c r="BD15" s="1">
        <f t="shared" si="3"/>
        <v>47</v>
      </c>
      <c r="BE15" s="1">
        <f t="shared" si="4"/>
        <v>170.328</v>
      </c>
      <c r="BF15" s="26">
        <f t="shared" si="5"/>
        <v>51.421134580725671</v>
      </c>
      <c r="BI15" s="33" t="str">
        <f>tab_alimentos[[#This Row],[Item]]</f>
        <v>Açúcar (1kg)</v>
      </c>
      <c r="BJ15" s="33">
        <f t="shared" si="6"/>
        <v>7</v>
      </c>
      <c r="BK15" s="33" t="str">
        <f t="shared" si="7"/>
        <v>Açúcar</v>
      </c>
      <c r="BL15" s="33">
        <f>tab_alimentos[[#This Row],[kg]]</f>
        <v>322</v>
      </c>
      <c r="BM15" s="37" t="s">
        <v>275</v>
      </c>
      <c r="BN15" s="35">
        <f t="shared" si="11"/>
        <v>0</v>
      </c>
      <c r="BP15" s="33" t="str">
        <f>tab_higiene[[#This Row],[Item]]</f>
        <v>Água Sanitária (2L)</v>
      </c>
      <c r="BQ15" s="33">
        <f t="shared" si="8"/>
        <v>15</v>
      </c>
      <c r="BR15" s="33" t="str">
        <f t="shared" si="9"/>
        <v>Água Sanitária</v>
      </c>
      <c r="BS15" s="33">
        <f>higiene[[#This Row],[Quantidade]]</f>
        <v>2</v>
      </c>
      <c r="BT15" s="33">
        <f>tab_higiene[Qtde (tot)]</f>
        <v>47</v>
      </c>
      <c r="BU15" s="33">
        <f t="shared" si="12"/>
        <v>94</v>
      </c>
      <c r="BV15" s="37" t="s">
        <v>78</v>
      </c>
      <c r="BW15" s="33">
        <f t="shared" si="10"/>
        <v>0</v>
      </c>
    </row>
    <row r="16" spans="1:75" x14ac:dyDescent="0.25">
      <c r="A16" s="24" t="str">
        <f>tabMercados[[#This Row],[Supermercados]]</f>
        <v>Jaú Visconde</v>
      </c>
      <c r="B16" s="29">
        <f>SUMPRODUCT(tab_alimentos[kg/embalagem],tab_alimentos[Qtde (S8)])</f>
        <v>279.33499999999998</v>
      </c>
      <c r="C16" s="29">
        <f>SUMPRODUCT(tab_alimentos[Preço],tab_alimentos[Qtde (S8)])</f>
        <v>939.74983333333341</v>
      </c>
      <c r="D16" s="29">
        <f>SUMPRODUCT(tab_higiene[kg/embalagem],tab_higiene[Qtde (S8)])</f>
        <v>241.18952837048442</v>
      </c>
      <c r="E16" s="29">
        <f>SUMPRODUCT(tab_higiene[Preço],tab_higiene[Qtde (S8)])</f>
        <v>798.91916666666657</v>
      </c>
      <c r="F16" s="29">
        <f t="shared" si="13"/>
        <v>520.5245283704844</v>
      </c>
      <c r="G16" s="29">
        <f t="shared" si="13"/>
        <v>1738.6689999999999</v>
      </c>
      <c r="I16" s="25" t="str">
        <f>alimentos[[#This Row],[Item]]</f>
        <v>Açúcar (2kg)</v>
      </c>
      <c r="J16" s="1">
        <f>IFERROR(alimentos[[#This Row],[kg/embalagem]],0)</f>
        <v>2</v>
      </c>
      <c r="K16" s="1">
        <f>IFERROR(alimentos[[#This Row],[Preço]],0)</f>
        <v>3.3400000000000003</v>
      </c>
      <c r="L16" s="1">
        <f>SUMIFS(super1[Qtde],super1[Item],tab_alimentos[[#This Row],[Item]],super1[Bairro],mercado1)+SUMIFS(supercb[Qtde],supercb[Item],tab_alimentos[[#This Row],[Item]],supercb[Bairro],mercado1)</f>
        <v>0</v>
      </c>
      <c r="M16" s="1">
        <f>SUMIFS(super1[Qtde],super1[Item],tab_alimentos[[#This Row],[Item]],super1[Bairro],mercado2)+SUMIFS(supercb[Qtde],supercb[Item],tab_alimentos[[#This Row],[Item]],supercb[Bairro],mercado2)</f>
        <v>3</v>
      </c>
      <c r="N16" s="1">
        <f>SUMIFS(super1[Qtde],super1[Item],tab_alimentos[[#This Row],[Item]],super1[Bairro],mercado3)+SUMIFS(supercb[Qtde],supercb[Item],tab_alimentos[[#This Row],[Item]],supercb[Bairro],mercado3)</f>
        <v>1</v>
      </c>
      <c r="O16" s="1">
        <f>SUMIFS(super1[Qtde],super1[Item],tab_alimentos[[#This Row],[Item]],super1[Bairro],mercado4)+SUMIFS(supercb[Qtde],supercb[Item],tab_alimentos[[#This Row],[Item]],supercb[Bairro],mercado4)</f>
        <v>0</v>
      </c>
      <c r="P16" s="1">
        <f>SUMIFS(super1[Qtde],super1[Item],tab_alimentos[[#This Row],[Item]],super1[Bairro],mercado5)+SUMIFS(supercb[Qtde],supercb[Item],tab_alimentos[[#This Row],[Item]],supercb[Bairro],mercado5)</f>
        <v>1</v>
      </c>
      <c r="Q16" s="1">
        <f>SUMIFS(super1[Qtde],super1[Item],tab_alimentos[[#This Row],[Item]],super1[Bairro],mercado6)+SUMIFS(supercb[Qtde],supercb[Item],tab_alimentos[[#This Row],[Item]],supercb[Bairro],mercado6)</f>
        <v>1</v>
      </c>
      <c r="R16" s="1">
        <f>SUMIFS(super1[Qtde],super1[Item],tab_alimentos[[#This Row],[Item]],super1[Bairro],mercado7)+SUMIFS(supercb[Qtde],supercb[Item],tab_alimentos[[#This Row],[Item]],supercb[Bairro],mercado7)</f>
        <v>1</v>
      </c>
      <c r="S16" s="1">
        <f>SUMIFS(super1[Qtde],super1[Item],tab_alimentos[[#This Row],[Item]],super1[Bairro],mercado8)+SUMIFS(supercb[Qtde],supercb[Item],tab_alimentos[[#This Row],[Item]],supercb[Bairro],mercado8)</f>
        <v>1</v>
      </c>
      <c r="T16" s="1">
        <f>SUMIFS(super1[Qtde],super1[Item],tab_alimentos[[#This Row],[Item]],super1[Bairro],mercado9)+SUMIFS(supercb[Qtde],supercb[Item],tab_alimentos[[#This Row],[Item]],supercb[Bairro],mercado9)</f>
        <v>4</v>
      </c>
      <c r="U16" s="1">
        <f>SUMIFS(super1[Qtde],super1[Item],tab_alimentos[[#This Row],[Item]],super1[Bairro],mercado10)+SUMIFS(supercb[Qtde],supercb[Item],tab_alimentos[[#This Row],[Item]],supercb[Bairro],mercado10)</f>
        <v>0</v>
      </c>
      <c r="V16" s="1">
        <f>SUMIFS(super1[Qtde],super1[Item],tab_alimentos[[#This Row],[Item]],super1[Bairro],mercado11)+SUMIFS(supercb[Qtde],supercb[Item],tab_alimentos[[#This Row],[Item]],supercb[Bairro],mercado11)</f>
        <v>5</v>
      </c>
      <c r="W16" s="1">
        <f>SUMIFS(super1[Qtde],super1[Item],tab_alimentos[[#This Row],[Item]],super1[Bairro],mercado12)+SUMIFS(supercb[Qtde],supercb[Item],tab_alimentos[[#This Row],[Item]],supercb[Bairro],mercado12)</f>
        <v>0</v>
      </c>
      <c r="X16" s="1">
        <f>SUMIFS(super1[Qtde],super1[Item],tab_alimentos[[#This Row],[Item]],super1[Bairro],mercado13)+SUMIFS(supercb[Qtde],supercb[Item],tab_alimentos[[#This Row],[Item]],supercb[Bairro],mercado13)</f>
        <v>1</v>
      </c>
      <c r="Y16" s="1">
        <f>SUMIFS(super1[Qtde],super1[Item],tab_alimentos[[#This Row],[Item]],super1[Bairro],mercado14)+SUMIFS(supercb[Qtde],supercb[Item],tab_alimentos[[#This Row],[Item]],supercb[Bairro],mercado14)</f>
        <v>0</v>
      </c>
      <c r="Z16" s="1">
        <f>SUMIFS(super1[Qtde],super1[Item],tab_alimentos[[#This Row],[Item]],super1[Bairro],mercado15)+SUMIFS(supercb[Qtde],supercb[Item],tab_alimentos[[#This Row],[Item]],supercb[Bairro],mercado15)</f>
        <v>0</v>
      </c>
      <c r="AA16" s="1">
        <f>SUMIFS(super1[Qtde],super1[Item],tab_alimentos[[#This Row],[Item]],super1[Bairro],mercado16)+SUMIFS(supercb[Qtde],supercb[Item],tab_alimentos[[#This Row],[Item]],supercb[Bairro],mercado16)</f>
        <v>0</v>
      </c>
      <c r="AB16" s="1">
        <f>SUMIFS(super1[Qtde],super1[Item],tab_alimentos[[#This Row],[Item]],super1[Bairro],mercado17)+SUMIFS(supercb[Qtde],supercb[Item],tab_alimentos[[#This Row],[Item]],supercb[Bairro],mercado17)</f>
        <v>0</v>
      </c>
      <c r="AC16" s="1">
        <f>SUMIFS(super1[Qtde],super1[Item],tab_alimentos[[#This Row],[Item]],super1[Bairro],mercado18)+SUMIFS(supercb[Qtde],supercb[Item],tab_alimentos[[#This Row],[Item]],supercb[Bairro],mercado18)</f>
        <v>0</v>
      </c>
      <c r="AD16" s="1">
        <f>SUMIFS(super1[Qtde],super1[Item],tab_alimentos[[#This Row],[Item]],super1[Bairro],extras)+SUMIFS(supercb[Qtde],supercb[Item],tab_alimentos[[#This Row],[Item]],supercb[Bairro],extras)</f>
        <v>0</v>
      </c>
      <c r="AE16" s="1">
        <f t="shared" si="0"/>
        <v>18</v>
      </c>
      <c r="AF16" s="1">
        <f t="shared" si="1"/>
        <v>60.120000000000005</v>
      </c>
      <c r="AG16" s="3">
        <f t="shared" si="2"/>
        <v>36</v>
      </c>
      <c r="AH16" s="25" t="str">
        <f>higiene[[#This Row],[Item]]</f>
        <v>Água Sanitária (5L)</v>
      </c>
      <c r="AI16" s="1">
        <f>IFERROR(higiene[[#This Row],[Kg equivalente]],0)</f>
        <v>3.7284005687377415</v>
      </c>
      <c r="AJ16" s="1">
        <f>IFERROR(higiene[[#This Row],[Preço por produto]],0)</f>
        <v>12.35</v>
      </c>
      <c r="AK16" s="1">
        <f>SUMIFS(super1[Qtde],super1[Item],tab_higiene[[#This Row],[Item]],super1[Bairro],mercado1)+SUMIFS(supercb[Qtde],supercb[Item],tab_higiene[[#This Row],[Item]],supercb[Bairro],mercado1)</f>
        <v>0</v>
      </c>
      <c r="AL16" s="1">
        <f>SUMIFS(super1[Qtde],super1[Item],tab_higiene[[#This Row],[Item]],super1[Bairro],mercado2)+SUMIFS(supercb[Qtde],supercb[Item],tab_higiene[[#This Row],[Item]],supercb[Bairro],mercado2)</f>
        <v>0</v>
      </c>
      <c r="AM16" s="1">
        <f>SUMIFS(super1[Qtde],super1[Item],tab_higiene[[#This Row],[Item]],super1[Bairro],mercado3)+SUMIFS(supercb[Qtde],supercb[Item],tab_higiene[[#This Row],[Item]],supercb[Bairro],mercado3)</f>
        <v>0</v>
      </c>
      <c r="AN16" s="1">
        <f>SUMIFS(super1[Qtde],super1[Item],tab_higiene[[#This Row],[Item]],super1[Bairro],mercado4)+SUMIFS(supercb[Qtde],supercb[Item],tab_higiene[[#This Row],[Item]],supercb[Bairro],mercado4)</f>
        <v>0</v>
      </c>
      <c r="AO16" s="1">
        <f>SUMIFS(super1[Qtde],super1[Item],tab_higiene[[#This Row],[Item]],super1[Bairro],mercado5)+SUMIFS(supercb[Qtde],supercb[Item],tab_higiene[[#This Row],[Item]],supercb[Bairro],mercado5)</f>
        <v>0</v>
      </c>
      <c r="AP16" s="1">
        <f>SUMIFS(super1[Qtde],super1[Item],tab_higiene[[#This Row],[Item]],super1[Bairro],mercado6)+SUMIFS(supercb[Qtde],supercb[Item],tab_higiene[[#This Row],[Item]],supercb[Bairro],mercado6)</f>
        <v>0</v>
      </c>
      <c r="AQ16" s="1">
        <f>SUMIFS(super1[Qtde],super1[Item],tab_higiene[[#This Row],[Item]],super1[Bairro],mercado7)+SUMIFS(supercb[Qtde],supercb[Item],tab_higiene[[#This Row],[Item]],supercb[Bairro],mercado7)</f>
        <v>0</v>
      </c>
      <c r="AR16" s="1">
        <f>SUMIFS(super1[Qtde],super1[Item],tab_higiene[[#This Row],[Item]],super1[Bairro],mercado8)+SUMIFS(supercb[Qtde],supercb[Item],tab_higiene[[#This Row],[Item]],supercb[Bairro],mercado8)</f>
        <v>0</v>
      </c>
      <c r="AS16" s="1">
        <f>SUMIFS(super1[Qtde],super1[Item],tab_higiene[[#This Row],[Item]],super1[Bairro],mercado9)+SUMIFS(supercb[Qtde],supercb[Item],tab_higiene[[#This Row],[Item]],supercb[Bairro],mercado9)</f>
        <v>1</v>
      </c>
      <c r="AT16" s="1">
        <f>SUMIFS(super1[Qtde],super1[Item],tab_higiene[[#This Row],[Item]],super1[Bairro],mercado10)+SUMIFS(supercb[Qtde],supercb[Item],tab_higiene[[#This Row],[Item]],supercb[Bairro],mercado10)</f>
        <v>2</v>
      </c>
      <c r="AU16" s="1">
        <f>SUMIFS(super1[Qtde],super1[Item],tab_higiene[[#This Row],[Item]],super1[Bairro],mercado11)+SUMIFS(supercb[Qtde],supercb[Item],tab_higiene[[#This Row],[Item]],supercb[Bairro],mercado11)</f>
        <v>0</v>
      </c>
      <c r="AV16" s="1">
        <f>SUMIFS(super1[Qtde],super1[Item],tab_higiene[[#This Row],[Item]],super1[Bairro],mercado12)+SUMIFS(supercb[Qtde],supercb[Item],tab_higiene[[#This Row],[Item]],supercb[Bairro],mercado12)</f>
        <v>0</v>
      </c>
      <c r="AW16" s="1">
        <f>SUMIFS(super1[Qtde],super1[Item],tab_higiene[[#This Row],[Item]],super1[Bairro],mercado13)+SUMIFS(supercb[Qtde],supercb[Item],tab_higiene[[#This Row],[Item]],supercb[Bairro],mercado13)</f>
        <v>1</v>
      </c>
      <c r="AX16" s="1">
        <f>SUMIFS(super1[Qtde],super1[Item],tab_higiene[[#This Row],[Item]],super1[Bairro],mercado14)+SUMIFS(supercb[Qtde],supercb[Item],tab_higiene[[#This Row],[Item]],supercb[Bairro],mercado14)</f>
        <v>0</v>
      </c>
      <c r="AY16" s="1">
        <f>SUMIFS(super1[Qtde],super1[Item],tab_higiene[[#This Row],[Item]],super1[Bairro],mercado15)+SUMIFS(supercb[Qtde],supercb[Item],tab_higiene[[#This Row],[Item]],supercb[Bairro],mercado15)</f>
        <v>0</v>
      </c>
      <c r="AZ16" s="1">
        <f>SUMIFS(super1[Qtde],super1[Item],tab_higiene[[#This Row],[Item]],super1[Bairro],mercado16)+SUMIFS(supercb[Qtde],supercb[Item],tab_higiene[[#This Row],[Item]],supercb[Bairro],mercado16)</f>
        <v>0</v>
      </c>
      <c r="BA16" s="1">
        <f>SUMIFS(super1[Qtde],super1[Item],tab_higiene[[#This Row],[Item]],super1[Bairro],mercado17)+SUMIFS(supercb[Qtde],supercb[Item],tab_higiene[[#This Row],[Item]],supercb[Bairro],mercado17)</f>
        <v>0</v>
      </c>
      <c r="BB16" s="1">
        <f>SUMIFS(super1[Qtde],super1[Item],tab_higiene[[#This Row],[Item]],super1[Bairro],mercado18)+SUMIFS(supercb[Qtde],supercb[Item],tab_higiene[[#This Row],[Item]],supercb[Bairro],mercado18)</f>
        <v>0</v>
      </c>
      <c r="BC16" s="1">
        <f>SUMIFS(super1[Qtde],super1[Item],tab_higiene[[#This Row],[Item]],super1[Bairro],extras)+SUMIFS(supercb[Qtde],supercb[Item],tab_higiene[[#This Row],[Item]],supercb[Bairro],extras)</f>
        <v>0</v>
      </c>
      <c r="BD16" s="1">
        <f t="shared" si="3"/>
        <v>4</v>
      </c>
      <c r="BE16" s="1">
        <f t="shared" si="4"/>
        <v>49.4</v>
      </c>
      <c r="BF16" s="26">
        <f t="shared" si="5"/>
        <v>14.913602274950966</v>
      </c>
      <c r="BI16" s="33" t="str">
        <f>tab_alimentos[[#This Row],[Item]]</f>
        <v>Açúcar (2kg)</v>
      </c>
      <c r="BJ16" s="33">
        <f t="shared" si="6"/>
        <v>7</v>
      </c>
      <c r="BK16" s="33" t="str">
        <f t="shared" si="7"/>
        <v>Açúcar</v>
      </c>
      <c r="BL16" s="33">
        <f>tab_alimentos[[#This Row],[kg]]</f>
        <v>36</v>
      </c>
      <c r="BM16" s="37" t="s">
        <v>276</v>
      </c>
      <c r="BN16" s="35">
        <f t="shared" si="11"/>
        <v>0</v>
      </c>
      <c r="BP16" s="33" t="str">
        <f>tab_higiene[[#This Row],[Item]]</f>
        <v>Água Sanitária (5L)</v>
      </c>
      <c r="BQ16" s="33">
        <f t="shared" si="8"/>
        <v>15</v>
      </c>
      <c r="BR16" s="33" t="str">
        <f t="shared" si="9"/>
        <v>Água Sanitária</v>
      </c>
      <c r="BS16" s="33">
        <f>higiene[[#This Row],[Quantidade]]</f>
        <v>5</v>
      </c>
      <c r="BT16" s="33">
        <f>tab_higiene[Qtde (tot)]</f>
        <v>4</v>
      </c>
      <c r="BU16" s="33">
        <f t="shared" si="12"/>
        <v>20</v>
      </c>
      <c r="BV16" s="37" t="s">
        <v>36</v>
      </c>
      <c r="BW16" s="33">
        <f t="shared" si="10"/>
        <v>7</v>
      </c>
    </row>
    <row r="17" spans="1:75" x14ac:dyDescent="0.25">
      <c r="A17" s="24" t="str">
        <f>tabMercados[[#This Row],[Supermercados]]</f>
        <v>Savegnago Maffei</v>
      </c>
      <c r="B17" s="29">
        <f>SUMPRODUCT(tab_alimentos[kg/embalagem],tab_alimentos[Qtde (S9)])</f>
        <v>413.41999999999996</v>
      </c>
      <c r="C17" s="29">
        <f>SUMPRODUCT(tab_alimentos[Preço],tab_alimentos[Qtde (S9)])</f>
        <v>1348.5146666666667</v>
      </c>
      <c r="D17" s="29">
        <f>SUMPRODUCT(tab_higiene[kg/embalagem],tab_higiene[Qtde (S9)])</f>
        <v>287.68006704119227</v>
      </c>
      <c r="E17" s="29">
        <f>SUMPRODUCT(tab_higiene[Preço],tab_higiene[Qtde (S9)])</f>
        <v>952.91499999999996</v>
      </c>
      <c r="F17" s="29">
        <f t="shared" si="13"/>
        <v>701.10006704119223</v>
      </c>
      <c r="G17" s="29">
        <f t="shared" si="13"/>
        <v>2301.4296666666669</v>
      </c>
      <c r="I17" s="25" t="str">
        <f>alimentos[[#This Row],[Item]]</f>
        <v>Açucar (500g)</v>
      </c>
      <c r="J17" s="1">
        <f>IFERROR(alimentos[[#This Row],[kg/embalagem]],0)</f>
        <v>0.5</v>
      </c>
      <c r="K17" s="1">
        <f>IFERROR(alimentos[[#This Row],[Preço]],0)</f>
        <v>3.45</v>
      </c>
      <c r="L17" s="1">
        <f>SUMIFS(super1[Qtde],super1[Item],tab_alimentos[[#This Row],[Item]],super1[Bairro],mercado1)+SUMIFS(supercb[Qtde],supercb[Item],tab_alimentos[[#This Row],[Item]],supercb[Bairro],mercado1)</f>
        <v>0</v>
      </c>
      <c r="M17" s="1">
        <f>SUMIFS(super1[Qtde],super1[Item],tab_alimentos[[#This Row],[Item]],super1[Bairro],mercado2)+SUMIFS(supercb[Qtde],supercb[Item],tab_alimentos[[#This Row],[Item]],supercb[Bairro],mercado2)</f>
        <v>0</v>
      </c>
      <c r="N17" s="1">
        <f>SUMIFS(super1[Qtde],super1[Item],tab_alimentos[[#This Row],[Item]],super1[Bairro],mercado3)+SUMIFS(supercb[Qtde],supercb[Item],tab_alimentos[[#This Row],[Item]],supercb[Bairro],mercado3)</f>
        <v>0</v>
      </c>
      <c r="O17" s="1">
        <f>SUMIFS(super1[Qtde],super1[Item],tab_alimentos[[#This Row],[Item]],super1[Bairro],mercado4)+SUMIFS(supercb[Qtde],supercb[Item],tab_alimentos[[#This Row],[Item]],supercb[Bairro],mercado4)</f>
        <v>0</v>
      </c>
      <c r="P17" s="1">
        <f>SUMIFS(super1[Qtde],super1[Item],tab_alimentos[[#This Row],[Item]],super1[Bairro],mercado5)+SUMIFS(supercb[Qtde],supercb[Item],tab_alimentos[[#This Row],[Item]],supercb[Bairro],mercado5)</f>
        <v>0</v>
      </c>
      <c r="Q17" s="1">
        <f>SUMIFS(super1[Qtde],super1[Item],tab_alimentos[[#This Row],[Item]],super1[Bairro],mercado6)+SUMIFS(supercb[Qtde],supercb[Item],tab_alimentos[[#This Row],[Item]],supercb[Bairro],mercado6)</f>
        <v>0</v>
      </c>
      <c r="R17" s="1">
        <f>SUMIFS(super1[Qtde],super1[Item],tab_alimentos[[#This Row],[Item]],super1[Bairro],mercado7)+SUMIFS(supercb[Qtde],supercb[Item],tab_alimentos[[#This Row],[Item]],supercb[Bairro],mercado7)</f>
        <v>0</v>
      </c>
      <c r="S17" s="1">
        <f>SUMIFS(super1[Qtde],super1[Item],tab_alimentos[[#This Row],[Item]],super1[Bairro],mercado8)+SUMIFS(supercb[Qtde],supercb[Item],tab_alimentos[[#This Row],[Item]],supercb[Bairro],mercado8)</f>
        <v>0</v>
      </c>
      <c r="T17" s="1">
        <f>SUMIFS(super1[Qtde],super1[Item],tab_alimentos[[#This Row],[Item]],super1[Bairro],mercado9)+SUMIFS(supercb[Qtde],supercb[Item],tab_alimentos[[#This Row],[Item]],supercb[Bairro],mercado9)</f>
        <v>0</v>
      </c>
      <c r="U17" s="1">
        <f>SUMIFS(super1[Qtde],super1[Item],tab_alimentos[[#This Row],[Item]],super1[Bairro],mercado10)+SUMIFS(supercb[Qtde],supercb[Item],tab_alimentos[[#This Row],[Item]],supercb[Bairro],mercado10)</f>
        <v>0</v>
      </c>
      <c r="V17" s="1">
        <f>SUMIFS(super1[Qtde],super1[Item],tab_alimentos[[#This Row],[Item]],super1[Bairro],mercado11)+SUMIFS(supercb[Qtde],supercb[Item],tab_alimentos[[#This Row],[Item]],supercb[Bairro],mercado11)</f>
        <v>0</v>
      </c>
      <c r="W17" s="1">
        <f>SUMIFS(super1[Qtde],super1[Item],tab_alimentos[[#This Row],[Item]],super1[Bairro],mercado12)+SUMIFS(supercb[Qtde],supercb[Item],tab_alimentos[[#This Row],[Item]],supercb[Bairro],mercado12)</f>
        <v>0</v>
      </c>
      <c r="X17" s="1">
        <f>SUMIFS(super1[Qtde],super1[Item],tab_alimentos[[#This Row],[Item]],super1[Bairro],mercado13)+SUMIFS(supercb[Qtde],supercb[Item],tab_alimentos[[#This Row],[Item]],supercb[Bairro],mercado13)</f>
        <v>0</v>
      </c>
      <c r="Y17" s="1">
        <f>SUMIFS(super1[Qtde],super1[Item],tab_alimentos[[#This Row],[Item]],super1[Bairro],mercado14)+SUMIFS(supercb[Qtde],supercb[Item],tab_alimentos[[#This Row],[Item]],supercb[Bairro],mercado14)</f>
        <v>0</v>
      </c>
      <c r="Z17" s="1">
        <f>SUMIFS(super1[Qtde],super1[Item],tab_alimentos[[#This Row],[Item]],super1[Bairro],mercado15)+SUMIFS(supercb[Qtde],supercb[Item],tab_alimentos[[#This Row],[Item]],supercb[Bairro],mercado15)</f>
        <v>0</v>
      </c>
      <c r="AA17" s="1">
        <f>SUMIFS(super1[Qtde],super1[Item],tab_alimentos[[#This Row],[Item]],super1[Bairro],mercado16)+SUMIFS(supercb[Qtde],supercb[Item],tab_alimentos[[#This Row],[Item]],supercb[Bairro],mercado16)</f>
        <v>0</v>
      </c>
      <c r="AB17" s="1">
        <f>SUMIFS(super1[Qtde],super1[Item],tab_alimentos[[#This Row],[Item]],super1[Bairro],mercado17)+SUMIFS(supercb[Qtde],supercb[Item],tab_alimentos[[#This Row],[Item]],supercb[Bairro],mercado17)</f>
        <v>0</v>
      </c>
      <c r="AC17" s="1">
        <f>SUMIFS(super1[Qtde],super1[Item],tab_alimentos[[#This Row],[Item]],super1[Bairro],mercado18)+SUMIFS(supercb[Qtde],supercb[Item],tab_alimentos[[#This Row],[Item]],supercb[Bairro],mercado18)</f>
        <v>0</v>
      </c>
      <c r="AD17" s="1">
        <f>SUMIFS(super1[Qtde],super1[Item],tab_alimentos[[#This Row],[Item]],super1[Bairro],extras)+SUMIFS(supercb[Qtde],supercb[Item],tab_alimentos[[#This Row],[Item]],supercb[Bairro],extras)</f>
        <v>0</v>
      </c>
      <c r="AE17" s="1">
        <f t="shared" si="0"/>
        <v>0</v>
      </c>
      <c r="AF17" s="1">
        <f t="shared" si="1"/>
        <v>0</v>
      </c>
      <c r="AG17" s="3">
        <f t="shared" si="2"/>
        <v>0</v>
      </c>
      <c r="AH17" s="25" t="str">
        <f>higiene[[#This Row],[Item]]</f>
        <v>Alcool (1L)</v>
      </c>
      <c r="AI17" s="1">
        <f>IFERROR(higiene[[#This Row],[Kg equivalente]],0)</f>
        <v>1.6779312033234304</v>
      </c>
      <c r="AJ17" s="1">
        <f>IFERROR(higiene[[#This Row],[Preço por produto]],0)</f>
        <v>5.5579999999999998</v>
      </c>
      <c r="AK17" s="1">
        <f>SUMIFS(super1[Qtde],super1[Item],tab_higiene[[#This Row],[Item]],super1[Bairro],mercado1)+SUMIFS(supercb[Qtde],supercb[Item],tab_higiene[[#This Row],[Item]],supercb[Bairro],mercado1)</f>
        <v>1</v>
      </c>
      <c r="AL17" s="1">
        <f>SUMIFS(super1[Qtde],super1[Item],tab_higiene[[#This Row],[Item]],super1[Bairro],mercado2)+SUMIFS(supercb[Qtde],supercb[Item],tab_higiene[[#This Row],[Item]],supercb[Bairro],mercado2)</f>
        <v>0</v>
      </c>
      <c r="AM17" s="1">
        <f>SUMIFS(super1[Qtde],super1[Item],tab_higiene[[#This Row],[Item]],super1[Bairro],mercado3)+SUMIFS(supercb[Qtde],supercb[Item],tab_higiene[[#This Row],[Item]],supercb[Bairro],mercado3)</f>
        <v>0</v>
      </c>
      <c r="AN17" s="1">
        <f>SUMIFS(super1[Qtde],super1[Item],tab_higiene[[#This Row],[Item]],super1[Bairro],mercado4)+SUMIFS(supercb[Qtde],supercb[Item],tab_higiene[[#This Row],[Item]],supercb[Bairro],mercado4)</f>
        <v>0</v>
      </c>
      <c r="AO17" s="1">
        <f>SUMIFS(super1[Qtde],super1[Item],tab_higiene[[#This Row],[Item]],super1[Bairro],mercado5)+SUMIFS(supercb[Qtde],supercb[Item],tab_higiene[[#This Row],[Item]],supercb[Bairro],mercado5)</f>
        <v>0</v>
      </c>
      <c r="AP17" s="1">
        <f>SUMIFS(super1[Qtde],super1[Item],tab_higiene[[#This Row],[Item]],super1[Bairro],mercado6)+SUMIFS(supercb[Qtde],supercb[Item],tab_higiene[[#This Row],[Item]],supercb[Bairro],mercado6)</f>
        <v>0</v>
      </c>
      <c r="AQ17" s="1">
        <f>SUMIFS(super1[Qtde],super1[Item],tab_higiene[[#This Row],[Item]],super1[Bairro],mercado7)+SUMIFS(supercb[Qtde],supercb[Item],tab_higiene[[#This Row],[Item]],supercb[Bairro],mercado7)</f>
        <v>0</v>
      </c>
      <c r="AR17" s="1">
        <f>SUMIFS(super1[Qtde],super1[Item],tab_higiene[[#This Row],[Item]],super1[Bairro],mercado8)+SUMIFS(supercb[Qtde],supercb[Item],tab_higiene[[#This Row],[Item]],supercb[Bairro],mercado8)</f>
        <v>0</v>
      </c>
      <c r="AS17" s="1">
        <f>SUMIFS(super1[Qtde],super1[Item],tab_higiene[[#This Row],[Item]],super1[Bairro],mercado9)+SUMIFS(supercb[Qtde],supercb[Item],tab_higiene[[#This Row],[Item]],supercb[Bairro],mercado9)</f>
        <v>0</v>
      </c>
      <c r="AT17" s="1">
        <f>SUMIFS(super1[Qtde],super1[Item],tab_higiene[[#This Row],[Item]],super1[Bairro],mercado10)+SUMIFS(supercb[Qtde],supercb[Item],tab_higiene[[#This Row],[Item]],supercb[Bairro],mercado10)</f>
        <v>0</v>
      </c>
      <c r="AU17" s="1">
        <f>SUMIFS(super1[Qtde],super1[Item],tab_higiene[[#This Row],[Item]],super1[Bairro],mercado11)+SUMIFS(supercb[Qtde],supercb[Item],tab_higiene[[#This Row],[Item]],supercb[Bairro],mercado11)</f>
        <v>0</v>
      </c>
      <c r="AV17" s="1">
        <f>SUMIFS(super1[Qtde],super1[Item],tab_higiene[[#This Row],[Item]],super1[Bairro],mercado12)+SUMIFS(supercb[Qtde],supercb[Item],tab_higiene[[#This Row],[Item]],supercb[Bairro],mercado12)</f>
        <v>0</v>
      </c>
      <c r="AW17" s="1">
        <f>SUMIFS(super1[Qtde],super1[Item],tab_higiene[[#This Row],[Item]],super1[Bairro],mercado13)+SUMIFS(supercb[Qtde],supercb[Item],tab_higiene[[#This Row],[Item]],supercb[Bairro],mercado13)</f>
        <v>0</v>
      </c>
      <c r="AX17" s="1">
        <f>SUMIFS(super1[Qtde],super1[Item],tab_higiene[[#This Row],[Item]],super1[Bairro],mercado14)+SUMIFS(supercb[Qtde],supercb[Item],tab_higiene[[#This Row],[Item]],supercb[Bairro],mercado14)</f>
        <v>0</v>
      </c>
      <c r="AY17" s="1">
        <f>SUMIFS(super1[Qtde],super1[Item],tab_higiene[[#This Row],[Item]],super1[Bairro],mercado15)+SUMIFS(supercb[Qtde],supercb[Item],tab_higiene[[#This Row],[Item]],supercb[Bairro],mercado15)</f>
        <v>0</v>
      </c>
      <c r="AZ17" s="1">
        <f>SUMIFS(super1[Qtde],super1[Item],tab_higiene[[#This Row],[Item]],super1[Bairro],mercado16)+SUMIFS(supercb[Qtde],supercb[Item],tab_higiene[[#This Row],[Item]],supercb[Bairro],mercado16)</f>
        <v>0</v>
      </c>
      <c r="BA17" s="1">
        <f>SUMIFS(super1[Qtde],super1[Item],tab_higiene[[#This Row],[Item]],super1[Bairro],mercado17)+SUMIFS(supercb[Qtde],supercb[Item],tab_higiene[[#This Row],[Item]],supercb[Bairro],mercado17)</f>
        <v>0</v>
      </c>
      <c r="BB17" s="1">
        <f>SUMIFS(super1[Qtde],super1[Item],tab_higiene[[#This Row],[Item]],super1[Bairro],mercado18)+SUMIFS(supercb[Qtde],supercb[Item],tab_higiene[[#This Row],[Item]],supercb[Bairro],mercado18)</f>
        <v>0</v>
      </c>
      <c r="BC17" s="1">
        <f>SUMIFS(super1[Qtde],super1[Item],tab_higiene[[#This Row],[Item]],super1[Bairro],extras)+SUMIFS(supercb[Qtde],supercb[Item],tab_higiene[[#This Row],[Item]],supercb[Bairro],extras)</f>
        <v>0</v>
      </c>
      <c r="BD17" s="1">
        <f t="shared" si="3"/>
        <v>1</v>
      </c>
      <c r="BE17" s="1">
        <f t="shared" si="4"/>
        <v>5.5579999999999998</v>
      </c>
      <c r="BF17" s="26">
        <f t="shared" si="5"/>
        <v>1.6779312033234304</v>
      </c>
      <c r="BI17" s="33" t="str">
        <f>tab_alimentos[[#This Row],[Item]]</f>
        <v>Açucar (500g)</v>
      </c>
      <c r="BJ17" s="33">
        <f t="shared" si="6"/>
        <v>7</v>
      </c>
      <c r="BK17" s="33" t="str">
        <f t="shared" si="7"/>
        <v>Açucar</v>
      </c>
      <c r="BL17" s="33">
        <f>tab_alimentos[[#This Row],[kg]]</f>
        <v>0</v>
      </c>
      <c r="BM17" s="37" t="s">
        <v>78</v>
      </c>
      <c r="BN17" s="35">
        <f t="shared" si="11"/>
        <v>0</v>
      </c>
      <c r="BP17" s="33" t="str">
        <f>tab_higiene[[#This Row],[Item]]</f>
        <v>Alcool (1L)</v>
      </c>
      <c r="BQ17" s="33">
        <f t="shared" si="8"/>
        <v>7</v>
      </c>
      <c r="BR17" s="33" t="str">
        <f t="shared" si="9"/>
        <v>Alcool</v>
      </c>
      <c r="BS17" s="33">
        <f>higiene[[#This Row],[Quantidade]]</f>
        <v>1</v>
      </c>
      <c r="BT17" s="33">
        <f>tab_higiene[Qtde (tot)]</f>
        <v>1</v>
      </c>
      <c r="BU17" s="33">
        <f t="shared" si="12"/>
        <v>1</v>
      </c>
      <c r="BV17" s="37" t="s">
        <v>79</v>
      </c>
      <c r="BW17" s="33">
        <f t="shared" si="10"/>
        <v>0</v>
      </c>
    </row>
    <row r="18" spans="1:75" x14ac:dyDescent="0.25">
      <c r="A18" s="24" t="str">
        <f>tabMercados[[#This Row],[Supermercados]]</f>
        <v>Savegnago Passeio</v>
      </c>
      <c r="B18" s="29">
        <f>SUMPRODUCT(tab_alimentos[kg/embalagem],tab_alimentos[Qtde (S10)])</f>
        <v>766.01999999999987</v>
      </c>
      <c r="C18" s="29">
        <f>SUMPRODUCT(tab_alimentos[Preço],tab_alimentos[Qtde (S10)])</f>
        <v>2536.3858333333337</v>
      </c>
      <c r="D18" s="29">
        <f>SUMPRODUCT(tab_higiene[kg/embalagem],tab_higiene[Qtde (S10)])</f>
        <v>592.99944372048878</v>
      </c>
      <c r="E18" s="29">
        <f>SUMPRODUCT(tab_higiene[Preço],tab_higiene[Qtde (S10)])</f>
        <v>1964.2586666666675</v>
      </c>
      <c r="F18" s="29">
        <f t="shared" si="13"/>
        <v>1359.0194437204887</v>
      </c>
      <c r="G18" s="29">
        <f t="shared" si="13"/>
        <v>4500.6445000000012</v>
      </c>
      <c r="I18" s="25" t="str">
        <f>alimentos[[#This Row],[Item]]</f>
        <v>Açúcar (5kg)</v>
      </c>
      <c r="J18" s="1">
        <f>IFERROR(alimentos[[#This Row],[kg/embalagem]],0)</f>
        <v>5</v>
      </c>
      <c r="K18" s="1">
        <f>IFERROR(alimentos[[#This Row],[Preço]],0)</f>
        <v>6.9866666666666681</v>
      </c>
      <c r="L18" s="1">
        <f>SUMIFS(super1[Qtde],super1[Item],tab_alimentos[[#This Row],[Item]],super1[Bairro],mercado1)+SUMIFS(supercb[Qtde],supercb[Item],tab_alimentos[[#This Row],[Item]],supercb[Bairro],mercado1)</f>
        <v>2</v>
      </c>
      <c r="M18" s="1">
        <f>SUMIFS(super1[Qtde],super1[Item],tab_alimentos[[#This Row],[Item]],super1[Bairro],mercado2)+SUMIFS(supercb[Qtde],supercb[Item],tab_alimentos[[#This Row],[Item]],supercb[Bairro],mercado2)</f>
        <v>1</v>
      </c>
      <c r="N18" s="1">
        <f>SUMIFS(super1[Qtde],super1[Item],tab_alimentos[[#This Row],[Item]],super1[Bairro],mercado3)+SUMIFS(supercb[Qtde],supercb[Item],tab_alimentos[[#This Row],[Item]],supercb[Bairro],mercado3)</f>
        <v>0</v>
      </c>
      <c r="O18" s="1">
        <f>SUMIFS(super1[Qtde],super1[Item],tab_alimentos[[#This Row],[Item]],super1[Bairro],mercado4)+SUMIFS(supercb[Qtde],supercb[Item],tab_alimentos[[#This Row],[Item]],supercb[Bairro],mercado4)</f>
        <v>0</v>
      </c>
      <c r="P18" s="1">
        <f>SUMIFS(super1[Qtde],super1[Item],tab_alimentos[[#This Row],[Item]],super1[Bairro],mercado5)+SUMIFS(supercb[Qtde],supercb[Item],tab_alimentos[[#This Row],[Item]],supercb[Bairro],mercado5)</f>
        <v>0</v>
      </c>
      <c r="Q18" s="1">
        <f>SUMIFS(super1[Qtde],super1[Item],tab_alimentos[[#This Row],[Item]],super1[Bairro],mercado6)+SUMIFS(supercb[Qtde],supercb[Item],tab_alimentos[[#This Row],[Item]],supercb[Bairro],mercado6)</f>
        <v>0</v>
      </c>
      <c r="R18" s="1">
        <f>SUMIFS(super1[Qtde],super1[Item],tab_alimentos[[#This Row],[Item]],super1[Bairro],mercado7)+SUMIFS(supercb[Qtde],supercb[Item],tab_alimentos[[#This Row],[Item]],supercb[Bairro],mercado7)</f>
        <v>0</v>
      </c>
      <c r="S18" s="1">
        <f>SUMIFS(super1[Qtde],super1[Item],tab_alimentos[[#This Row],[Item]],super1[Bairro],mercado8)+SUMIFS(supercb[Qtde],supercb[Item],tab_alimentos[[#This Row],[Item]],supercb[Bairro],mercado8)</f>
        <v>0</v>
      </c>
      <c r="T18" s="1">
        <f>SUMIFS(super1[Qtde],super1[Item],tab_alimentos[[#This Row],[Item]],super1[Bairro],mercado9)+SUMIFS(supercb[Qtde],supercb[Item],tab_alimentos[[#This Row],[Item]],supercb[Bairro],mercado9)</f>
        <v>3</v>
      </c>
      <c r="U18" s="1">
        <f>SUMIFS(super1[Qtde],super1[Item],tab_alimentos[[#This Row],[Item]],super1[Bairro],mercado10)+SUMIFS(supercb[Qtde],supercb[Item],tab_alimentos[[#This Row],[Item]],supercb[Bairro],mercado10)</f>
        <v>10</v>
      </c>
      <c r="V18" s="1">
        <f>SUMIFS(super1[Qtde],super1[Item],tab_alimentos[[#This Row],[Item]],super1[Bairro],mercado11)+SUMIFS(supercb[Qtde],supercb[Item],tab_alimentos[[#This Row],[Item]],supercb[Bairro],mercado11)</f>
        <v>1</v>
      </c>
      <c r="W18" s="1">
        <f>SUMIFS(super1[Qtde],super1[Item],tab_alimentos[[#This Row],[Item]],super1[Bairro],mercado12)+SUMIFS(supercb[Qtde],supercb[Item],tab_alimentos[[#This Row],[Item]],supercb[Bairro],mercado12)</f>
        <v>0</v>
      </c>
      <c r="X18" s="1">
        <f>SUMIFS(super1[Qtde],super1[Item],tab_alimentos[[#This Row],[Item]],super1[Bairro],mercado13)+SUMIFS(supercb[Qtde],supercb[Item],tab_alimentos[[#This Row],[Item]],supercb[Bairro],mercado13)</f>
        <v>6</v>
      </c>
      <c r="Y18" s="1">
        <f>SUMIFS(super1[Qtde],super1[Item],tab_alimentos[[#This Row],[Item]],super1[Bairro],mercado14)+SUMIFS(supercb[Qtde],supercb[Item],tab_alimentos[[#This Row],[Item]],supercb[Bairro],mercado14)</f>
        <v>0</v>
      </c>
      <c r="Z18" s="1">
        <f>SUMIFS(super1[Qtde],super1[Item],tab_alimentos[[#This Row],[Item]],super1[Bairro],mercado15)+SUMIFS(supercb[Qtde],supercb[Item],tab_alimentos[[#This Row],[Item]],supercb[Bairro],mercado15)</f>
        <v>0</v>
      </c>
      <c r="AA18" s="1">
        <f>SUMIFS(super1[Qtde],super1[Item],tab_alimentos[[#This Row],[Item]],super1[Bairro],mercado16)+SUMIFS(supercb[Qtde],supercb[Item],tab_alimentos[[#This Row],[Item]],supercb[Bairro],mercado16)</f>
        <v>0</v>
      </c>
      <c r="AB18" s="1">
        <f>SUMIFS(super1[Qtde],super1[Item],tab_alimentos[[#This Row],[Item]],super1[Bairro],mercado17)+SUMIFS(supercb[Qtde],supercb[Item],tab_alimentos[[#This Row],[Item]],supercb[Bairro],mercado17)</f>
        <v>0</v>
      </c>
      <c r="AC18" s="1">
        <f>SUMIFS(super1[Qtde],super1[Item],tab_alimentos[[#This Row],[Item]],super1[Bairro],mercado18)+SUMIFS(supercb[Qtde],supercb[Item],tab_alimentos[[#This Row],[Item]],supercb[Bairro],mercado18)</f>
        <v>0</v>
      </c>
      <c r="AD18" s="1">
        <f>SUMIFS(super1[Qtde],super1[Item],tab_alimentos[[#This Row],[Item]],super1[Bairro],extras)+SUMIFS(supercb[Qtde],supercb[Item],tab_alimentos[[#This Row],[Item]],supercb[Bairro],extras)</f>
        <v>0</v>
      </c>
      <c r="AE18" s="1">
        <f t="shared" si="0"/>
        <v>23</v>
      </c>
      <c r="AF18" s="1">
        <f t="shared" si="1"/>
        <v>160.69333333333336</v>
      </c>
      <c r="AG18" s="3">
        <f t="shared" si="2"/>
        <v>115</v>
      </c>
      <c r="AH18" s="25" t="str">
        <f>higiene[[#This Row],[Item]]</f>
        <v>Álcool Gel (1L)</v>
      </c>
      <c r="AI18" s="1">
        <f>IFERROR(higiene[[#This Row],[Kg equivalente]],0)</f>
        <v>1.9592971409804003</v>
      </c>
      <c r="AJ18" s="1">
        <f>IFERROR(higiene[[#This Row],[Preço por produto]],0)</f>
        <v>6.49</v>
      </c>
      <c r="AK18" s="1">
        <f>SUMIFS(super1[Qtde],super1[Item],tab_higiene[[#This Row],[Item]],super1[Bairro],mercado1)+SUMIFS(supercb[Qtde],supercb[Item],tab_higiene[[#This Row],[Item]],supercb[Bairro],mercado1)</f>
        <v>0</v>
      </c>
      <c r="AL18" s="1">
        <f>SUMIFS(super1[Qtde],super1[Item],tab_higiene[[#This Row],[Item]],super1[Bairro],mercado2)+SUMIFS(supercb[Qtde],supercb[Item],tab_higiene[[#This Row],[Item]],supercb[Bairro],mercado2)</f>
        <v>0</v>
      </c>
      <c r="AM18" s="1">
        <f>SUMIFS(super1[Qtde],super1[Item],tab_higiene[[#This Row],[Item]],super1[Bairro],mercado3)+SUMIFS(supercb[Qtde],supercb[Item],tab_higiene[[#This Row],[Item]],supercb[Bairro],mercado3)</f>
        <v>0</v>
      </c>
      <c r="AN18" s="1">
        <f>SUMIFS(super1[Qtde],super1[Item],tab_higiene[[#This Row],[Item]],super1[Bairro],mercado4)+SUMIFS(supercb[Qtde],supercb[Item],tab_higiene[[#This Row],[Item]],supercb[Bairro],mercado4)</f>
        <v>0</v>
      </c>
      <c r="AO18" s="1">
        <f>SUMIFS(super1[Qtde],super1[Item],tab_higiene[[#This Row],[Item]],super1[Bairro],mercado5)+SUMIFS(supercb[Qtde],supercb[Item],tab_higiene[[#This Row],[Item]],supercb[Bairro],mercado5)</f>
        <v>0</v>
      </c>
      <c r="AP18" s="1">
        <f>SUMIFS(super1[Qtde],super1[Item],tab_higiene[[#This Row],[Item]],super1[Bairro],mercado6)+SUMIFS(supercb[Qtde],supercb[Item],tab_higiene[[#This Row],[Item]],supercb[Bairro],mercado6)</f>
        <v>0</v>
      </c>
      <c r="AQ18" s="1">
        <f>SUMIFS(super1[Qtde],super1[Item],tab_higiene[[#This Row],[Item]],super1[Bairro],mercado7)+SUMIFS(supercb[Qtde],supercb[Item],tab_higiene[[#This Row],[Item]],supercb[Bairro],mercado7)</f>
        <v>0</v>
      </c>
      <c r="AR18" s="1">
        <f>SUMIFS(super1[Qtde],super1[Item],tab_higiene[[#This Row],[Item]],super1[Bairro],mercado8)+SUMIFS(supercb[Qtde],supercb[Item],tab_higiene[[#This Row],[Item]],supercb[Bairro],mercado8)</f>
        <v>0</v>
      </c>
      <c r="AS18" s="1">
        <f>SUMIFS(super1[Qtde],super1[Item],tab_higiene[[#This Row],[Item]],super1[Bairro],mercado9)+SUMIFS(supercb[Qtde],supercb[Item],tab_higiene[[#This Row],[Item]],supercb[Bairro],mercado9)</f>
        <v>0</v>
      </c>
      <c r="AT18" s="1">
        <f>SUMIFS(super1[Qtde],super1[Item],tab_higiene[[#This Row],[Item]],super1[Bairro],mercado10)+SUMIFS(supercb[Qtde],supercb[Item],tab_higiene[[#This Row],[Item]],supercb[Bairro],mercado10)</f>
        <v>0</v>
      </c>
      <c r="AU18" s="1">
        <f>SUMIFS(super1[Qtde],super1[Item],tab_higiene[[#This Row],[Item]],super1[Bairro],mercado11)+SUMIFS(supercb[Qtde],supercb[Item],tab_higiene[[#This Row],[Item]],supercb[Bairro],mercado11)</f>
        <v>0</v>
      </c>
      <c r="AV18" s="1">
        <f>SUMIFS(super1[Qtde],super1[Item],tab_higiene[[#This Row],[Item]],super1[Bairro],mercado12)+SUMIFS(supercb[Qtde],supercb[Item],tab_higiene[[#This Row],[Item]],supercb[Bairro],mercado12)</f>
        <v>0</v>
      </c>
      <c r="AW18" s="1">
        <f>SUMIFS(super1[Qtde],super1[Item],tab_higiene[[#This Row],[Item]],super1[Bairro],mercado13)+SUMIFS(supercb[Qtde],supercb[Item],tab_higiene[[#This Row],[Item]],supercb[Bairro],mercado13)</f>
        <v>0</v>
      </c>
      <c r="AX18" s="1">
        <f>SUMIFS(super1[Qtde],super1[Item],tab_higiene[[#This Row],[Item]],super1[Bairro],mercado14)+SUMIFS(supercb[Qtde],supercb[Item],tab_higiene[[#This Row],[Item]],supercb[Bairro],mercado14)</f>
        <v>0</v>
      </c>
      <c r="AY18" s="1">
        <f>SUMIFS(super1[Qtde],super1[Item],tab_higiene[[#This Row],[Item]],super1[Bairro],mercado15)+SUMIFS(supercb[Qtde],supercb[Item],tab_higiene[[#This Row],[Item]],supercb[Bairro],mercado15)</f>
        <v>0</v>
      </c>
      <c r="AZ18" s="1">
        <f>SUMIFS(super1[Qtde],super1[Item],tab_higiene[[#This Row],[Item]],super1[Bairro],mercado16)+SUMIFS(supercb[Qtde],supercb[Item],tab_higiene[[#This Row],[Item]],supercb[Bairro],mercado16)</f>
        <v>0</v>
      </c>
      <c r="BA18" s="1">
        <f>SUMIFS(super1[Qtde],super1[Item],tab_higiene[[#This Row],[Item]],super1[Bairro],mercado17)+SUMIFS(supercb[Qtde],supercb[Item],tab_higiene[[#This Row],[Item]],supercb[Bairro],mercado17)</f>
        <v>0</v>
      </c>
      <c r="BB18" s="1">
        <f>SUMIFS(super1[Qtde],super1[Item],tab_higiene[[#This Row],[Item]],super1[Bairro],mercado18)+SUMIFS(supercb[Qtde],supercb[Item],tab_higiene[[#This Row],[Item]],supercb[Bairro],mercado18)</f>
        <v>0</v>
      </c>
      <c r="BC18" s="1">
        <f>SUMIFS(super1[Qtde],super1[Item],tab_higiene[[#This Row],[Item]],super1[Bairro],extras)+SUMIFS(supercb[Qtde],supercb[Item],tab_higiene[[#This Row],[Item]],supercb[Bairro],extras)</f>
        <v>0</v>
      </c>
      <c r="BD18" s="1">
        <f t="shared" si="3"/>
        <v>0</v>
      </c>
      <c r="BE18" s="1">
        <f t="shared" si="4"/>
        <v>0</v>
      </c>
      <c r="BF18" s="26">
        <f t="shared" si="5"/>
        <v>0</v>
      </c>
      <c r="BI18" s="33" t="str">
        <f>tab_alimentos[[#This Row],[Item]]</f>
        <v>Açúcar (5kg)</v>
      </c>
      <c r="BJ18" s="33">
        <f t="shared" si="6"/>
        <v>7</v>
      </c>
      <c r="BK18" s="33" t="str">
        <f t="shared" si="7"/>
        <v>Açúcar</v>
      </c>
      <c r="BL18" s="33">
        <f>tab_alimentos[[#This Row],[kg]]</f>
        <v>115</v>
      </c>
      <c r="BM18" s="37" t="s">
        <v>277</v>
      </c>
      <c r="BN18" s="35">
        <f t="shared" si="11"/>
        <v>0</v>
      </c>
      <c r="BP18" s="33" t="str">
        <f>tab_higiene[[#This Row],[Item]]</f>
        <v>Álcool Gel (1L)</v>
      </c>
      <c r="BQ18" s="33">
        <f t="shared" si="8"/>
        <v>11</v>
      </c>
      <c r="BR18" s="33" t="str">
        <f t="shared" si="9"/>
        <v>Álcool Gel</v>
      </c>
      <c r="BS18" s="33">
        <f>higiene[[#This Row],[Quantidade]]</f>
        <v>1</v>
      </c>
      <c r="BT18" s="33">
        <f>tab_higiene[Qtde (tot)]</f>
        <v>0</v>
      </c>
      <c r="BU18" s="33">
        <f t="shared" si="12"/>
        <v>0</v>
      </c>
      <c r="BV18" s="37" t="s">
        <v>219</v>
      </c>
      <c r="BW18" s="33">
        <f t="shared" si="10"/>
        <v>0.25</v>
      </c>
    </row>
    <row r="19" spans="1:75" x14ac:dyDescent="0.25">
      <c r="A19" s="24" t="str">
        <f>tabMercados[[#This Row],[Supermercados]]</f>
        <v>Savegnago Praça Itália</v>
      </c>
      <c r="B19" s="29">
        <f>SUMPRODUCT(tab_alimentos[kg/embalagem],tab_alimentos[Qtde (S11)])</f>
        <v>346.77500000000003</v>
      </c>
      <c r="C19" s="29">
        <f>SUMPRODUCT(tab_alimentos[Preço],tab_alimentos[Qtde (S11)])</f>
        <v>1177.7093333333335</v>
      </c>
      <c r="D19" s="29">
        <f>SUMPRODUCT(tab_higiene[kg/embalagem],tab_higiene[Qtde (S11)])</f>
        <v>182.74461040254721</v>
      </c>
      <c r="E19" s="29">
        <f>SUMPRODUCT(tab_higiene[Preço],tab_higiene[Qtde (S11)])</f>
        <v>605.32550000000015</v>
      </c>
      <c r="F19" s="29">
        <f t="shared" si="13"/>
        <v>529.51961040254719</v>
      </c>
      <c r="G19" s="29">
        <f t="shared" si="13"/>
        <v>1783.0348333333336</v>
      </c>
      <c r="I19" s="25" t="str">
        <f>alimentos[[#This Row],[Item]]</f>
        <v>Adoçante</v>
      </c>
      <c r="J19" s="1">
        <f>IFERROR(alimentos[[#This Row],[kg/embalagem]],0)</f>
        <v>0.1</v>
      </c>
      <c r="K19" s="1">
        <f>IFERROR(alimentos[[#This Row],[Preço]],0)</f>
        <v>3.0466666666666669</v>
      </c>
      <c r="L19" s="1">
        <f>SUMIFS(super1[Qtde],super1[Item],tab_alimentos[[#This Row],[Item]],super1[Bairro],mercado1)+SUMIFS(supercb[Qtde],supercb[Item],tab_alimentos[[#This Row],[Item]],supercb[Bairro],mercado1)</f>
        <v>0</v>
      </c>
      <c r="M19" s="1">
        <f>SUMIFS(super1[Qtde],super1[Item],tab_alimentos[[#This Row],[Item]],super1[Bairro],mercado2)+SUMIFS(supercb[Qtde],supercb[Item],tab_alimentos[[#This Row],[Item]],supercb[Bairro],mercado2)</f>
        <v>0</v>
      </c>
      <c r="N19" s="1">
        <f>SUMIFS(super1[Qtde],super1[Item],tab_alimentos[[#This Row],[Item]],super1[Bairro],mercado3)+SUMIFS(supercb[Qtde],supercb[Item],tab_alimentos[[#This Row],[Item]],supercb[Bairro],mercado3)</f>
        <v>0</v>
      </c>
      <c r="O19" s="1">
        <f>SUMIFS(super1[Qtde],super1[Item],tab_alimentos[[#This Row],[Item]],super1[Bairro],mercado4)+SUMIFS(supercb[Qtde],supercb[Item],tab_alimentos[[#This Row],[Item]],supercb[Bairro],mercado4)</f>
        <v>0</v>
      </c>
      <c r="P19" s="1">
        <f>SUMIFS(super1[Qtde],super1[Item],tab_alimentos[[#This Row],[Item]],super1[Bairro],mercado5)+SUMIFS(supercb[Qtde],supercb[Item],tab_alimentos[[#This Row],[Item]],supercb[Bairro],mercado5)</f>
        <v>0</v>
      </c>
      <c r="Q19" s="1">
        <f>SUMIFS(super1[Qtde],super1[Item],tab_alimentos[[#This Row],[Item]],super1[Bairro],mercado6)+SUMIFS(supercb[Qtde],supercb[Item],tab_alimentos[[#This Row],[Item]],supercb[Bairro],mercado6)</f>
        <v>0</v>
      </c>
      <c r="R19" s="1">
        <f>SUMIFS(super1[Qtde],super1[Item],tab_alimentos[[#This Row],[Item]],super1[Bairro],mercado7)+SUMIFS(supercb[Qtde],supercb[Item],tab_alimentos[[#This Row],[Item]],supercb[Bairro],mercado7)</f>
        <v>0</v>
      </c>
      <c r="S19" s="1">
        <f>SUMIFS(super1[Qtde],super1[Item],tab_alimentos[[#This Row],[Item]],super1[Bairro],mercado8)+SUMIFS(supercb[Qtde],supercb[Item],tab_alimentos[[#This Row],[Item]],supercb[Bairro],mercado8)</f>
        <v>0</v>
      </c>
      <c r="T19" s="1">
        <f>SUMIFS(super1[Qtde],super1[Item],tab_alimentos[[#This Row],[Item]],super1[Bairro],mercado9)+SUMIFS(supercb[Qtde],supercb[Item],tab_alimentos[[#This Row],[Item]],supercb[Bairro],mercado9)</f>
        <v>0</v>
      </c>
      <c r="U19" s="1">
        <f>SUMIFS(super1[Qtde],super1[Item],tab_alimentos[[#This Row],[Item]],super1[Bairro],mercado10)+SUMIFS(supercb[Qtde],supercb[Item],tab_alimentos[[#This Row],[Item]],supercb[Bairro],mercado10)</f>
        <v>0</v>
      </c>
      <c r="V19" s="1">
        <f>SUMIFS(super1[Qtde],super1[Item],tab_alimentos[[#This Row],[Item]],super1[Bairro],mercado11)+SUMIFS(supercb[Qtde],supercb[Item],tab_alimentos[[#This Row],[Item]],supercb[Bairro],mercado11)</f>
        <v>0</v>
      </c>
      <c r="W19" s="1">
        <f>SUMIFS(super1[Qtde],super1[Item],tab_alimentos[[#This Row],[Item]],super1[Bairro],mercado12)+SUMIFS(supercb[Qtde],supercb[Item],tab_alimentos[[#This Row],[Item]],supercb[Bairro],mercado12)</f>
        <v>0</v>
      </c>
      <c r="X19" s="1">
        <f>SUMIFS(super1[Qtde],super1[Item],tab_alimentos[[#This Row],[Item]],super1[Bairro],mercado13)+SUMIFS(supercb[Qtde],supercb[Item],tab_alimentos[[#This Row],[Item]],supercb[Bairro],mercado13)</f>
        <v>0</v>
      </c>
      <c r="Y19" s="1">
        <f>SUMIFS(super1[Qtde],super1[Item],tab_alimentos[[#This Row],[Item]],super1[Bairro],mercado14)+SUMIFS(supercb[Qtde],supercb[Item],tab_alimentos[[#This Row],[Item]],supercb[Bairro],mercado14)</f>
        <v>0</v>
      </c>
      <c r="Z19" s="1">
        <f>SUMIFS(super1[Qtde],super1[Item],tab_alimentos[[#This Row],[Item]],super1[Bairro],mercado15)+SUMIFS(supercb[Qtde],supercb[Item],tab_alimentos[[#This Row],[Item]],supercb[Bairro],mercado15)</f>
        <v>0</v>
      </c>
      <c r="AA19" s="1">
        <f>SUMIFS(super1[Qtde],super1[Item],tab_alimentos[[#This Row],[Item]],super1[Bairro],mercado16)+SUMIFS(supercb[Qtde],supercb[Item],tab_alimentos[[#This Row],[Item]],supercb[Bairro],mercado16)</f>
        <v>0</v>
      </c>
      <c r="AB19" s="1">
        <f>SUMIFS(super1[Qtde],super1[Item],tab_alimentos[[#This Row],[Item]],super1[Bairro],mercado17)+SUMIFS(supercb[Qtde],supercb[Item],tab_alimentos[[#This Row],[Item]],supercb[Bairro],mercado17)</f>
        <v>0</v>
      </c>
      <c r="AC19" s="1">
        <f>SUMIFS(super1[Qtde],super1[Item],tab_alimentos[[#This Row],[Item]],super1[Bairro],mercado18)+SUMIFS(supercb[Qtde],supercb[Item],tab_alimentos[[#This Row],[Item]],supercb[Bairro],mercado18)</f>
        <v>0</v>
      </c>
      <c r="AD19" s="1">
        <f>SUMIFS(super1[Qtde],super1[Item],tab_alimentos[[#This Row],[Item]],super1[Bairro],extras)+SUMIFS(supercb[Qtde],supercb[Item],tab_alimentos[[#This Row],[Item]],supercb[Bairro],extras)</f>
        <v>0</v>
      </c>
      <c r="AE19" s="1">
        <f t="shared" si="0"/>
        <v>0</v>
      </c>
      <c r="AF19" s="1">
        <f t="shared" si="1"/>
        <v>0</v>
      </c>
      <c r="AG19" s="3">
        <f t="shared" si="2"/>
        <v>0</v>
      </c>
      <c r="AH19" s="25" t="str">
        <f>higiene[[#This Row],[Item]]</f>
        <v>Álcool Gel (500ml)</v>
      </c>
      <c r="AI19" s="1">
        <f>IFERROR(higiene[[#This Row],[Kg equivalente]],0)</f>
        <v>1.8528792300103551</v>
      </c>
      <c r="AJ19" s="1">
        <f>IFERROR(higiene[[#This Row],[Preço por produto]],0)</f>
        <v>6.1374999999999993</v>
      </c>
      <c r="AK19" s="1">
        <f>SUMIFS(super1[Qtde],super1[Item],tab_higiene[[#This Row],[Item]],super1[Bairro],mercado1)+SUMIFS(supercb[Qtde],supercb[Item],tab_higiene[[#This Row],[Item]],supercb[Bairro],mercado1)</f>
        <v>0</v>
      </c>
      <c r="AL19" s="1">
        <f>SUMIFS(super1[Qtde],super1[Item],tab_higiene[[#This Row],[Item]],super1[Bairro],mercado2)+SUMIFS(supercb[Qtde],supercb[Item],tab_higiene[[#This Row],[Item]],supercb[Bairro],mercado2)</f>
        <v>0</v>
      </c>
      <c r="AM19" s="1">
        <f>SUMIFS(super1[Qtde],super1[Item],tab_higiene[[#This Row],[Item]],super1[Bairro],mercado3)+SUMIFS(supercb[Qtde],supercb[Item],tab_higiene[[#This Row],[Item]],supercb[Bairro],mercado3)</f>
        <v>0</v>
      </c>
      <c r="AN19" s="1">
        <f>SUMIFS(super1[Qtde],super1[Item],tab_higiene[[#This Row],[Item]],super1[Bairro],mercado4)+SUMIFS(supercb[Qtde],supercb[Item],tab_higiene[[#This Row],[Item]],supercb[Bairro],mercado4)</f>
        <v>0</v>
      </c>
      <c r="AO19" s="1">
        <f>SUMIFS(super1[Qtde],super1[Item],tab_higiene[[#This Row],[Item]],super1[Bairro],mercado5)+SUMIFS(supercb[Qtde],supercb[Item],tab_higiene[[#This Row],[Item]],supercb[Bairro],mercado5)</f>
        <v>0</v>
      </c>
      <c r="AP19" s="1">
        <f>SUMIFS(super1[Qtde],super1[Item],tab_higiene[[#This Row],[Item]],super1[Bairro],mercado6)+SUMIFS(supercb[Qtde],supercb[Item],tab_higiene[[#This Row],[Item]],supercb[Bairro],mercado6)</f>
        <v>0</v>
      </c>
      <c r="AQ19" s="1">
        <f>SUMIFS(super1[Qtde],super1[Item],tab_higiene[[#This Row],[Item]],super1[Bairro],mercado7)+SUMIFS(supercb[Qtde],supercb[Item],tab_higiene[[#This Row],[Item]],supercb[Bairro],mercado7)</f>
        <v>0</v>
      </c>
      <c r="AR19" s="1">
        <f>SUMIFS(super1[Qtde],super1[Item],tab_higiene[[#This Row],[Item]],super1[Bairro],mercado8)+SUMIFS(supercb[Qtde],supercb[Item],tab_higiene[[#This Row],[Item]],supercb[Bairro],mercado8)</f>
        <v>0</v>
      </c>
      <c r="AS19" s="1">
        <f>SUMIFS(super1[Qtde],super1[Item],tab_higiene[[#This Row],[Item]],super1[Bairro],mercado9)+SUMIFS(supercb[Qtde],supercb[Item],tab_higiene[[#This Row],[Item]],supercb[Bairro],mercado9)</f>
        <v>0</v>
      </c>
      <c r="AT19" s="1">
        <f>SUMIFS(super1[Qtde],super1[Item],tab_higiene[[#This Row],[Item]],super1[Bairro],mercado10)+SUMIFS(supercb[Qtde],supercb[Item],tab_higiene[[#This Row],[Item]],supercb[Bairro],mercado10)</f>
        <v>0</v>
      </c>
      <c r="AU19" s="1">
        <f>SUMIFS(super1[Qtde],super1[Item],tab_higiene[[#This Row],[Item]],super1[Bairro],mercado11)+SUMIFS(supercb[Qtde],supercb[Item],tab_higiene[[#This Row],[Item]],supercb[Bairro],mercado11)</f>
        <v>0</v>
      </c>
      <c r="AV19" s="1">
        <f>SUMIFS(super1[Qtde],super1[Item],tab_higiene[[#This Row],[Item]],super1[Bairro],mercado12)+SUMIFS(supercb[Qtde],supercb[Item],tab_higiene[[#This Row],[Item]],supercb[Bairro],mercado12)</f>
        <v>0</v>
      </c>
      <c r="AW19" s="1">
        <f>SUMIFS(super1[Qtde],super1[Item],tab_higiene[[#This Row],[Item]],super1[Bairro],mercado13)+SUMIFS(supercb[Qtde],supercb[Item],tab_higiene[[#This Row],[Item]],supercb[Bairro],mercado13)</f>
        <v>0</v>
      </c>
      <c r="AX19" s="1">
        <f>SUMIFS(super1[Qtde],super1[Item],tab_higiene[[#This Row],[Item]],super1[Bairro],mercado14)+SUMIFS(supercb[Qtde],supercb[Item],tab_higiene[[#This Row],[Item]],supercb[Bairro],mercado14)</f>
        <v>0</v>
      </c>
      <c r="AY19" s="1">
        <f>SUMIFS(super1[Qtde],super1[Item],tab_higiene[[#This Row],[Item]],super1[Bairro],mercado15)+SUMIFS(supercb[Qtde],supercb[Item],tab_higiene[[#This Row],[Item]],supercb[Bairro],mercado15)</f>
        <v>0</v>
      </c>
      <c r="AZ19" s="1">
        <f>SUMIFS(super1[Qtde],super1[Item],tab_higiene[[#This Row],[Item]],super1[Bairro],mercado16)+SUMIFS(supercb[Qtde],supercb[Item],tab_higiene[[#This Row],[Item]],supercb[Bairro],mercado16)</f>
        <v>0</v>
      </c>
      <c r="BA19" s="1">
        <f>SUMIFS(super1[Qtde],super1[Item],tab_higiene[[#This Row],[Item]],super1[Bairro],mercado17)+SUMIFS(supercb[Qtde],supercb[Item],tab_higiene[[#This Row],[Item]],supercb[Bairro],mercado17)</f>
        <v>0</v>
      </c>
      <c r="BB19" s="1">
        <f>SUMIFS(super1[Qtde],super1[Item],tab_higiene[[#This Row],[Item]],super1[Bairro],mercado18)+SUMIFS(supercb[Qtde],supercb[Item],tab_higiene[[#This Row],[Item]],supercb[Bairro],mercado18)</f>
        <v>0</v>
      </c>
      <c r="BC19" s="1">
        <f>SUMIFS(super1[Qtde],super1[Item],tab_higiene[[#This Row],[Item]],super1[Bairro],extras)+SUMIFS(supercb[Qtde],supercb[Item],tab_higiene[[#This Row],[Item]],supercb[Bairro],extras)</f>
        <v>0</v>
      </c>
      <c r="BD19" s="1">
        <f t="shared" si="3"/>
        <v>0</v>
      </c>
      <c r="BE19" s="1">
        <f t="shared" si="4"/>
        <v>0</v>
      </c>
      <c r="BF19" s="26">
        <f t="shared" si="5"/>
        <v>0</v>
      </c>
      <c r="BI19" s="33" t="str">
        <f>tab_alimentos[[#This Row],[Item]]</f>
        <v>Adoçante</v>
      </c>
      <c r="BJ19" s="33">
        <f t="shared" si="6"/>
        <v>0</v>
      </c>
      <c r="BK19" s="33" t="str">
        <f t="shared" si="7"/>
        <v>Adoçante</v>
      </c>
      <c r="BL19" s="33">
        <f>tab_alimentos[[#This Row],[kg]]</f>
        <v>0</v>
      </c>
      <c r="BM19" s="37" t="s">
        <v>223</v>
      </c>
      <c r="BN19" s="35">
        <f t="shared" si="11"/>
        <v>0</v>
      </c>
      <c r="BP19" s="33" t="str">
        <f>tab_higiene[[#This Row],[Item]]</f>
        <v>Álcool Gel (500ml)</v>
      </c>
      <c r="BQ19" s="33">
        <f t="shared" si="8"/>
        <v>11</v>
      </c>
      <c r="BR19" s="33" t="str">
        <f t="shared" si="9"/>
        <v>Álcool Gel</v>
      </c>
      <c r="BS19" s="33">
        <f>higiene[[#This Row],[Quantidade]]</f>
        <v>0.5</v>
      </c>
      <c r="BT19" s="33">
        <f>tab_higiene[Qtde (tot)]</f>
        <v>0</v>
      </c>
      <c r="BU19" s="33">
        <f t="shared" si="12"/>
        <v>0</v>
      </c>
      <c r="BV19" s="37" t="s">
        <v>316</v>
      </c>
      <c r="BW19" s="33">
        <f t="shared" si="10"/>
        <v>63</v>
      </c>
    </row>
    <row r="20" spans="1:75" x14ac:dyDescent="0.25">
      <c r="A20" s="24">
        <f>tabMercados[[#This Row],[Supermercados]]</f>
        <v>0</v>
      </c>
      <c r="B20" s="29">
        <f>SUMPRODUCT(tab_alimentos[kg/embalagem],tab_alimentos[Qtde (S12)])</f>
        <v>0</v>
      </c>
      <c r="C20" s="29">
        <f>SUMPRODUCT(tab_alimentos[Preço],tab_alimentos[Qtde (S12)])</f>
        <v>0</v>
      </c>
      <c r="D20" s="29">
        <f>SUMPRODUCT(tab_higiene[kg/embalagem],tab_higiene[Qtde (S12)])</f>
        <v>0</v>
      </c>
      <c r="E20" s="29">
        <f>SUMPRODUCT(tab_higiene[Preço],tab_higiene[Qtde (S12)])</f>
        <v>0</v>
      </c>
      <c r="F20" s="29">
        <f t="shared" si="13"/>
        <v>0</v>
      </c>
      <c r="G20" s="29">
        <f t="shared" si="13"/>
        <v>0</v>
      </c>
      <c r="I20" s="25" t="str">
        <f>alimentos[[#This Row],[Item]]</f>
        <v>Água de Coco (2L)</v>
      </c>
      <c r="J20" s="1">
        <f>IFERROR(alimentos[[#This Row],[kg/embalagem]],0)</f>
        <v>2</v>
      </c>
      <c r="K20" s="1">
        <f>IFERROR(alimentos[[#This Row],[Preço]],0)</f>
        <v>6.2374999999999998</v>
      </c>
      <c r="L20" s="1">
        <f>SUMIFS(super1[Qtde],super1[Item],tab_alimentos[[#This Row],[Item]],super1[Bairro],mercado1)+SUMIFS(supercb[Qtde],supercb[Item],tab_alimentos[[#This Row],[Item]],supercb[Bairro],mercado1)</f>
        <v>0</v>
      </c>
      <c r="M20" s="1">
        <f>SUMIFS(super1[Qtde],super1[Item],tab_alimentos[[#This Row],[Item]],super1[Bairro],mercado2)+SUMIFS(supercb[Qtde],supercb[Item],tab_alimentos[[#This Row],[Item]],supercb[Bairro],mercado2)</f>
        <v>0</v>
      </c>
      <c r="N20" s="1">
        <f>SUMIFS(super1[Qtde],super1[Item],tab_alimentos[[#This Row],[Item]],super1[Bairro],mercado3)+SUMIFS(supercb[Qtde],supercb[Item],tab_alimentos[[#This Row],[Item]],supercb[Bairro],mercado3)</f>
        <v>0</v>
      </c>
      <c r="O20" s="1">
        <f>SUMIFS(super1[Qtde],super1[Item],tab_alimentos[[#This Row],[Item]],super1[Bairro],mercado4)+SUMIFS(supercb[Qtde],supercb[Item],tab_alimentos[[#This Row],[Item]],supercb[Bairro],mercado4)</f>
        <v>0</v>
      </c>
      <c r="P20" s="1">
        <f>SUMIFS(super1[Qtde],super1[Item],tab_alimentos[[#This Row],[Item]],super1[Bairro],mercado5)+SUMIFS(supercb[Qtde],supercb[Item],tab_alimentos[[#This Row],[Item]],supercb[Bairro],mercado5)</f>
        <v>0</v>
      </c>
      <c r="Q20" s="1">
        <f>SUMIFS(super1[Qtde],super1[Item],tab_alimentos[[#This Row],[Item]],super1[Bairro],mercado6)+SUMIFS(supercb[Qtde],supercb[Item],tab_alimentos[[#This Row],[Item]],supercb[Bairro],mercado6)</f>
        <v>0</v>
      </c>
      <c r="R20" s="1">
        <f>SUMIFS(super1[Qtde],super1[Item],tab_alimentos[[#This Row],[Item]],super1[Bairro],mercado7)+SUMIFS(supercb[Qtde],supercb[Item],tab_alimentos[[#This Row],[Item]],supercb[Bairro],mercado7)</f>
        <v>0</v>
      </c>
      <c r="S20" s="1">
        <f>SUMIFS(super1[Qtde],super1[Item],tab_alimentos[[#This Row],[Item]],super1[Bairro],mercado8)+SUMIFS(supercb[Qtde],supercb[Item],tab_alimentos[[#This Row],[Item]],supercb[Bairro],mercado8)</f>
        <v>0</v>
      </c>
      <c r="T20" s="1">
        <f>SUMIFS(super1[Qtde],super1[Item],tab_alimentos[[#This Row],[Item]],super1[Bairro],mercado9)+SUMIFS(supercb[Qtde],supercb[Item],tab_alimentos[[#This Row],[Item]],supercb[Bairro],mercado9)</f>
        <v>0</v>
      </c>
      <c r="U20" s="1">
        <f>SUMIFS(super1[Qtde],super1[Item],tab_alimentos[[#This Row],[Item]],super1[Bairro],mercado10)+SUMIFS(supercb[Qtde],supercb[Item],tab_alimentos[[#This Row],[Item]],supercb[Bairro],mercado10)</f>
        <v>0</v>
      </c>
      <c r="V20" s="1">
        <f>SUMIFS(super1[Qtde],super1[Item],tab_alimentos[[#This Row],[Item]],super1[Bairro],mercado11)+SUMIFS(supercb[Qtde],supercb[Item],tab_alimentos[[#This Row],[Item]],supercb[Bairro],mercado11)</f>
        <v>0</v>
      </c>
      <c r="W20" s="1">
        <f>SUMIFS(super1[Qtde],super1[Item],tab_alimentos[[#This Row],[Item]],super1[Bairro],mercado12)+SUMIFS(supercb[Qtde],supercb[Item],tab_alimentos[[#This Row],[Item]],supercb[Bairro],mercado12)</f>
        <v>0</v>
      </c>
      <c r="X20" s="1">
        <f>SUMIFS(super1[Qtde],super1[Item],tab_alimentos[[#This Row],[Item]],super1[Bairro],mercado13)+SUMIFS(supercb[Qtde],supercb[Item],tab_alimentos[[#This Row],[Item]],supercb[Bairro],mercado13)</f>
        <v>0</v>
      </c>
      <c r="Y20" s="1">
        <f>SUMIFS(super1[Qtde],super1[Item],tab_alimentos[[#This Row],[Item]],super1[Bairro],mercado14)+SUMIFS(supercb[Qtde],supercb[Item],tab_alimentos[[#This Row],[Item]],supercb[Bairro],mercado14)</f>
        <v>0</v>
      </c>
      <c r="Z20" s="1">
        <f>SUMIFS(super1[Qtde],super1[Item],tab_alimentos[[#This Row],[Item]],super1[Bairro],mercado15)+SUMIFS(supercb[Qtde],supercb[Item],tab_alimentos[[#This Row],[Item]],supercb[Bairro],mercado15)</f>
        <v>0</v>
      </c>
      <c r="AA20" s="1">
        <f>SUMIFS(super1[Qtde],super1[Item],tab_alimentos[[#This Row],[Item]],super1[Bairro],mercado16)+SUMIFS(supercb[Qtde],supercb[Item],tab_alimentos[[#This Row],[Item]],supercb[Bairro],mercado16)</f>
        <v>0</v>
      </c>
      <c r="AB20" s="1">
        <f>SUMIFS(super1[Qtde],super1[Item],tab_alimentos[[#This Row],[Item]],super1[Bairro],mercado17)+SUMIFS(supercb[Qtde],supercb[Item],tab_alimentos[[#This Row],[Item]],supercb[Bairro],mercado17)</f>
        <v>0</v>
      </c>
      <c r="AC20" s="1">
        <f>SUMIFS(super1[Qtde],super1[Item],tab_alimentos[[#This Row],[Item]],super1[Bairro],mercado18)+SUMIFS(supercb[Qtde],supercb[Item],tab_alimentos[[#This Row],[Item]],supercb[Bairro],mercado18)</f>
        <v>0</v>
      </c>
      <c r="AD20" s="1">
        <f>SUMIFS(super1[Qtde],super1[Item],tab_alimentos[[#This Row],[Item]],super1[Bairro],extras)+SUMIFS(supercb[Qtde],supercb[Item],tab_alimentos[[#This Row],[Item]],supercb[Bairro],extras)</f>
        <v>0</v>
      </c>
      <c r="AE20" s="1">
        <f t="shared" si="0"/>
        <v>0</v>
      </c>
      <c r="AF20" s="1">
        <f t="shared" si="1"/>
        <v>0</v>
      </c>
      <c r="AG20" s="3">
        <f t="shared" si="2"/>
        <v>0</v>
      </c>
      <c r="AH20" s="25" t="str">
        <f>higiene[[#This Row],[Item]]</f>
        <v>Algodão (25g)</v>
      </c>
      <c r="AI20" s="1">
        <f>IFERROR(higiene[[#This Row],[Kg equivalente]],0)</f>
        <v>0.6520927310504876</v>
      </c>
      <c r="AJ20" s="1">
        <f>IFERROR(higiene[[#This Row],[Preço por produto]],0)</f>
        <v>2.16</v>
      </c>
      <c r="AK20" s="1">
        <f>SUMIFS(super1[Qtde],super1[Item],tab_higiene[[#This Row],[Item]],super1[Bairro],mercado1)+SUMIFS(supercb[Qtde],supercb[Item],tab_higiene[[#This Row],[Item]],supercb[Bairro],mercado1)</f>
        <v>0</v>
      </c>
      <c r="AL20" s="1">
        <f>SUMIFS(super1[Qtde],super1[Item],tab_higiene[[#This Row],[Item]],super1[Bairro],mercado2)+SUMIFS(supercb[Qtde],supercb[Item],tab_higiene[[#This Row],[Item]],supercb[Bairro],mercado2)</f>
        <v>0</v>
      </c>
      <c r="AM20" s="1">
        <f>SUMIFS(super1[Qtde],super1[Item],tab_higiene[[#This Row],[Item]],super1[Bairro],mercado3)+SUMIFS(supercb[Qtde],supercb[Item],tab_higiene[[#This Row],[Item]],supercb[Bairro],mercado3)</f>
        <v>0</v>
      </c>
      <c r="AN20" s="1">
        <f>SUMIFS(super1[Qtde],super1[Item],tab_higiene[[#This Row],[Item]],super1[Bairro],mercado4)+SUMIFS(supercb[Qtde],supercb[Item],tab_higiene[[#This Row],[Item]],supercb[Bairro],mercado4)</f>
        <v>0</v>
      </c>
      <c r="AO20" s="1">
        <f>SUMIFS(super1[Qtde],super1[Item],tab_higiene[[#This Row],[Item]],super1[Bairro],mercado5)+SUMIFS(supercb[Qtde],supercb[Item],tab_higiene[[#This Row],[Item]],supercb[Bairro],mercado5)</f>
        <v>0</v>
      </c>
      <c r="AP20" s="1">
        <f>SUMIFS(super1[Qtde],super1[Item],tab_higiene[[#This Row],[Item]],super1[Bairro],mercado6)+SUMIFS(supercb[Qtde],supercb[Item],tab_higiene[[#This Row],[Item]],supercb[Bairro],mercado6)</f>
        <v>0</v>
      </c>
      <c r="AQ20" s="1">
        <f>SUMIFS(super1[Qtde],super1[Item],tab_higiene[[#This Row],[Item]],super1[Bairro],mercado7)+SUMIFS(supercb[Qtde],supercb[Item],tab_higiene[[#This Row],[Item]],supercb[Bairro],mercado7)</f>
        <v>0</v>
      </c>
      <c r="AR20" s="1">
        <f>SUMIFS(super1[Qtde],super1[Item],tab_higiene[[#This Row],[Item]],super1[Bairro],mercado8)+SUMIFS(supercb[Qtde],supercb[Item],tab_higiene[[#This Row],[Item]],supercb[Bairro],mercado8)</f>
        <v>0</v>
      </c>
      <c r="AS20" s="1">
        <f>SUMIFS(super1[Qtde],super1[Item],tab_higiene[[#This Row],[Item]],super1[Bairro],mercado9)+SUMIFS(supercb[Qtde],supercb[Item],tab_higiene[[#This Row],[Item]],supercb[Bairro],mercado9)</f>
        <v>0</v>
      </c>
      <c r="AT20" s="1">
        <f>SUMIFS(super1[Qtde],super1[Item],tab_higiene[[#This Row],[Item]],super1[Bairro],mercado10)+SUMIFS(supercb[Qtde],supercb[Item],tab_higiene[[#This Row],[Item]],supercb[Bairro],mercado10)</f>
        <v>0</v>
      </c>
      <c r="AU20" s="1">
        <f>SUMIFS(super1[Qtde],super1[Item],tab_higiene[[#This Row],[Item]],super1[Bairro],mercado11)+SUMIFS(supercb[Qtde],supercb[Item],tab_higiene[[#This Row],[Item]],supercb[Bairro],mercado11)</f>
        <v>0</v>
      </c>
      <c r="AV20" s="1">
        <f>SUMIFS(super1[Qtde],super1[Item],tab_higiene[[#This Row],[Item]],super1[Bairro],mercado12)+SUMIFS(supercb[Qtde],supercb[Item],tab_higiene[[#This Row],[Item]],supercb[Bairro],mercado12)</f>
        <v>0</v>
      </c>
      <c r="AW20" s="1">
        <f>SUMIFS(super1[Qtde],super1[Item],tab_higiene[[#This Row],[Item]],super1[Bairro],mercado13)+SUMIFS(supercb[Qtde],supercb[Item],tab_higiene[[#This Row],[Item]],supercb[Bairro],mercado13)</f>
        <v>0</v>
      </c>
      <c r="AX20" s="1">
        <f>SUMIFS(super1[Qtde],super1[Item],tab_higiene[[#This Row],[Item]],super1[Bairro],mercado14)+SUMIFS(supercb[Qtde],supercb[Item],tab_higiene[[#This Row],[Item]],supercb[Bairro],mercado14)</f>
        <v>0</v>
      </c>
      <c r="AY20" s="1">
        <f>SUMIFS(super1[Qtde],super1[Item],tab_higiene[[#This Row],[Item]],super1[Bairro],mercado15)+SUMIFS(supercb[Qtde],supercb[Item],tab_higiene[[#This Row],[Item]],supercb[Bairro],mercado15)</f>
        <v>0</v>
      </c>
      <c r="AZ20" s="1">
        <f>SUMIFS(super1[Qtde],super1[Item],tab_higiene[[#This Row],[Item]],super1[Bairro],mercado16)+SUMIFS(supercb[Qtde],supercb[Item],tab_higiene[[#This Row],[Item]],supercb[Bairro],mercado16)</f>
        <v>0</v>
      </c>
      <c r="BA20" s="1">
        <f>SUMIFS(super1[Qtde],super1[Item],tab_higiene[[#This Row],[Item]],super1[Bairro],mercado17)+SUMIFS(supercb[Qtde],supercb[Item],tab_higiene[[#This Row],[Item]],supercb[Bairro],mercado17)</f>
        <v>0</v>
      </c>
      <c r="BB20" s="1">
        <f>SUMIFS(super1[Qtde],super1[Item],tab_higiene[[#This Row],[Item]],super1[Bairro],mercado18)+SUMIFS(supercb[Qtde],supercb[Item],tab_higiene[[#This Row],[Item]],supercb[Bairro],mercado18)</f>
        <v>0</v>
      </c>
      <c r="BC20" s="1">
        <f>SUMIFS(super1[Qtde],super1[Item],tab_higiene[[#This Row],[Item]],super1[Bairro],extras)+SUMIFS(supercb[Qtde],supercb[Item],tab_higiene[[#This Row],[Item]],supercb[Bairro],extras)</f>
        <v>0</v>
      </c>
      <c r="BD20" s="1">
        <f t="shared" si="3"/>
        <v>0</v>
      </c>
      <c r="BE20" s="1">
        <f t="shared" si="4"/>
        <v>0</v>
      </c>
      <c r="BF20" s="26">
        <f t="shared" si="5"/>
        <v>0</v>
      </c>
      <c r="BI20" s="33" t="str">
        <f>tab_alimentos[[#This Row],[Item]]</f>
        <v>Água de Coco (2L)</v>
      </c>
      <c r="BJ20" s="33">
        <f t="shared" si="6"/>
        <v>13</v>
      </c>
      <c r="BK20" s="33" t="str">
        <f t="shared" si="7"/>
        <v>Água de Coco</v>
      </c>
      <c r="BL20" s="33">
        <f>tab_alimentos[[#This Row],[kg]]</f>
        <v>0</v>
      </c>
      <c r="BM20" s="37" t="s">
        <v>375</v>
      </c>
      <c r="BN20" s="35">
        <f t="shared" si="11"/>
        <v>0</v>
      </c>
      <c r="BP20" s="33" t="str">
        <f>tab_higiene[[#This Row],[Item]]</f>
        <v>Algodão (25g)</v>
      </c>
      <c r="BQ20" s="33">
        <f t="shared" si="8"/>
        <v>8</v>
      </c>
      <c r="BR20" s="33" t="str">
        <f t="shared" si="9"/>
        <v>Algodão</v>
      </c>
      <c r="BS20" s="33">
        <f>higiene[[#This Row],[Quantidade]]</f>
        <v>2.5000000000000001E-2</v>
      </c>
      <c r="BT20" s="33">
        <f>tab_higiene[Qtde (tot)]</f>
        <v>0</v>
      </c>
      <c r="BU20" s="33">
        <f t="shared" si="12"/>
        <v>0</v>
      </c>
      <c r="BV20" s="37" t="s">
        <v>168</v>
      </c>
      <c r="BW20" s="33">
        <f t="shared" si="10"/>
        <v>17</v>
      </c>
    </row>
    <row r="21" spans="1:75" x14ac:dyDescent="0.25">
      <c r="A21" s="24" t="str">
        <f>tabMercados[[#This Row],[Supermercados]]</f>
        <v>Abordagem contínua</v>
      </c>
      <c r="B21" s="29">
        <f>SUMPRODUCT(tab_alimentos[kg/embalagem],tab_alimentos[Qtde (S13)])</f>
        <v>665.60500000000002</v>
      </c>
      <c r="C21" s="29">
        <f>SUMPRODUCT(tab_alimentos[Preço],tab_alimentos[Qtde (S13)])</f>
        <v>2010.7836666666662</v>
      </c>
      <c r="D21" s="29">
        <f>SUMPRODUCT(tab_higiene[kg/embalagem],tab_higiene[Qtde (S13)])</f>
        <v>255.40248317013615</v>
      </c>
      <c r="E21" s="29">
        <f>SUMPRODUCT(tab_higiene[Preço],tab_higiene[Qtde (S13)])</f>
        <v>845.99833333333322</v>
      </c>
      <c r="F21" s="29">
        <f t="shared" si="13"/>
        <v>921.0074831701362</v>
      </c>
      <c r="G21" s="29">
        <f t="shared" si="13"/>
        <v>2856.7819999999992</v>
      </c>
      <c r="I21" s="25" t="str">
        <f>alimentos[[#This Row],[Item]]</f>
        <v>Arroz (1kg)</v>
      </c>
      <c r="J21" s="1">
        <f>IFERROR(alimentos[[#This Row],[kg/embalagem]],0)</f>
        <v>1</v>
      </c>
      <c r="K21" s="1">
        <f>IFERROR(alimentos[[#This Row],[Preço]],0)</f>
        <v>3.2500000000000004</v>
      </c>
      <c r="L21" s="1">
        <f>SUMIFS(super1[Qtde],super1[Item],tab_alimentos[[#This Row],[Item]],super1[Bairro],mercado1)+SUMIFS(supercb[Qtde],supercb[Item],tab_alimentos[[#This Row],[Item]],supercb[Bairro],mercado1)</f>
        <v>10</v>
      </c>
      <c r="M21" s="1">
        <f>SUMIFS(super1[Qtde],super1[Item],tab_alimentos[[#This Row],[Item]],super1[Bairro],mercado2)+SUMIFS(supercb[Qtde],supercb[Item],tab_alimentos[[#This Row],[Item]],supercb[Bairro],mercado2)</f>
        <v>6</v>
      </c>
      <c r="N21" s="1">
        <f>SUMIFS(super1[Qtde],super1[Item],tab_alimentos[[#This Row],[Item]],super1[Bairro],mercado3)+SUMIFS(supercb[Qtde],supercb[Item],tab_alimentos[[#This Row],[Item]],supercb[Bairro],mercado3)</f>
        <v>1</v>
      </c>
      <c r="O21" s="1">
        <f>SUMIFS(super1[Qtde],super1[Item],tab_alimentos[[#This Row],[Item]],super1[Bairro],mercado4)+SUMIFS(supercb[Qtde],supercb[Item],tab_alimentos[[#This Row],[Item]],supercb[Bairro],mercado4)</f>
        <v>7</v>
      </c>
      <c r="P21" s="1">
        <f>SUMIFS(super1[Qtde],super1[Item],tab_alimentos[[#This Row],[Item]],super1[Bairro],mercado5)+SUMIFS(supercb[Qtde],supercb[Item],tab_alimentos[[#This Row],[Item]],supercb[Bairro],mercado5)</f>
        <v>13</v>
      </c>
      <c r="Q21" s="1">
        <f>SUMIFS(super1[Qtde],super1[Item],tab_alimentos[[#This Row],[Item]],super1[Bairro],mercado6)+SUMIFS(supercb[Qtde],supercb[Item],tab_alimentos[[#This Row],[Item]],supercb[Bairro],mercado6)</f>
        <v>4</v>
      </c>
      <c r="R21" s="1">
        <f>SUMIFS(super1[Qtde],super1[Item],tab_alimentos[[#This Row],[Item]],super1[Bairro],mercado7)+SUMIFS(supercb[Qtde],supercb[Item],tab_alimentos[[#This Row],[Item]],supercb[Bairro],mercado7)</f>
        <v>2</v>
      </c>
      <c r="S21" s="1">
        <f>SUMIFS(super1[Qtde],super1[Item],tab_alimentos[[#This Row],[Item]],super1[Bairro],mercado8)+SUMIFS(supercb[Qtde],supercb[Item],tab_alimentos[[#This Row],[Item]],supercb[Bairro],mercado8)</f>
        <v>9</v>
      </c>
      <c r="T21" s="1">
        <f>SUMIFS(super1[Qtde],super1[Item],tab_alimentos[[#This Row],[Item]],super1[Bairro],mercado9)+SUMIFS(supercb[Qtde],supercb[Item],tab_alimentos[[#This Row],[Item]],supercb[Bairro],mercado9)</f>
        <v>3</v>
      </c>
      <c r="U21" s="1">
        <f>SUMIFS(super1[Qtde],super1[Item],tab_alimentos[[#This Row],[Item]],super1[Bairro],mercado10)+SUMIFS(supercb[Qtde],supercb[Item],tab_alimentos[[#This Row],[Item]],supercb[Bairro],mercado10)</f>
        <v>35</v>
      </c>
      <c r="V21" s="1">
        <f>SUMIFS(super1[Qtde],super1[Item],tab_alimentos[[#This Row],[Item]],super1[Bairro],mercado11)+SUMIFS(supercb[Qtde],supercb[Item],tab_alimentos[[#This Row],[Item]],supercb[Bairro],mercado11)</f>
        <v>3</v>
      </c>
      <c r="W21" s="1">
        <f>SUMIFS(super1[Qtde],super1[Item],tab_alimentos[[#This Row],[Item]],super1[Bairro],mercado12)+SUMIFS(supercb[Qtde],supercb[Item],tab_alimentos[[#This Row],[Item]],supercb[Bairro],mercado12)</f>
        <v>0</v>
      </c>
      <c r="X21" s="1">
        <f>SUMIFS(super1[Qtde],super1[Item],tab_alimentos[[#This Row],[Item]],super1[Bairro],mercado13)+SUMIFS(supercb[Qtde],supercb[Item],tab_alimentos[[#This Row],[Item]],supercb[Bairro],mercado13)</f>
        <v>32</v>
      </c>
      <c r="Y21" s="1">
        <f>SUMIFS(super1[Qtde],super1[Item],tab_alimentos[[#This Row],[Item]],super1[Bairro],mercado14)+SUMIFS(supercb[Qtde],supercb[Item],tab_alimentos[[#This Row],[Item]],supercb[Bairro],mercado14)</f>
        <v>0</v>
      </c>
      <c r="Z21" s="1">
        <f>SUMIFS(super1[Qtde],super1[Item],tab_alimentos[[#This Row],[Item]],super1[Bairro],mercado15)+SUMIFS(supercb[Qtde],supercb[Item],tab_alimentos[[#This Row],[Item]],supercb[Bairro],mercado15)</f>
        <v>0</v>
      </c>
      <c r="AA21" s="1">
        <f>SUMIFS(super1[Qtde],super1[Item],tab_alimentos[[#This Row],[Item]],super1[Bairro],mercado16)+SUMIFS(supercb[Qtde],supercb[Item],tab_alimentos[[#This Row],[Item]],supercb[Bairro],mercado16)</f>
        <v>0</v>
      </c>
      <c r="AB21" s="1">
        <f>SUMIFS(super1[Qtde],super1[Item],tab_alimentos[[#This Row],[Item]],super1[Bairro],mercado17)+SUMIFS(supercb[Qtde],supercb[Item],tab_alimentos[[#This Row],[Item]],supercb[Bairro],mercado17)</f>
        <v>0</v>
      </c>
      <c r="AC21" s="1">
        <f>SUMIFS(super1[Qtde],super1[Item],tab_alimentos[[#This Row],[Item]],super1[Bairro],mercado18)+SUMIFS(supercb[Qtde],supercb[Item],tab_alimentos[[#This Row],[Item]],supercb[Bairro],mercado18)</f>
        <v>0</v>
      </c>
      <c r="AD21" s="1">
        <f>SUMIFS(super1[Qtde],super1[Item],tab_alimentos[[#This Row],[Item]],super1[Bairro],extras)+SUMIFS(supercb[Qtde],supercb[Item],tab_alimentos[[#This Row],[Item]],supercb[Bairro],extras)</f>
        <v>0</v>
      </c>
      <c r="AE21" s="1">
        <f t="shared" si="0"/>
        <v>125</v>
      </c>
      <c r="AF21" s="1">
        <f t="shared" si="1"/>
        <v>406.25000000000006</v>
      </c>
      <c r="AG21" s="3">
        <f t="shared" si="2"/>
        <v>125</v>
      </c>
      <c r="AH21" s="25" t="str">
        <f>higiene[[#This Row],[Item]]</f>
        <v>Algodão (50g)</v>
      </c>
      <c r="AI21" s="1">
        <f>IFERROR(higiene[[#This Row],[Kg equivalente]],0)</f>
        <v>1.0825946914569669</v>
      </c>
      <c r="AJ21" s="1">
        <f>IFERROR(higiene[[#This Row],[Preço por produto]],0)</f>
        <v>3.5859999999999999</v>
      </c>
      <c r="AK21" s="1">
        <f>SUMIFS(super1[Qtde],super1[Item],tab_higiene[[#This Row],[Item]],super1[Bairro],mercado1)+SUMIFS(supercb[Qtde],supercb[Item],tab_higiene[[#This Row],[Item]],supercb[Bairro],mercado1)</f>
        <v>0</v>
      </c>
      <c r="AL21" s="1">
        <f>SUMIFS(super1[Qtde],super1[Item],tab_higiene[[#This Row],[Item]],super1[Bairro],mercado2)+SUMIFS(supercb[Qtde],supercb[Item],tab_higiene[[#This Row],[Item]],supercb[Bairro],mercado2)</f>
        <v>0</v>
      </c>
      <c r="AM21" s="1">
        <f>SUMIFS(super1[Qtde],super1[Item],tab_higiene[[#This Row],[Item]],super1[Bairro],mercado3)+SUMIFS(supercb[Qtde],supercb[Item],tab_higiene[[#This Row],[Item]],supercb[Bairro],mercado3)</f>
        <v>0</v>
      </c>
      <c r="AN21" s="1">
        <f>SUMIFS(super1[Qtde],super1[Item],tab_higiene[[#This Row],[Item]],super1[Bairro],mercado4)+SUMIFS(supercb[Qtde],supercb[Item],tab_higiene[[#This Row],[Item]],supercb[Bairro],mercado4)</f>
        <v>0</v>
      </c>
      <c r="AO21" s="1">
        <f>SUMIFS(super1[Qtde],super1[Item],tab_higiene[[#This Row],[Item]],super1[Bairro],mercado5)+SUMIFS(supercb[Qtde],supercb[Item],tab_higiene[[#This Row],[Item]],supercb[Bairro],mercado5)</f>
        <v>0</v>
      </c>
      <c r="AP21" s="1">
        <f>SUMIFS(super1[Qtde],super1[Item],tab_higiene[[#This Row],[Item]],super1[Bairro],mercado6)+SUMIFS(supercb[Qtde],supercb[Item],tab_higiene[[#This Row],[Item]],supercb[Bairro],mercado6)</f>
        <v>0</v>
      </c>
      <c r="AQ21" s="1">
        <f>SUMIFS(super1[Qtde],super1[Item],tab_higiene[[#This Row],[Item]],super1[Bairro],mercado7)+SUMIFS(supercb[Qtde],supercb[Item],tab_higiene[[#This Row],[Item]],supercb[Bairro],mercado7)</f>
        <v>0</v>
      </c>
      <c r="AR21" s="1">
        <f>SUMIFS(super1[Qtde],super1[Item],tab_higiene[[#This Row],[Item]],super1[Bairro],mercado8)+SUMIFS(supercb[Qtde],supercb[Item],tab_higiene[[#This Row],[Item]],supercb[Bairro],mercado8)</f>
        <v>0</v>
      </c>
      <c r="AS21" s="1">
        <f>SUMIFS(super1[Qtde],super1[Item],tab_higiene[[#This Row],[Item]],super1[Bairro],mercado9)+SUMIFS(supercb[Qtde],supercb[Item],tab_higiene[[#This Row],[Item]],supercb[Bairro],mercado9)</f>
        <v>0</v>
      </c>
      <c r="AT21" s="1">
        <f>SUMIFS(super1[Qtde],super1[Item],tab_higiene[[#This Row],[Item]],super1[Bairro],mercado10)+SUMIFS(supercb[Qtde],supercb[Item],tab_higiene[[#This Row],[Item]],supercb[Bairro],mercado10)</f>
        <v>0</v>
      </c>
      <c r="AU21" s="1">
        <f>SUMIFS(super1[Qtde],super1[Item],tab_higiene[[#This Row],[Item]],super1[Bairro],mercado11)+SUMIFS(supercb[Qtde],supercb[Item],tab_higiene[[#This Row],[Item]],supercb[Bairro],mercado11)</f>
        <v>0</v>
      </c>
      <c r="AV21" s="1">
        <f>SUMIFS(super1[Qtde],super1[Item],tab_higiene[[#This Row],[Item]],super1[Bairro],mercado12)+SUMIFS(supercb[Qtde],supercb[Item],tab_higiene[[#This Row],[Item]],supercb[Bairro],mercado12)</f>
        <v>0</v>
      </c>
      <c r="AW21" s="1">
        <f>SUMIFS(super1[Qtde],super1[Item],tab_higiene[[#This Row],[Item]],super1[Bairro],mercado13)+SUMIFS(supercb[Qtde],supercb[Item],tab_higiene[[#This Row],[Item]],supercb[Bairro],mercado13)</f>
        <v>0</v>
      </c>
      <c r="AX21" s="1">
        <f>SUMIFS(super1[Qtde],super1[Item],tab_higiene[[#This Row],[Item]],super1[Bairro],mercado14)+SUMIFS(supercb[Qtde],supercb[Item],tab_higiene[[#This Row],[Item]],supercb[Bairro],mercado14)</f>
        <v>0</v>
      </c>
      <c r="AY21" s="1">
        <f>SUMIFS(super1[Qtde],super1[Item],tab_higiene[[#This Row],[Item]],super1[Bairro],mercado15)+SUMIFS(supercb[Qtde],supercb[Item],tab_higiene[[#This Row],[Item]],supercb[Bairro],mercado15)</f>
        <v>0</v>
      </c>
      <c r="AZ21" s="1">
        <f>SUMIFS(super1[Qtde],super1[Item],tab_higiene[[#This Row],[Item]],super1[Bairro],mercado16)+SUMIFS(supercb[Qtde],supercb[Item],tab_higiene[[#This Row],[Item]],supercb[Bairro],mercado16)</f>
        <v>0</v>
      </c>
      <c r="BA21" s="1">
        <f>SUMIFS(super1[Qtde],super1[Item],tab_higiene[[#This Row],[Item]],super1[Bairro],mercado17)+SUMIFS(supercb[Qtde],supercb[Item],tab_higiene[[#This Row],[Item]],supercb[Bairro],mercado17)</f>
        <v>0</v>
      </c>
      <c r="BB21" s="1">
        <f>SUMIFS(super1[Qtde],super1[Item],tab_higiene[[#This Row],[Item]],super1[Bairro],mercado18)+SUMIFS(supercb[Qtde],supercb[Item],tab_higiene[[#This Row],[Item]],supercb[Bairro],mercado18)</f>
        <v>0</v>
      </c>
      <c r="BC21" s="1">
        <f>SUMIFS(super1[Qtde],super1[Item],tab_higiene[[#This Row],[Item]],super1[Bairro],extras)+SUMIFS(supercb[Qtde],supercb[Item],tab_higiene[[#This Row],[Item]],supercb[Bairro],extras)</f>
        <v>0</v>
      </c>
      <c r="BD21" s="1">
        <f t="shared" si="3"/>
        <v>0</v>
      </c>
      <c r="BE21" s="1">
        <f t="shared" si="4"/>
        <v>0</v>
      </c>
      <c r="BF21" s="26">
        <f t="shared" si="5"/>
        <v>0</v>
      </c>
      <c r="BI21" s="33" t="str">
        <f>tab_alimentos[[#This Row],[Item]]</f>
        <v>Arroz (1kg)</v>
      </c>
      <c r="BJ21" s="33">
        <f t="shared" si="6"/>
        <v>6</v>
      </c>
      <c r="BK21" s="33" t="str">
        <f t="shared" si="7"/>
        <v>Arroz</v>
      </c>
      <c r="BL21" s="33">
        <f>tab_alimentos[[#This Row],[kg]]</f>
        <v>125</v>
      </c>
      <c r="BM21" s="37" t="s">
        <v>10</v>
      </c>
      <c r="BN21" s="35">
        <f t="shared" si="11"/>
        <v>0</v>
      </c>
      <c r="BP21" s="33" t="str">
        <f>tab_higiene[[#This Row],[Item]]</f>
        <v>Algodão (50g)</v>
      </c>
      <c r="BQ21" s="33">
        <f t="shared" si="8"/>
        <v>8</v>
      </c>
      <c r="BR21" s="33" t="str">
        <f t="shared" si="9"/>
        <v>Algodão</v>
      </c>
      <c r="BS21" s="33">
        <f>higiene[[#This Row],[Quantidade]]</f>
        <v>0.05</v>
      </c>
      <c r="BT21" s="33">
        <f>tab_higiene[Qtde (tot)]</f>
        <v>0</v>
      </c>
      <c r="BU21" s="33">
        <f t="shared" si="12"/>
        <v>0</v>
      </c>
      <c r="BV21" s="37" t="s">
        <v>38</v>
      </c>
      <c r="BW21" s="33">
        <f t="shared" si="10"/>
        <v>0</v>
      </c>
    </row>
    <row r="22" spans="1:75" x14ac:dyDescent="0.25">
      <c r="A22" s="24" t="str">
        <f>tabMercados[[#This Row],[Supermercados]]</f>
        <v>Outros</v>
      </c>
      <c r="B22" s="29">
        <f>SUMPRODUCT(tab_alimentos[kg/embalagem],tab_alimentos[Qtde (S14)])</f>
        <v>0</v>
      </c>
      <c r="C22" s="29">
        <f>SUMPRODUCT(tab_alimentos[Preço],tab_alimentos[Qtde (S14)])</f>
        <v>0</v>
      </c>
      <c r="D22" s="29">
        <f>SUMPRODUCT(tab_higiene[kg/embalagem],tab_higiene[Qtde (S14)])</f>
        <v>0</v>
      </c>
      <c r="E22" s="29">
        <f>SUMPRODUCT(tab_higiene[Preço],tab_higiene[Qtde (S14)])</f>
        <v>0</v>
      </c>
      <c r="F22" s="29">
        <f t="shared" si="13"/>
        <v>0</v>
      </c>
      <c r="G22" s="29">
        <f t="shared" si="13"/>
        <v>0</v>
      </c>
      <c r="I22" s="25" t="str">
        <f>alimentos[[#This Row],[Item]]</f>
        <v>Arroz (2kg)</v>
      </c>
      <c r="J22" s="1">
        <f>IFERROR(alimentos[[#This Row],[kg/embalagem]],0)</f>
        <v>2</v>
      </c>
      <c r="K22" s="1">
        <f>IFERROR(alimentos[[#This Row],[Preço]],0)</f>
        <v>5.1300000000000008</v>
      </c>
      <c r="L22" s="1">
        <f>SUMIFS(super1[Qtde],super1[Item],tab_alimentos[[#This Row],[Item]],super1[Bairro],mercado1)+SUMIFS(supercb[Qtde],supercb[Item],tab_alimentos[[#This Row],[Item]],supercb[Bairro],mercado1)</f>
        <v>6</v>
      </c>
      <c r="M22" s="1">
        <f>SUMIFS(super1[Qtde],super1[Item],tab_alimentos[[#This Row],[Item]],super1[Bairro],mercado2)+SUMIFS(supercb[Qtde],supercb[Item],tab_alimentos[[#This Row],[Item]],supercb[Bairro],mercado2)</f>
        <v>8</v>
      </c>
      <c r="N22" s="1">
        <f>SUMIFS(super1[Qtde],super1[Item],tab_alimentos[[#This Row],[Item]],super1[Bairro],mercado3)+SUMIFS(supercb[Qtde],supercb[Item],tab_alimentos[[#This Row],[Item]],supercb[Bairro],mercado3)</f>
        <v>3</v>
      </c>
      <c r="O22" s="1">
        <f>SUMIFS(super1[Qtde],super1[Item],tab_alimentos[[#This Row],[Item]],super1[Bairro],mercado4)+SUMIFS(supercb[Qtde],supercb[Item],tab_alimentos[[#This Row],[Item]],supercb[Bairro],mercado4)</f>
        <v>6</v>
      </c>
      <c r="P22" s="1">
        <f>SUMIFS(super1[Qtde],super1[Item],tab_alimentos[[#This Row],[Item]],super1[Bairro],mercado5)+SUMIFS(supercb[Qtde],supercb[Item],tab_alimentos[[#This Row],[Item]],supercb[Bairro],mercado5)</f>
        <v>14</v>
      </c>
      <c r="Q22" s="1">
        <f>SUMIFS(super1[Qtde],super1[Item],tab_alimentos[[#This Row],[Item]],super1[Bairro],mercado6)+SUMIFS(supercb[Qtde],supercb[Item],tab_alimentos[[#This Row],[Item]],supercb[Bairro],mercado6)</f>
        <v>6</v>
      </c>
      <c r="R22" s="1">
        <f>SUMIFS(super1[Qtde],super1[Item],tab_alimentos[[#This Row],[Item]],super1[Bairro],mercado7)+SUMIFS(supercb[Qtde],supercb[Item],tab_alimentos[[#This Row],[Item]],supercb[Bairro],mercado7)</f>
        <v>1</v>
      </c>
      <c r="S22" s="1">
        <f>SUMIFS(super1[Qtde],super1[Item],tab_alimentos[[#This Row],[Item]],super1[Bairro],mercado8)+SUMIFS(supercb[Qtde],supercb[Item],tab_alimentos[[#This Row],[Item]],supercb[Bairro],mercado8)</f>
        <v>8</v>
      </c>
      <c r="T22" s="1">
        <f>SUMIFS(super1[Qtde],super1[Item],tab_alimentos[[#This Row],[Item]],super1[Bairro],mercado9)+SUMIFS(supercb[Qtde],supercb[Item],tab_alimentos[[#This Row],[Item]],supercb[Bairro],mercado9)</f>
        <v>6</v>
      </c>
      <c r="U22" s="1">
        <f>SUMIFS(super1[Qtde],super1[Item],tab_alimentos[[#This Row],[Item]],super1[Bairro],mercado10)+SUMIFS(supercb[Qtde],supercb[Item],tab_alimentos[[#This Row],[Item]],supercb[Bairro],mercado10)</f>
        <v>5</v>
      </c>
      <c r="V22" s="1">
        <f>SUMIFS(super1[Qtde],super1[Item],tab_alimentos[[#This Row],[Item]],super1[Bairro],mercado11)+SUMIFS(supercb[Qtde],supercb[Item],tab_alimentos[[#This Row],[Item]],supercb[Bairro],mercado11)</f>
        <v>2</v>
      </c>
      <c r="W22" s="1">
        <f>SUMIFS(super1[Qtde],super1[Item],tab_alimentos[[#This Row],[Item]],super1[Bairro],mercado12)+SUMIFS(supercb[Qtde],supercb[Item],tab_alimentos[[#This Row],[Item]],supercb[Bairro],mercado12)</f>
        <v>0</v>
      </c>
      <c r="X22" s="1">
        <f>SUMIFS(super1[Qtde],super1[Item],tab_alimentos[[#This Row],[Item]],super1[Bairro],mercado13)+SUMIFS(supercb[Qtde],supercb[Item],tab_alimentos[[#This Row],[Item]],supercb[Bairro],mercado13)</f>
        <v>15</v>
      </c>
      <c r="Y22" s="1">
        <f>SUMIFS(super1[Qtde],super1[Item],tab_alimentos[[#This Row],[Item]],super1[Bairro],mercado14)+SUMIFS(supercb[Qtde],supercb[Item],tab_alimentos[[#This Row],[Item]],supercb[Bairro],mercado14)</f>
        <v>0</v>
      </c>
      <c r="Z22" s="1">
        <f>SUMIFS(super1[Qtde],super1[Item],tab_alimentos[[#This Row],[Item]],super1[Bairro],mercado15)+SUMIFS(supercb[Qtde],supercb[Item],tab_alimentos[[#This Row],[Item]],supercb[Bairro],mercado15)</f>
        <v>0</v>
      </c>
      <c r="AA22" s="1">
        <f>SUMIFS(super1[Qtde],super1[Item],tab_alimentos[[#This Row],[Item]],super1[Bairro],mercado16)+SUMIFS(supercb[Qtde],supercb[Item],tab_alimentos[[#This Row],[Item]],supercb[Bairro],mercado16)</f>
        <v>0</v>
      </c>
      <c r="AB22" s="1">
        <f>SUMIFS(super1[Qtde],super1[Item],tab_alimentos[[#This Row],[Item]],super1[Bairro],mercado17)+SUMIFS(supercb[Qtde],supercb[Item],tab_alimentos[[#This Row],[Item]],supercb[Bairro],mercado17)</f>
        <v>0</v>
      </c>
      <c r="AC22" s="1">
        <f>SUMIFS(super1[Qtde],super1[Item],tab_alimentos[[#This Row],[Item]],super1[Bairro],mercado18)+SUMIFS(supercb[Qtde],supercb[Item],tab_alimentos[[#This Row],[Item]],supercb[Bairro],mercado18)</f>
        <v>0</v>
      </c>
      <c r="AD22" s="1">
        <f>SUMIFS(super1[Qtde],super1[Item],tab_alimentos[[#This Row],[Item]],super1[Bairro],extras)+SUMIFS(supercb[Qtde],supercb[Item],tab_alimentos[[#This Row],[Item]],supercb[Bairro],extras)</f>
        <v>0</v>
      </c>
      <c r="AE22" s="1">
        <f t="shared" si="0"/>
        <v>80</v>
      </c>
      <c r="AF22" s="1">
        <f t="shared" si="1"/>
        <v>410.40000000000009</v>
      </c>
      <c r="AG22" s="3">
        <f t="shared" si="2"/>
        <v>160</v>
      </c>
      <c r="AH22" s="25" t="str">
        <f>higiene[[#This Row],[Item]]</f>
        <v>Alvejante (1L)</v>
      </c>
      <c r="AI22" s="1">
        <f>IFERROR(higiene[[#This Row],[Kg equivalente]],0)</f>
        <v>1.8989181844016514</v>
      </c>
      <c r="AJ22" s="1">
        <f>IFERROR(higiene[[#This Row],[Preço por produto]],0)</f>
        <v>6.29</v>
      </c>
      <c r="AK22" s="1">
        <f>SUMIFS(super1[Qtde],super1[Item],tab_higiene[[#This Row],[Item]],super1[Bairro],mercado1)+SUMIFS(supercb[Qtde],supercb[Item],tab_higiene[[#This Row],[Item]],supercb[Bairro],mercado1)</f>
        <v>0</v>
      </c>
      <c r="AL22" s="1">
        <f>SUMIFS(super1[Qtde],super1[Item],tab_higiene[[#This Row],[Item]],super1[Bairro],mercado2)+SUMIFS(supercb[Qtde],supercb[Item],tab_higiene[[#This Row],[Item]],supercb[Bairro],mercado2)</f>
        <v>0</v>
      </c>
      <c r="AM22" s="1">
        <f>SUMIFS(super1[Qtde],super1[Item],tab_higiene[[#This Row],[Item]],super1[Bairro],mercado3)+SUMIFS(supercb[Qtde],supercb[Item],tab_higiene[[#This Row],[Item]],supercb[Bairro],mercado3)</f>
        <v>0</v>
      </c>
      <c r="AN22" s="1">
        <f>SUMIFS(super1[Qtde],super1[Item],tab_higiene[[#This Row],[Item]],super1[Bairro],mercado4)+SUMIFS(supercb[Qtde],supercb[Item],tab_higiene[[#This Row],[Item]],supercb[Bairro],mercado4)</f>
        <v>0</v>
      </c>
      <c r="AO22" s="1">
        <f>SUMIFS(super1[Qtde],super1[Item],tab_higiene[[#This Row],[Item]],super1[Bairro],mercado5)+SUMIFS(supercb[Qtde],supercb[Item],tab_higiene[[#This Row],[Item]],supercb[Bairro],mercado5)</f>
        <v>0</v>
      </c>
      <c r="AP22" s="1">
        <f>SUMIFS(super1[Qtde],super1[Item],tab_higiene[[#This Row],[Item]],super1[Bairro],mercado6)+SUMIFS(supercb[Qtde],supercb[Item],tab_higiene[[#This Row],[Item]],supercb[Bairro],mercado6)</f>
        <v>0</v>
      </c>
      <c r="AQ22" s="1">
        <f>SUMIFS(super1[Qtde],super1[Item],tab_higiene[[#This Row],[Item]],super1[Bairro],mercado7)+SUMIFS(supercb[Qtde],supercb[Item],tab_higiene[[#This Row],[Item]],supercb[Bairro],mercado7)</f>
        <v>0</v>
      </c>
      <c r="AR22" s="1">
        <f>SUMIFS(super1[Qtde],super1[Item],tab_higiene[[#This Row],[Item]],super1[Bairro],mercado8)+SUMIFS(supercb[Qtde],supercb[Item],tab_higiene[[#This Row],[Item]],supercb[Bairro],mercado8)</f>
        <v>0</v>
      </c>
      <c r="AS22" s="1">
        <f>SUMIFS(super1[Qtde],super1[Item],tab_higiene[[#This Row],[Item]],super1[Bairro],mercado9)+SUMIFS(supercb[Qtde],supercb[Item],tab_higiene[[#This Row],[Item]],supercb[Bairro],mercado9)</f>
        <v>0</v>
      </c>
      <c r="AT22" s="1">
        <f>SUMIFS(super1[Qtde],super1[Item],tab_higiene[[#This Row],[Item]],super1[Bairro],mercado10)+SUMIFS(supercb[Qtde],supercb[Item],tab_higiene[[#This Row],[Item]],supercb[Bairro],mercado10)</f>
        <v>0</v>
      </c>
      <c r="AU22" s="1">
        <f>SUMIFS(super1[Qtde],super1[Item],tab_higiene[[#This Row],[Item]],super1[Bairro],mercado11)+SUMIFS(supercb[Qtde],supercb[Item],tab_higiene[[#This Row],[Item]],supercb[Bairro],mercado11)</f>
        <v>0</v>
      </c>
      <c r="AV22" s="1">
        <f>SUMIFS(super1[Qtde],super1[Item],tab_higiene[[#This Row],[Item]],super1[Bairro],mercado12)+SUMIFS(supercb[Qtde],supercb[Item],tab_higiene[[#This Row],[Item]],supercb[Bairro],mercado12)</f>
        <v>0</v>
      </c>
      <c r="AW22" s="1">
        <f>SUMIFS(super1[Qtde],super1[Item],tab_higiene[[#This Row],[Item]],super1[Bairro],mercado13)+SUMIFS(supercb[Qtde],supercb[Item],tab_higiene[[#This Row],[Item]],supercb[Bairro],mercado13)</f>
        <v>0</v>
      </c>
      <c r="AX22" s="1">
        <f>SUMIFS(super1[Qtde],super1[Item],tab_higiene[[#This Row],[Item]],super1[Bairro],mercado14)+SUMIFS(supercb[Qtde],supercb[Item],tab_higiene[[#This Row],[Item]],supercb[Bairro],mercado14)</f>
        <v>0</v>
      </c>
      <c r="AY22" s="1">
        <f>SUMIFS(super1[Qtde],super1[Item],tab_higiene[[#This Row],[Item]],super1[Bairro],mercado15)+SUMIFS(supercb[Qtde],supercb[Item],tab_higiene[[#This Row],[Item]],supercb[Bairro],mercado15)</f>
        <v>0</v>
      </c>
      <c r="AZ22" s="1">
        <f>SUMIFS(super1[Qtde],super1[Item],tab_higiene[[#This Row],[Item]],super1[Bairro],mercado16)+SUMIFS(supercb[Qtde],supercb[Item],tab_higiene[[#This Row],[Item]],supercb[Bairro],mercado16)</f>
        <v>0</v>
      </c>
      <c r="BA22" s="1">
        <f>SUMIFS(super1[Qtde],super1[Item],tab_higiene[[#This Row],[Item]],super1[Bairro],mercado17)+SUMIFS(supercb[Qtde],supercb[Item],tab_higiene[[#This Row],[Item]],supercb[Bairro],mercado17)</f>
        <v>0</v>
      </c>
      <c r="BB22" s="1">
        <f>SUMIFS(super1[Qtde],super1[Item],tab_higiene[[#This Row],[Item]],super1[Bairro],mercado18)+SUMIFS(supercb[Qtde],supercb[Item],tab_higiene[[#This Row],[Item]],supercb[Bairro],mercado18)</f>
        <v>0</v>
      </c>
      <c r="BC22" s="1">
        <f>SUMIFS(super1[Qtde],super1[Item],tab_higiene[[#This Row],[Item]],super1[Bairro],extras)+SUMIFS(supercb[Qtde],supercb[Item],tab_higiene[[#This Row],[Item]],supercb[Bairro],extras)</f>
        <v>0</v>
      </c>
      <c r="BD22" s="1">
        <f t="shared" si="3"/>
        <v>0</v>
      </c>
      <c r="BE22" s="1">
        <f t="shared" si="4"/>
        <v>0</v>
      </c>
      <c r="BF22" s="26">
        <f t="shared" si="5"/>
        <v>0</v>
      </c>
      <c r="BI22" s="33" t="str">
        <f>tab_alimentos[[#This Row],[Item]]</f>
        <v>Arroz (2kg)</v>
      </c>
      <c r="BJ22" s="33">
        <f t="shared" si="6"/>
        <v>6</v>
      </c>
      <c r="BK22" s="33" t="str">
        <f t="shared" si="7"/>
        <v>Arroz</v>
      </c>
      <c r="BL22" s="33">
        <f>tab_alimentos[[#This Row],[kg]]</f>
        <v>160</v>
      </c>
      <c r="BM22" s="37" t="s">
        <v>278</v>
      </c>
      <c r="BN22" s="35">
        <f t="shared" si="11"/>
        <v>0</v>
      </c>
      <c r="BP22" s="33" t="str">
        <f>tab_higiene[[#This Row],[Item]]</f>
        <v>Alvejante (1L)</v>
      </c>
      <c r="BQ22" s="33">
        <f t="shared" si="8"/>
        <v>10</v>
      </c>
      <c r="BR22" s="33" t="str">
        <f t="shared" si="9"/>
        <v>Alvejante</v>
      </c>
      <c r="BS22" s="33">
        <f>higiene[[#This Row],[Quantidade]]</f>
        <v>1</v>
      </c>
      <c r="BT22" s="33">
        <f>tab_higiene[Qtde (tot)]</f>
        <v>0</v>
      </c>
      <c r="BU22" s="33">
        <f t="shared" si="12"/>
        <v>0</v>
      </c>
      <c r="BV22" s="37" t="s">
        <v>39</v>
      </c>
      <c r="BW22" s="33">
        <f t="shared" si="10"/>
        <v>3240</v>
      </c>
    </row>
    <row r="23" spans="1:75" x14ac:dyDescent="0.25">
      <c r="A23" s="24">
        <f>tabMercados[[#This Row],[Supermercados]]</f>
        <v>0</v>
      </c>
      <c r="B23" s="29">
        <f>SUMPRODUCT(tab_alimentos[kg/embalagem],tab_alimentos[Qtde (S15)])</f>
        <v>0</v>
      </c>
      <c r="C23" s="29">
        <f>SUMPRODUCT(tab_alimentos[Preço],tab_alimentos[Qtde (S15)])</f>
        <v>0</v>
      </c>
      <c r="D23" s="29">
        <f>SUMPRODUCT(tab_higiene[kg/embalagem],tab_higiene[Qtde (S15)])</f>
        <v>0</v>
      </c>
      <c r="E23" s="29">
        <f>SUMPRODUCT(tab_higiene[Preço],tab_higiene[Qtde (S15)])</f>
        <v>0</v>
      </c>
      <c r="F23" s="29">
        <f t="shared" si="13"/>
        <v>0</v>
      </c>
      <c r="G23" s="29">
        <f t="shared" si="13"/>
        <v>0</v>
      </c>
      <c r="I23" s="25" t="str">
        <f>alimentos[[#This Row],[Item]]</f>
        <v>Arroz (5kg)</v>
      </c>
      <c r="J23" s="1">
        <f>IFERROR(alimentos[[#This Row],[kg/embalagem]],0)</f>
        <v>5</v>
      </c>
      <c r="K23" s="1">
        <f>IFERROR(alimentos[[#This Row],[Preço]],0)</f>
        <v>11.381666666666666</v>
      </c>
      <c r="L23" s="1">
        <f>SUMIFS(super1[Qtde],super1[Item],tab_alimentos[[#This Row],[Item]],super1[Bairro],mercado1)+SUMIFS(supercb[Qtde],supercb[Item],tab_alimentos[[#This Row],[Item]],supercb[Bairro],mercado1)</f>
        <v>5</v>
      </c>
      <c r="M23" s="1">
        <f>SUMIFS(super1[Qtde],super1[Item],tab_alimentos[[#This Row],[Item]],super1[Bairro],mercado2)+SUMIFS(supercb[Qtde],supercb[Item],tab_alimentos[[#This Row],[Item]],supercb[Bairro],mercado2)</f>
        <v>8</v>
      </c>
      <c r="N23" s="1">
        <f>SUMIFS(super1[Qtde],super1[Item],tab_alimentos[[#This Row],[Item]],super1[Bairro],mercado3)+SUMIFS(supercb[Qtde],supercb[Item],tab_alimentos[[#This Row],[Item]],supercb[Bairro],mercado3)</f>
        <v>2</v>
      </c>
      <c r="O23" s="1">
        <f>SUMIFS(super1[Qtde],super1[Item],tab_alimentos[[#This Row],[Item]],super1[Bairro],mercado4)+SUMIFS(supercb[Qtde],supercb[Item],tab_alimentos[[#This Row],[Item]],supercb[Bairro],mercado4)</f>
        <v>2</v>
      </c>
      <c r="P23" s="1">
        <f>SUMIFS(super1[Qtde],super1[Item],tab_alimentos[[#This Row],[Item]],super1[Bairro],mercado5)+SUMIFS(supercb[Qtde],supercb[Item],tab_alimentos[[#This Row],[Item]],supercb[Bairro],mercado5)</f>
        <v>13</v>
      </c>
      <c r="Q23" s="1">
        <f>SUMIFS(super1[Qtde],super1[Item],tab_alimentos[[#This Row],[Item]],super1[Bairro],mercado6)+SUMIFS(supercb[Qtde],supercb[Item],tab_alimentos[[#This Row],[Item]],supercb[Bairro],mercado6)</f>
        <v>3</v>
      </c>
      <c r="R23" s="1">
        <f>SUMIFS(super1[Qtde],super1[Item],tab_alimentos[[#This Row],[Item]],super1[Bairro],mercado7)+SUMIFS(supercb[Qtde],supercb[Item],tab_alimentos[[#This Row],[Item]],supercb[Bairro],mercado7)</f>
        <v>4</v>
      </c>
      <c r="S23" s="1">
        <f>SUMIFS(super1[Qtde],super1[Item],tab_alimentos[[#This Row],[Item]],super1[Bairro],mercado8)+SUMIFS(supercb[Qtde],supercb[Item],tab_alimentos[[#This Row],[Item]],supercb[Bairro],mercado8)</f>
        <v>10</v>
      </c>
      <c r="T23" s="1">
        <f>SUMIFS(super1[Qtde],super1[Item],tab_alimentos[[#This Row],[Item]],super1[Bairro],mercado9)+SUMIFS(supercb[Qtde],supercb[Item],tab_alimentos[[#This Row],[Item]],supercb[Bairro],mercado9)</f>
        <v>13</v>
      </c>
      <c r="U23" s="1">
        <f>SUMIFS(super1[Qtde],super1[Item],tab_alimentos[[#This Row],[Item]],super1[Bairro],mercado10)+SUMIFS(supercb[Qtde],supercb[Item],tab_alimentos[[#This Row],[Item]],supercb[Bairro],mercado10)</f>
        <v>44</v>
      </c>
      <c r="V23" s="1">
        <f>SUMIFS(super1[Qtde],super1[Item],tab_alimentos[[#This Row],[Item]],super1[Bairro],mercado11)+SUMIFS(supercb[Qtde],supercb[Item],tab_alimentos[[#This Row],[Item]],supercb[Bairro],mercado11)</f>
        <v>7</v>
      </c>
      <c r="W23" s="1">
        <f>SUMIFS(super1[Qtde],super1[Item],tab_alimentos[[#This Row],[Item]],super1[Bairro],mercado12)+SUMIFS(supercb[Qtde],supercb[Item],tab_alimentos[[#This Row],[Item]],supercb[Bairro],mercado12)</f>
        <v>0</v>
      </c>
      <c r="X23" s="1">
        <f>SUMIFS(super1[Qtde],super1[Item],tab_alimentos[[#This Row],[Item]],super1[Bairro],mercado13)+SUMIFS(supercb[Qtde],supercb[Item],tab_alimentos[[#This Row],[Item]],supercb[Bairro],mercado13)</f>
        <v>35</v>
      </c>
      <c r="Y23" s="1">
        <f>SUMIFS(super1[Qtde],super1[Item],tab_alimentos[[#This Row],[Item]],super1[Bairro],mercado14)+SUMIFS(supercb[Qtde],supercb[Item],tab_alimentos[[#This Row],[Item]],supercb[Bairro],mercado14)</f>
        <v>0</v>
      </c>
      <c r="Z23" s="1">
        <f>SUMIFS(super1[Qtde],super1[Item],tab_alimentos[[#This Row],[Item]],super1[Bairro],mercado15)+SUMIFS(supercb[Qtde],supercb[Item],tab_alimentos[[#This Row],[Item]],supercb[Bairro],mercado15)</f>
        <v>0</v>
      </c>
      <c r="AA23" s="1">
        <f>SUMIFS(super1[Qtde],super1[Item],tab_alimentos[[#This Row],[Item]],super1[Bairro],mercado16)+SUMIFS(supercb[Qtde],supercb[Item],tab_alimentos[[#This Row],[Item]],supercb[Bairro],mercado16)</f>
        <v>0</v>
      </c>
      <c r="AB23" s="1">
        <f>SUMIFS(super1[Qtde],super1[Item],tab_alimentos[[#This Row],[Item]],super1[Bairro],mercado17)+SUMIFS(supercb[Qtde],supercb[Item],tab_alimentos[[#This Row],[Item]],supercb[Bairro],mercado17)</f>
        <v>0</v>
      </c>
      <c r="AC23" s="1">
        <f>SUMIFS(super1[Qtde],super1[Item],tab_alimentos[[#This Row],[Item]],super1[Bairro],mercado18)+SUMIFS(supercb[Qtde],supercb[Item],tab_alimentos[[#This Row],[Item]],supercb[Bairro],mercado18)</f>
        <v>0</v>
      </c>
      <c r="AD23" s="1">
        <f>SUMIFS(super1[Qtde],super1[Item],tab_alimentos[[#This Row],[Item]],super1[Bairro],extras)+SUMIFS(supercb[Qtde],supercb[Item],tab_alimentos[[#This Row],[Item]],supercb[Bairro],extras)</f>
        <v>0</v>
      </c>
      <c r="AE23" s="1">
        <f t="shared" si="0"/>
        <v>146</v>
      </c>
      <c r="AF23" s="1">
        <f t="shared" si="1"/>
        <v>1661.7233333333331</v>
      </c>
      <c r="AG23" s="3">
        <f t="shared" si="2"/>
        <v>730</v>
      </c>
      <c r="AH23" s="25" t="str">
        <f>higiene[[#This Row],[Item]]</f>
        <v>Alvejante (2L)</v>
      </c>
      <c r="AI23" s="1">
        <f>IFERROR(higiene[[#This Row],[Kg equivalente]],0)</f>
        <v>2.731543995622598</v>
      </c>
      <c r="AJ23" s="1">
        <f>IFERROR(higiene[[#This Row],[Preço por produto]],0)</f>
        <v>9.048</v>
      </c>
      <c r="AK23" s="1">
        <f>SUMIFS(super1[Qtde],super1[Item],tab_higiene[[#This Row],[Item]],super1[Bairro],mercado1)+SUMIFS(supercb[Qtde],supercb[Item],tab_higiene[[#This Row],[Item]],supercb[Bairro],mercado1)</f>
        <v>0</v>
      </c>
      <c r="AL23" s="1">
        <f>SUMIFS(super1[Qtde],super1[Item],tab_higiene[[#This Row],[Item]],super1[Bairro],mercado2)+SUMIFS(supercb[Qtde],supercb[Item],tab_higiene[[#This Row],[Item]],supercb[Bairro],mercado2)</f>
        <v>0</v>
      </c>
      <c r="AM23" s="1">
        <f>SUMIFS(super1[Qtde],super1[Item],tab_higiene[[#This Row],[Item]],super1[Bairro],mercado3)+SUMIFS(supercb[Qtde],supercb[Item],tab_higiene[[#This Row],[Item]],supercb[Bairro],mercado3)</f>
        <v>0</v>
      </c>
      <c r="AN23" s="1">
        <f>SUMIFS(super1[Qtde],super1[Item],tab_higiene[[#This Row],[Item]],super1[Bairro],mercado4)+SUMIFS(supercb[Qtde],supercb[Item],tab_higiene[[#This Row],[Item]],supercb[Bairro],mercado4)</f>
        <v>0</v>
      </c>
      <c r="AO23" s="1">
        <f>SUMIFS(super1[Qtde],super1[Item],tab_higiene[[#This Row],[Item]],super1[Bairro],mercado5)+SUMIFS(supercb[Qtde],supercb[Item],tab_higiene[[#This Row],[Item]],supercb[Bairro],mercado5)</f>
        <v>0</v>
      </c>
      <c r="AP23" s="1">
        <f>SUMIFS(super1[Qtde],super1[Item],tab_higiene[[#This Row],[Item]],super1[Bairro],mercado6)+SUMIFS(supercb[Qtde],supercb[Item],tab_higiene[[#This Row],[Item]],supercb[Bairro],mercado6)</f>
        <v>0</v>
      </c>
      <c r="AQ23" s="1">
        <f>SUMIFS(super1[Qtde],super1[Item],tab_higiene[[#This Row],[Item]],super1[Bairro],mercado7)+SUMIFS(supercb[Qtde],supercb[Item],tab_higiene[[#This Row],[Item]],supercb[Bairro],mercado7)</f>
        <v>0</v>
      </c>
      <c r="AR23" s="1">
        <f>SUMIFS(super1[Qtde],super1[Item],tab_higiene[[#This Row],[Item]],super1[Bairro],mercado8)+SUMIFS(supercb[Qtde],supercb[Item],tab_higiene[[#This Row],[Item]],supercb[Bairro],mercado8)</f>
        <v>0</v>
      </c>
      <c r="AS23" s="1">
        <f>SUMIFS(super1[Qtde],super1[Item],tab_higiene[[#This Row],[Item]],super1[Bairro],mercado9)+SUMIFS(supercb[Qtde],supercb[Item],tab_higiene[[#This Row],[Item]],supercb[Bairro],mercado9)</f>
        <v>0</v>
      </c>
      <c r="AT23" s="1">
        <f>SUMIFS(super1[Qtde],super1[Item],tab_higiene[[#This Row],[Item]],super1[Bairro],mercado10)+SUMIFS(supercb[Qtde],supercb[Item],tab_higiene[[#This Row],[Item]],supercb[Bairro],mercado10)</f>
        <v>0</v>
      </c>
      <c r="AU23" s="1">
        <f>SUMIFS(super1[Qtde],super1[Item],tab_higiene[[#This Row],[Item]],super1[Bairro],mercado11)+SUMIFS(supercb[Qtde],supercb[Item],tab_higiene[[#This Row],[Item]],supercb[Bairro],mercado11)</f>
        <v>0</v>
      </c>
      <c r="AV23" s="1">
        <f>SUMIFS(super1[Qtde],super1[Item],tab_higiene[[#This Row],[Item]],super1[Bairro],mercado12)+SUMIFS(supercb[Qtde],supercb[Item],tab_higiene[[#This Row],[Item]],supercb[Bairro],mercado12)</f>
        <v>0</v>
      </c>
      <c r="AW23" s="1">
        <f>SUMIFS(super1[Qtde],super1[Item],tab_higiene[[#This Row],[Item]],super1[Bairro],mercado13)+SUMIFS(supercb[Qtde],supercb[Item],tab_higiene[[#This Row],[Item]],supercb[Bairro],mercado13)</f>
        <v>0</v>
      </c>
      <c r="AX23" s="1">
        <f>SUMIFS(super1[Qtde],super1[Item],tab_higiene[[#This Row],[Item]],super1[Bairro],mercado14)+SUMIFS(supercb[Qtde],supercb[Item],tab_higiene[[#This Row],[Item]],supercb[Bairro],mercado14)</f>
        <v>0</v>
      </c>
      <c r="AY23" s="1">
        <f>SUMIFS(super1[Qtde],super1[Item],tab_higiene[[#This Row],[Item]],super1[Bairro],mercado15)+SUMIFS(supercb[Qtde],supercb[Item],tab_higiene[[#This Row],[Item]],supercb[Bairro],mercado15)</f>
        <v>0</v>
      </c>
      <c r="AZ23" s="1">
        <f>SUMIFS(super1[Qtde],super1[Item],tab_higiene[[#This Row],[Item]],super1[Bairro],mercado16)+SUMIFS(supercb[Qtde],supercb[Item],tab_higiene[[#This Row],[Item]],supercb[Bairro],mercado16)</f>
        <v>0</v>
      </c>
      <c r="BA23" s="1">
        <f>SUMIFS(super1[Qtde],super1[Item],tab_higiene[[#This Row],[Item]],super1[Bairro],mercado17)+SUMIFS(supercb[Qtde],supercb[Item],tab_higiene[[#This Row],[Item]],supercb[Bairro],mercado17)</f>
        <v>0</v>
      </c>
      <c r="BB23" s="1">
        <f>SUMIFS(super1[Qtde],super1[Item],tab_higiene[[#This Row],[Item]],super1[Bairro],mercado18)+SUMIFS(supercb[Qtde],supercb[Item],tab_higiene[[#This Row],[Item]],supercb[Bairro],mercado18)</f>
        <v>0</v>
      </c>
      <c r="BC23" s="1">
        <f>SUMIFS(super1[Qtde],super1[Item],tab_higiene[[#This Row],[Item]],super1[Bairro],extras)+SUMIFS(supercb[Qtde],supercb[Item],tab_higiene[[#This Row],[Item]],supercb[Bairro],extras)</f>
        <v>0</v>
      </c>
      <c r="BD23" s="1">
        <f t="shared" si="3"/>
        <v>0</v>
      </c>
      <c r="BE23" s="1">
        <f t="shared" si="4"/>
        <v>0</v>
      </c>
      <c r="BF23" s="26">
        <f t="shared" si="5"/>
        <v>0</v>
      </c>
      <c r="BI23" s="33" t="str">
        <f>tab_alimentos[[#This Row],[Item]]</f>
        <v>Arroz (5kg)</v>
      </c>
      <c r="BJ23" s="33">
        <f t="shared" si="6"/>
        <v>6</v>
      </c>
      <c r="BK23" s="33" t="str">
        <f t="shared" si="7"/>
        <v>Arroz</v>
      </c>
      <c r="BL23" s="33">
        <f>tab_alimentos[[#This Row],[kg]]</f>
        <v>730</v>
      </c>
      <c r="BM23" s="37" t="s">
        <v>131</v>
      </c>
      <c r="BN23" s="35">
        <f t="shared" si="11"/>
        <v>0</v>
      </c>
      <c r="BP23" s="33" t="str">
        <f>tab_higiene[[#This Row],[Item]]</f>
        <v>Alvejante (2L)</v>
      </c>
      <c r="BQ23" s="33">
        <f t="shared" si="8"/>
        <v>10</v>
      </c>
      <c r="BR23" s="33" t="str">
        <f t="shared" si="9"/>
        <v>Alvejante</v>
      </c>
      <c r="BS23" s="33">
        <f>higiene[[#This Row],[Quantidade]]</f>
        <v>2</v>
      </c>
      <c r="BT23" s="33">
        <f>tab_higiene[Qtde (tot)]</f>
        <v>0</v>
      </c>
      <c r="BU23" s="33">
        <f t="shared" si="12"/>
        <v>0</v>
      </c>
      <c r="BV23" s="37" t="s">
        <v>80</v>
      </c>
      <c r="BW23" s="33">
        <f t="shared" si="10"/>
        <v>0</v>
      </c>
    </row>
    <row r="24" spans="1:75" x14ac:dyDescent="0.25">
      <c r="A24" s="24">
        <f>tabMercados[[#This Row],[Supermercados]]</f>
        <v>0</v>
      </c>
      <c r="B24" s="29">
        <f>SUMPRODUCT(tab_alimentos[kg/embalagem],tab_alimentos[Qtde (S16)])</f>
        <v>0</v>
      </c>
      <c r="C24" s="29">
        <f>SUMPRODUCT(tab_alimentos[Preço],tab_alimentos[Qtde (S16)])</f>
        <v>0</v>
      </c>
      <c r="D24" s="29">
        <f>SUMPRODUCT(tab_higiene[kg/embalagem],tab_higiene[Qtde (S16)])</f>
        <v>0</v>
      </c>
      <c r="E24" s="29">
        <f>SUMPRODUCT(tab_higiene[Preço],tab_higiene[Qtde (S16)])</f>
        <v>0</v>
      </c>
      <c r="F24" s="29">
        <f t="shared" ref="F24" si="14">B24+D24</f>
        <v>0</v>
      </c>
      <c r="G24" s="29">
        <f t="shared" ref="G24" si="15">C24+E24</f>
        <v>0</v>
      </c>
      <c r="I24" s="25" t="str">
        <f>alimentos[[#This Row],[Item]]</f>
        <v>Arroz integral (1kg)</v>
      </c>
      <c r="J24" s="1">
        <f>IFERROR(alimentos[[#This Row],[kg/embalagem]],0)</f>
        <v>1</v>
      </c>
      <c r="K24" s="1">
        <f>IFERROR(alimentos[[#This Row],[Preço]],0)</f>
        <v>3.782</v>
      </c>
      <c r="L24" s="1">
        <f>SUMIFS(super1[Qtde],super1[Item],tab_alimentos[[#This Row],[Item]],super1[Bairro],mercado1)+SUMIFS(supercb[Qtde],supercb[Item],tab_alimentos[[#This Row],[Item]],supercb[Bairro],mercado1)</f>
        <v>0</v>
      </c>
      <c r="M24" s="1">
        <f>SUMIFS(super1[Qtde],super1[Item],tab_alimentos[[#This Row],[Item]],super1[Bairro],mercado2)+SUMIFS(supercb[Qtde],supercb[Item],tab_alimentos[[#This Row],[Item]],supercb[Bairro],mercado2)</f>
        <v>1</v>
      </c>
      <c r="N24" s="1">
        <f>SUMIFS(super1[Qtde],super1[Item],tab_alimentos[[#This Row],[Item]],super1[Bairro],mercado3)+SUMIFS(supercb[Qtde],supercb[Item],tab_alimentos[[#This Row],[Item]],supercb[Bairro],mercado3)</f>
        <v>0</v>
      </c>
      <c r="O24" s="1">
        <f>SUMIFS(super1[Qtde],super1[Item],tab_alimentos[[#This Row],[Item]],super1[Bairro],mercado4)+SUMIFS(supercb[Qtde],supercb[Item],tab_alimentos[[#This Row],[Item]],supercb[Bairro],mercado4)</f>
        <v>0</v>
      </c>
      <c r="P24" s="1">
        <f>SUMIFS(super1[Qtde],super1[Item],tab_alimentos[[#This Row],[Item]],super1[Bairro],mercado5)+SUMIFS(supercb[Qtde],supercb[Item],tab_alimentos[[#This Row],[Item]],supercb[Bairro],mercado5)</f>
        <v>1</v>
      </c>
      <c r="Q24" s="1">
        <f>SUMIFS(super1[Qtde],super1[Item],tab_alimentos[[#This Row],[Item]],super1[Bairro],mercado6)+SUMIFS(supercb[Qtde],supercb[Item],tab_alimentos[[#This Row],[Item]],supercb[Bairro],mercado6)</f>
        <v>0</v>
      </c>
      <c r="R24" s="1">
        <f>SUMIFS(super1[Qtde],super1[Item],tab_alimentos[[#This Row],[Item]],super1[Bairro],mercado7)+SUMIFS(supercb[Qtde],supercb[Item],tab_alimentos[[#This Row],[Item]],supercb[Bairro],mercado7)</f>
        <v>0</v>
      </c>
      <c r="S24" s="1">
        <f>SUMIFS(super1[Qtde],super1[Item],tab_alimentos[[#This Row],[Item]],super1[Bairro],mercado8)+SUMIFS(supercb[Qtde],supercb[Item],tab_alimentos[[#This Row],[Item]],supercb[Bairro],mercado8)</f>
        <v>0</v>
      </c>
      <c r="T24" s="1">
        <f>SUMIFS(super1[Qtde],super1[Item],tab_alimentos[[#This Row],[Item]],super1[Bairro],mercado9)+SUMIFS(supercb[Qtde],supercb[Item],tab_alimentos[[#This Row],[Item]],supercb[Bairro],mercado9)</f>
        <v>0</v>
      </c>
      <c r="U24" s="1">
        <f>SUMIFS(super1[Qtde],super1[Item],tab_alimentos[[#This Row],[Item]],super1[Bairro],mercado10)+SUMIFS(supercb[Qtde],supercb[Item],tab_alimentos[[#This Row],[Item]],supercb[Bairro],mercado10)</f>
        <v>0</v>
      </c>
      <c r="V24" s="1">
        <f>SUMIFS(super1[Qtde],super1[Item],tab_alimentos[[#This Row],[Item]],super1[Bairro],mercado11)+SUMIFS(supercb[Qtde],supercb[Item],tab_alimentos[[#This Row],[Item]],supercb[Bairro],mercado11)</f>
        <v>0</v>
      </c>
      <c r="W24" s="1">
        <f>SUMIFS(super1[Qtde],super1[Item],tab_alimentos[[#This Row],[Item]],super1[Bairro],mercado12)+SUMIFS(supercb[Qtde],supercb[Item],tab_alimentos[[#This Row],[Item]],supercb[Bairro],mercado12)</f>
        <v>0</v>
      </c>
      <c r="X24" s="1">
        <f>SUMIFS(super1[Qtde],super1[Item],tab_alimentos[[#This Row],[Item]],super1[Bairro],mercado13)+SUMIFS(supercb[Qtde],supercb[Item],tab_alimentos[[#This Row],[Item]],supercb[Bairro],mercado13)</f>
        <v>0</v>
      </c>
      <c r="Y24" s="1">
        <f>SUMIFS(super1[Qtde],super1[Item],tab_alimentos[[#This Row],[Item]],super1[Bairro],mercado14)+SUMIFS(supercb[Qtde],supercb[Item],tab_alimentos[[#This Row],[Item]],supercb[Bairro],mercado14)</f>
        <v>0</v>
      </c>
      <c r="Z24" s="1">
        <f>SUMIFS(super1[Qtde],super1[Item],tab_alimentos[[#This Row],[Item]],super1[Bairro],mercado15)+SUMIFS(supercb[Qtde],supercb[Item],tab_alimentos[[#This Row],[Item]],supercb[Bairro],mercado15)</f>
        <v>0</v>
      </c>
      <c r="AA24" s="1">
        <f>SUMIFS(super1[Qtde],super1[Item],tab_alimentos[[#This Row],[Item]],super1[Bairro],mercado16)+SUMIFS(supercb[Qtde],supercb[Item],tab_alimentos[[#This Row],[Item]],supercb[Bairro],mercado16)</f>
        <v>0</v>
      </c>
      <c r="AB24" s="1">
        <f>SUMIFS(super1[Qtde],super1[Item],tab_alimentos[[#This Row],[Item]],super1[Bairro],mercado17)+SUMIFS(supercb[Qtde],supercb[Item],tab_alimentos[[#This Row],[Item]],supercb[Bairro],mercado17)</f>
        <v>0</v>
      </c>
      <c r="AC24" s="1">
        <f>SUMIFS(super1[Qtde],super1[Item],tab_alimentos[[#This Row],[Item]],super1[Bairro],mercado18)+SUMIFS(supercb[Qtde],supercb[Item],tab_alimentos[[#This Row],[Item]],supercb[Bairro],mercado18)</f>
        <v>0</v>
      </c>
      <c r="AD24" s="1">
        <f>SUMIFS(super1[Qtde],super1[Item],tab_alimentos[[#This Row],[Item]],super1[Bairro],extras)+SUMIFS(supercb[Qtde],supercb[Item],tab_alimentos[[#This Row],[Item]],supercb[Bairro],extras)</f>
        <v>0</v>
      </c>
      <c r="AE24" s="1">
        <f t="shared" si="0"/>
        <v>2</v>
      </c>
      <c r="AF24" s="1">
        <f t="shared" si="1"/>
        <v>7.5640000000000001</v>
      </c>
      <c r="AG24" s="3">
        <f t="shared" si="2"/>
        <v>2</v>
      </c>
      <c r="AH24" s="25" t="str">
        <f>higiene[[#This Row],[Item]]</f>
        <v>Alvejante (500mL)</v>
      </c>
      <c r="AI24" s="1">
        <f>IFERROR(higiene[[#This Row],[Kg equivalente]],0)</f>
        <v>2.9223414984114444</v>
      </c>
      <c r="AJ24" s="1">
        <f>IFERROR(higiene[[#This Row],[Preço por produto]],0)</f>
        <v>9.68</v>
      </c>
      <c r="AK24" s="1">
        <f>SUMIFS(super1[Qtde],super1[Item],tab_higiene[[#This Row],[Item]],super1[Bairro],mercado1)+SUMIFS(supercb[Qtde],supercb[Item],tab_higiene[[#This Row],[Item]],supercb[Bairro],mercado1)</f>
        <v>0</v>
      </c>
      <c r="AL24" s="1">
        <f>SUMIFS(super1[Qtde],super1[Item],tab_higiene[[#This Row],[Item]],super1[Bairro],mercado2)+SUMIFS(supercb[Qtde],supercb[Item],tab_higiene[[#This Row],[Item]],supercb[Bairro],mercado2)</f>
        <v>0</v>
      </c>
      <c r="AM24" s="1">
        <f>SUMIFS(super1[Qtde],super1[Item],tab_higiene[[#This Row],[Item]],super1[Bairro],mercado3)+SUMIFS(supercb[Qtde],supercb[Item],tab_higiene[[#This Row],[Item]],supercb[Bairro],mercado3)</f>
        <v>0</v>
      </c>
      <c r="AN24" s="1">
        <f>SUMIFS(super1[Qtde],super1[Item],tab_higiene[[#This Row],[Item]],super1[Bairro],mercado4)+SUMIFS(supercb[Qtde],supercb[Item],tab_higiene[[#This Row],[Item]],supercb[Bairro],mercado4)</f>
        <v>0</v>
      </c>
      <c r="AO24" s="1">
        <f>SUMIFS(super1[Qtde],super1[Item],tab_higiene[[#This Row],[Item]],super1[Bairro],mercado5)+SUMIFS(supercb[Qtde],supercb[Item],tab_higiene[[#This Row],[Item]],supercb[Bairro],mercado5)</f>
        <v>0</v>
      </c>
      <c r="AP24" s="1">
        <f>SUMIFS(super1[Qtde],super1[Item],tab_higiene[[#This Row],[Item]],super1[Bairro],mercado6)+SUMIFS(supercb[Qtde],supercb[Item],tab_higiene[[#This Row],[Item]],supercb[Bairro],mercado6)</f>
        <v>0</v>
      </c>
      <c r="AQ24" s="1">
        <f>SUMIFS(super1[Qtde],super1[Item],tab_higiene[[#This Row],[Item]],super1[Bairro],mercado7)+SUMIFS(supercb[Qtde],supercb[Item],tab_higiene[[#This Row],[Item]],supercb[Bairro],mercado7)</f>
        <v>0</v>
      </c>
      <c r="AR24" s="1">
        <f>SUMIFS(super1[Qtde],super1[Item],tab_higiene[[#This Row],[Item]],super1[Bairro],mercado8)+SUMIFS(supercb[Qtde],supercb[Item],tab_higiene[[#This Row],[Item]],supercb[Bairro],mercado8)</f>
        <v>0</v>
      </c>
      <c r="AS24" s="1">
        <f>SUMIFS(super1[Qtde],super1[Item],tab_higiene[[#This Row],[Item]],super1[Bairro],mercado9)+SUMIFS(supercb[Qtde],supercb[Item],tab_higiene[[#This Row],[Item]],supercb[Bairro],mercado9)</f>
        <v>0</v>
      </c>
      <c r="AT24" s="1">
        <f>SUMIFS(super1[Qtde],super1[Item],tab_higiene[[#This Row],[Item]],super1[Bairro],mercado10)+SUMIFS(supercb[Qtde],supercb[Item],tab_higiene[[#This Row],[Item]],supercb[Bairro],mercado10)</f>
        <v>0</v>
      </c>
      <c r="AU24" s="1">
        <f>SUMIFS(super1[Qtde],super1[Item],tab_higiene[[#This Row],[Item]],super1[Bairro],mercado11)+SUMIFS(supercb[Qtde],supercb[Item],tab_higiene[[#This Row],[Item]],supercb[Bairro],mercado11)</f>
        <v>0</v>
      </c>
      <c r="AV24" s="1">
        <f>SUMIFS(super1[Qtde],super1[Item],tab_higiene[[#This Row],[Item]],super1[Bairro],mercado12)+SUMIFS(supercb[Qtde],supercb[Item],tab_higiene[[#This Row],[Item]],supercb[Bairro],mercado12)</f>
        <v>0</v>
      </c>
      <c r="AW24" s="1">
        <f>SUMIFS(super1[Qtde],super1[Item],tab_higiene[[#This Row],[Item]],super1[Bairro],mercado13)+SUMIFS(supercb[Qtde],supercb[Item],tab_higiene[[#This Row],[Item]],supercb[Bairro],mercado13)</f>
        <v>0</v>
      </c>
      <c r="AX24" s="1">
        <f>SUMIFS(super1[Qtde],super1[Item],tab_higiene[[#This Row],[Item]],super1[Bairro],mercado14)+SUMIFS(supercb[Qtde],supercb[Item],tab_higiene[[#This Row],[Item]],supercb[Bairro],mercado14)</f>
        <v>0</v>
      </c>
      <c r="AY24" s="1">
        <f>SUMIFS(super1[Qtde],super1[Item],tab_higiene[[#This Row],[Item]],super1[Bairro],mercado15)+SUMIFS(supercb[Qtde],supercb[Item],tab_higiene[[#This Row],[Item]],supercb[Bairro],mercado15)</f>
        <v>0</v>
      </c>
      <c r="AZ24" s="1">
        <f>SUMIFS(super1[Qtde],super1[Item],tab_higiene[[#This Row],[Item]],super1[Bairro],mercado16)+SUMIFS(supercb[Qtde],supercb[Item],tab_higiene[[#This Row],[Item]],supercb[Bairro],mercado16)</f>
        <v>0</v>
      </c>
      <c r="BA24" s="1">
        <f>SUMIFS(super1[Qtde],super1[Item],tab_higiene[[#This Row],[Item]],super1[Bairro],mercado17)+SUMIFS(supercb[Qtde],supercb[Item],tab_higiene[[#This Row],[Item]],supercb[Bairro],mercado17)</f>
        <v>0</v>
      </c>
      <c r="BB24" s="1">
        <f>SUMIFS(super1[Qtde],super1[Item],tab_higiene[[#This Row],[Item]],super1[Bairro],mercado18)+SUMIFS(supercb[Qtde],supercb[Item],tab_higiene[[#This Row],[Item]],supercb[Bairro],mercado18)</f>
        <v>0</v>
      </c>
      <c r="BC24" s="1">
        <f>SUMIFS(super1[Qtde],super1[Item],tab_higiene[[#This Row],[Item]],super1[Bairro],extras)+SUMIFS(supercb[Qtde],supercb[Item],tab_higiene[[#This Row],[Item]],supercb[Bairro],extras)</f>
        <v>0</v>
      </c>
      <c r="BD24" s="1">
        <f t="shared" si="3"/>
        <v>0</v>
      </c>
      <c r="BE24" s="1">
        <f t="shared" si="4"/>
        <v>0</v>
      </c>
      <c r="BF24" s="26">
        <f t="shared" si="5"/>
        <v>0</v>
      </c>
      <c r="BI24" s="33" t="str">
        <f>tab_alimentos[[#This Row],[Item]]</f>
        <v>Arroz integral (1kg)</v>
      </c>
      <c r="BJ24" s="33">
        <f t="shared" si="6"/>
        <v>15</v>
      </c>
      <c r="BK24" s="33" t="str">
        <f t="shared" si="7"/>
        <v>Arroz integral</v>
      </c>
      <c r="BL24" s="33">
        <f>tab_alimentos[[#This Row],[kg]]</f>
        <v>2</v>
      </c>
      <c r="BM24" s="37" t="s">
        <v>79</v>
      </c>
      <c r="BN24" s="35">
        <f t="shared" si="11"/>
        <v>0</v>
      </c>
      <c r="BP24" s="33" t="str">
        <f>tab_higiene[[#This Row],[Item]]</f>
        <v>Alvejante (500mL)</v>
      </c>
      <c r="BQ24" s="33">
        <f t="shared" si="8"/>
        <v>10</v>
      </c>
      <c r="BR24" s="33" t="str">
        <f t="shared" si="9"/>
        <v>Alvejante</v>
      </c>
      <c r="BS24" s="33">
        <f>higiene[[#This Row],[Quantidade]]</f>
        <v>2</v>
      </c>
      <c r="BT24" s="33">
        <f>tab_higiene[Qtde (tot)]</f>
        <v>0</v>
      </c>
      <c r="BU24" s="33">
        <f t="shared" si="12"/>
        <v>0</v>
      </c>
      <c r="BV24" s="37" t="s">
        <v>317</v>
      </c>
      <c r="BW24" s="33">
        <f t="shared" si="10"/>
        <v>0</v>
      </c>
    </row>
    <row r="25" spans="1:75" x14ac:dyDescent="0.25">
      <c r="A25" s="24">
        <f>tabMercados[[#This Row],[Supermercados]]</f>
        <v>0</v>
      </c>
      <c r="B25" s="29">
        <f>SUMPRODUCT(tab_alimentos[kg/embalagem],tab_alimentos[Qtde (S17)])</f>
        <v>0</v>
      </c>
      <c r="C25" s="29">
        <f>SUMPRODUCT(tab_alimentos[Preço],tab_alimentos[Qtde (S17)])</f>
        <v>0</v>
      </c>
      <c r="D25" s="29">
        <f>SUMPRODUCT(tab_higiene[kg/embalagem],tab_higiene[Qtde (S17)])</f>
        <v>0</v>
      </c>
      <c r="E25" s="29">
        <f>SUMPRODUCT(tab_higiene[Preço],tab_higiene[Qtde (S17)])</f>
        <v>0</v>
      </c>
      <c r="F25" s="29">
        <f t="shared" ref="F25:G27" si="16">B25+D25</f>
        <v>0</v>
      </c>
      <c r="G25" s="29">
        <f t="shared" si="16"/>
        <v>0</v>
      </c>
      <c r="I25" s="25" t="str">
        <f>alimentos[[#This Row],[Item]]</f>
        <v>Arroz integral (500g)</v>
      </c>
      <c r="J25" s="1">
        <f>IFERROR(alimentos[[#This Row],[kg/embalagem]],0)</f>
        <v>0.5</v>
      </c>
      <c r="K25" s="1">
        <f>IFERROR(alimentos[[#This Row],[Preço]],0)</f>
        <v>4.76</v>
      </c>
      <c r="L25" s="1">
        <f>SUMIFS(super1[Qtde],super1[Item],tab_alimentos[[#This Row],[Item]],super1[Bairro],mercado1)+SUMIFS(supercb[Qtde],supercb[Item],tab_alimentos[[#This Row],[Item]],supercb[Bairro],mercado1)</f>
        <v>0</v>
      </c>
      <c r="M25" s="1">
        <f>SUMIFS(super1[Qtde],super1[Item],tab_alimentos[[#This Row],[Item]],super1[Bairro],mercado2)+SUMIFS(supercb[Qtde],supercb[Item],tab_alimentos[[#This Row],[Item]],supercb[Bairro],mercado2)</f>
        <v>0</v>
      </c>
      <c r="N25" s="1">
        <f>SUMIFS(super1[Qtde],super1[Item],tab_alimentos[[#This Row],[Item]],super1[Bairro],mercado3)+SUMIFS(supercb[Qtde],supercb[Item],tab_alimentos[[#This Row],[Item]],supercb[Bairro],mercado3)</f>
        <v>0</v>
      </c>
      <c r="O25" s="1">
        <f>SUMIFS(super1[Qtde],super1[Item],tab_alimentos[[#This Row],[Item]],super1[Bairro],mercado4)+SUMIFS(supercb[Qtde],supercb[Item],tab_alimentos[[#This Row],[Item]],supercb[Bairro],mercado4)</f>
        <v>0</v>
      </c>
      <c r="P25" s="1">
        <f>SUMIFS(super1[Qtde],super1[Item],tab_alimentos[[#This Row],[Item]],super1[Bairro],mercado5)+SUMIFS(supercb[Qtde],supercb[Item],tab_alimentos[[#This Row],[Item]],supercb[Bairro],mercado5)</f>
        <v>0</v>
      </c>
      <c r="Q25" s="1">
        <f>SUMIFS(super1[Qtde],super1[Item],tab_alimentos[[#This Row],[Item]],super1[Bairro],mercado6)+SUMIFS(supercb[Qtde],supercb[Item],tab_alimentos[[#This Row],[Item]],supercb[Bairro],mercado6)</f>
        <v>0</v>
      </c>
      <c r="R25" s="1">
        <f>SUMIFS(super1[Qtde],super1[Item],tab_alimentos[[#This Row],[Item]],super1[Bairro],mercado7)+SUMIFS(supercb[Qtde],supercb[Item],tab_alimentos[[#This Row],[Item]],supercb[Bairro],mercado7)</f>
        <v>0</v>
      </c>
      <c r="S25" s="1">
        <f>SUMIFS(super1[Qtde],super1[Item],tab_alimentos[[#This Row],[Item]],super1[Bairro],mercado8)+SUMIFS(supercb[Qtde],supercb[Item],tab_alimentos[[#This Row],[Item]],supercb[Bairro],mercado8)</f>
        <v>0</v>
      </c>
      <c r="T25" s="1">
        <f>SUMIFS(super1[Qtde],super1[Item],tab_alimentos[[#This Row],[Item]],super1[Bairro],mercado9)+SUMIFS(supercb[Qtde],supercb[Item],tab_alimentos[[#This Row],[Item]],supercb[Bairro],mercado9)</f>
        <v>0</v>
      </c>
      <c r="U25" s="1">
        <f>SUMIFS(super1[Qtde],super1[Item],tab_alimentos[[#This Row],[Item]],super1[Bairro],mercado10)+SUMIFS(supercb[Qtde],supercb[Item],tab_alimentos[[#This Row],[Item]],supercb[Bairro],mercado10)</f>
        <v>0</v>
      </c>
      <c r="V25" s="1">
        <f>SUMIFS(super1[Qtde],super1[Item],tab_alimentos[[#This Row],[Item]],super1[Bairro],mercado11)+SUMIFS(supercb[Qtde],supercb[Item],tab_alimentos[[#This Row],[Item]],supercb[Bairro],mercado11)</f>
        <v>0</v>
      </c>
      <c r="W25" s="1">
        <f>SUMIFS(super1[Qtde],super1[Item],tab_alimentos[[#This Row],[Item]],super1[Bairro],mercado12)+SUMIFS(supercb[Qtde],supercb[Item],tab_alimentos[[#This Row],[Item]],supercb[Bairro],mercado12)</f>
        <v>0</v>
      </c>
      <c r="X25" s="1">
        <f>SUMIFS(super1[Qtde],super1[Item],tab_alimentos[[#This Row],[Item]],super1[Bairro],mercado13)+SUMIFS(supercb[Qtde],supercb[Item],tab_alimentos[[#This Row],[Item]],supercb[Bairro],mercado13)</f>
        <v>0</v>
      </c>
      <c r="Y25" s="1">
        <f>SUMIFS(super1[Qtde],super1[Item],tab_alimentos[[#This Row],[Item]],super1[Bairro],mercado14)+SUMIFS(supercb[Qtde],supercb[Item],tab_alimentos[[#This Row],[Item]],supercb[Bairro],mercado14)</f>
        <v>0</v>
      </c>
      <c r="Z25" s="1">
        <f>SUMIFS(super1[Qtde],super1[Item],tab_alimentos[[#This Row],[Item]],super1[Bairro],mercado15)+SUMIFS(supercb[Qtde],supercb[Item],tab_alimentos[[#This Row],[Item]],supercb[Bairro],mercado15)</f>
        <v>0</v>
      </c>
      <c r="AA25" s="1">
        <f>SUMIFS(super1[Qtde],super1[Item],tab_alimentos[[#This Row],[Item]],super1[Bairro],mercado16)+SUMIFS(supercb[Qtde],supercb[Item],tab_alimentos[[#This Row],[Item]],supercb[Bairro],mercado16)</f>
        <v>0</v>
      </c>
      <c r="AB25" s="1">
        <f>SUMIFS(super1[Qtde],super1[Item],tab_alimentos[[#This Row],[Item]],super1[Bairro],mercado17)+SUMIFS(supercb[Qtde],supercb[Item],tab_alimentos[[#This Row],[Item]],supercb[Bairro],mercado17)</f>
        <v>0</v>
      </c>
      <c r="AC25" s="1">
        <f>SUMIFS(super1[Qtde],super1[Item],tab_alimentos[[#This Row],[Item]],super1[Bairro],mercado18)+SUMIFS(supercb[Qtde],supercb[Item],tab_alimentos[[#This Row],[Item]],supercb[Bairro],mercado18)</f>
        <v>0</v>
      </c>
      <c r="AD25" s="1">
        <f>SUMIFS(super1[Qtde],super1[Item],tab_alimentos[[#This Row],[Item]],super1[Bairro],extras)+SUMIFS(supercb[Qtde],supercb[Item],tab_alimentos[[#This Row],[Item]],supercb[Bairro],extras)</f>
        <v>0</v>
      </c>
      <c r="AE25" s="1">
        <f t="shared" si="0"/>
        <v>0</v>
      </c>
      <c r="AF25" s="1">
        <f t="shared" si="1"/>
        <v>0</v>
      </c>
      <c r="AG25" s="3">
        <f t="shared" si="2"/>
        <v>0</v>
      </c>
      <c r="AH25" s="25" t="str">
        <f>higiene[[#This Row],[Item]]</f>
        <v>Amaciante (2L)</v>
      </c>
      <c r="AI25" s="1">
        <f>IFERROR(higiene[[#This Row],[Kg equivalente]],0)</f>
        <v>1.3472054686633335</v>
      </c>
      <c r="AJ25" s="1">
        <f>IFERROR(higiene[[#This Row],[Preço por produto]],0)</f>
        <v>4.4624999999999995</v>
      </c>
      <c r="AK25" s="1">
        <f>SUMIFS(super1[Qtde],super1[Item],tab_higiene[[#This Row],[Item]],super1[Bairro],mercado1)+SUMIFS(supercb[Qtde],supercb[Item],tab_higiene[[#This Row],[Item]],supercb[Bairro],mercado1)</f>
        <v>0</v>
      </c>
      <c r="AL25" s="1">
        <f>SUMIFS(super1[Qtde],super1[Item],tab_higiene[[#This Row],[Item]],super1[Bairro],mercado2)+SUMIFS(supercb[Qtde],supercb[Item],tab_higiene[[#This Row],[Item]],supercb[Bairro],mercado2)</f>
        <v>2</v>
      </c>
      <c r="AM25" s="1">
        <f>SUMIFS(super1[Qtde],super1[Item],tab_higiene[[#This Row],[Item]],super1[Bairro],mercado3)+SUMIFS(supercb[Qtde],supercb[Item],tab_higiene[[#This Row],[Item]],supercb[Bairro],mercado3)</f>
        <v>0</v>
      </c>
      <c r="AN25" s="1">
        <f>SUMIFS(super1[Qtde],super1[Item],tab_higiene[[#This Row],[Item]],super1[Bairro],mercado4)+SUMIFS(supercb[Qtde],supercb[Item],tab_higiene[[#This Row],[Item]],supercb[Bairro],mercado4)</f>
        <v>1</v>
      </c>
      <c r="AO25" s="1">
        <f>SUMIFS(super1[Qtde],super1[Item],tab_higiene[[#This Row],[Item]],super1[Bairro],mercado5)+SUMIFS(supercb[Qtde],supercb[Item],tab_higiene[[#This Row],[Item]],supercb[Bairro],mercado5)</f>
        <v>0</v>
      </c>
      <c r="AP25" s="1">
        <f>SUMIFS(super1[Qtde],super1[Item],tab_higiene[[#This Row],[Item]],super1[Bairro],mercado6)+SUMIFS(supercb[Qtde],supercb[Item],tab_higiene[[#This Row],[Item]],supercb[Bairro],mercado6)</f>
        <v>0</v>
      </c>
      <c r="AQ25" s="1">
        <f>SUMIFS(super1[Qtde],super1[Item],tab_higiene[[#This Row],[Item]],super1[Bairro],mercado7)+SUMIFS(supercb[Qtde],supercb[Item],tab_higiene[[#This Row],[Item]],supercb[Bairro],mercado7)</f>
        <v>0</v>
      </c>
      <c r="AR25" s="1">
        <f>SUMIFS(super1[Qtde],super1[Item],tab_higiene[[#This Row],[Item]],super1[Bairro],mercado8)+SUMIFS(supercb[Qtde],supercb[Item],tab_higiene[[#This Row],[Item]],supercb[Bairro],mercado8)</f>
        <v>1</v>
      </c>
      <c r="AS25" s="1">
        <f>SUMIFS(super1[Qtde],super1[Item],tab_higiene[[#This Row],[Item]],super1[Bairro],mercado9)+SUMIFS(supercb[Qtde],supercb[Item],tab_higiene[[#This Row],[Item]],supercb[Bairro],mercado9)</f>
        <v>0</v>
      </c>
      <c r="AT25" s="1">
        <f>SUMIFS(super1[Qtde],super1[Item],tab_higiene[[#This Row],[Item]],super1[Bairro],mercado10)+SUMIFS(supercb[Qtde],supercb[Item],tab_higiene[[#This Row],[Item]],supercb[Bairro],mercado10)</f>
        <v>0</v>
      </c>
      <c r="AU25" s="1">
        <f>SUMIFS(super1[Qtde],super1[Item],tab_higiene[[#This Row],[Item]],super1[Bairro],mercado11)+SUMIFS(supercb[Qtde],supercb[Item],tab_higiene[[#This Row],[Item]],supercb[Bairro],mercado11)</f>
        <v>0</v>
      </c>
      <c r="AV25" s="1">
        <f>SUMIFS(super1[Qtde],super1[Item],tab_higiene[[#This Row],[Item]],super1[Bairro],mercado12)+SUMIFS(supercb[Qtde],supercb[Item],tab_higiene[[#This Row],[Item]],supercb[Bairro],mercado12)</f>
        <v>0</v>
      </c>
      <c r="AW25" s="1">
        <f>SUMIFS(super1[Qtde],super1[Item],tab_higiene[[#This Row],[Item]],super1[Bairro],mercado13)+SUMIFS(supercb[Qtde],supercb[Item],tab_higiene[[#This Row],[Item]],supercb[Bairro],mercado13)</f>
        <v>0</v>
      </c>
      <c r="AX25" s="1">
        <f>SUMIFS(super1[Qtde],super1[Item],tab_higiene[[#This Row],[Item]],super1[Bairro],mercado14)+SUMIFS(supercb[Qtde],supercb[Item],tab_higiene[[#This Row],[Item]],supercb[Bairro],mercado14)</f>
        <v>0</v>
      </c>
      <c r="AY25" s="1">
        <f>SUMIFS(super1[Qtde],super1[Item],tab_higiene[[#This Row],[Item]],super1[Bairro],mercado15)+SUMIFS(supercb[Qtde],supercb[Item],tab_higiene[[#This Row],[Item]],supercb[Bairro],mercado15)</f>
        <v>0</v>
      </c>
      <c r="AZ25" s="1">
        <f>SUMIFS(super1[Qtde],super1[Item],tab_higiene[[#This Row],[Item]],super1[Bairro],mercado16)+SUMIFS(supercb[Qtde],supercb[Item],tab_higiene[[#This Row],[Item]],supercb[Bairro],mercado16)</f>
        <v>0</v>
      </c>
      <c r="BA25" s="1">
        <f>SUMIFS(super1[Qtde],super1[Item],tab_higiene[[#This Row],[Item]],super1[Bairro],mercado17)+SUMIFS(supercb[Qtde],supercb[Item],tab_higiene[[#This Row],[Item]],supercb[Bairro],mercado17)</f>
        <v>0</v>
      </c>
      <c r="BB25" s="1">
        <f>SUMIFS(super1[Qtde],super1[Item],tab_higiene[[#This Row],[Item]],super1[Bairro],mercado18)+SUMIFS(supercb[Qtde],supercb[Item],tab_higiene[[#This Row],[Item]],supercb[Bairro],mercado18)</f>
        <v>0</v>
      </c>
      <c r="BC25" s="1">
        <f>SUMIFS(super1[Qtde],super1[Item],tab_higiene[[#This Row],[Item]],super1[Bairro],extras)+SUMIFS(supercb[Qtde],supercb[Item],tab_higiene[[#This Row],[Item]],supercb[Bairro],extras)</f>
        <v>0</v>
      </c>
      <c r="BD25" s="1">
        <f t="shared" si="3"/>
        <v>4</v>
      </c>
      <c r="BE25" s="1">
        <f t="shared" si="4"/>
        <v>17.849999999999998</v>
      </c>
      <c r="BF25" s="26">
        <f t="shared" si="5"/>
        <v>5.3888218746533338</v>
      </c>
      <c r="BI25" s="33" t="str">
        <f>tab_alimentos[[#This Row],[Item]]</f>
        <v>Arroz integral (500g)</v>
      </c>
      <c r="BJ25" s="33">
        <f t="shared" si="6"/>
        <v>15</v>
      </c>
      <c r="BK25" s="33" t="str">
        <f t="shared" si="7"/>
        <v>Arroz integral</v>
      </c>
      <c r="BL25" s="33">
        <f>tab_alimentos[[#This Row],[kg]]</f>
        <v>0</v>
      </c>
      <c r="BM25" s="37" t="s">
        <v>279</v>
      </c>
      <c r="BN25" s="35">
        <f t="shared" si="11"/>
        <v>0</v>
      </c>
      <c r="BP25" s="33" t="str">
        <f>tab_higiene[[#This Row],[Item]]</f>
        <v>Amaciante (2L)</v>
      </c>
      <c r="BQ25" s="33">
        <f t="shared" si="8"/>
        <v>10</v>
      </c>
      <c r="BR25" s="33" t="str">
        <f t="shared" si="9"/>
        <v>Amaciante</v>
      </c>
      <c r="BS25" s="33">
        <f>higiene[[#This Row],[Quantidade]]</f>
        <v>0.5</v>
      </c>
      <c r="BT25" s="33">
        <f>tab_higiene[Qtde (tot)]</f>
        <v>4</v>
      </c>
      <c r="BU25" s="33">
        <f t="shared" si="12"/>
        <v>2</v>
      </c>
      <c r="BV25" s="37" t="s">
        <v>381</v>
      </c>
      <c r="BW25" s="33">
        <f t="shared" si="10"/>
        <v>3410</v>
      </c>
    </row>
    <row r="26" spans="1:75" x14ac:dyDescent="0.25">
      <c r="A26" s="24">
        <f>tabMercados[[#This Row],[Supermercados]]</f>
        <v>0</v>
      </c>
      <c r="B26" s="29">
        <f>SUMPRODUCT(tab_alimentos[kg/embalagem],tab_alimentos[Qtde (S18)])</f>
        <v>0</v>
      </c>
      <c r="C26" s="29">
        <f>SUMPRODUCT(tab_alimentos[Preço],tab_alimentos[Qtde (S18)])</f>
        <v>0</v>
      </c>
      <c r="D26" s="29">
        <f>SUMPRODUCT(tab_higiene[kg/embalagem],tab_higiene[Qtde (S18)])</f>
        <v>0</v>
      </c>
      <c r="E26" s="29">
        <f>SUMPRODUCT(tab_higiene[Preço],tab_higiene[Qtde (S18)])</f>
        <v>0</v>
      </c>
      <c r="F26" s="29">
        <f t="shared" si="16"/>
        <v>0</v>
      </c>
      <c r="G26" s="29">
        <f t="shared" si="16"/>
        <v>0</v>
      </c>
      <c r="I26" s="25" t="str">
        <f>alimentos[[#This Row],[Item]]</f>
        <v>Atum (170g)</v>
      </c>
      <c r="J26" s="1">
        <f>IFERROR(alimentos[[#This Row],[kg/embalagem]],0)</f>
        <v>0.17</v>
      </c>
      <c r="K26" s="1">
        <f>IFERROR(alimentos[[#This Row],[Preço]],0)</f>
        <v>4.6940000000000008</v>
      </c>
      <c r="L26" s="1">
        <f>SUMIFS(super1[Qtde],super1[Item],tab_alimentos[[#This Row],[Item]],super1[Bairro],mercado1)+SUMIFS(supercb[Qtde],supercb[Item],tab_alimentos[[#This Row],[Item]],supercb[Bairro],mercado1)</f>
        <v>0</v>
      </c>
      <c r="M26" s="1">
        <f>SUMIFS(super1[Qtde],super1[Item],tab_alimentos[[#This Row],[Item]],super1[Bairro],mercado2)+SUMIFS(supercb[Qtde],supercb[Item],tab_alimentos[[#This Row],[Item]],supercb[Bairro],mercado2)</f>
        <v>0</v>
      </c>
      <c r="N26" s="1">
        <f>SUMIFS(super1[Qtde],super1[Item],tab_alimentos[[#This Row],[Item]],super1[Bairro],mercado3)+SUMIFS(supercb[Qtde],supercb[Item],tab_alimentos[[#This Row],[Item]],supercb[Bairro],mercado3)</f>
        <v>0</v>
      </c>
      <c r="O26" s="1">
        <f>SUMIFS(super1[Qtde],super1[Item],tab_alimentos[[#This Row],[Item]],super1[Bairro],mercado4)+SUMIFS(supercb[Qtde],supercb[Item],tab_alimentos[[#This Row],[Item]],supercb[Bairro],mercado4)</f>
        <v>0</v>
      </c>
      <c r="P26" s="1">
        <f>SUMIFS(super1[Qtde],super1[Item],tab_alimentos[[#This Row],[Item]],super1[Bairro],mercado5)+SUMIFS(supercb[Qtde],supercb[Item],tab_alimentos[[#This Row],[Item]],supercb[Bairro],mercado5)</f>
        <v>0</v>
      </c>
      <c r="Q26" s="1">
        <f>SUMIFS(super1[Qtde],super1[Item],tab_alimentos[[#This Row],[Item]],super1[Bairro],mercado6)+SUMIFS(supercb[Qtde],supercb[Item],tab_alimentos[[#This Row],[Item]],supercb[Bairro],mercado6)</f>
        <v>0</v>
      </c>
      <c r="R26" s="1">
        <f>SUMIFS(super1[Qtde],super1[Item],tab_alimentos[[#This Row],[Item]],super1[Bairro],mercado7)+SUMIFS(supercb[Qtde],supercb[Item],tab_alimentos[[#This Row],[Item]],supercb[Bairro],mercado7)</f>
        <v>0</v>
      </c>
      <c r="S26" s="1">
        <f>SUMIFS(super1[Qtde],super1[Item],tab_alimentos[[#This Row],[Item]],super1[Bairro],mercado8)+SUMIFS(supercb[Qtde],supercb[Item],tab_alimentos[[#This Row],[Item]],supercb[Bairro],mercado8)</f>
        <v>0</v>
      </c>
      <c r="T26" s="1">
        <f>SUMIFS(super1[Qtde],super1[Item],tab_alimentos[[#This Row],[Item]],super1[Bairro],mercado9)+SUMIFS(supercb[Qtde],supercb[Item],tab_alimentos[[#This Row],[Item]],supercb[Bairro],mercado9)</f>
        <v>0</v>
      </c>
      <c r="U26" s="1">
        <f>SUMIFS(super1[Qtde],super1[Item],tab_alimentos[[#This Row],[Item]],super1[Bairro],mercado10)+SUMIFS(supercb[Qtde],supercb[Item],tab_alimentos[[#This Row],[Item]],supercb[Bairro],mercado10)</f>
        <v>0</v>
      </c>
      <c r="V26" s="1">
        <f>SUMIFS(super1[Qtde],super1[Item],tab_alimentos[[#This Row],[Item]],super1[Bairro],mercado11)+SUMIFS(supercb[Qtde],supercb[Item],tab_alimentos[[#This Row],[Item]],supercb[Bairro],mercado11)</f>
        <v>0</v>
      </c>
      <c r="W26" s="1">
        <f>SUMIFS(super1[Qtde],super1[Item],tab_alimentos[[#This Row],[Item]],super1[Bairro],mercado12)+SUMIFS(supercb[Qtde],supercb[Item],tab_alimentos[[#This Row],[Item]],supercb[Bairro],mercado12)</f>
        <v>0</v>
      </c>
      <c r="X26" s="1">
        <f>SUMIFS(super1[Qtde],super1[Item],tab_alimentos[[#This Row],[Item]],super1[Bairro],mercado13)+SUMIFS(supercb[Qtde],supercb[Item],tab_alimentos[[#This Row],[Item]],supercb[Bairro],mercado13)</f>
        <v>0</v>
      </c>
      <c r="Y26" s="1">
        <f>SUMIFS(super1[Qtde],super1[Item],tab_alimentos[[#This Row],[Item]],super1[Bairro],mercado14)+SUMIFS(supercb[Qtde],supercb[Item],tab_alimentos[[#This Row],[Item]],supercb[Bairro],mercado14)</f>
        <v>0</v>
      </c>
      <c r="Z26" s="1">
        <f>SUMIFS(super1[Qtde],super1[Item],tab_alimentos[[#This Row],[Item]],super1[Bairro],mercado15)+SUMIFS(supercb[Qtde],supercb[Item],tab_alimentos[[#This Row],[Item]],supercb[Bairro],mercado15)</f>
        <v>0</v>
      </c>
      <c r="AA26" s="1">
        <f>SUMIFS(super1[Qtde],super1[Item],tab_alimentos[[#This Row],[Item]],super1[Bairro],mercado16)+SUMIFS(supercb[Qtde],supercb[Item],tab_alimentos[[#This Row],[Item]],supercb[Bairro],mercado16)</f>
        <v>0</v>
      </c>
      <c r="AB26" s="1">
        <f>SUMIFS(super1[Qtde],super1[Item],tab_alimentos[[#This Row],[Item]],super1[Bairro],mercado17)+SUMIFS(supercb[Qtde],supercb[Item],tab_alimentos[[#This Row],[Item]],supercb[Bairro],mercado17)</f>
        <v>0</v>
      </c>
      <c r="AC26" s="1">
        <f>SUMIFS(super1[Qtde],super1[Item],tab_alimentos[[#This Row],[Item]],super1[Bairro],mercado18)+SUMIFS(supercb[Qtde],supercb[Item],tab_alimentos[[#This Row],[Item]],supercb[Bairro],mercado18)</f>
        <v>0</v>
      </c>
      <c r="AD26" s="1">
        <f>SUMIFS(super1[Qtde],super1[Item],tab_alimentos[[#This Row],[Item]],super1[Bairro],extras)+SUMIFS(supercb[Qtde],supercb[Item],tab_alimentos[[#This Row],[Item]],supercb[Bairro],extras)</f>
        <v>0</v>
      </c>
      <c r="AE26" s="1">
        <f t="shared" si="0"/>
        <v>0</v>
      </c>
      <c r="AF26" s="1">
        <f t="shared" si="1"/>
        <v>0</v>
      </c>
      <c r="AG26" s="3">
        <f t="shared" si="2"/>
        <v>0</v>
      </c>
      <c r="AH26" s="25" t="str">
        <f>higiene[[#This Row],[Item]]</f>
        <v>Amaciante (500mL)</v>
      </c>
      <c r="AI26" s="1">
        <f>IFERROR(higiene[[#This Row],[Kg equivalente]],0)</f>
        <v>1.9285038731252382</v>
      </c>
      <c r="AJ26" s="1">
        <f>IFERROR(higiene[[#This Row],[Preço por produto]],0)</f>
        <v>6.3879999999999999</v>
      </c>
      <c r="AK26" s="1">
        <f>SUMIFS(super1[Qtde],super1[Item],tab_higiene[[#This Row],[Item]],super1[Bairro],mercado1)+SUMIFS(supercb[Qtde],supercb[Item],tab_higiene[[#This Row],[Item]],supercb[Bairro],mercado1)</f>
        <v>0</v>
      </c>
      <c r="AL26" s="1">
        <f>SUMIFS(super1[Qtde],super1[Item],tab_higiene[[#This Row],[Item]],super1[Bairro],mercado2)+SUMIFS(supercb[Qtde],supercb[Item],tab_higiene[[#This Row],[Item]],supercb[Bairro],mercado2)</f>
        <v>0</v>
      </c>
      <c r="AM26" s="1">
        <f>SUMIFS(super1[Qtde],super1[Item],tab_higiene[[#This Row],[Item]],super1[Bairro],mercado3)+SUMIFS(supercb[Qtde],supercb[Item],tab_higiene[[#This Row],[Item]],supercb[Bairro],mercado3)</f>
        <v>0</v>
      </c>
      <c r="AN26" s="1">
        <f>SUMIFS(super1[Qtde],super1[Item],tab_higiene[[#This Row],[Item]],super1[Bairro],mercado4)+SUMIFS(supercb[Qtde],supercb[Item],tab_higiene[[#This Row],[Item]],supercb[Bairro],mercado4)</f>
        <v>0</v>
      </c>
      <c r="AO26" s="1">
        <f>SUMIFS(super1[Qtde],super1[Item],tab_higiene[[#This Row],[Item]],super1[Bairro],mercado5)+SUMIFS(supercb[Qtde],supercb[Item],tab_higiene[[#This Row],[Item]],supercb[Bairro],mercado5)</f>
        <v>0</v>
      </c>
      <c r="AP26" s="1">
        <f>SUMIFS(super1[Qtde],super1[Item],tab_higiene[[#This Row],[Item]],super1[Bairro],mercado6)+SUMIFS(supercb[Qtde],supercb[Item],tab_higiene[[#This Row],[Item]],supercb[Bairro],mercado6)</f>
        <v>0</v>
      </c>
      <c r="AQ26" s="1">
        <f>SUMIFS(super1[Qtde],super1[Item],tab_higiene[[#This Row],[Item]],super1[Bairro],mercado7)+SUMIFS(supercb[Qtde],supercb[Item],tab_higiene[[#This Row],[Item]],supercb[Bairro],mercado7)</f>
        <v>0</v>
      </c>
      <c r="AR26" s="1">
        <f>SUMIFS(super1[Qtde],super1[Item],tab_higiene[[#This Row],[Item]],super1[Bairro],mercado8)+SUMIFS(supercb[Qtde],supercb[Item],tab_higiene[[#This Row],[Item]],supercb[Bairro],mercado8)</f>
        <v>0</v>
      </c>
      <c r="AS26" s="1">
        <f>SUMIFS(super1[Qtde],super1[Item],tab_higiene[[#This Row],[Item]],super1[Bairro],mercado9)+SUMIFS(supercb[Qtde],supercb[Item],tab_higiene[[#This Row],[Item]],supercb[Bairro],mercado9)</f>
        <v>0</v>
      </c>
      <c r="AT26" s="1">
        <f>SUMIFS(super1[Qtde],super1[Item],tab_higiene[[#This Row],[Item]],super1[Bairro],mercado10)+SUMIFS(supercb[Qtde],supercb[Item],tab_higiene[[#This Row],[Item]],supercb[Bairro],mercado10)</f>
        <v>0</v>
      </c>
      <c r="AU26" s="1">
        <f>SUMIFS(super1[Qtde],super1[Item],tab_higiene[[#This Row],[Item]],super1[Bairro],mercado11)+SUMIFS(supercb[Qtde],supercb[Item],tab_higiene[[#This Row],[Item]],supercb[Bairro],mercado11)</f>
        <v>0</v>
      </c>
      <c r="AV26" s="1">
        <f>SUMIFS(super1[Qtde],super1[Item],tab_higiene[[#This Row],[Item]],super1[Bairro],mercado12)+SUMIFS(supercb[Qtde],supercb[Item],tab_higiene[[#This Row],[Item]],supercb[Bairro],mercado12)</f>
        <v>0</v>
      </c>
      <c r="AW26" s="1">
        <f>SUMIFS(super1[Qtde],super1[Item],tab_higiene[[#This Row],[Item]],super1[Bairro],mercado13)+SUMIFS(supercb[Qtde],supercb[Item],tab_higiene[[#This Row],[Item]],supercb[Bairro],mercado13)</f>
        <v>0</v>
      </c>
      <c r="AX26" s="1">
        <f>SUMIFS(super1[Qtde],super1[Item],tab_higiene[[#This Row],[Item]],super1[Bairro],mercado14)+SUMIFS(supercb[Qtde],supercb[Item],tab_higiene[[#This Row],[Item]],supercb[Bairro],mercado14)</f>
        <v>0</v>
      </c>
      <c r="AY26" s="1">
        <f>SUMIFS(super1[Qtde],super1[Item],tab_higiene[[#This Row],[Item]],super1[Bairro],mercado15)+SUMIFS(supercb[Qtde],supercb[Item],tab_higiene[[#This Row],[Item]],supercb[Bairro],mercado15)</f>
        <v>0</v>
      </c>
      <c r="AZ26" s="1">
        <f>SUMIFS(super1[Qtde],super1[Item],tab_higiene[[#This Row],[Item]],super1[Bairro],mercado16)+SUMIFS(supercb[Qtde],supercb[Item],tab_higiene[[#This Row],[Item]],supercb[Bairro],mercado16)</f>
        <v>0</v>
      </c>
      <c r="BA26" s="1">
        <f>SUMIFS(super1[Qtde],super1[Item],tab_higiene[[#This Row],[Item]],super1[Bairro],mercado17)+SUMIFS(supercb[Qtde],supercb[Item],tab_higiene[[#This Row],[Item]],supercb[Bairro],mercado17)</f>
        <v>0</v>
      </c>
      <c r="BB26" s="1">
        <f>SUMIFS(super1[Qtde],super1[Item],tab_higiene[[#This Row],[Item]],super1[Bairro],mercado18)+SUMIFS(supercb[Qtde],supercb[Item],tab_higiene[[#This Row],[Item]],supercb[Bairro],mercado18)</f>
        <v>0</v>
      </c>
      <c r="BC26" s="1">
        <f>SUMIFS(super1[Qtde],super1[Item],tab_higiene[[#This Row],[Item]],super1[Bairro],extras)+SUMIFS(supercb[Qtde],supercb[Item],tab_higiene[[#This Row],[Item]],supercb[Bairro],extras)</f>
        <v>0</v>
      </c>
      <c r="BD26" s="1">
        <f t="shared" si="3"/>
        <v>0</v>
      </c>
      <c r="BE26" s="1">
        <f t="shared" si="4"/>
        <v>0</v>
      </c>
      <c r="BF26" s="26">
        <f t="shared" si="5"/>
        <v>0</v>
      </c>
      <c r="BI26" s="33" t="str">
        <f>tab_alimentos[[#This Row],[Item]]</f>
        <v>Atum (170g)</v>
      </c>
      <c r="BJ26" s="33">
        <f t="shared" si="6"/>
        <v>5</v>
      </c>
      <c r="BK26" s="33" t="str">
        <f t="shared" si="7"/>
        <v>Atum</v>
      </c>
      <c r="BL26" s="33">
        <f>tab_alimentos[[#This Row],[kg]]</f>
        <v>0</v>
      </c>
      <c r="BM26" s="37" t="s">
        <v>80</v>
      </c>
      <c r="BN26" s="35">
        <f t="shared" si="11"/>
        <v>0</v>
      </c>
      <c r="BP26" s="33" t="str">
        <f>tab_higiene[[#This Row],[Item]]</f>
        <v>Amaciante (500mL)</v>
      </c>
      <c r="BQ26" s="33">
        <f t="shared" si="8"/>
        <v>10</v>
      </c>
      <c r="BR26" s="33" t="str">
        <f t="shared" si="9"/>
        <v>Amaciante</v>
      </c>
      <c r="BS26" s="33">
        <f>higiene[[#This Row],[Quantidade]]</f>
        <v>5</v>
      </c>
      <c r="BT26" s="33">
        <f>tab_higiene[Qtde (tot)]</f>
        <v>0</v>
      </c>
      <c r="BU26" s="33">
        <f t="shared" si="12"/>
        <v>0</v>
      </c>
      <c r="BV26" s="37" t="s">
        <v>318</v>
      </c>
      <c r="BW26" s="33">
        <f t="shared" si="10"/>
        <v>358</v>
      </c>
    </row>
    <row r="27" spans="1:75" x14ac:dyDescent="0.25">
      <c r="A27" s="24">
        <f>tabMercados[[#This Row],[Supermercados]]</f>
        <v>0</v>
      </c>
      <c r="B27" s="29">
        <f>SUMPRODUCT(tab_alimentos[kg/embalagem],tab_alimentos[Qtde (ex)])</f>
        <v>0</v>
      </c>
      <c r="C27" s="29">
        <f>SUMPRODUCT(tab_alimentos[Preço],tab_alimentos[Qtde (ex)])</f>
        <v>0</v>
      </c>
      <c r="D27" s="29">
        <f>SUMPRODUCT(tab_higiene[kg/embalagem],tab_higiene[Qtde (ex)])</f>
        <v>0</v>
      </c>
      <c r="E27" s="29">
        <f>SUMPRODUCT(tab_higiene[Preço],tab_higiene[Qtde (ex)])</f>
        <v>0</v>
      </c>
      <c r="F27" s="29">
        <f t="shared" si="16"/>
        <v>0</v>
      </c>
      <c r="G27" s="29">
        <f t="shared" si="16"/>
        <v>0</v>
      </c>
      <c r="H27" s="24"/>
      <c r="I27" s="25" t="str">
        <f>alimentos[[#This Row],[Item]]</f>
        <v>Atum (325g)</v>
      </c>
      <c r="J27" s="1">
        <f>IFERROR(alimentos[[#This Row],[kg/embalagem]],0)</f>
        <v>0.32500000000000001</v>
      </c>
      <c r="K27" s="1">
        <f>IFERROR(alimentos[[#This Row],[Preço]],0)</f>
        <v>7.52</v>
      </c>
      <c r="L27" s="1">
        <f>SUMIFS(super1[Qtde],super1[Item],tab_alimentos[[#This Row],[Item]],super1[Bairro],mercado1)+SUMIFS(supercb[Qtde],supercb[Item],tab_alimentos[[#This Row],[Item]],supercb[Bairro],mercado1)</f>
        <v>0</v>
      </c>
      <c r="M27" s="1">
        <f>SUMIFS(super1[Qtde],super1[Item],tab_alimentos[[#This Row],[Item]],super1[Bairro],mercado2)+SUMIFS(supercb[Qtde],supercb[Item],tab_alimentos[[#This Row],[Item]],supercb[Bairro],mercado2)</f>
        <v>0</v>
      </c>
      <c r="N27" s="1">
        <f>SUMIFS(super1[Qtde],super1[Item],tab_alimentos[[#This Row],[Item]],super1[Bairro],mercado3)+SUMIFS(supercb[Qtde],supercb[Item],tab_alimentos[[#This Row],[Item]],supercb[Bairro],mercado3)</f>
        <v>0</v>
      </c>
      <c r="O27" s="1">
        <f>SUMIFS(super1[Qtde],super1[Item],tab_alimentos[[#This Row],[Item]],super1[Bairro],mercado4)+SUMIFS(supercb[Qtde],supercb[Item],tab_alimentos[[#This Row],[Item]],supercb[Bairro],mercado4)</f>
        <v>0</v>
      </c>
      <c r="P27" s="1">
        <f>SUMIFS(super1[Qtde],super1[Item],tab_alimentos[[#This Row],[Item]],super1[Bairro],mercado5)+SUMIFS(supercb[Qtde],supercb[Item],tab_alimentos[[#This Row],[Item]],supercb[Bairro],mercado5)</f>
        <v>0</v>
      </c>
      <c r="Q27" s="1">
        <f>SUMIFS(super1[Qtde],super1[Item],tab_alimentos[[#This Row],[Item]],super1[Bairro],mercado6)+SUMIFS(supercb[Qtde],supercb[Item],tab_alimentos[[#This Row],[Item]],supercb[Bairro],mercado6)</f>
        <v>0</v>
      </c>
      <c r="R27" s="1">
        <f>SUMIFS(super1[Qtde],super1[Item],tab_alimentos[[#This Row],[Item]],super1[Bairro],mercado7)+SUMIFS(supercb[Qtde],supercb[Item],tab_alimentos[[#This Row],[Item]],supercb[Bairro],mercado7)</f>
        <v>0</v>
      </c>
      <c r="S27" s="1">
        <f>SUMIFS(super1[Qtde],super1[Item],tab_alimentos[[#This Row],[Item]],super1[Bairro],mercado8)+SUMIFS(supercb[Qtde],supercb[Item],tab_alimentos[[#This Row],[Item]],supercb[Bairro],mercado8)</f>
        <v>0</v>
      </c>
      <c r="T27" s="1">
        <f>SUMIFS(super1[Qtde],super1[Item],tab_alimentos[[#This Row],[Item]],super1[Bairro],mercado9)+SUMIFS(supercb[Qtde],supercb[Item],tab_alimentos[[#This Row],[Item]],supercb[Bairro],mercado9)</f>
        <v>0</v>
      </c>
      <c r="U27" s="1">
        <f>SUMIFS(super1[Qtde],super1[Item],tab_alimentos[[#This Row],[Item]],super1[Bairro],mercado10)+SUMIFS(supercb[Qtde],supercb[Item],tab_alimentos[[#This Row],[Item]],supercb[Bairro],mercado10)</f>
        <v>0</v>
      </c>
      <c r="V27" s="1">
        <f>SUMIFS(super1[Qtde],super1[Item],tab_alimentos[[#This Row],[Item]],super1[Bairro],mercado11)+SUMIFS(supercb[Qtde],supercb[Item],tab_alimentos[[#This Row],[Item]],supercb[Bairro],mercado11)</f>
        <v>0</v>
      </c>
      <c r="W27" s="1">
        <f>SUMIFS(super1[Qtde],super1[Item],tab_alimentos[[#This Row],[Item]],super1[Bairro],mercado12)+SUMIFS(supercb[Qtde],supercb[Item],tab_alimentos[[#This Row],[Item]],supercb[Bairro],mercado12)</f>
        <v>0</v>
      </c>
      <c r="X27" s="1">
        <f>SUMIFS(super1[Qtde],super1[Item],tab_alimentos[[#This Row],[Item]],super1[Bairro],mercado13)+SUMIFS(supercb[Qtde],supercb[Item],tab_alimentos[[#This Row],[Item]],supercb[Bairro],mercado13)</f>
        <v>0</v>
      </c>
      <c r="Y27" s="1">
        <f>SUMIFS(super1[Qtde],super1[Item],tab_alimentos[[#This Row],[Item]],super1[Bairro],mercado14)+SUMIFS(supercb[Qtde],supercb[Item],tab_alimentos[[#This Row],[Item]],supercb[Bairro],mercado14)</f>
        <v>0</v>
      </c>
      <c r="Z27" s="1">
        <f>SUMIFS(super1[Qtde],super1[Item],tab_alimentos[[#This Row],[Item]],super1[Bairro],mercado15)+SUMIFS(supercb[Qtde],supercb[Item],tab_alimentos[[#This Row],[Item]],supercb[Bairro],mercado15)</f>
        <v>0</v>
      </c>
      <c r="AA27" s="1">
        <f>SUMIFS(super1[Qtde],super1[Item],tab_alimentos[[#This Row],[Item]],super1[Bairro],mercado16)+SUMIFS(supercb[Qtde],supercb[Item],tab_alimentos[[#This Row],[Item]],supercb[Bairro],mercado16)</f>
        <v>0</v>
      </c>
      <c r="AB27" s="1">
        <f>SUMIFS(super1[Qtde],super1[Item],tab_alimentos[[#This Row],[Item]],super1[Bairro],mercado17)+SUMIFS(supercb[Qtde],supercb[Item],tab_alimentos[[#This Row],[Item]],supercb[Bairro],mercado17)</f>
        <v>0</v>
      </c>
      <c r="AC27" s="1">
        <f>SUMIFS(super1[Qtde],super1[Item],tab_alimentos[[#This Row],[Item]],super1[Bairro],mercado18)+SUMIFS(supercb[Qtde],supercb[Item],tab_alimentos[[#This Row],[Item]],supercb[Bairro],mercado18)</f>
        <v>0</v>
      </c>
      <c r="AD27" s="1">
        <f>SUMIFS(super1[Qtde],super1[Item],tab_alimentos[[#This Row],[Item]],super1[Bairro],extras)+SUMIFS(supercb[Qtde],supercb[Item],tab_alimentos[[#This Row],[Item]],supercb[Bairro],extras)</f>
        <v>0</v>
      </c>
      <c r="AE27" s="1">
        <f t="shared" si="0"/>
        <v>0</v>
      </c>
      <c r="AF27" s="1">
        <f t="shared" si="1"/>
        <v>0</v>
      </c>
      <c r="AG27" s="3">
        <f t="shared" si="2"/>
        <v>0</v>
      </c>
      <c r="AH27" s="25" t="str">
        <f>higiene[[#This Row],[Item]]</f>
        <v>Amaciante (5L)</v>
      </c>
      <c r="AI27" s="1">
        <f>IFERROR(higiene[[#This Row],[Kg equivalente]],0)</f>
        <v>2.9935886671743681</v>
      </c>
      <c r="AJ27" s="1">
        <f>IFERROR(higiene[[#This Row],[Preço por produto]],0)</f>
        <v>9.9160000000000004</v>
      </c>
      <c r="AK27" s="1">
        <f>SUMIFS(super1[Qtde],super1[Item],tab_higiene[[#This Row],[Item]],super1[Bairro],mercado1)+SUMIFS(supercb[Qtde],supercb[Item],tab_higiene[[#This Row],[Item]],supercb[Bairro],mercado1)</f>
        <v>0</v>
      </c>
      <c r="AL27" s="1">
        <f>SUMIFS(super1[Qtde],super1[Item],tab_higiene[[#This Row],[Item]],super1[Bairro],mercado2)+SUMIFS(supercb[Qtde],supercb[Item],tab_higiene[[#This Row],[Item]],supercb[Bairro],mercado2)</f>
        <v>0</v>
      </c>
      <c r="AM27" s="1">
        <f>SUMIFS(super1[Qtde],super1[Item],tab_higiene[[#This Row],[Item]],super1[Bairro],mercado3)+SUMIFS(supercb[Qtde],supercb[Item],tab_higiene[[#This Row],[Item]],supercb[Bairro],mercado3)</f>
        <v>0</v>
      </c>
      <c r="AN27" s="1">
        <f>SUMIFS(super1[Qtde],super1[Item],tab_higiene[[#This Row],[Item]],super1[Bairro],mercado4)+SUMIFS(supercb[Qtde],supercb[Item],tab_higiene[[#This Row],[Item]],supercb[Bairro],mercado4)</f>
        <v>0</v>
      </c>
      <c r="AO27" s="1">
        <f>SUMIFS(super1[Qtde],super1[Item],tab_higiene[[#This Row],[Item]],super1[Bairro],mercado5)+SUMIFS(supercb[Qtde],supercb[Item],tab_higiene[[#This Row],[Item]],supercb[Bairro],mercado5)</f>
        <v>0</v>
      </c>
      <c r="AP27" s="1">
        <f>SUMIFS(super1[Qtde],super1[Item],tab_higiene[[#This Row],[Item]],super1[Bairro],mercado6)+SUMIFS(supercb[Qtde],supercb[Item],tab_higiene[[#This Row],[Item]],supercb[Bairro],mercado6)</f>
        <v>0</v>
      </c>
      <c r="AQ27" s="1">
        <f>SUMIFS(super1[Qtde],super1[Item],tab_higiene[[#This Row],[Item]],super1[Bairro],mercado7)+SUMIFS(supercb[Qtde],supercb[Item],tab_higiene[[#This Row],[Item]],supercb[Bairro],mercado7)</f>
        <v>1</v>
      </c>
      <c r="AR27" s="1">
        <f>SUMIFS(super1[Qtde],super1[Item],tab_higiene[[#This Row],[Item]],super1[Bairro],mercado8)+SUMIFS(supercb[Qtde],supercb[Item],tab_higiene[[#This Row],[Item]],supercb[Bairro],mercado8)</f>
        <v>0</v>
      </c>
      <c r="AS27" s="1">
        <f>SUMIFS(super1[Qtde],super1[Item],tab_higiene[[#This Row],[Item]],super1[Bairro],mercado9)+SUMIFS(supercb[Qtde],supercb[Item],tab_higiene[[#This Row],[Item]],supercb[Bairro],mercado9)</f>
        <v>0</v>
      </c>
      <c r="AT27" s="1">
        <f>SUMIFS(super1[Qtde],super1[Item],tab_higiene[[#This Row],[Item]],super1[Bairro],mercado10)+SUMIFS(supercb[Qtde],supercb[Item],tab_higiene[[#This Row],[Item]],supercb[Bairro],mercado10)</f>
        <v>1</v>
      </c>
      <c r="AU27" s="1">
        <f>SUMIFS(super1[Qtde],super1[Item],tab_higiene[[#This Row],[Item]],super1[Bairro],mercado11)+SUMIFS(supercb[Qtde],supercb[Item],tab_higiene[[#This Row],[Item]],supercb[Bairro],mercado11)</f>
        <v>0</v>
      </c>
      <c r="AV27" s="1">
        <f>SUMIFS(super1[Qtde],super1[Item],tab_higiene[[#This Row],[Item]],super1[Bairro],mercado12)+SUMIFS(supercb[Qtde],supercb[Item],tab_higiene[[#This Row],[Item]],supercb[Bairro],mercado12)</f>
        <v>0</v>
      </c>
      <c r="AW27" s="1">
        <f>SUMIFS(super1[Qtde],super1[Item],tab_higiene[[#This Row],[Item]],super1[Bairro],mercado13)+SUMIFS(supercb[Qtde],supercb[Item],tab_higiene[[#This Row],[Item]],supercb[Bairro],mercado13)</f>
        <v>0</v>
      </c>
      <c r="AX27" s="1">
        <f>SUMIFS(super1[Qtde],super1[Item],tab_higiene[[#This Row],[Item]],super1[Bairro],mercado14)+SUMIFS(supercb[Qtde],supercb[Item],tab_higiene[[#This Row],[Item]],supercb[Bairro],mercado14)</f>
        <v>0</v>
      </c>
      <c r="AY27" s="1">
        <f>SUMIFS(super1[Qtde],super1[Item],tab_higiene[[#This Row],[Item]],super1[Bairro],mercado15)+SUMIFS(supercb[Qtde],supercb[Item],tab_higiene[[#This Row],[Item]],supercb[Bairro],mercado15)</f>
        <v>0</v>
      </c>
      <c r="AZ27" s="1">
        <f>SUMIFS(super1[Qtde],super1[Item],tab_higiene[[#This Row],[Item]],super1[Bairro],mercado16)+SUMIFS(supercb[Qtde],supercb[Item],tab_higiene[[#This Row],[Item]],supercb[Bairro],mercado16)</f>
        <v>0</v>
      </c>
      <c r="BA27" s="1">
        <f>SUMIFS(super1[Qtde],super1[Item],tab_higiene[[#This Row],[Item]],super1[Bairro],mercado17)+SUMIFS(supercb[Qtde],supercb[Item],tab_higiene[[#This Row],[Item]],supercb[Bairro],mercado17)</f>
        <v>0</v>
      </c>
      <c r="BB27" s="1">
        <f>SUMIFS(super1[Qtde],super1[Item],tab_higiene[[#This Row],[Item]],super1[Bairro],mercado18)+SUMIFS(supercb[Qtde],supercb[Item],tab_higiene[[#This Row],[Item]],supercb[Bairro],mercado18)</f>
        <v>0</v>
      </c>
      <c r="BC27" s="1">
        <f>SUMIFS(super1[Qtde],super1[Item],tab_higiene[[#This Row],[Item]],super1[Bairro],extras)+SUMIFS(supercb[Qtde],supercb[Item],tab_higiene[[#This Row],[Item]],supercb[Bairro],extras)</f>
        <v>0</v>
      </c>
      <c r="BD27" s="1">
        <f t="shared" si="3"/>
        <v>2</v>
      </c>
      <c r="BE27" s="1">
        <f t="shared" si="4"/>
        <v>19.832000000000001</v>
      </c>
      <c r="BF27" s="26">
        <f t="shared" si="5"/>
        <v>5.9871773343487362</v>
      </c>
      <c r="BI27" s="33" t="str">
        <f>tab_alimentos[[#This Row],[Item]]</f>
        <v>Atum (325g)</v>
      </c>
      <c r="BJ27" s="33">
        <f t="shared" si="6"/>
        <v>5</v>
      </c>
      <c r="BK27" s="33" t="str">
        <f t="shared" si="7"/>
        <v>Atum</v>
      </c>
      <c r="BL27" s="33">
        <f>tab_alimentos[[#This Row],[kg]]</f>
        <v>0</v>
      </c>
      <c r="BM27" s="37" t="s">
        <v>280</v>
      </c>
      <c r="BN27" s="35">
        <f t="shared" si="11"/>
        <v>0</v>
      </c>
      <c r="BP27" s="33" t="str">
        <f>tab_higiene[[#This Row],[Item]]</f>
        <v>Amaciante (5L)</v>
      </c>
      <c r="BQ27" s="33">
        <f t="shared" si="8"/>
        <v>10</v>
      </c>
      <c r="BR27" s="33" t="str">
        <f t="shared" si="9"/>
        <v>Amaciante</v>
      </c>
      <c r="BS27" s="33">
        <f>higiene[[#This Row],[Quantidade]]</f>
        <v>0.1</v>
      </c>
      <c r="BT27" s="33">
        <f>tab_higiene[Qtde (tot)]</f>
        <v>2</v>
      </c>
      <c r="BU27" s="33">
        <f t="shared" si="12"/>
        <v>0.2</v>
      </c>
      <c r="BV27" s="37" t="s">
        <v>175</v>
      </c>
      <c r="BW27" s="33">
        <f t="shared" si="10"/>
        <v>120</v>
      </c>
    </row>
    <row r="28" spans="1:75" x14ac:dyDescent="0.25">
      <c r="I28" s="25" t="str">
        <f>alimentos[[#This Row],[Item]]</f>
        <v>Aveia (200g)</v>
      </c>
      <c r="J28" s="1">
        <f>IFERROR(alimentos[[#This Row],[kg/embalagem]],0)</f>
        <v>0.2</v>
      </c>
      <c r="K28" s="1">
        <f>IFERROR(alimentos[[#This Row],[Preço]],0)</f>
        <v>2.726</v>
      </c>
      <c r="L28" s="1">
        <f>SUMIFS(super1[Qtde],super1[Item],tab_alimentos[[#This Row],[Item]],super1[Bairro],mercado1)+SUMIFS(supercb[Qtde],supercb[Item],tab_alimentos[[#This Row],[Item]],supercb[Bairro],mercado1)</f>
        <v>0</v>
      </c>
      <c r="M28" s="1">
        <f>SUMIFS(super1[Qtde],super1[Item],tab_alimentos[[#This Row],[Item]],super1[Bairro],mercado2)+SUMIFS(supercb[Qtde],supercb[Item],tab_alimentos[[#This Row],[Item]],supercb[Bairro],mercado2)</f>
        <v>0</v>
      </c>
      <c r="N28" s="1">
        <f>SUMIFS(super1[Qtde],super1[Item],tab_alimentos[[#This Row],[Item]],super1[Bairro],mercado3)+SUMIFS(supercb[Qtde],supercb[Item],tab_alimentos[[#This Row],[Item]],supercb[Bairro],mercado3)</f>
        <v>0</v>
      </c>
      <c r="O28" s="1">
        <f>SUMIFS(super1[Qtde],super1[Item],tab_alimentos[[#This Row],[Item]],super1[Bairro],mercado4)+SUMIFS(supercb[Qtde],supercb[Item],tab_alimentos[[#This Row],[Item]],supercb[Bairro],mercado4)</f>
        <v>0</v>
      </c>
      <c r="P28" s="1">
        <f>SUMIFS(super1[Qtde],super1[Item],tab_alimentos[[#This Row],[Item]],super1[Bairro],mercado5)+SUMIFS(supercb[Qtde],supercb[Item],tab_alimentos[[#This Row],[Item]],supercb[Bairro],mercado5)</f>
        <v>0</v>
      </c>
      <c r="Q28" s="1">
        <f>SUMIFS(super1[Qtde],super1[Item],tab_alimentos[[#This Row],[Item]],super1[Bairro],mercado6)+SUMIFS(supercb[Qtde],supercb[Item],tab_alimentos[[#This Row],[Item]],supercb[Bairro],mercado6)</f>
        <v>0</v>
      </c>
      <c r="R28" s="1">
        <f>SUMIFS(super1[Qtde],super1[Item],tab_alimentos[[#This Row],[Item]],super1[Bairro],mercado7)+SUMIFS(supercb[Qtde],supercb[Item],tab_alimentos[[#This Row],[Item]],supercb[Bairro],mercado7)</f>
        <v>0</v>
      </c>
      <c r="S28" s="1">
        <f>SUMIFS(super1[Qtde],super1[Item],tab_alimentos[[#This Row],[Item]],super1[Bairro],mercado8)+SUMIFS(supercb[Qtde],supercb[Item],tab_alimentos[[#This Row],[Item]],supercb[Bairro],mercado8)</f>
        <v>0</v>
      </c>
      <c r="T28" s="1">
        <f>SUMIFS(super1[Qtde],super1[Item],tab_alimentos[[#This Row],[Item]],super1[Bairro],mercado9)+SUMIFS(supercb[Qtde],supercb[Item],tab_alimentos[[#This Row],[Item]],supercb[Bairro],mercado9)</f>
        <v>0</v>
      </c>
      <c r="U28" s="1">
        <f>SUMIFS(super1[Qtde],super1[Item],tab_alimentos[[#This Row],[Item]],super1[Bairro],mercado10)+SUMIFS(supercb[Qtde],supercb[Item],tab_alimentos[[#This Row],[Item]],supercb[Bairro],mercado10)</f>
        <v>0</v>
      </c>
      <c r="V28" s="1">
        <f>SUMIFS(super1[Qtde],super1[Item],tab_alimentos[[#This Row],[Item]],super1[Bairro],mercado11)+SUMIFS(supercb[Qtde],supercb[Item],tab_alimentos[[#This Row],[Item]],supercb[Bairro],mercado11)</f>
        <v>0</v>
      </c>
      <c r="W28" s="1">
        <f>SUMIFS(super1[Qtde],super1[Item],tab_alimentos[[#This Row],[Item]],super1[Bairro],mercado12)+SUMIFS(supercb[Qtde],supercb[Item],tab_alimentos[[#This Row],[Item]],supercb[Bairro],mercado12)</f>
        <v>0</v>
      </c>
      <c r="X28" s="1">
        <f>SUMIFS(super1[Qtde],super1[Item],tab_alimentos[[#This Row],[Item]],super1[Bairro],mercado13)+SUMIFS(supercb[Qtde],supercb[Item],tab_alimentos[[#This Row],[Item]],supercb[Bairro],mercado13)</f>
        <v>0</v>
      </c>
      <c r="Y28" s="1">
        <f>SUMIFS(super1[Qtde],super1[Item],tab_alimentos[[#This Row],[Item]],super1[Bairro],mercado14)+SUMIFS(supercb[Qtde],supercb[Item],tab_alimentos[[#This Row],[Item]],supercb[Bairro],mercado14)</f>
        <v>0</v>
      </c>
      <c r="Z28" s="1">
        <f>SUMIFS(super1[Qtde],super1[Item],tab_alimentos[[#This Row],[Item]],super1[Bairro],mercado15)+SUMIFS(supercb[Qtde],supercb[Item],tab_alimentos[[#This Row],[Item]],supercb[Bairro],mercado15)</f>
        <v>0</v>
      </c>
      <c r="AA28" s="1">
        <f>SUMIFS(super1[Qtde],super1[Item],tab_alimentos[[#This Row],[Item]],super1[Bairro],mercado16)+SUMIFS(supercb[Qtde],supercb[Item],tab_alimentos[[#This Row],[Item]],supercb[Bairro],mercado16)</f>
        <v>0</v>
      </c>
      <c r="AB28" s="1">
        <f>SUMIFS(super1[Qtde],super1[Item],tab_alimentos[[#This Row],[Item]],super1[Bairro],mercado17)+SUMIFS(supercb[Qtde],supercb[Item],tab_alimentos[[#This Row],[Item]],supercb[Bairro],mercado17)</f>
        <v>0</v>
      </c>
      <c r="AC28" s="1">
        <f>SUMIFS(super1[Qtde],super1[Item],tab_alimentos[[#This Row],[Item]],super1[Bairro],mercado18)+SUMIFS(supercb[Qtde],supercb[Item],tab_alimentos[[#This Row],[Item]],supercb[Bairro],mercado18)</f>
        <v>0</v>
      </c>
      <c r="AD28" s="1">
        <f>SUMIFS(super1[Qtde],super1[Item],tab_alimentos[[#This Row],[Item]],super1[Bairro],extras)+SUMIFS(supercb[Qtde],supercb[Item],tab_alimentos[[#This Row],[Item]],supercb[Bairro],extras)</f>
        <v>0</v>
      </c>
      <c r="AE28" s="1">
        <f t="shared" si="0"/>
        <v>0</v>
      </c>
      <c r="AF28" s="1">
        <f t="shared" si="1"/>
        <v>0</v>
      </c>
      <c r="AG28" s="3">
        <f t="shared" si="2"/>
        <v>0</v>
      </c>
      <c r="AH28" s="25" t="str">
        <f>higiene[[#This Row],[Item]]</f>
        <v>Amaciante (900ml)</v>
      </c>
      <c r="AI28" s="1">
        <f>IFERROR(higiene[[#This Row],[Kg equivalente]],0)</f>
        <v>2.4694993240708278</v>
      </c>
      <c r="AJ28" s="1">
        <f>IFERROR(higiene[[#This Row],[Preço por produto]],0)</f>
        <v>8.18</v>
      </c>
      <c r="AK28" s="1">
        <f>SUMIFS(super1[Qtde],super1[Item],tab_higiene[[#This Row],[Item]],super1[Bairro],mercado1)+SUMIFS(supercb[Qtde],supercb[Item],tab_higiene[[#This Row],[Item]],supercb[Bairro],mercado1)</f>
        <v>0</v>
      </c>
      <c r="AL28" s="1">
        <f>SUMIFS(super1[Qtde],super1[Item],tab_higiene[[#This Row],[Item]],super1[Bairro],mercado2)+SUMIFS(supercb[Qtde],supercb[Item],tab_higiene[[#This Row],[Item]],supercb[Bairro],mercado2)</f>
        <v>0</v>
      </c>
      <c r="AM28" s="1">
        <f>SUMIFS(super1[Qtde],super1[Item],tab_higiene[[#This Row],[Item]],super1[Bairro],mercado3)+SUMIFS(supercb[Qtde],supercb[Item],tab_higiene[[#This Row],[Item]],supercb[Bairro],mercado3)</f>
        <v>0</v>
      </c>
      <c r="AN28" s="1">
        <f>SUMIFS(super1[Qtde],super1[Item],tab_higiene[[#This Row],[Item]],super1[Bairro],mercado4)+SUMIFS(supercb[Qtde],supercb[Item],tab_higiene[[#This Row],[Item]],supercb[Bairro],mercado4)</f>
        <v>0</v>
      </c>
      <c r="AO28" s="1">
        <f>SUMIFS(super1[Qtde],super1[Item],tab_higiene[[#This Row],[Item]],super1[Bairro],mercado5)+SUMIFS(supercb[Qtde],supercb[Item],tab_higiene[[#This Row],[Item]],supercb[Bairro],mercado5)</f>
        <v>0</v>
      </c>
      <c r="AP28" s="1">
        <f>SUMIFS(super1[Qtde],super1[Item],tab_higiene[[#This Row],[Item]],super1[Bairro],mercado6)+SUMIFS(supercb[Qtde],supercb[Item],tab_higiene[[#This Row],[Item]],supercb[Bairro],mercado6)</f>
        <v>0</v>
      </c>
      <c r="AQ28" s="1">
        <f>SUMIFS(super1[Qtde],super1[Item],tab_higiene[[#This Row],[Item]],super1[Bairro],mercado7)+SUMIFS(supercb[Qtde],supercb[Item],tab_higiene[[#This Row],[Item]],supercb[Bairro],mercado7)</f>
        <v>0</v>
      </c>
      <c r="AR28" s="1">
        <f>SUMIFS(super1[Qtde],super1[Item],tab_higiene[[#This Row],[Item]],super1[Bairro],mercado8)+SUMIFS(supercb[Qtde],supercb[Item],tab_higiene[[#This Row],[Item]],supercb[Bairro],mercado8)</f>
        <v>0</v>
      </c>
      <c r="AS28" s="1">
        <f>SUMIFS(super1[Qtde],super1[Item],tab_higiene[[#This Row],[Item]],super1[Bairro],mercado9)+SUMIFS(supercb[Qtde],supercb[Item],tab_higiene[[#This Row],[Item]],supercb[Bairro],mercado9)</f>
        <v>0</v>
      </c>
      <c r="AT28" s="1">
        <f>SUMIFS(super1[Qtde],super1[Item],tab_higiene[[#This Row],[Item]],super1[Bairro],mercado10)+SUMIFS(supercb[Qtde],supercb[Item],tab_higiene[[#This Row],[Item]],supercb[Bairro],mercado10)</f>
        <v>0</v>
      </c>
      <c r="AU28" s="1">
        <f>SUMIFS(super1[Qtde],super1[Item],tab_higiene[[#This Row],[Item]],super1[Bairro],mercado11)+SUMIFS(supercb[Qtde],supercb[Item],tab_higiene[[#This Row],[Item]],supercb[Bairro],mercado11)</f>
        <v>0</v>
      </c>
      <c r="AV28" s="1">
        <f>SUMIFS(super1[Qtde],super1[Item],tab_higiene[[#This Row],[Item]],super1[Bairro],mercado12)+SUMIFS(supercb[Qtde],supercb[Item],tab_higiene[[#This Row],[Item]],supercb[Bairro],mercado12)</f>
        <v>0</v>
      </c>
      <c r="AW28" s="1">
        <f>SUMIFS(super1[Qtde],super1[Item],tab_higiene[[#This Row],[Item]],super1[Bairro],mercado13)+SUMIFS(supercb[Qtde],supercb[Item],tab_higiene[[#This Row],[Item]],supercb[Bairro],mercado13)</f>
        <v>0</v>
      </c>
      <c r="AX28" s="1">
        <f>SUMIFS(super1[Qtde],super1[Item],tab_higiene[[#This Row],[Item]],super1[Bairro],mercado14)+SUMIFS(supercb[Qtde],supercb[Item],tab_higiene[[#This Row],[Item]],supercb[Bairro],mercado14)</f>
        <v>0</v>
      </c>
      <c r="AY28" s="1">
        <f>SUMIFS(super1[Qtde],super1[Item],tab_higiene[[#This Row],[Item]],super1[Bairro],mercado15)+SUMIFS(supercb[Qtde],supercb[Item],tab_higiene[[#This Row],[Item]],supercb[Bairro],mercado15)</f>
        <v>0</v>
      </c>
      <c r="AZ28" s="1">
        <f>SUMIFS(super1[Qtde],super1[Item],tab_higiene[[#This Row],[Item]],super1[Bairro],mercado16)+SUMIFS(supercb[Qtde],supercb[Item],tab_higiene[[#This Row],[Item]],supercb[Bairro],mercado16)</f>
        <v>0</v>
      </c>
      <c r="BA28" s="1">
        <f>SUMIFS(super1[Qtde],super1[Item],tab_higiene[[#This Row],[Item]],super1[Bairro],mercado17)+SUMIFS(supercb[Qtde],supercb[Item],tab_higiene[[#This Row],[Item]],supercb[Bairro],mercado17)</f>
        <v>0</v>
      </c>
      <c r="BB28" s="1">
        <f>SUMIFS(super1[Qtde],super1[Item],tab_higiene[[#This Row],[Item]],super1[Bairro],mercado18)+SUMIFS(supercb[Qtde],supercb[Item],tab_higiene[[#This Row],[Item]],supercb[Bairro],mercado18)</f>
        <v>0</v>
      </c>
      <c r="BC28" s="1">
        <f>SUMIFS(super1[Qtde],super1[Item],tab_higiene[[#This Row],[Item]],super1[Bairro],extras)+SUMIFS(supercb[Qtde],supercb[Item],tab_higiene[[#This Row],[Item]],supercb[Bairro],extras)</f>
        <v>0</v>
      </c>
      <c r="BD28" s="1">
        <f t="shared" si="3"/>
        <v>0</v>
      </c>
      <c r="BE28" s="1">
        <f t="shared" si="4"/>
        <v>0</v>
      </c>
      <c r="BF28" s="26">
        <f t="shared" si="5"/>
        <v>0</v>
      </c>
      <c r="BI28" s="33" t="str">
        <f>tab_alimentos[[#This Row],[Item]]</f>
        <v>Aveia (200g)</v>
      </c>
      <c r="BJ28" s="33">
        <f t="shared" si="6"/>
        <v>6</v>
      </c>
      <c r="BK28" s="33" t="str">
        <f t="shared" si="7"/>
        <v>Aveia</v>
      </c>
      <c r="BL28" s="33">
        <f>tab_alimentos[[#This Row],[kg]]</f>
        <v>0</v>
      </c>
      <c r="BM28" s="37" t="s">
        <v>281</v>
      </c>
      <c r="BN28" s="35">
        <f t="shared" si="11"/>
        <v>0</v>
      </c>
      <c r="BP28" s="33" t="str">
        <f>tab_higiene[[#This Row],[Item]]</f>
        <v>Amaciante (900ml)</v>
      </c>
      <c r="BQ28" s="33">
        <f t="shared" si="8"/>
        <v>10</v>
      </c>
      <c r="BR28" s="33" t="str">
        <f t="shared" si="9"/>
        <v>Amaciante</v>
      </c>
      <c r="BS28" s="33">
        <f>higiene[[#This Row],[Quantidade]]</f>
        <v>2</v>
      </c>
      <c r="BT28" s="33">
        <f>tab_higiene[Qtde (tot)]</f>
        <v>0</v>
      </c>
      <c r="BU28" s="33">
        <f t="shared" si="12"/>
        <v>0</v>
      </c>
      <c r="BV28" s="37" t="s">
        <v>81</v>
      </c>
      <c r="BW28" s="33">
        <f t="shared" si="10"/>
        <v>0</v>
      </c>
    </row>
    <row r="29" spans="1:75" x14ac:dyDescent="0.25">
      <c r="A29" s="24" t="s">
        <v>244</v>
      </c>
      <c r="B29" s="29">
        <f t="shared" ref="B29:G29" si="17">SUM(B9:B27)</f>
        <v>4191.4250000000002</v>
      </c>
      <c r="C29" s="29">
        <f t="shared" si="17"/>
        <v>13883.727833333334</v>
      </c>
      <c r="D29" s="29">
        <f t="shared" si="17"/>
        <v>2670.9270956391315</v>
      </c>
      <c r="E29" s="29">
        <f t="shared" si="17"/>
        <v>8847.2118333333347</v>
      </c>
      <c r="F29" s="29">
        <f t="shared" si="17"/>
        <v>6862.3520956391303</v>
      </c>
      <c r="G29" s="29">
        <f t="shared" si="17"/>
        <v>22730.939666666669</v>
      </c>
      <c r="I29" s="25" t="str">
        <f>alimentos[[#This Row],[Item]]</f>
        <v>Aveia (500g)</v>
      </c>
      <c r="J29" s="1">
        <f>IFERROR(alimentos[[#This Row],[kg/embalagem]],0)</f>
        <v>0.5</v>
      </c>
      <c r="K29" s="1">
        <f>IFERROR(alimentos[[#This Row],[Preço]],0)</f>
        <v>7.6479999999999988</v>
      </c>
      <c r="L29" s="1">
        <f>SUMIFS(super1[Qtde],super1[Item],tab_alimentos[[#This Row],[Item]],super1[Bairro],mercado1)+SUMIFS(supercb[Qtde],supercb[Item],tab_alimentos[[#This Row],[Item]],supercb[Bairro],mercado1)</f>
        <v>0</v>
      </c>
      <c r="M29" s="1">
        <f>SUMIFS(super1[Qtde],super1[Item],tab_alimentos[[#This Row],[Item]],super1[Bairro],mercado2)+SUMIFS(supercb[Qtde],supercb[Item],tab_alimentos[[#This Row],[Item]],supercb[Bairro],mercado2)</f>
        <v>0</v>
      </c>
      <c r="N29" s="1">
        <f>SUMIFS(super1[Qtde],super1[Item],tab_alimentos[[#This Row],[Item]],super1[Bairro],mercado3)+SUMIFS(supercb[Qtde],supercb[Item],tab_alimentos[[#This Row],[Item]],supercb[Bairro],mercado3)</f>
        <v>0</v>
      </c>
      <c r="O29" s="1">
        <f>SUMIFS(super1[Qtde],super1[Item],tab_alimentos[[#This Row],[Item]],super1[Bairro],mercado4)+SUMIFS(supercb[Qtde],supercb[Item],tab_alimentos[[#This Row],[Item]],supercb[Bairro],mercado4)</f>
        <v>0</v>
      </c>
      <c r="P29" s="1">
        <f>SUMIFS(super1[Qtde],super1[Item],tab_alimentos[[#This Row],[Item]],super1[Bairro],mercado5)+SUMIFS(supercb[Qtde],supercb[Item],tab_alimentos[[#This Row],[Item]],supercb[Bairro],mercado5)</f>
        <v>0</v>
      </c>
      <c r="Q29" s="1">
        <f>SUMIFS(super1[Qtde],super1[Item],tab_alimentos[[#This Row],[Item]],super1[Bairro],mercado6)+SUMIFS(supercb[Qtde],supercb[Item],tab_alimentos[[#This Row],[Item]],supercb[Bairro],mercado6)</f>
        <v>0</v>
      </c>
      <c r="R29" s="1">
        <f>SUMIFS(super1[Qtde],super1[Item],tab_alimentos[[#This Row],[Item]],super1[Bairro],mercado7)+SUMIFS(supercb[Qtde],supercb[Item],tab_alimentos[[#This Row],[Item]],supercb[Bairro],mercado7)</f>
        <v>0</v>
      </c>
      <c r="S29" s="1">
        <f>SUMIFS(super1[Qtde],super1[Item],tab_alimentos[[#This Row],[Item]],super1[Bairro],mercado8)+SUMIFS(supercb[Qtde],supercb[Item],tab_alimentos[[#This Row],[Item]],supercb[Bairro],mercado8)</f>
        <v>0</v>
      </c>
      <c r="T29" s="1">
        <f>SUMIFS(super1[Qtde],super1[Item],tab_alimentos[[#This Row],[Item]],super1[Bairro],mercado9)+SUMIFS(supercb[Qtde],supercb[Item],tab_alimentos[[#This Row],[Item]],supercb[Bairro],mercado9)</f>
        <v>0</v>
      </c>
      <c r="U29" s="1">
        <f>SUMIFS(super1[Qtde],super1[Item],tab_alimentos[[#This Row],[Item]],super1[Bairro],mercado10)+SUMIFS(supercb[Qtde],supercb[Item],tab_alimentos[[#This Row],[Item]],supercb[Bairro],mercado10)</f>
        <v>0</v>
      </c>
      <c r="V29" s="1">
        <f>SUMIFS(super1[Qtde],super1[Item],tab_alimentos[[#This Row],[Item]],super1[Bairro],mercado11)+SUMIFS(supercb[Qtde],supercb[Item],tab_alimentos[[#This Row],[Item]],supercb[Bairro],mercado11)</f>
        <v>0</v>
      </c>
      <c r="W29" s="1">
        <f>SUMIFS(super1[Qtde],super1[Item],tab_alimentos[[#This Row],[Item]],super1[Bairro],mercado12)+SUMIFS(supercb[Qtde],supercb[Item],tab_alimentos[[#This Row],[Item]],supercb[Bairro],mercado12)</f>
        <v>0</v>
      </c>
      <c r="X29" s="1">
        <f>SUMIFS(super1[Qtde],super1[Item],tab_alimentos[[#This Row],[Item]],super1[Bairro],mercado13)+SUMIFS(supercb[Qtde],supercb[Item],tab_alimentos[[#This Row],[Item]],supercb[Bairro],mercado13)</f>
        <v>0</v>
      </c>
      <c r="Y29" s="1">
        <f>SUMIFS(super1[Qtde],super1[Item],tab_alimentos[[#This Row],[Item]],super1[Bairro],mercado14)+SUMIFS(supercb[Qtde],supercb[Item],tab_alimentos[[#This Row],[Item]],supercb[Bairro],mercado14)</f>
        <v>0</v>
      </c>
      <c r="Z29" s="1">
        <f>SUMIFS(super1[Qtde],super1[Item],tab_alimentos[[#This Row],[Item]],super1[Bairro],mercado15)+SUMIFS(supercb[Qtde],supercb[Item],tab_alimentos[[#This Row],[Item]],supercb[Bairro],mercado15)</f>
        <v>0</v>
      </c>
      <c r="AA29" s="1">
        <f>SUMIFS(super1[Qtde],super1[Item],tab_alimentos[[#This Row],[Item]],super1[Bairro],mercado16)+SUMIFS(supercb[Qtde],supercb[Item],tab_alimentos[[#This Row],[Item]],supercb[Bairro],mercado16)</f>
        <v>0</v>
      </c>
      <c r="AB29" s="1">
        <f>SUMIFS(super1[Qtde],super1[Item],tab_alimentos[[#This Row],[Item]],super1[Bairro],mercado17)+SUMIFS(supercb[Qtde],supercb[Item],tab_alimentos[[#This Row],[Item]],supercb[Bairro],mercado17)</f>
        <v>0</v>
      </c>
      <c r="AC29" s="1">
        <f>SUMIFS(super1[Qtde],super1[Item],tab_alimentos[[#This Row],[Item]],super1[Bairro],mercado18)+SUMIFS(supercb[Qtde],supercb[Item],tab_alimentos[[#This Row],[Item]],supercb[Bairro],mercado18)</f>
        <v>0</v>
      </c>
      <c r="AD29" s="1">
        <f>SUMIFS(super1[Qtde],super1[Item],tab_alimentos[[#This Row],[Item]],super1[Bairro],extras)+SUMIFS(supercb[Qtde],supercb[Item],tab_alimentos[[#This Row],[Item]],supercb[Bairro],extras)</f>
        <v>0</v>
      </c>
      <c r="AE29" s="1">
        <f t="shared" si="0"/>
        <v>0</v>
      </c>
      <c r="AF29" s="1">
        <f t="shared" si="1"/>
        <v>0</v>
      </c>
      <c r="AG29" s="3">
        <f t="shared" si="2"/>
        <v>0</v>
      </c>
      <c r="AH29" s="25" t="str">
        <f>higiene[[#This Row],[Item]]</f>
        <v>Amaciante(1L)</v>
      </c>
      <c r="AI29" s="1">
        <f>IFERROR(higiene[[#This Row],[Kg equivalente]],0)</f>
        <v>5.5850534835342689</v>
      </c>
      <c r="AJ29" s="1">
        <f>IFERROR(higiene[[#This Row],[Preço por produto]],0)</f>
        <v>18.5</v>
      </c>
      <c r="AK29" s="1">
        <f>SUMIFS(super1[Qtde],super1[Item],tab_higiene[[#This Row],[Item]],super1[Bairro],mercado1)+SUMIFS(supercb[Qtde],supercb[Item],tab_higiene[[#This Row],[Item]],supercb[Bairro],mercado1)</f>
        <v>0</v>
      </c>
      <c r="AL29" s="1">
        <f>SUMIFS(super1[Qtde],super1[Item],tab_higiene[[#This Row],[Item]],super1[Bairro],mercado2)+SUMIFS(supercb[Qtde],supercb[Item],tab_higiene[[#This Row],[Item]],supercb[Bairro],mercado2)</f>
        <v>0</v>
      </c>
      <c r="AM29" s="1">
        <f>SUMIFS(super1[Qtde],super1[Item],tab_higiene[[#This Row],[Item]],super1[Bairro],mercado3)+SUMIFS(supercb[Qtde],supercb[Item],tab_higiene[[#This Row],[Item]],supercb[Bairro],mercado3)</f>
        <v>0</v>
      </c>
      <c r="AN29" s="1">
        <f>SUMIFS(super1[Qtde],super1[Item],tab_higiene[[#This Row],[Item]],super1[Bairro],mercado4)+SUMIFS(supercb[Qtde],supercb[Item],tab_higiene[[#This Row],[Item]],supercb[Bairro],mercado4)</f>
        <v>0</v>
      </c>
      <c r="AO29" s="1">
        <f>SUMIFS(super1[Qtde],super1[Item],tab_higiene[[#This Row],[Item]],super1[Bairro],mercado5)+SUMIFS(supercb[Qtde],supercb[Item],tab_higiene[[#This Row],[Item]],supercb[Bairro],mercado5)</f>
        <v>0</v>
      </c>
      <c r="AP29" s="1">
        <f>SUMIFS(super1[Qtde],super1[Item],tab_higiene[[#This Row],[Item]],super1[Bairro],mercado6)+SUMIFS(supercb[Qtde],supercb[Item],tab_higiene[[#This Row],[Item]],supercb[Bairro],mercado6)</f>
        <v>0</v>
      </c>
      <c r="AQ29" s="1">
        <f>SUMIFS(super1[Qtde],super1[Item],tab_higiene[[#This Row],[Item]],super1[Bairro],mercado7)+SUMIFS(supercb[Qtde],supercb[Item],tab_higiene[[#This Row],[Item]],supercb[Bairro],mercado7)</f>
        <v>0</v>
      </c>
      <c r="AR29" s="1">
        <f>SUMIFS(super1[Qtde],super1[Item],tab_higiene[[#This Row],[Item]],super1[Bairro],mercado8)+SUMIFS(supercb[Qtde],supercb[Item],tab_higiene[[#This Row],[Item]],supercb[Bairro],mercado8)</f>
        <v>0</v>
      </c>
      <c r="AS29" s="1">
        <f>SUMIFS(super1[Qtde],super1[Item],tab_higiene[[#This Row],[Item]],super1[Bairro],mercado9)+SUMIFS(supercb[Qtde],supercb[Item],tab_higiene[[#This Row],[Item]],supercb[Bairro],mercado9)</f>
        <v>0</v>
      </c>
      <c r="AT29" s="1">
        <f>SUMIFS(super1[Qtde],super1[Item],tab_higiene[[#This Row],[Item]],super1[Bairro],mercado10)+SUMIFS(supercb[Qtde],supercb[Item],tab_higiene[[#This Row],[Item]],supercb[Bairro],mercado10)</f>
        <v>0</v>
      </c>
      <c r="AU29" s="1">
        <f>SUMIFS(super1[Qtde],super1[Item],tab_higiene[[#This Row],[Item]],super1[Bairro],mercado11)+SUMIFS(supercb[Qtde],supercb[Item],tab_higiene[[#This Row],[Item]],supercb[Bairro],mercado11)</f>
        <v>0</v>
      </c>
      <c r="AV29" s="1">
        <f>SUMIFS(super1[Qtde],super1[Item],tab_higiene[[#This Row],[Item]],super1[Bairro],mercado12)+SUMIFS(supercb[Qtde],supercb[Item],tab_higiene[[#This Row],[Item]],supercb[Bairro],mercado12)</f>
        <v>0</v>
      </c>
      <c r="AW29" s="1">
        <f>SUMIFS(super1[Qtde],super1[Item],tab_higiene[[#This Row],[Item]],super1[Bairro],mercado13)+SUMIFS(supercb[Qtde],supercb[Item],tab_higiene[[#This Row],[Item]],supercb[Bairro],mercado13)</f>
        <v>0</v>
      </c>
      <c r="AX29" s="1">
        <f>SUMIFS(super1[Qtde],super1[Item],tab_higiene[[#This Row],[Item]],super1[Bairro],mercado14)+SUMIFS(supercb[Qtde],supercb[Item],tab_higiene[[#This Row],[Item]],supercb[Bairro],mercado14)</f>
        <v>0</v>
      </c>
      <c r="AY29" s="1">
        <f>SUMIFS(super1[Qtde],super1[Item],tab_higiene[[#This Row],[Item]],super1[Bairro],mercado15)+SUMIFS(supercb[Qtde],supercb[Item],tab_higiene[[#This Row],[Item]],supercb[Bairro],mercado15)</f>
        <v>0</v>
      </c>
      <c r="AZ29" s="1">
        <f>SUMIFS(super1[Qtde],super1[Item],tab_higiene[[#This Row],[Item]],super1[Bairro],mercado16)+SUMIFS(supercb[Qtde],supercb[Item],tab_higiene[[#This Row],[Item]],supercb[Bairro],mercado16)</f>
        <v>0</v>
      </c>
      <c r="BA29" s="1">
        <f>SUMIFS(super1[Qtde],super1[Item],tab_higiene[[#This Row],[Item]],super1[Bairro],mercado17)+SUMIFS(supercb[Qtde],supercb[Item],tab_higiene[[#This Row],[Item]],supercb[Bairro],mercado17)</f>
        <v>0</v>
      </c>
      <c r="BB29" s="1">
        <f>SUMIFS(super1[Qtde],super1[Item],tab_higiene[[#This Row],[Item]],super1[Bairro],mercado18)+SUMIFS(supercb[Qtde],supercb[Item],tab_higiene[[#This Row],[Item]],supercb[Bairro],mercado18)</f>
        <v>0</v>
      </c>
      <c r="BC29" s="1">
        <f>SUMIFS(super1[Qtde],super1[Item],tab_higiene[[#This Row],[Item]],super1[Bairro],extras)+SUMIFS(supercb[Qtde],supercb[Item],tab_higiene[[#This Row],[Item]],supercb[Bairro],extras)</f>
        <v>0</v>
      </c>
      <c r="BD29" s="1">
        <f t="shared" si="3"/>
        <v>0</v>
      </c>
      <c r="BE29" s="1">
        <f t="shared" si="4"/>
        <v>0</v>
      </c>
      <c r="BF29" s="26">
        <f t="shared" si="5"/>
        <v>0</v>
      </c>
      <c r="BI29" s="33" t="str">
        <f>tab_alimentos[[#This Row],[Item]]</f>
        <v>Aveia (500g)</v>
      </c>
      <c r="BJ29" s="33">
        <f t="shared" si="6"/>
        <v>6</v>
      </c>
      <c r="BK29" s="33" t="str">
        <f t="shared" si="7"/>
        <v>Aveia</v>
      </c>
      <c r="BL29" s="33">
        <f>tab_alimentos[[#This Row],[kg]]</f>
        <v>0</v>
      </c>
      <c r="BM29" s="37" t="s">
        <v>282</v>
      </c>
      <c r="BN29" s="35">
        <f t="shared" si="11"/>
        <v>0</v>
      </c>
      <c r="BP29" s="33" t="str">
        <f>tab_higiene[[#This Row],[Item]]</f>
        <v>Amaciante(1L)</v>
      </c>
      <c r="BQ29" s="33">
        <f t="shared" si="8"/>
        <v>0</v>
      </c>
      <c r="BR29" s="33" t="str">
        <f t="shared" si="9"/>
        <v>Amaciante(1L)</v>
      </c>
      <c r="BS29" s="33">
        <f>higiene[[#This Row],[Quantidade]]</f>
        <v>0</v>
      </c>
      <c r="BT29" s="33">
        <f>tab_higiene[Qtde (tot)]</f>
        <v>0</v>
      </c>
      <c r="BU29" s="33">
        <f t="shared" si="12"/>
        <v>0</v>
      </c>
      <c r="BV29" s="37" t="s">
        <v>319</v>
      </c>
      <c r="BW29" s="33">
        <f t="shared" si="10"/>
        <v>402</v>
      </c>
    </row>
    <row r="30" spans="1:75" x14ac:dyDescent="0.25">
      <c r="I30" s="25" t="str">
        <f>alimentos[[#This Row],[Item]]</f>
        <v>Azeite (200mL)</v>
      </c>
      <c r="J30" s="1">
        <f>IFERROR(alimentos[[#This Row],[kg/embalagem]],0)</f>
        <v>0.2</v>
      </c>
      <c r="K30" s="1">
        <f>IFERROR(alimentos[[#This Row],[Preço]],0)</f>
        <v>9.0960000000000001</v>
      </c>
      <c r="L30" s="1">
        <f>SUMIFS(super1[Qtde],super1[Item],tab_alimentos[[#This Row],[Item]],super1[Bairro],mercado1)+SUMIFS(supercb[Qtde],supercb[Item],tab_alimentos[[#This Row],[Item]],supercb[Bairro],mercado1)</f>
        <v>0</v>
      </c>
      <c r="M30" s="1">
        <f>SUMIFS(super1[Qtde],super1[Item],tab_alimentos[[#This Row],[Item]],super1[Bairro],mercado2)+SUMIFS(supercb[Qtde],supercb[Item],tab_alimentos[[#This Row],[Item]],supercb[Bairro],mercado2)</f>
        <v>0</v>
      </c>
      <c r="N30" s="1">
        <f>SUMIFS(super1[Qtde],super1[Item],tab_alimentos[[#This Row],[Item]],super1[Bairro],mercado3)+SUMIFS(supercb[Qtde],supercb[Item],tab_alimentos[[#This Row],[Item]],supercb[Bairro],mercado3)</f>
        <v>0</v>
      </c>
      <c r="O30" s="1">
        <f>SUMIFS(super1[Qtde],super1[Item],tab_alimentos[[#This Row],[Item]],super1[Bairro],mercado4)+SUMIFS(supercb[Qtde],supercb[Item],tab_alimentos[[#This Row],[Item]],supercb[Bairro],mercado4)</f>
        <v>0</v>
      </c>
      <c r="P30" s="1">
        <f>SUMIFS(super1[Qtde],super1[Item],tab_alimentos[[#This Row],[Item]],super1[Bairro],mercado5)+SUMIFS(supercb[Qtde],supercb[Item],tab_alimentos[[#This Row],[Item]],supercb[Bairro],mercado5)</f>
        <v>0</v>
      </c>
      <c r="Q30" s="1">
        <f>SUMIFS(super1[Qtde],super1[Item],tab_alimentos[[#This Row],[Item]],super1[Bairro],mercado6)+SUMIFS(supercb[Qtde],supercb[Item],tab_alimentos[[#This Row],[Item]],supercb[Bairro],mercado6)</f>
        <v>0</v>
      </c>
      <c r="R30" s="1">
        <f>SUMIFS(super1[Qtde],super1[Item],tab_alimentos[[#This Row],[Item]],super1[Bairro],mercado7)+SUMIFS(supercb[Qtde],supercb[Item],tab_alimentos[[#This Row],[Item]],supercb[Bairro],mercado7)</f>
        <v>0</v>
      </c>
      <c r="S30" s="1">
        <f>SUMIFS(super1[Qtde],super1[Item],tab_alimentos[[#This Row],[Item]],super1[Bairro],mercado8)+SUMIFS(supercb[Qtde],supercb[Item],tab_alimentos[[#This Row],[Item]],supercb[Bairro],mercado8)</f>
        <v>0</v>
      </c>
      <c r="T30" s="1">
        <f>SUMIFS(super1[Qtde],super1[Item],tab_alimentos[[#This Row],[Item]],super1[Bairro],mercado9)+SUMIFS(supercb[Qtde],supercb[Item],tab_alimentos[[#This Row],[Item]],supercb[Bairro],mercado9)</f>
        <v>0</v>
      </c>
      <c r="U30" s="1">
        <f>SUMIFS(super1[Qtde],super1[Item],tab_alimentos[[#This Row],[Item]],super1[Bairro],mercado10)+SUMIFS(supercb[Qtde],supercb[Item],tab_alimentos[[#This Row],[Item]],supercb[Bairro],mercado10)</f>
        <v>0</v>
      </c>
      <c r="V30" s="1">
        <f>SUMIFS(super1[Qtde],super1[Item],tab_alimentos[[#This Row],[Item]],super1[Bairro],mercado11)+SUMIFS(supercb[Qtde],supercb[Item],tab_alimentos[[#This Row],[Item]],supercb[Bairro],mercado11)</f>
        <v>0</v>
      </c>
      <c r="W30" s="1">
        <f>SUMIFS(super1[Qtde],super1[Item],tab_alimentos[[#This Row],[Item]],super1[Bairro],mercado12)+SUMIFS(supercb[Qtde],supercb[Item],tab_alimentos[[#This Row],[Item]],supercb[Bairro],mercado12)</f>
        <v>0</v>
      </c>
      <c r="X30" s="1">
        <f>SUMIFS(super1[Qtde],super1[Item],tab_alimentos[[#This Row],[Item]],super1[Bairro],mercado13)+SUMIFS(supercb[Qtde],supercb[Item],tab_alimentos[[#This Row],[Item]],supercb[Bairro],mercado13)</f>
        <v>0</v>
      </c>
      <c r="Y30" s="1">
        <f>SUMIFS(super1[Qtde],super1[Item],tab_alimentos[[#This Row],[Item]],super1[Bairro],mercado14)+SUMIFS(supercb[Qtde],supercb[Item],tab_alimentos[[#This Row],[Item]],supercb[Bairro],mercado14)</f>
        <v>0</v>
      </c>
      <c r="Z30" s="1">
        <f>SUMIFS(super1[Qtde],super1[Item],tab_alimentos[[#This Row],[Item]],super1[Bairro],mercado15)+SUMIFS(supercb[Qtde],supercb[Item],tab_alimentos[[#This Row],[Item]],supercb[Bairro],mercado15)</f>
        <v>0</v>
      </c>
      <c r="AA30" s="1">
        <f>SUMIFS(super1[Qtde],super1[Item],tab_alimentos[[#This Row],[Item]],super1[Bairro],mercado16)+SUMIFS(supercb[Qtde],supercb[Item],tab_alimentos[[#This Row],[Item]],supercb[Bairro],mercado16)</f>
        <v>0</v>
      </c>
      <c r="AB30" s="1">
        <f>SUMIFS(super1[Qtde],super1[Item],tab_alimentos[[#This Row],[Item]],super1[Bairro],mercado17)+SUMIFS(supercb[Qtde],supercb[Item],tab_alimentos[[#This Row],[Item]],supercb[Bairro],mercado17)</f>
        <v>0</v>
      </c>
      <c r="AC30" s="1">
        <f>SUMIFS(super1[Qtde],super1[Item],tab_alimentos[[#This Row],[Item]],super1[Bairro],mercado18)+SUMIFS(supercb[Qtde],supercb[Item],tab_alimentos[[#This Row],[Item]],supercb[Bairro],mercado18)</f>
        <v>0</v>
      </c>
      <c r="AD30" s="1">
        <f>SUMIFS(super1[Qtde],super1[Item],tab_alimentos[[#This Row],[Item]],super1[Bairro],extras)+SUMIFS(supercb[Qtde],supercb[Item],tab_alimentos[[#This Row],[Item]],supercb[Bairro],extras)</f>
        <v>0</v>
      </c>
      <c r="AE30" s="1">
        <f t="shared" si="0"/>
        <v>0</v>
      </c>
      <c r="AF30" s="1">
        <f t="shared" si="1"/>
        <v>0</v>
      </c>
      <c r="AG30" s="3">
        <f t="shared" si="2"/>
        <v>0</v>
      </c>
      <c r="AH30" s="25" t="str">
        <f>higiene[[#This Row],[Item]]</f>
        <v>Amaciante(2L)</v>
      </c>
      <c r="AI30" s="1">
        <f>IFERROR(higiene[[#This Row],[Kg equivalente]],0)</f>
        <v>1.2045601837460396</v>
      </c>
      <c r="AJ30" s="1">
        <f>IFERROR(higiene[[#This Row],[Preço por produto]],0)</f>
        <v>3.99</v>
      </c>
      <c r="AK30" s="1">
        <f>SUMIFS(super1[Qtde],super1[Item],tab_higiene[[#This Row],[Item]],super1[Bairro],mercado1)+SUMIFS(supercb[Qtde],supercb[Item],tab_higiene[[#This Row],[Item]],supercb[Bairro],mercado1)</f>
        <v>0</v>
      </c>
      <c r="AL30" s="1">
        <f>SUMIFS(super1[Qtde],super1[Item],tab_higiene[[#This Row],[Item]],super1[Bairro],mercado2)+SUMIFS(supercb[Qtde],supercb[Item],tab_higiene[[#This Row],[Item]],supercb[Bairro],mercado2)</f>
        <v>0</v>
      </c>
      <c r="AM30" s="1">
        <f>SUMIFS(super1[Qtde],super1[Item],tab_higiene[[#This Row],[Item]],super1[Bairro],mercado3)+SUMIFS(supercb[Qtde],supercb[Item],tab_higiene[[#This Row],[Item]],supercb[Bairro],mercado3)</f>
        <v>0</v>
      </c>
      <c r="AN30" s="1">
        <f>SUMIFS(super1[Qtde],super1[Item],tab_higiene[[#This Row],[Item]],super1[Bairro],mercado4)+SUMIFS(supercb[Qtde],supercb[Item],tab_higiene[[#This Row],[Item]],supercb[Bairro],mercado4)</f>
        <v>0</v>
      </c>
      <c r="AO30" s="1">
        <f>SUMIFS(super1[Qtde],super1[Item],tab_higiene[[#This Row],[Item]],super1[Bairro],mercado5)+SUMIFS(supercb[Qtde],supercb[Item],tab_higiene[[#This Row],[Item]],supercb[Bairro],mercado5)</f>
        <v>0</v>
      </c>
      <c r="AP30" s="1">
        <f>SUMIFS(super1[Qtde],super1[Item],tab_higiene[[#This Row],[Item]],super1[Bairro],mercado6)+SUMIFS(supercb[Qtde],supercb[Item],tab_higiene[[#This Row],[Item]],supercb[Bairro],mercado6)</f>
        <v>0</v>
      </c>
      <c r="AQ30" s="1">
        <f>SUMIFS(super1[Qtde],super1[Item],tab_higiene[[#This Row],[Item]],super1[Bairro],mercado7)+SUMIFS(supercb[Qtde],supercb[Item],tab_higiene[[#This Row],[Item]],supercb[Bairro],mercado7)</f>
        <v>0</v>
      </c>
      <c r="AR30" s="1">
        <f>SUMIFS(super1[Qtde],super1[Item],tab_higiene[[#This Row],[Item]],super1[Bairro],mercado8)+SUMIFS(supercb[Qtde],supercb[Item],tab_higiene[[#This Row],[Item]],supercb[Bairro],mercado8)</f>
        <v>0</v>
      </c>
      <c r="AS30" s="1">
        <f>SUMIFS(super1[Qtde],super1[Item],tab_higiene[[#This Row],[Item]],super1[Bairro],mercado9)+SUMIFS(supercb[Qtde],supercb[Item],tab_higiene[[#This Row],[Item]],supercb[Bairro],mercado9)</f>
        <v>0</v>
      </c>
      <c r="AT30" s="1">
        <f>SUMIFS(super1[Qtde],super1[Item],tab_higiene[[#This Row],[Item]],super1[Bairro],mercado10)+SUMIFS(supercb[Qtde],supercb[Item],tab_higiene[[#This Row],[Item]],supercb[Bairro],mercado10)</f>
        <v>0</v>
      </c>
      <c r="AU30" s="1">
        <f>SUMIFS(super1[Qtde],super1[Item],tab_higiene[[#This Row],[Item]],super1[Bairro],mercado11)+SUMIFS(supercb[Qtde],supercb[Item],tab_higiene[[#This Row],[Item]],supercb[Bairro],mercado11)</f>
        <v>0</v>
      </c>
      <c r="AV30" s="1">
        <f>SUMIFS(super1[Qtde],super1[Item],tab_higiene[[#This Row],[Item]],super1[Bairro],mercado12)+SUMIFS(supercb[Qtde],supercb[Item],tab_higiene[[#This Row],[Item]],supercb[Bairro],mercado12)</f>
        <v>0</v>
      </c>
      <c r="AW30" s="1">
        <f>SUMIFS(super1[Qtde],super1[Item],tab_higiene[[#This Row],[Item]],super1[Bairro],mercado13)+SUMIFS(supercb[Qtde],supercb[Item],tab_higiene[[#This Row],[Item]],supercb[Bairro],mercado13)</f>
        <v>2</v>
      </c>
      <c r="AX30" s="1">
        <f>SUMIFS(super1[Qtde],super1[Item],tab_higiene[[#This Row],[Item]],super1[Bairro],mercado14)+SUMIFS(supercb[Qtde],supercb[Item],tab_higiene[[#This Row],[Item]],supercb[Bairro],mercado14)</f>
        <v>0</v>
      </c>
      <c r="AY30" s="1">
        <f>SUMIFS(super1[Qtde],super1[Item],tab_higiene[[#This Row],[Item]],super1[Bairro],mercado15)+SUMIFS(supercb[Qtde],supercb[Item],tab_higiene[[#This Row],[Item]],supercb[Bairro],mercado15)</f>
        <v>0</v>
      </c>
      <c r="AZ30" s="1">
        <f>SUMIFS(super1[Qtde],super1[Item],tab_higiene[[#This Row],[Item]],super1[Bairro],mercado16)+SUMIFS(supercb[Qtde],supercb[Item],tab_higiene[[#This Row],[Item]],supercb[Bairro],mercado16)</f>
        <v>0</v>
      </c>
      <c r="BA30" s="1">
        <f>SUMIFS(super1[Qtde],super1[Item],tab_higiene[[#This Row],[Item]],super1[Bairro],mercado17)+SUMIFS(supercb[Qtde],supercb[Item],tab_higiene[[#This Row],[Item]],supercb[Bairro],mercado17)</f>
        <v>0</v>
      </c>
      <c r="BB30" s="1">
        <f>SUMIFS(super1[Qtde],super1[Item],tab_higiene[[#This Row],[Item]],super1[Bairro],mercado18)+SUMIFS(supercb[Qtde],supercb[Item],tab_higiene[[#This Row],[Item]],supercb[Bairro],mercado18)</f>
        <v>0</v>
      </c>
      <c r="BC30" s="1">
        <f>SUMIFS(super1[Qtde],super1[Item],tab_higiene[[#This Row],[Item]],super1[Bairro],extras)+SUMIFS(supercb[Qtde],supercb[Item],tab_higiene[[#This Row],[Item]],supercb[Bairro],extras)</f>
        <v>0</v>
      </c>
      <c r="BD30" s="1">
        <f t="shared" si="3"/>
        <v>2</v>
      </c>
      <c r="BE30" s="1">
        <f t="shared" si="4"/>
        <v>7.98</v>
      </c>
      <c r="BF30" s="26">
        <f t="shared" si="5"/>
        <v>2.4091203674920791</v>
      </c>
      <c r="BI30" s="33" t="str">
        <f>tab_alimentos[[#This Row],[Item]]</f>
        <v>Azeite (200mL)</v>
      </c>
      <c r="BJ30" s="33">
        <f t="shared" si="6"/>
        <v>7</v>
      </c>
      <c r="BK30" s="33" t="str">
        <f t="shared" si="7"/>
        <v>Azeite</v>
      </c>
      <c r="BL30" s="33">
        <f>tab_alimentos[[#This Row],[kg]]</f>
        <v>0</v>
      </c>
      <c r="BM30" s="37" t="s">
        <v>81</v>
      </c>
      <c r="BN30" s="35">
        <f t="shared" si="11"/>
        <v>0</v>
      </c>
      <c r="BP30" s="33" t="str">
        <f>tab_higiene[[#This Row],[Item]]</f>
        <v>Amaciante(2L)</v>
      </c>
      <c r="BQ30" s="33">
        <f t="shared" si="8"/>
        <v>0</v>
      </c>
      <c r="BR30" s="33" t="str">
        <f t="shared" si="9"/>
        <v>Amaciante(2L)</v>
      </c>
      <c r="BS30" s="33" t="str">
        <f>higiene[[#This Row],[Quantidade]]</f>
        <v>x</v>
      </c>
      <c r="BT30" s="33">
        <f>tab_higiene[Qtde (tot)]</f>
        <v>2</v>
      </c>
      <c r="BU30" s="33" t="e">
        <f t="shared" si="12"/>
        <v>#VALUE!</v>
      </c>
      <c r="BV30" s="37" t="s">
        <v>320</v>
      </c>
      <c r="BW30" s="33">
        <f t="shared" si="10"/>
        <v>108.75</v>
      </c>
    </row>
    <row r="31" spans="1:75" x14ac:dyDescent="0.25">
      <c r="A31" s="87" t="s">
        <v>248</v>
      </c>
      <c r="B31" s="87"/>
      <c r="C31" s="87"/>
      <c r="D31" s="87"/>
      <c r="E31" s="87"/>
      <c r="F31" s="87"/>
      <c r="G31" s="87"/>
      <c r="I31" s="25" t="str">
        <f>alimentos[[#This Row],[Item]]</f>
        <v>Azeite (500mL)</v>
      </c>
      <c r="J31" s="1">
        <f>IFERROR(alimentos[[#This Row],[kg/embalagem]],0)</f>
        <v>0.5</v>
      </c>
      <c r="K31" s="1">
        <f>IFERROR(alimentos[[#This Row],[Preço]],0)</f>
        <v>10.606666666666667</v>
      </c>
      <c r="L31" s="1">
        <f>SUMIFS(super1[Qtde],super1[Item],tab_alimentos[[#This Row],[Item]],super1[Bairro],mercado1)+SUMIFS(supercb[Qtde],supercb[Item],tab_alimentos[[#This Row],[Item]],supercb[Bairro],mercado1)</f>
        <v>0</v>
      </c>
      <c r="M31" s="1">
        <f>SUMIFS(super1[Qtde],super1[Item],tab_alimentos[[#This Row],[Item]],super1[Bairro],mercado2)+SUMIFS(supercb[Qtde],supercb[Item],tab_alimentos[[#This Row],[Item]],supercb[Bairro],mercado2)</f>
        <v>0</v>
      </c>
      <c r="N31" s="1">
        <f>SUMIFS(super1[Qtde],super1[Item],tab_alimentos[[#This Row],[Item]],super1[Bairro],mercado3)+SUMIFS(supercb[Qtde],supercb[Item],tab_alimentos[[#This Row],[Item]],supercb[Bairro],mercado3)</f>
        <v>0</v>
      </c>
      <c r="O31" s="1">
        <f>SUMIFS(super1[Qtde],super1[Item],tab_alimentos[[#This Row],[Item]],super1[Bairro],mercado4)+SUMIFS(supercb[Qtde],supercb[Item],tab_alimentos[[#This Row],[Item]],supercb[Bairro],mercado4)</f>
        <v>0</v>
      </c>
      <c r="P31" s="1">
        <f>SUMIFS(super1[Qtde],super1[Item],tab_alimentos[[#This Row],[Item]],super1[Bairro],mercado5)+SUMIFS(supercb[Qtde],supercb[Item],tab_alimentos[[#This Row],[Item]],supercb[Bairro],mercado5)</f>
        <v>0</v>
      </c>
      <c r="Q31" s="1">
        <f>SUMIFS(super1[Qtde],super1[Item],tab_alimentos[[#This Row],[Item]],super1[Bairro],mercado6)+SUMIFS(supercb[Qtde],supercb[Item],tab_alimentos[[#This Row],[Item]],supercb[Bairro],mercado6)</f>
        <v>0</v>
      </c>
      <c r="R31" s="1">
        <f>SUMIFS(super1[Qtde],super1[Item],tab_alimentos[[#This Row],[Item]],super1[Bairro],mercado7)+SUMIFS(supercb[Qtde],supercb[Item],tab_alimentos[[#This Row],[Item]],supercb[Bairro],mercado7)</f>
        <v>0</v>
      </c>
      <c r="S31" s="1">
        <f>SUMIFS(super1[Qtde],super1[Item],tab_alimentos[[#This Row],[Item]],super1[Bairro],mercado8)+SUMIFS(supercb[Qtde],supercb[Item],tab_alimentos[[#This Row],[Item]],supercb[Bairro],mercado8)</f>
        <v>0</v>
      </c>
      <c r="T31" s="1">
        <f>SUMIFS(super1[Qtde],super1[Item],tab_alimentos[[#This Row],[Item]],super1[Bairro],mercado9)+SUMIFS(supercb[Qtde],supercb[Item],tab_alimentos[[#This Row],[Item]],supercb[Bairro],mercado9)</f>
        <v>0</v>
      </c>
      <c r="U31" s="1">
        <f>SUMIFS(super1[Qtde],super1[Item],tab_alimentos[[#This Row],[Item]],super1[Bairro],mercado10)+SUMIFS(supercb[Qtde],supercb[Item],tab_alimentos[[#This Row],[Item]],supercb[Bairro],mercado10)</f>
        <v>0</v>
      </c>
      <c r="V31" s="1">
        <f>SUMIFS(super1[Qtde],super1[Item],tab_alimentos[[#This Row],[Item]],super1[Bairro],mercado11)+SUMIFS(supercb[Qtde],supercb[Item],tab_alimentos[[#This Row],[Item]],supercb[Bairro],mercado11)</f>
        <v>0</v>
      </c>
      <c r="W31" s="1">
        <f>SUMIFS(super1[Qtde],super1[Item],tab_alimentos[[#This Row],[Item]],super1[Bairro],mercado12)+SUMIFS(supercb[Qtde],supercb[Item],tab_alimentos[[#This Row],[Item]],supercb[Bairro],mercado12)</f>
        <v>0</v>
      </c>
      <c r="X31" s="1">
        <f>SUMIFS(super1[Qtde],super1[Item],tab_alimentos[[#This Row],[Item]],super1[Bairro],mercado13)+SUMIFS(supercb[Qtde],supercb[Item],tab_alimentos[[#This Row],[Item]],supercb[Bairro],mercado13)</f>
        <v>0</v>
      </c>
      <c r="Y31" s="1">
        <f>SUMIFS(super1[Qtde],super1[Item],tab_alimentos[[#This Row],[Item]],super1[Bairro],mercado14)+SUMIFS(supercb[Qtde],supercb[Item],tab_alimentos[[#This Row],[Item]],supercb[Bairro],mercado14)</f>
        <v>0</v>
      </c>
      <c r="Z31" s="1">
        <f>SUMIFS(super1[Qtde],super1[Item],tab_alimentos[[#This Row],[Item]],super1[Bairro],mercado15)+SUMIFS(supercb[Qtde],supercb[Item],tab_alimentos[[#This Row],[Item]],supercb[Bairro],mercado15)</f>
        <v>0</v>
      </c>
      <c r="AA31" s="1">
        <f>SUMIFS(super1[Qtde],super1[Item],tab_alimentos[[#This Row],[Item]],super1[Bairro],mercado16)+SUMIFS(supercb[Qtde],supercb[Item],tab_alimentos[[#This Row],[Item]],supercb[Bairro],mercado16)</f>
        <v>0</v>
      </c>
      <c r="AB31" s="1">
        <f>SUMIFS(super1[Qtde],super1[Item],tab_alimentos[[#This Row],[Item]],super1[Bairro],mercado17)+SUMIFS(supercb[Qtde],supercb[Item],tab_alimentos[[#This Row],[Item]],supercb[Bairro],mercado17)</f>
        <v>0</v>
      </c>
      <c r="AC31" s="1">
        <f>SUMIFS(super1[Qtde],super1[Item],tab_alimentos[[#This Row],[Item]],super1[Bairro],mercado18)+SUMIFS(supercb[Qtde],supercb[Item],tab_alimentos[[#This Row],[Item]],supercb[Bairro],mercado18)</f>
        <v>0</v>
      </c>
      <c r="AD31" s="1">
        <f>SUMIFS(super1[Qtde],super1[Item],tab_alimentos[[#This Row],[Item]],super1[Bairro],extras)+SUMIFS(supercb[Qtde],supercb[Item],tab_alimentos[[#This Row],[Item]],supercb[Bairro],extras)</f>
        <v>0</v>
      </c>
      <c r="AE31" s="1">
        <f t="shared" si="0"/>
        <v>0</v>
      </c>
      <c r="AF31" s="1">
        <f t="shared" si="1"/>
        <v>0</v>
      </c>
      <c r="AG31" s="3">
        <f t="shared" si="2"/>
        <v>0</v>
      </c>
      <c r="AH31" s="25" t="str">
        <f>higiene[[#This Row],[Item]]</f>
        <v>Antisséptico (100ml)</v>
      </c>
      <c r="AI31" s="1">
        <f>IFERROR(higiene[[#This Row],[Kg equivalente]],0)</f>
        <v>1.3766402099954735</v>
      </c>
      <c r="AJ31" s="1">
        <f>IFERROR(higiene[[#This Row],[Preço por produto]],0)</f>
        <v>4.5599999999999996</v>
      </c>
      <c r="AK31" s="1">
        <f>SUMIFS(super1[Qtde],super1[Item],tab_higiene[[#This Row],[Item]],super1[Bairro],mercado1)+SUMIFS(supercb[Qtde],supercb[Item],tab_higiene[[#This Row],[Item]],supercb[Bairro],mercado1)</f>
        <v>0</v>
      </c>
      <c r="AL31" s="1">
        <f>SUMIFS(super1[Qtde],super1[Item],tab_higiene[[#This Row],[Item]],super1[Bairro],mercado2)+SUMIFS(supercb[Qtde],supercb[Item],tab_higiene[[#This Row],[Item]],supercb[Bairro],mercado2)</f>
        <v>0</v>
      </c>
      <c r="AM31" s="1">
        <f>SUMIFS(super1[Qtde],super1[Item],tab_higiene[[#This Row],[Item]],super1[Bairro],mercado3)+SUMIFS(supercb[Qtde],supercb[Item],tab_higiene[[#This Row],[Item]],supercb[Bairro],mercado3)</f>
        <v>0</v>
      </c>
      <c r="AN31" s="1">
        <f>SUMIFS(super1[Qtde],super1[Item],tab_higiene[[#This Row],[Item]],super1[Bairro],mercado4)+SUMIFS(supercb[Qtde],supercb[Item],tab_higiene[[#This Row],[Item]],supercb[Bairro],mercado4)</f>
        <v>0</v>
      </c>
      <c r="AO31" s="1">
        <f>SUMIFS(super1[Qtde],super1[Item],tab_higiene[[#This Row],[Item]],super1[Bairro],mercado5)+SUMIFS(supercb[Qtde],supercb[Item],tab_higiene[[#This Row],[Item]],supercb[Bairro],mercado5)</f>
        <v>0</v>
      </c>
      <c r="AP31" s="1">
        <f>SUMIFS(super1[Qtde],super1[Item],tab_higiene[[#This Row],[Item]],super1[Bairro],mercado6)+SUMIFS(supercb[Qtde],supercb[Item],tab_higiene[[#This Row],[Item]],supercb[Bairro],mercado6)</f>
        <v>0</v>
      </c>
      <c r="AQ31" s="1">
        <f>SUMIFS(super1[Qtde],super1[Item],tab_higiene[[#This Row],[Item]],super1[Bairro],mercado7)+SUMIFS(supercb[Qtde],supercb[Item],tab_higiene[[#This Row],[Item]],supercb[Bairro],mercado7)</f>
        <v>0</v>
      </c>
      <c r="AR31" s="1">
        <f>SUMIFS(super1[Qtde],super1[Item],tab_higiene[[#This Row],[Item]],super1[Bairro],mercado8)+SUMIFS(supercb[Qtde],supercb[Item],tab_higiene[[#This Row],[Item]],supercb[Bairro],mercado8)</f>
        <v>0</v>
      </c>
      <c r="AS31" s="1">
        <f>SUMIFS(super1[Qtde],super1[Item],tab_higiene[[#This Row],[Item]],super1[Bairro],mercado9)+SUMIFS(supercb[Qtde],supercb[Item],tab_higiene[[#This Row],[Item]],supercb[Bairro],mercado9)</f>
        <v>0</v>
      </c>
      <c r="AT31" s="1">
        <f>SUMIFS(super1[Qtde],super1[Item],tab_higiene[[#This Row],[Item]],super1[Bairro],mercado10)+SUMIFS(supercb[Qtde],supercb[Item],tab_higiene[[#This Row],[Item]],supercb[Bairro],mercado10)</f>
        <v>0</v>
      </c>
      <c r="AU31" s="1">
        <f>SUMIFS(super1[Qtde],super1[Item],tab_higiene[[#This Row],[Item]],super1[Bairro],mercado11)+SUMIFS(supercb[Qtde],supercb[Item],tab_higiene[[#This Row],[Item]],supercb[Bairro],mercado11)</f>
        <v>0</v>
      </c>
      <c r="AV31" s="1">
        <f>SUMIFS(super1[Qtde],super1[Item],tab_higiene[[#This Row],[Item]],super1[Bairro],mercado12)+SUMIFS(supercb[Qtde],supercb[Item],tab_higiene[[#This Row],[Item]],supercb[Bairro],mercado12)</f>
        <v>0</v>
      </c>
      <c r="AW31" s="1">
        <f>SUMIFS(super1[Qtde],super1[Item],tab_higiene[[#This Row],[Item]],super1[Bairro],mercado13)+SUMIFS(supercb[Qtde],supercb[Item],tab_higiene[[#This Row],[Item]],supercb[Bairro],mercado13)</f>
        <v>0</v>
      </c>
      <c r="AX31" s="1">
        <f>SUMIFS(super1[Qtde],super1[Item],tab_higiene[[#This Row],[Item]],super1[Bairro],mercado14)+SUMIFS(supercb[Qtde],supercb[Item],tab_higiene[[#This Row],[Item]],supercb[Bairro],mercado14)</f>
        <v>0</v>
      </c>
      <c r="AY31" s="1">
        <f>SUMIFS(super1[Qtde],super1[Item],tab_higiene[[#This Row],[Item]],super1[Bairro],mercado15)+SUMIFS(supercb[Qtde],supercb[Item],tab_higiene[[#This Row],[Item]],supercb[Bairro],mercado15)</f>
        <v>0</v>
      </c>
      <c r="AZ31" s="1">
        <f>SUMIFS(super1[Qtde],super1[Item],tab_higiene[[#This Row],[Item]],super1[Bairro],mercado16)+SUMIFS(supercb[Qtde],supercb[Item],tab_higiene[[#This Row],[Item]],supercb[Bairro],mercado16)</f>
        <v>0</v>
      </c>
      <c r="BA31" s="1">
        <f>SUMIFS(super1[Qtde],super1[Item],tab_higiene[[#This Row],[Item]],super1[Bairro],mercado17)+SUMIFS(supercb[Qtde],supercb[Item],tab_higiene[[#This Row],[Item]],supercb[Bairro],mercado17)</f>
        <v>0</v>
      </c>
      <c r="BB31" s="1">
        <f>SUMIFS(super1[Qtde],super1[Item],tab_higiene[[#This Row],[Item]],super1[Bairro],mercado18)+SUMIFS(supercb[Qtde],supercb[Item],tab_higiene[[#This Row],[Item]],supercb[Bairro],mercado18)</f>
        <v>0</v>
      </c>
      <c r="BC31" s="1">
        <f>SUMIFS(super1[Qtde],super1[Item],tab_higiene[[#This Row],[Item]],super1[Bairro],extras)+SUMIFS(supercb[Qtde],supercb[Item],tab_higiene[[#This Row],[Item]],supercb[Bairro],extras)</f>
        <v>0</v>
      </c>
      <c r="BD31" s="1">
        <f t="shared" si="3"/>
        <v>0</v>
      </c>
      <c r="BE31" s="1">
        <f t="shared" si="4"/>
        <v>0</v>
      </c>
      <c r="BF31" s="26">
        <f t="shared" si="5"/>
        <v>0</v>
      </c>
      <c r="BI31" s="33" t="str">
        <f>tab_alimentos[[#This Row],[Item]]</f>
        <v>Azeite (500mL)</v>
      </c>
      <c r="BJ31" s="33">
        <f t="shared" si="6"/>
        <v>7</v>
      </c>
      <c r="BK31" s="33" t="str">
        <f t="shared" si="7"/>
        <v>Azeite</v>
      </c>
      <c r="BL31" s="33">
        <f>tab_alimentos[[#This Row],[kg]]</f>
        <v>0</v>
      </c>
      <c r="BM31" s="37" t="s">
        <v>376</v>
      </c>
      <c r="BN31" s="35">
        <f t="shared" si="11"/>
        <v>0</v>
      </c>
      <c r="BP31" s="33" t="str">
        <f>tab_higiene[[#This Row],[Item]]</f>
        <v>Antisséptico (100ml)</v>
      </c>
      <c r="BQ31" s="33">
        <f t="shared" si="8"/>
        <v>13</v>
      </c>
      <c r="BR31" s="33" t="str">
        <f t="shared" si="9"/>
        <v>Antisséptico</v>
      </c>
      <c r="BS31" s="33">
        <f>higiene[[#This Row],[Quantidade]]</f>
        <v>1</v>
      </c>
      <c r="BT31" s="33">
        <f>tab_higiene[Qtde (tot)]</f>
        <v>0</v>
      </c>
      <c r="BU31" s="33">
        <f t="shared" si="12"/>
        <v>0</v>
      </c>
      <c r="BV31" s="37" t="s">
        <v>82</v>
      </c>
      <c r="BW31" s="33">
        <f t="shared" si="10"/>
        <v>0</v>
      </c>
    </row>
    <row r="32" spans="1:75" x14ac:dyDescent="0.25">
      <c r="A32" s="86">
        <f>SUM(tab_alimentos[kg])</f>
        <v>4191.4250000000002</v>
      </c>
      <c r="B32" s="86"/>
      <c r="C32" s="86"/>
      <c r="D32" s="86"/>
      <c r="E32" s="86"/>
      <c r="F32" s="86"/>
      <c r="G32" s="86"/>
      <c r="I32" s="25" t="str">
        <f>alimentos[[#This Row],[Item]]</f>
        <v>Azeitona (100g)</v>
      </c>
      <c r="J32" s="1">
        <f>IFERROR(alimentos[[#This Row],[kg/embalagem]],0)</f>
        <v>0.1</v>
      </c>
      <c r="K32" s="1">
        <f>IFERROR(alimentos[[#This Row],[Preço]],0)</f>
        <v>2.2599999999999998</v>
      </c>
      <c r="L32" s="1">
        <f>SUMIFS(super1[Qtde],super1[Item],tab_alimentos[[#This Row],[Item]],super1[Bairro],mercado1)+SUMIFS(supercb[Qtde],supercb[Item],tab_alimentos[[#This Row],[Item]],supercb[Bairro],mercado1)</f>
        <v>0</v>
      </c>
      <c r="M32" s="1">
        <f>SUMIFS(super1[Qtde],super1[Item],tab_alimentos[[#This Row],[Item]],super1[Bairro],mercado2)+SUMIFS(supercb[Qtde],supercb[Item],tab_alimentos[[#This Row],[Item]],supercb[Bairro],mercado2)</f>
        <v>0</v>
      </c>
      <c r="N32" s="1">
        <f>SUMIFS(super1[Qtde],super1[Item],tab_alimentos[[#This Row],[Item]],super1[Bairro],mercado3)+SUMIFS(supercb[Qtde],supercb[Item],tab_alimentos[[#This Row],[Item]],supercb[Bairro],mercado3)</f>
        <v>0</v>
      </c>
      <c r="O32" s="1">
        <f>SUMIFS(super1[Qtde],super1[Item],tab_alimentos[[#This Row],[Item]],super1[Bairro],mercado4)+SUMIFS(supercb[Qtde],supercb[Item],tab_alimentos[[#This Row],[Item]],supercb[Bairro],mercado4)</f>
        <v>0</v>
      </c>
      <c r="P32" s="1">
        <f>SUMIFS(super1[Qtde],super1[Item],tab_alimentos[[#This Row],[Item]],super1[Bairro],mercado5)+SUMIFS(supercb[Qtde],supercb[Item],tab_alimentos[[#This Row],[Item]],supercb[Bairro],mercado5)</f>
        <v>0</v>
      </c>
      <c r="Q32" s="1">
        <f>SUMIFS(super1[Qtde],super1[Item],tab_alimentos[[#This Row],[Item]],super1[Bairro],mercado6)+SUMIFS(supercb[Qtde],supercb[Item],tab_alimentos[[#This Row],[Item]],supercb[Bairro],mercado6)</f>
        <v>0</v>
      </c>
      <c r="R32" s="1">
        <f>SUMIFS(super1[Qtde],super1[Item],tab_alimentos[[#This Row],[Item]],super1[Bairro],mercado7)+SUMIFS(supercb[Qtde],supercb[Item],tab_alimentos[[#This Row],[Item]],supercb[Bairro],mercado7)</f>
        <v>0</v>
      </c>
      <c r="S32" s="1">
        <f>SUMIFS(super1[Qtde],super1[Item],tab_alimentos[[#This Row],[Item]],super1[Bairro],mercado8)+SUMIFS(supercb[Qtde],supercb[Item],tab_alimentos[[#This Row],[Item]],supercb[Bairro],mercado8)</f>
        <v>0</v>
      </c>
      <c r="T32" s="1">
        <f>SUMIFS(super1[Qtde],super1[Item],tab_alimentos[[#This Row],[Item]],super1[Bairro],mercado9)+SUMIFS(supercb[Qtde],supercb[Item],tab_alimentos[[#This Row],[Item]],supercb[Bairro],mercado9)</f>
        <v>0</v>
      </c>
      <c r="U32" s="1">
        <f>SUMIFS(super1[Qtde],super1[Item],tab_alimentos[[#This Row],[Item]],super1[Bairro],mercado10)+SUMIFS(supercb[Qtde],supercb[Item],tab_alimentos[[#This Row],[Item]],supercb[Bairro],mercado10)</f>
        <v>0</v>
      </c>
      <c r="V32" s="1">
        <f>SUMIFS(super1[Qtde],super1[Item],tab_alimentos[[#This Row],[Item]],super1[Bairro],mercado11)+SUMIFS(supercb[Qtde],supercb[Item],tab_alimentos[[#This Row],[Item]],supercb[Bairro],mercado11)</f>
        <v>0</v>
      </c>
      <c r="W32" s="1">
        <f>SUMIFS(super1[Qtde],super1[Item],tab_alimentos[[#This Row],[Item]],super1[Bairro],mercado12)+SUMIFS(supercb[Qtde],supercb[Item],tab_alimentos[[#This Row],[Item]],supercb[Bairro],mercado12)</f>
        <v>0</v>
      </c>
      <c r="X32" s="1">
        <f>SUMIFS(super1[Qtde],super1[Item],tab_alimentos[[#This Row],[Item]],super1[Bairro],mercado13)+SUMIFS(supercb[Qtde],supercb[Item],tab_alimentos[[#This Row],[Item]],supercb[Bairro],mercado13)</f>
        <v>0</v>
      </c>
      <c r="Y32" s="1">
        <f>SUMIFS(super1[Qtde],super1[Item],tab_alimentos[[#This Row],[Item]],super1[Bairro],mercado14)+SUMIFS(supercb[Qtde],supercb[Item],tab_alimentos[[#This Row],[Item]],supercb[Bairro],mercado14)</f>
        <v>0</v>
      </c>
      <c r="Z32" s="1">
        <f>SUMIFS(super1[Qtde],super1[Item],tab_alimentos[[#This Row],[Item]],super1[Bairro],mercado15)+SUMIFS(supercb[Qtde],supercb[Item],tab_alimentos[[#This Row],[Item]],supercb[Bairro],mercado15)</f>
        <v>0</v>
      </c>
      <c r="AA32" s="1">
        <f>SUMIFS(super1[Qtde],super1[Item],tab_alimentos[[#This Row],[Item]],super1[Bairro],mercado16)+SUMIFS(supercb[Qtde],supercb[Item],tab_alimentos[[#This Row],[Item]],supercb[Bairro],mercado16)</f>
        <v>0</v>
      </c>
      <c r="AB32" s="1">
        <f>SUMIFS(super1[Qtde],super1[Item],tab_alimentos[[#This Row],[Item]],super1[Bairro],mercado17)+SUMIFS(supercb[Qtde],supercb[Item],tab_alimentos[[#This Row],[Item]],supercb[Bairro],mercado17)</f>
        <v>0</v>
      </c>
      <c r="AC32" s="1">
        <f>SUMIFS(super1[Qtde],super1[Item],tab_alimentos[[#This Row],[Item]],super1[Bairro],mercado18)+SUMIFS(supercb[Qtde],supercb[Item],tab_alimentos[[#This Row],[Item]],supercb[Bairro],mercado18)</f>
        <v>0</v>
      </c>
      <c r="AD32" s="1">
        <f>SUMIFS(super1[Qtde],super1[Item],tab_alimentos[[#This Row],[Item]],super1[Bairro],extras)+SUMIFS(supercb[Qtde],supercb[Item],tab_alimentos[[#This Row],[Item]],supercb[Bairro],extras)</f>
        <v>0</v>
      </c>
      <c r="AE32" s="1">
        <f t="shared" si="0"/>
        <v>0</v>
      </c>
      <c r="AF32" s="1">
        <f t="shared" si="1"/>
        <v>0</v>
      </c>
      <c r="AG32" s="3">
        <f t="shared" si="2"/>
        <v>0</v>
      </c>
      <c r="AH32" s="25" t="str">
        <f>higiene[[#This Row],[Item]]</f>
        <v>Antisséptico (440ml)</v>
      </c>
      <c r="AI32" s="1">
        <f>IFERROR(higiene[[#This Row],[Kg equivalente]],0)</f>
        <v>3.6166994990670562</v>
      </c>
      <c r="AJ32" s="1">
        <f>IFERROR(higiene[[#This Row],[Preço por produto]],0)</f>
        <v>11.98</v>
      </c>
      <c r="AK32" s="1">
        <f>SUMIFS(super1[Qtde],super1[Item],tab_higiene[[#This Row],[Item]],super1[Bairro],mercado1)+SUMIFS(supercb[Qtde],supercb[Item],tab_higiene[[#This Row],[Item]],supercb[Bairro],mercado1)</f>
        <v>0</v>
      </c>
      <c r="AL32" s="1">
        <f>SUMIFS(super1[Qtde],super1[Item],tab_higiene[[#This Row],[Item]],super1[Bairro],mercado2)+SUMIFS(supercb[Qtde],supercb[Item],tab_higiene[[#This Row],[Item]],supercb[Bairro],mercado2)</f>
        <v>0</v>
      </c>
      <c r="AM32" s="1">
        <f>SUMIFS(super1[Qtde],super1[Item],tab_higiene[[#This Row],[Item]],super1[Bairro],mercado3)+SUMIFS(supercb[Qtde],supercb[Item],tab_higiene[[#This Row],[Item]],supercb[Bairro],mercado3)</f>
        <v>0</v>
      </c>
      <c r="AN32" s="1">
        <f>SUMIFS(super1[Qtde],super1[Item],tab_higiene[[#This Row],[Item]],super1[Bairro],mercado4)+SUMIFS(supercb[Qtde],supercb[Item],tab_higiene[[#This Row],[Item]],supercb[Bairro],mercado4)</f>
        <v>0</v>
      </c>
      <c r="AO32" s="1">
        <f>SUMIFS(super1[Qtde],super1[Item],tab_higiene[[#This Row],[Item]],super1[Bairro],mercado5)+SUMIFS(supercb[Qtde],supercb[Item],tab_higiene[[#This Row],[Item]],supercb[Bairro],mercado5)</f>
        <v>0</v>
      </c>
      <c r="AP32" s="1">
        <f>SUMIFS(super1[Qtde],super1[Item],tab_higiene[[#This Row],[Item]],super1[Bairro],mercado6)+SUMIFS(supercb[Qtde],supercb[Item],tab_higiene[[#This Row],[Item]],supercb[Bairro],mercado6)</f>
        <v>0</v>
      </c>
      <c r="AQ32" s="1">
        <f>SUMIFS(super1[Qtde],super1[Item],tab_higiene[[#This Row],[Item]],super1[Bairro],mercado7)+SUMIFS(supercb[Qtde],supercb[Item],tab_higiene[[#This Row],[Item]],supercb[Bairro],mercado7)</f>
        <v>0</v>
      </c>
      <c r="AR32" s="1">
        <f>SUMIFS(super1[Qtde],super1[Item],tab_higiene[[#This Row],[Item]],super1[Bairro],mercado8)+SUMIFS(supercb[Qtde],supercb[Item],tab_higiene[[#This Row],[Item]],supercb[Bairro],mercado8)</f>
        <v>0</v>
      </c>
      <c r="AS32" s="1">
        <f>SUMIFS(super1[Qtde],super1[Item],tab_higiene[[#This Row],[Item]],super1[Bairro],mercado9)+SUMIFS(supercb[Qtde],supercb[Item],tab_higiene[[#This Row],[Item]],supercb[Bairro],mercado9)</f>
        <v>0</v>
      </c>
      <c r="AT32" s="1">
        <f>SUMIFS(super1[Qtde],super1[Item],tab_higiene[[#This Row],[Item]],super1[Bairro],mercado10)+SUMIFS(supercb[Qtde],supercb[Item],tab_higiene[[#This Row],[Item]],supercb[Bairro],mercado10)</f>
        <v>0</v>
      </c>
      <c r="AU32" s="1">
        <f>SUMIFS(super1[Qtde],super1[Item],tab_higiene[[#This Row],[Item]],super1[Bairro],mercado11)+SUMIFS(supercb[Qtde],supercb[Item],tab_higiene[[#This Row],[Item]],supercb[Bairro],mercado11)</f>
        <v>0</v>
      </c>
      <c r="AV32" s="1">
        <f>SUMIFS(super1[Qtde],super1[Item],tab_higiene[[#This Row],[Item]],super1[Bairro],mercado12)+SUMIFS(supercb[Qtde],supercb[Item],tab_higiene[[#This Row],[Item]],supercb[Bairro],mercado12)</f>
        <v>0</v>
      </c>
      <c r="AW32" s="1">
        <f>SUMIFS(super1[Qtde],super1[Item],tab_higiene[[#This Row],[Item]],super1[Bairro],mercado13)+SUMIFS(supercb[Qtde],supercb[Item],tab_higiene[[#This Row],[Item]],supercb[Bairro],mercado13)</f>
        <v>0</v>
      </c>
      <c r="AX32" s="1">
        <f>SUMIFS(super1[Qtde],super1[Item],tab_higiene[[#This Row],[Item]],super1[Bairro],mercado14)+SUMIFS(supercb[Qtde],supercb[Item],tab_higiene[[#This Row],[Item]],supercb[Bairro],mercado14)</f>
        <v>0</v>
      </c>
      <c r="AY32" s="1">
        <f>SUMIFS(super1[Qtde],super1[Item],tab_higiene[[#This Row],[Item]],super1[Bairro],mercado15)+SUMIFS(supercb[Qtde],supercb[Item],tab_higiene[[#This Row],[Item]],supercb[Bairro],mercado15)</f>
        <v>0</v>
      </c>
      <c r="AZ32" s="1">
        <f>SUMIFS(super1[Qtde],super1[Item],tab_higiene[[#This Row],[Item]],super1[Bairro],mercado16)+SUMIFS(supercb[Qtde],supercb[Item],tab_higiene[[#This Row],[Item]],supercb[Bairro],mercado16)</f>
        <v>0</v>
      </c>
      <c r="BA32" s="1">
        <f>SUMIFS(super1[Qtde],super1[Item],tab_higiene[[#This Row],[Item]],super1[Bairro],mercado17)+SUMIFS(supercb[Qtde],supercb[Item],tab_higiene[[#This Row],[Item]],supercb[Bairro],mercado17)</f>
        <v>0</v>
      </c>
      <c r="BB32" s="1">
        <f>SUMIFS(super1[Qtde],super1[Item],tab_higiene[[#This Row],[Item]],super1[Bairro],mercado18)+SUMIFS(supercb[Qtde],supercb[Item],tab_higiene[[#This Row],[Item]],supercb[Bairro],mercado18)</f>
        <v>0</v>
      </c>
      <c r="BC32" s="1">
        <f>SUMIFS(super1[Qtde],super1[Item],tab_higiene[[#This Row],[Item]],super1[Bairro],extras)+SUMIFS(supercb[Qtde],supercb[Item],tab_higiene[[#This Row],[Item]],supercb[Bairro],extras)</f>
        <v>0</v>
      </c>
      <c r="BD32" s="1">
        <f t="shared" si="3"/>
        <v>0</v>
      </c>
      <c r="BE32" s="1">
        <f t="shared" si="4"/>
        <v>0</v>
      </c>
      <c r="BF32" s="26">
        <f t="shared" si="5"/>
        <v>0</v>
      </c>
      <c r="BI32" s="33" t="str">
        <f>tab_alimentos[[#This Row],[Item]]</f>
        <v>Azeitona (100g)</v>
      </c>
      <c r="BJ32" s="33">
        <f t="shared" si="6"/>
        <v>9</v>
      </c>
      <c r="BK32" s="33" t="str">
        <f t="shared" si="7"/>
        <v>Azeitona</v>
      </c>
      <c r="BL32" s="33">
        <f>tab_alimentos[[#This Row],[kg]]</f>
        <v>0</v>
      </c>
      <c r="BM32" s="37" t="s">
        <v>137</v>
      </c>
      <c r="BN32" s="35">
        <f t="shared" si="11"/>
        <v>0</v>
      </c>
      <c r="BP32" s="33" t="str">
        <f>tab_higiene[[#This Row],[Item]]</f>
        <v>Antisséptico (440ml)</v>
      </c>
      <c r="BQ32" s="33">
        <f t="shared" si="8"/>
        <v>13</v>
      </c>
      <c r="BR32" s="33" t="str">
        <f t="shared" si="9"/>
        <v>Antisséptico</v>
      </c>
      <c r="BS32" s="33">
        <f>higiene[[#This Row],[Quantidade]]</f>
        <v>0</v>
      </c>
      <c r="BT32" s="33">
        <f>tab_higiene[Qtde (tot)]</f>
        <v>0</v>
      </c>
      <c r="BU32" s="33">
        <f t="shared" si="12"/>
        <v>0</v>
      </c>
      <c r="BV32" s="37" t="s">
        <v>228</v>
      </c>
      <c r="BW32" s="33">
        <f t="shared" si="10"/>
        <v>48</v>
      </c>
    </row>
    <row r="33" spans="1:75" x14ac:dyDescent="0.25">
      <c r="A33" s="86"/>
      <c r="B33" s="86"/>
      <c r="C33" s="86"/>
      <c r="D33" s="86"/>
      <c r="E33" s="86"/>
      <c r="F33" s="86"/>
      <c r="G33" s="86"/>
      <c r="I33" s="25" t="str">
        <f>alimentos[[#This Row],[Item]]</f>
        <v>Azeitona (120g)</v>
      </c>
      <c r="J33" s="1">
        <f>IFERROR(alimentos[[#This Row],[kg/embalagem]],0)</f>
        <v>0.12</v>
      </c>
      <c r="K33" s="1">
        <f>IFERROR(alimentos[[#This Row],[Preço]],0)</f>
        <v>4.45</v>
      </c>
      <c r="L33" s="1">
        <f>SUMIFS(super1[Qtde],super1[Item],tab_alimentos[[#This Row],[Item]],super1[Bairro],mercado1)+SUMIFS(supercb[Qtde],supercb[Item],tab_alimentos[[#This Row],[Item]],supercb[Bairro],mercado1)</f>
        <v>0</v>
      </c>
      <c r="M33" s="1">
        <f>SUMIFS(super1[Qtde],super1[Item],tab_alimentos[[#This Row],[Item]],super1[Bairro],mercado2)+SUMIFS(supercb[Qtde],supercb[Item],tab_alimentos[[#This Row],[Item]],supercb[Bairro],mercado2)</f>
        <v>0</v>
      </c>
      <c r="N33" s="1">
        <f>SUMIFS(super1[Qtde],super1[Item],tab_alimentos[[#This Row],[Item]],super1[Bairro],mercado3)+SUMIFS(supercb[Qtde],supercb[Item],tab_alimentos[[#This Row],[Item]],supercb[Bairro],mercado3)</f>
        <v>0</v>
      </c>
      <c r="O33" s="1">
        <f>SUMIFS(super1[Qtde],super1[Item],tab_alimentos[[#This Row],[Item]],super1[Bairro],mercado4)+SUMIFS(supercb[Qtde],supercb[Item],tab_alimentos[[#This Row],[Item]],supercb[Bairro],mercado4)</f>
        <v>0</v>
      </c>
      <c r="P33" s="1">
        <f>SUMIFS(super1[Qtde],super1[Item],tab_alimentos[[#This Row],[Item]],super1[Bairro],mercado5)+SUMIFS(supercb[Qtde],supercb[Item],tab_alimentos[[#This Row],[Item]],supercb[Bairro],mercado5)</f>
        <v>0</v>
      </c>
      <c r="Q33" s="1">
        <f>SUMIFS(super1[Qtde],super1[Item],tab_alimentos[[#This Row],[Item]],super1[Bairro],mercado6)+SUMIFS(supercb[Qtde],supercb[Item],tab_alimentos[[#This Row],[Item]],supercb[Bairro],mercado6)</f>
        <v>0</v>
      </c>
      <c r="R33" s="1">
        <f>SUMIFS(super1[Qtde],super1[Item],tab_alimentos[[#This Row],[Item]],super1[Bairro],mercado7)+SUMIFS(supercb[Qtde],supercb[Item],tab_alimentos[[#This Row],[Item]],supercb[Bairro],mercado7)</f>
        <v>0</v>
      </c>
      <c r="S33" s="1">
        <f>SUMIFS(super1[Qtde],super1[Item],tab_alimentos[[#This Row],[Item]],super1[Bairro],mercado8)+SUMIFS(supercb[Qtde],supercb[Item],tab_alimentos[[#This Row],[Item]],supercb[Bairro],mercado8)</f>
        <v>0</v>
      </c>
      <c r="T33" s="1">
        <f>SUMIFS(super1[Qtde],super1[Item],tab_alimentos[[#This Row],[Item]],super1[Bairro],mercado9)+SUMIFS(supercb[Qtde],supercb[Item],tab_alimentos[[#This Row],[Item]],supercb[Bairro],mercado9)</f>
        <v>0</v>
      </c>
      <c r="U33" s="1">
        <f>SUMIFS(super1[Qtde],super1[Item],tab_alimentos[[#This Row],[Item]],super1[Bairro],mercado10)+SUMIFS(supercb[Qtde],supercb[Item],tab_alimentos[[#This Row],[Item]],supercb[Bairro],mercado10)</f>
        <v>0</v>
      </c>
      <c r="V33" s="1">
        <f>SUMIFS(super1[Qtde],super1[Item],tab_alimentos[[#This Row],[Item]],super1[Bairro],mercado11)+SUMIFS(supercb[Qtde],supercb[Item],tab_alimentos[[#This Row],[Item]],supercb[Bairro],mercado11)</f>
        <v>0</v>
      </c>
      <c r="W33" s="1">
        <f>SUMIFS(super1[Qtde],super1[Item],tab_alimentos[[#This Row],[Item]],super1[Bairro],mercado12)+SUMIFS(supercb[Qtde],supercb[Item],tab_alimentos[[#This Row],[Item]],supercb[Bairro],mercado12)</f>
        <v>0</v>
      </c>
      <c r="X33" s="1">
        <f>SUMIFS(super1[Qtde],super1[Item],tab_alimentos[[#This Row],[Item]],super1[Bairro],mercado13)+SUMIFS(supercb[Qtde],supercb[Item],tab_alimentos[[#This Row],[Item]],supercb[Bairro],mercado13)</f>
        <v>0</v>
      </c>
      <c r="Y33" s="1">
        <f>SUMIFS(super1[Qtde],super1[Item],tab_alimentos[[#This Row],[Item]],super1[Bairro],mercado14)+SUMIFS(supercb[Qtde],supercb[Item],tab_alimentos[[#This Row],[Item]],supercb[Bairro],mercado14)</f>
        <v>0</v>
      </c>
      <c r="Z33" s="1">
        <f>SUMIFS(super1[Qtde],super1[Item],tab_alimentos[[#This Row],[Item]],super1[Bairro],mercado15)+SUMIFS(supercb[Qtde],supercb[Item],tab_alimentos[[#This Row],[Item]],supercb[Bairro],mercado15)</f>
        <v>0</v>
      </c>
      <c r="AA33" s="1">
        <f>SUMIFS(super1[Qtde],super1[Item],tab_alimentos[[#This Row],[Item]],super1[Bairro],mercado16)+SUMIFS(supercb[Qtde],supercb[Item],tab_alimentos[[#This Row],[Item]],supercb[Bairro],mercado16)</f>
        <v>0</v>
      </c>
      <c r="AB33" s="1">
        <f>SUMIFS(super1[Qtde],super1[Item],tab_alimentos[[#This Row],[Item]],super1[Bairro],mercado17)+SUMIFS(supercb[Qtde],supercb[Item],tab_alimentos[[#This Row],[Item]],supercb[Bairro],mercado17)</f>
        <v>0</v>
      </c>
      <c r="AC33" s="1">
        <f>SUMIFS(super1[Qtde],super1[Item],tab_alimentos[[#This Row],[Item]],super1[Bairro],mercado18)+SUMIFS(supercb[Qtde],supercb[Item],tab_alimentos[[#This Row],[Item]],supercb[Bairro],mercado18)</f>
        <v>0</v>
      </c>
      <c r="AD33" s="1">
        <f>SUMIFS(super1[Qtde],super1[Item],tab_alimentos[[#This Row],[Item]],super1[Bairro],extras)+SUMIFS(supercb[Qtde],supercb[Item],tab_alimentos[[#This Row],[Item]],supercb[Bairro],extras)</f>
        <v>0</v>
      </c>
      <c r="AE33" s="1">
        <f t="shared" si="0"/>
        <v>0</v>
      </c>
      <c r="AF33" s="1">
        <f t="shared" si="1"/>
        <v>0</v>
      </c>
      <c r="AG33" s="3">
        <f t="shared" si="2"/>
        <v>0</v>
      </c>
      <c r="AH33" s="25" t="str">
        <f>higiene[[#This Row],[Item]]</f>
        <v>B</v>
      </c>
      <c r="AI33" s="1">
        <f>IFERROR(higiene[[#This Row],[Kg equivalente]],0)</f>
        <v>0</v>
      </c>
      <c r="AJ33" s="1" t="str">
        <f>IFERROR(higiene[[#This Row],[Preço por produto]],0)</f>
        <v/>
      </c>
      <c r="AK33" s="1">
        <f>SUMIFS(super1[Qtde],super1[Item],tab_higiene[[#This Row],[Item]],super1[Bairro],mercado1)+SUMIFS(supercb[Qtde],supercb[Item],tab_higiene[[#This Row],[Item]],supercb[Bairro],mercado1)</f>
        <v>0</v>
      </c>
      <c r="AL33" s="1">
        <f>SUMIFS(super1[Qtde],super1[Item],tab_higiene[[#This Row],[Item]],super1[Bairro],mercado2)+SUMIFS(supercb[Qtde],supercb[Item],tab_higiene[[#This Row],[Item]],supercb[Bairro],mercado2)</f>
        <v>0</v>
      </c>
      <c r="AM33" s="1">
        <f>SUMIFS(super1[Qtde],super1[Item],tab_higiene[[#This Row],[Item]],super1[Bairro],mercado3)+SUMIFS(supercb[Qtde],supercb[Item],tab_higiene[[#This Row],[Item]],supercb[Bairro],mercado3)</f>
        <v>0</v>
      </c>
      <c r="AN33" s="1">
        <f>SUMIFS(super1[Qtde],super1[Item],tab_higiene[[#This Row],[Item]],super1[Bairro],mercado4)+SUMIFS(supercb[Qtde],supercb[Item],tab_higiene[[#This Row],[Item]],supercb[Bairro],mercado4)</f>
        <v>0</v>
      </c>
      <c r="AO33" s="1">
        <f>SUMIFS(super1[Qtde],super1[Item],tab_higiene[[#This Row],[Item]],super1[Bairro],mercado5)+SUMIFS(supercb[Qtde],supercb[Item],tab_higiene[[#This Row],[Item]],supercb[Bairro],mercado5)</f>
        <v>0</v>
      </c>
      <c r="AP33" s="1">
        <f>SUMIFS(super1[Qtde],super1[Item],tab_higiene[[#This Row],[Item]],super1[Bairro],mercado6)+SUMIFS(supercb[Qtde],supercb[Item],tab_higiene[[#This Row],[Item]],supercb[Bairro],mercado6)</f>
        <v>0</v>
      </c>
      <c r="AQ33" s="1">
        <f>SUMIFS(super1[Qtde],super1[Item],tab_higiene[[#This Row],[Item]],super1[Bairro],mercado7)+SUMIFS(supercb[Qtde],supercb[Item],tab_higiene[[#This Row],[Item]],supercb[Bairro],mercado7)</f>
        <v>0</v>
      </c>
      <c r="AR33" s="1">
        <f>SUMIFS(super1[Qtde],super1[Item],tab_higiene[[#This Row],[Item]],super1[Bairro],mercado8)+SUMIFS(supercb[Qtde],supercb[Item],tab_higiene[[#This Row],[Item]],supercb[Bairro],mercado8)</f>
        <v>0</v>
      </c>
      <c r="AS33" s="1">
        <f>SUMIFS(super1[Qtde],super1[Item],tab_higiene[[#This Row],[Item]],super1[Bairro],mercado9)+SUMIFS(supercb[Qtde],supercb[Item],tab_higiene[[#This Row],[Item]],supercb[Bairro],mercado9)</f>
        <v>0</v>
      </c>
      <c r="AT33" s="1">
        <f>SUMIFS(super1[Qtde],super1[Item],tab_higiene[[#This Row],[Item]],super1[Bairro],mercado10)+SUMIFS(supercb[Qtde],supercb[Item],tab_higiene[[#This Row],[Item]],supercb[Bairro],mercado10)</f>
        <v>0</v>
      </c>
      <c r="AU33" s="1">
        <f>SUMIFS(super1[Qtde],super1[Item],tab_higiene[[#This Row],[Item]],super1[Bairro],mercado11)+SUMIFS(supercb[Qtde],supercb[Item],tab_higiene[[#This Row],[Item]],supercb[Bairro],mercado11)</f>
        <v>0</v>
      </c>
      <c r="AV33" s="1">
        <f>SUMIFS(super1[Qtde],super1[Item],tab_higiene[[#This Row],[Item]],super1[Bairro],mercado12)+SUMIFS(supercb[Qtde],supercb[Item],tab_higiene[[#This Row],[Item]],supercb[Bairro],mercado12)</f>
        <v>0</v>
      </c>
      <c r="AW33" s="1">
        <f>SUMIFS(super1[Qtde],super1[Item],tab_higiene[[#This Row],[Item]],super1[Bairro],mercado13)+SUMIFS(supercb[Qtde],supercb[Item],tab_higiene[[#This Row],[Item]],supercb[Bairro],mercado13)</f>
        <v>0</v>
      </c>
      <c r="AX33" s="1">
        <f>SUMIFS(super1[Qtde],super1[Item],tab_higiene[[#This Row],[Item]],super1[Bairro],mercado14)+SUMIFS(supercb[Qtde],supercb[Item],tab_higiene[[#This Row],[Item]],supercb[Bairro],mercado14)</f>
        <v>0</v>
      </c>
      <c r="AY33" s="1">
        <f>SUMIFS(super1[Qtde],super1[Item],tab_higiene[[#This Row],[Item]],super1[Bairro],mercado15)+SUMIFS(supercb[Qtde],supercb[Item],tab_higiene[[#This Row],[Item]],supercb[Bairro],mercado15)</f>
        <v>0</v>
      </c>
      <c r="AZ33" s="1">
        <f>SUMIFS(super1[Qtde],super1[Item],tab_higiene[[#This Row],[Item]],super1[Bairro],mercado16)+SUMIFS(supercb[Qtde],supercb[Item],tab_higiene[[#This Row],[Item]],supercb[Bairro],mercado16)</f>
        <v>0</v>
      </c>
      <c r="BA33" s="1">
        <f>SUMIFS(super1[Qtde],super1[Item],tab_higiene[[#This Row],[Item]],super1[Bairro],mercado17)+SUMIFS(supercb[Qtde],supercb[Item],tab_higiene[[#This Row],[Item]],supercb[Bairro],mercado17)</f>
        <v>0</v>
      </c>
      <c r="BB33" s="1">
        <f>SUMIFS(super1[Qtde],super1[Item],tab_higiene[[#This Row],[Item]],super1[Bairro],mercado18)+SUMIFS(supercb[Qtde],supercb[Item],tab_higiene[[#This Row],[Item]],supercb[Bairro],mercado18)</f>
        <v>0</v>
      </c>
      <c r="BC33" s="1">
        <f>SUMIFS(super1[Qtde],super1[Item],tab_higiene[[#This Row],[Item]],super1[Bairro],extras)+SUMIFS(supercb[Qtde],supercb[Item],tab_higiene[[#This Row],[Item]],supercb[Bairro],extras)</f>
        <v>0</v>
      </c>
      <c r="BD33" s="1">
        <f t="shared" si="3"/>
        <v>0</v>
      </c>
      <c r="BE33" s="1">
        <f t="shared" si="4"/>
        <v>0</v>
      </c>
      <c r="BF33" s="26">
        <f t="shared" si="5"/>
        <v>0</v>
      </c>
      <c r="BI33" s="33" t="str">
        <f>tab_alimentos[[#This Row],[Item]]</f>
        <v>Azeitona (120g)</v>
      </c>
      <c r="BJ33" s="33">
        <f t="shared" si="6"/>
        <v>9</v>
      </c>
      <c r="BK33" s="33" t="str">
        <f t="shared" si="7"/>
        <v>Azeitona</v>
      </c>
      <c r="BL33" s="33">
        <f>tab_alimentos[[#This Row],[kg]]</f>
        <v>0</v>
      </c>
      <c r="BM33" s="37" t="s">
        <v>138</v>
      </c>
      <c r="BN33" s="35">
        <f t="shared" si="11"/>
        <v>0</v>
      </c>
      <c r="BP33" s="33" t="str">
        <f>tab_higiene[[#This Row],[Item]]</f>
        <v>B</v>
      </c>
      <c r="BQ33" s="33">
        <f t="shared" si="8"/>
        <v>0</v>
      </c>
      <c r="BR33" s="33" t="str">
        <f t="shared" si="9"/>
        <v>B</v>
      </c>
      <c r="BS33" s="33">
        <f>higiene[[#This Row],[Quantidade]]</f>
        <v>0</v>
      </c>
      <c r="BT33" s="33">
        <f>tab_higiene[Qtde (tot)]</f>
        <v>0</v>
      </c>
      <c r="BU33" s="33">
        <f t="shared" si="12"/>
        <v>0</v>
      </c>
      <c r="BV33" s="37" t="s">
        <v>83</v>
      </c>
      <c r="BW33" s="33">
        <f t="shared" si="10"/>
        <v>0</v>
      </c>
    </row>
    <row r="34" spans="1:75" x14ac:dyDescent="0.25">
      <c r="A34" s="87" t="s">
        <v>249</v>
      </c>
      <c r="B34" s="87"/>
      <c r="C34" s="87"/>
      <c r="D34" s="87"/>
      <c r="E34" s="87"/>
      <c r="F34" s="87"/>
      <c r="G34" s="87"/>
      <c r="I34" s="25" t="str">
        <f>alimentos[[#This Row],[Item]]</f>
        <v>Azeitona (150g)</v>
      </c>
      <c r="J34" s="1">
        <f>IFERROR(alimentos[[#This Row],[kg/embalagem]],0)</f>
        <v>0.15</v>
      </c>
      <c r="K34" s="1">
        <f>IFERROR(alimentos[[#This Row],[Preço]],0)</f>
        <v>3.28</v>
      </c>
      <c r="L34" s="1">
        <f>SUMIFS(super1[Qtde],super1[Item],tab_alimentos[[#This Row],[Item]],super1[Bairro],mercado1)+SUMIFS(supercb[Qtde],supercb[Item],tab_alimentos[[#This Row],[Item]],supercb[Bairro],mercado1)</f>
        <v>0</v>
      </c>
      <c r="M34" s="1">
        <f>SUMIFS(super1[Qtde],super1[Item],tab_alimentos[[#This Row],[Item]],super1[Bairro],mercado2)+SUMIFS(supercb[Qtde],supercb[Item],tab_alimentos[[#This Row],[Item]],supercb[Bairro],mercado2)</f>
        <v>0</v>
      </c>
      <c r="N34" s="1">
        <f>SUMIFS(super1[Qtde],super1[Item],tab_alimentos[[#This Row],[Item]],super1[Bairro],mercado3)+SUMIFS(supercb[Qtde],supercb[Item],tab_alimentos[[#This Row],[Item]],supercb[Bairro],mercado3)</f>
        <v>0</v>
      </c>
      <c r="O34" s="1">
        <f>SUMIFS(super1[Qtde],super1[Item],tab_alimentos[[#This Row],[Item]],super1[Bairro],mercado4)+SUMIFS(supercb[Qtde],supercb[Item],tab_alimentos[[#This Row],[Item]],supercb[Bairro],mercado4)</f>
        <v>0</v>
      </c>
      <c r="P34" s="1">
        <f>SUMIFS(super1[Qtde],super1[Item],tab_alimentos[[#This Row],[Item]],super1[Bairro],mercado5)+SUMIFS(supercb[Qtde],supercb[Item],tab_alimentos[[#This Row],[Item]],supercb[Bairro],mercado5)</f>
        <v>0</v>
      </c>
      <c r="Q34" s="1">
        <f>SUMIFS(super1[Qtde],super1[Item],tab_alimentos[[#This Row],[Item]],super1[Bairro],mercado6)+SUMIFS(supercb[Qtde],supercb[Item],tab_alimentos[[#This Row],[Item]],supercb[Bairro],mercado6)</f>
        <v>0</v>
      </c>
      <c r="R34" s="1">
        <f>SUMIFS(super1[Qtde],super1[Item],tab_alimentos[[#This Row],[Item]],super1[Bairro],mercado7)+SUMIFS(supercb[Qtde],supercb[Item],tab_alimentos[[#This Row],[Item]],supercb[Bairro],mercado7)</f>
        <v>0</v>
      </c>
      <c r="S34" s="1">
        <f>SUMIFS(super1[Qtde],super1[Item],tab_alimentos[[#This Row],[Item]],super1[Bairro],mercado8)+SUMIFS(supercb[Qtde],supercb[Item],tab_alimentos[[#This Row],[Item]],supercb[Bairro],mercado8)</f>
        <v>0</v>
      </c>
      <c r="T34" s="1">
        <f>SUMIFS(super1[Qtde],super1[Item],tab_alimentos[[#This Row],[Item]],super1[Bairro],mercado9)+SUMIFS(supercb[Qtde],supercb[Item],tab_alimentos[[#This Row],[Item]],supercb[Bairro],mercado9)</f>
        <v>0</v>
      </c>
      <c r="U34" s="1">
        <f>SUMIFS(super1[Qtde],super1[Item],tab_alimentos[[#This Row],[Item]],super1[Bairro],mercado10)+SUMIFS(supercb[Qtde],supercb[Item],tab_alimentos[[#This Row],[Item]],supercb[Bairro],mercado10)</f>
        <v>0</v>
      </c>
      <c r="V34" s="1">
        <f>SUMIFS(super1[Qtde],super1[Item],tab_alimentos[[#This Row],[Item]],super1[Bairro],mercado11)+SUMIFS(supercb[Qtde],supercb[Item],tab_alimentos[[#This Row],[Item]],supercb[Bairro],mercado11)</f>
        <v>0</v>
      </c>
      <c r="W34" s="1">
        <f>SUMIFS(super1[Qtde],super1[Item],tab_alimentos[[#This Row],[Item]],super1[Bairro],mercado12)+SUMIFS(supercb[Qtde],supercb[Item],tab_alimentos[[#This Row],[Item]],supercb[Bairro],mercado12)</f>
        <v>0</v>
      </c>
      <c r="X34" s="1">
        <f>SUMIFS(super1[Qtde],super1[Item],tab_alimentos[[#This Row],[Item]],super1[Bairro],mercado13)+SUMIFS(supercb[Qtde],supercb[Item],tab_alimentos[[#This Row],[Item]],supercb[Bairro],mercado13)</f>
        <v>0</v>
      </c>
      <c r="Y34" s="1">
        <f>SUMIFS(super1[Qtde],super1[Item],tab_alimentos[[#This Row],[Item]],super1[Bairro],mercado14)+SUMIFS(supercb[Qtde],supercb[Item],tab_alimentos[[#This Row],[Item]],supercb[Bairro],mercado14)</f>
        <v>0</v>
      </c>
      <c r="Z34" s="1">
        <f>SUMIFS(super1[Qtde],super1[Item],tab_alimentos[[#This Row],[Item]],super1[Bairro],mercado15)+SUMIFS(supercb[Qtde],supercb[Item],tab_alimentos[[#This Row],[Item]],supercb[Bairro],mercado15)</f>
        <v>0</v>
      </c>
      <c r="AA34" s="1">
        <f>SUMIFS(super1[Qtde],super1[Item],tab_alimentos[[#This Row],[Item]],super1[Bairro],mercado16)+SUMIFS(supercb[Qtde],supercb[Item],tab_alimentos[[#This Row],[Item]],supercb[Bairro],mercado16)</f>
        <v>0</v>
      </c>
      <c r="AB34" s="1">
        <f>SUMIFS(super1[Qtde],super1[Item],tab_alimentos[[#This Row],[Item]],super1[Bairro],mercado17)+SUMIFS(supercb[Qtde],supercb[Item],tab_alimentos[[#This Row],[Item]],supercb[Bairro],mercado17)</f>
        <v>0</v>
      </c>
      <c r="AC34" s="1">
        <f>SUMIFS(super1[Qtde],super1[Item],tab_alimentos[[#This Row],[Item]],super1[Bairro],mercado18)+SUMIFS(supercb[Qtde],supercb[Item],tab_alimentos[[#This Row],[Item]],supercb[Bairro],mercado18)</f>
        <v>0</v>
      </c>
      <c r="AD34" s="1">
        <f>SUMIFS(super1[Qtde],super1[Item],tab_alimentos[[#This Row],[Item]],super1[Bairro],extras)+SUMIFS(supercb[Qtde],supercb[Item],tab_alimentos[[#This Row],[Item]],supercb[Bairro],extras)</f>
        <v>0</v>
      </c>
      <c r="AE34" s="1">
        <f t="shared" si="0"/>
        <v>0</v>
      </c>
      <c r="AF34" s="1">
        <f t="shared" si="1"/>
        <v>0</v>
      </c>
      <c r="AG34" s="3">
        <f t="shared" si="2"/>
        <v>0</v>
      </c>
      <c r="AH34" s="25" t="str">
        <f>higiene[[#This Row],[Item]]</f>
        <v>Band Aid</v>
      </c>
      <c r="AI34" s="1">
        <f>IFERROR(higiene[[#This Row],[Kg equivalente]],0)</f>
        <v>2.5479919676232012</v>
      </c>
      <c r="AJ34" s="1">
        <f>IFERROR(higiene[[#This Row],[Preço por produto]],0)</f>
        <v>8.44</v>
      </c>
      <c r="AK34" s="1">
        <f>SUMIFS(super1[Qtde],super1[Item],tab_higiene[[#This Row],[Item]],super1[Bairro],mercado1)+SUMIFS(supercb[Qtde],supercb[Item],tab_higiene[[#This Row],[Item]],supercb[Bairro],mercado1)</f>
        <v>0</v>
      </c>
      <c r="AL34" s="1">
        <f>SUMIFS(super1[Qtde],super1[Item],tab_higiene[[#This Row],[Item]],super1[Bairro],mercado2)+SUMIFS(supercb[Qtde],supercb[Item],tab_higiene[[#This Row],[Item]],supercb[Bairro],mercado2)</f>
        <v>0</v>
      </c>
      <c r="AM34" s="1">
        <f>SUMIFS(super1[Qtde],super1[Item],tab_higiene[[#This Row],[Item]],super1[Bairro],mercado3)+SUMIFS(supercb[Qtde],supercb[Item],tab_higiene[[#This Row],[Item]],supercb[Bairro],mercado3)</f>
        <v>0</v>
      </c>
      <c r="AN34" s="1">
        <f>SUMIFS(super1[Qtde],super1[Item],tab_higiene[[#This Row],[Item]],super1[Bairro],mercado4)+SUMIFS(supercb[Qtde],supercb[Item],tab_higiene[[#This Row],[Item]],supercb[Bairro],mercado4)</f>
        <v>0</v>
      </c>
      <c r="AO34" s="1">
        <f>SUMIFS(super1[Qtde],super1[Item],tab_higiene[[#This Row],[Item]],super1[Bairro],mercado5)+SUMIFS(supercb[Qtde],supercb[Item],tab_higiene[[#This Row],[Item]],supercb[Bairro],mercado5)</f>
        <v>0</v>
      </c>
      <c r="AP34" s="1">
        <f>SUMIFS(super1[Qtde],super1[Item],tab_higiene[[#This Row],[Item]],super1[Bairro],mercado6)+SUMIFS(supercb[Qtde],supercb[Item],tab_higiene[[#This Row],[Item]],supercb[Bairro],mercado6)</f>
        <v>0</v>
      </c>
      <c r="AQ34" s="1">
        <f>SUMIFS(super1[Qtde],super1[Item],tab_higiene[[#This Row],[Item]],super1[Bairro],mercado7)+SUMIFS(supercb[Qtde],supercb[Item],tab_higiene[[#This Row],[Item]],supercb[Bairro],mercado7)</f>
        <v>0</v>
      </c>
      <c r="AR34" s="1">
        <f>SUMIFS(super1[Qtde],super1[Item],tab_higiene[[#This Row],[Item]],super1[Bairro],mercado8)+SUMIFS(supercb[Qtde],supercb[Item],tab_higiene[[#This Row],[Item]],supercb[Bairro],mercado8)</f>
        <v>0</v>
      </c>
      <c r="AS34" s="1">
        <f>SUMIFS(super1[Qtde],super1[Item],tab_higiene[[#This Row],[Item]],super1[Bairro],mercado9)+SUMIFS(supercb[Qtde],supercb[Item],tab_higiene[[#This Row],[Item]],supercb[Bairro],mercado9)</f>
        <v>0</v>
      </c>
      <c r="AT34" s="1">
        <f>SUMIFS(super1[Qtde],super1[Item],tab_higiene[[#This Row],[Item]],super1[Bairro],mercado10)+SUMIFS(supercb[Qtde],supercb[Item],tab_higiene[[#This Row],[Item]],supercb[Bairro],mercado10)</f>
        <v>0</v>
      </c>
      <c r="AU34" s="1">
        <f>SUMIFS(super1[Qtde],super1[Item],tab_higiene[[#This Row],[Item]],super1[Bairro],mercado11)+SUMIFS(supercb[Qtde],supercb[Item],tab_higiene[[#This Row],[Item]],supercb[Bairro],mercado11)</f>
        <v>0</v>
      </c>
      <c r="AV34" s="1">
        <f>SUMIFS(super1[Qtde],super1[Item],tab_higiene[[#This Row],[Item]],super1[Bairro],mercado12)+SUMIFS(supercb[Qtde],supercb[Item],tab_higiene[[#This Row],[Item]],supercb[Bairro],mercado12)</f>
        <v>0</v>
      </c>
      <c r="AW34" s="1">
        <f>SUMIFS(super1[Qtde],super1[Item],tab_higiene[[#This Row],[Item]],super1[Bairro],mercado13)+SUMIFS(supercb[Qtde],supercb[Item],tab_higiene[[#This Row],[Item]],supercb[Bairro],mercado13)</f>
        <v>0</v>
      </c>
      <c r="AX34" s="1">
        <f>SUMIFS(super1[Qtde],super1[Item],tab_higiene[[#This Row],[Item]],super1[Bairro],mercado14)+SUMIFS(supercb[Qtde],supercb[Item],tab_higiene[[#This Row],[Item]],supercb[Bairro],mercado14)</f>
        <v>0</v>
      </c>
      <c r="AY34" s="1">
        <f>SUMIFS(super1[Qtde],super1[Item],tab_higiene[[#This Row],[Item]],super1[Bairro],mercado15)+SUMIFS(supercb[Qtde],supercb[Item],tab_higiene[[#This Row],[Item]],supercb[Bairro],mercado15)</f>
        <v>0</v>
      </c>
      <c r="AZ34" s="1">
        <f>SUMIFS(super1[Qtde],super1[Item],tab_higiene[[#This Row],[Item]],super1[Bairro],mercado16)+SUMIFS(supercb[Qtde],supercb[Item],tab_higiene[[#This Row],[Item]],supercb[Bairro],mercado16)</f>
        <v>0</v>
      </c>
      <c r="BA34" s="1">
        <f>SUMIFS(super1[Qtde],super1[Item],tab_higiene[[#This Row],[Item]],super1[Bairro],mercado17)+SUMIFS(supercb[Qtde],supercb[Item],tab_higiene[[#This Row],[Item]],supercb[Bairro],mercado17)</f>
        <v>0</v>
      </c>
      <c r="BB34" s="1">
        <f>SUMIFS(super1[Qtde],super1[Item],tab_higiene[[#This Row],[Item]],super1[Bairro],mercado18)+SUMIFS(supercb[Qtde],supercb[Item],tab_higiene[[#This Row],[Item]],supercb[Bairro],mercado18)</f>
        <v>0</v>
      </c>
      <c r="BC34" s="1">
        <f>SUMIFS(super1[Qtde],super1[Item],tab_higiene[[#This Row],[Item]],super1[Bairro],extras)+SUMIFS(supercb[Qtde],supercb[Item],tab_higiene[[#This Row],[Item]],supercb[Bairro],extras)</f>
        <v>0</v>
      </c>
      <c r="BD34" s="1">
        <f t="shared" si="3"/>
        <v>0</v>
      </c>
      <c r="BE34" s="1">
        <f t="shared" si="4"/>
        <v>0</v>
      </c>
      <c r="BF34" s="26">
        <f t="shared" si="5"/>
        <v>0</v>
      </c>
      <c r="BI34" s="33" t="str">
        <f>tab_alimentos[[#This Row],[Item]]</f>
        <v>Azeitona (150g)</v>
      </c>
      <c r="BJ34" s="33">
        <f t="shared" si="6"/>
        <v>9</v>
      </c>
      <c r="BK34" s="33" t="str">
        <f t="shared" si="7"/>
        <v>Azeitona</v>
      </c>
      <c r="BL34" s="33">
        <f>tab_alimentos[[#This Row],[kg]]</f>
        <v>0</v>
      </c>
      <c r="BM34" s="37" t="s">
        <v>283</v>
      </c>
      <c r="BN34" s="35">
        <f t="shared" si="11"/>
        <v>0</v>
      </c>
      <c r="BP34" s="33" t="str">
        <f>tab_higiene[[#This Row],[Item]]</f>
        <v>Band Aid</v>
      </c>
      <c r="BQ34" s="33">
        <f t="shared" si="8"/>
        <v>0</v>
      </c>
      <c r="BR34" s="33" t="str">
        <f t="shared" si="9"/>
        <v>Band Aid</v>
      </c>
      <c r="BS34" s="33">
        <f>higiene[[#This Row],[Quantidade]]</f>
        <v>1</v>
      </c>
      <c r="BT34" s="33">
        <f>tab_higiene[Qtde (tot)]</f>
        <v>0</v>
      </c>
      <c r="BU34" s="33">
        <f t="shared" si="12"/>
        <v>0</v>
      </c>
      <c r="BV34" s="37" t="s">
        <v>84</v>
      </c>
      <c r="BW34" s="33">
        <f t="shared" si="10"/>
        <v>0</v>
      </c>
    </row>
    <row r="35" spans="1:75" x14ac:dyDescent="0.25">
      <c r="A35" s="86">
        <f>SUM(tab_higiene[kg])</f>
        <v>2670.927095639131</v>
      </c>
      <c r="B35" s="86"/>
      <c r="C35" s="86"/>
      <c r="D35" s="86"/>
      <c r="E35" s="86"/>
      <c r="F35" s="86"/>
      <c r="G35" s="86"/>
      <c r="I35" s="25" t="str">
        <f>alimentos[[#This Row],[Item]]</f>
        <v>Azeitona (160g)</v>
      </c>
      <c r="J35" s="1">
        <f>IFERROR(alimentos[[#This Row],[kg/embalagem]],0)</f>
        <v>0.16</v>
      </c>
      <c r="K35" s="1">
        <f>IFERROR(alimentos[[#This Row],[Preço]],0)</f>
        <v>4.2175000000000002</v>
      </c>
      <c r="L35" s="1">
        <f>SUMIFS(super1[Qtde],super1[Item],tab_alimentos[[#This Row],[Item]],super1[Bairro],mercado1)+SUMIFS(supercb[Qtde],supercb[Item],tab_alimentos[[#This Row],[Item]],supercb[Bairro],mercado1)</f>
        <v>0</v>
      </c>
      <c r="M35" s="1">
        <f>SUMIFS(super1[Qtde],super1[Item],tab_alimentos[[#This Row],[Item]],super1[Bairro],mercado2)+SUMIFS(supercb[Qtde],supercb[Item],tab_alimentos[[#This Row],[Item]],supercb[Bairro],mercado2)</f>
        <v>0</v>
      </c>
      <c r="N35" s="1">
        <f>SUMIFS(super1[Qtde],super1[Item],tab_alimentos[[#This Row],[Item]],super1[Bairro],mercado3)+SUMIFS(supercb[Qtde],supercb[Item],tab_alimentos[[#This Row],[Item]],supercb[Bairro],mercado3)</f>
        <v>0</v>
      </c>
      <c r="O35" s="1">
        <f>SUMIFS(super1[Qtde],super1[Item],tab_alimentos[[#This Row],[Item]],super1[Bairro],mercado4)+SUMIFS(supercb[Qtde],supercb[Item],tab_alimentos[[#This Row],[Item]],supercb[Bairro],mercado4)</f>
        <v>0</v>
      </c>
      <c r="P35" s="1">
        <f>SUMIFS(super1[Qtde],super1[Item],tab_alimentos[[#This Row],[Item]],super1[Bairro],mercado5)+SUMIFS(supercb[Qtde],supercb[Item],tab_alimentos[[#This Row],[Item]],supercb[Bairro],mercado5)</f>
        <v>0</v>
      </c>
      <c r="Q35" s="1">
        <f>SUMIFS(super1[Qtde],super1[Item],tab_alimentos[[#This Row],[Item]],super1[Bairro],mercado6)+SUMIFS(supercb[Qtde],supercb[Item],tab_alimentos[[#This Row],[Item]],supercb[Bairro],mercado6)</f>
        <v>0</v>
      </c>
      <c r="R35" s="1">
        <f>SUMIFS(super1[Qtde],super1[Item],tab_alimentos[[#This Row],[Item]],super1[Bairro],mercado7)+SUMIFS(supercb[Qtde],supercb[Item],tab_alimentos[[#This Row],[Item]],supercb[Bairro],mercado7)</f>
        <v>0</v>
      </c>
      <c r="S35" s="1">
        <f>SUMIFS(super1[Qtde],super1[Item],tab_alimentos[[#This Row],[Item]],super1[Bairro],mercado8)+SUMIFS(supercb[Qtde],supercb[Item],tab_alimentos[[#This Row],[Item]],supercb[Bairro],mercado8)</f>
        <v>0</v>
      </c>
      <c r="T35" s="1">
        <f>SUMIFS(super1[Qtde],super1[Item],tab_alimentos[[#This Row],[Item]],super1[Bairro],mercado9)+SUMIFS(supercb[Qtde],supercb[Item],tab_alimentos[[#This Row],[Item]],supercb[Bairro],mercado9)</f>
        <v>0</v>
      </c>
      <c r="U35" s="1">
        <f>SUMIFS(super1[Qtde],super1[Item],tab_alimentos[[#This Row],[Item]],super1[Bairro],mercado10)+SUMIFS(supercb[Qtde],supercb[Item],tab_alimentos[[#This Row],[Item]],supercb[Bairro],mercado10)</f>
        <v>0</v>
      </c>
      <c r="V35" s="1">
        <f>SUMIFS(super1[Qtde],super1[Item],tab_alimentos[[#This Row],[Item]],super1[Bairro],mercado11)+SUMIFS(supercb[Qtde],supercb[Item],tab_alimentos[[#This Row],[Item]],supercb[Bairro],mercado11)</f>
        <v>0</v>
      </c>
      <c r="W35" s="1">
        <f>SUMIFS(super1[Qtde],super1[Item],tab_alimentos[[#This Row],[Item]],super1[Bairro],mercado12)+SUMIFS(supercb[Qtde],supercb[Item],tab_alimentos[[#This Row],[Item]],supercb[Bairro],mercado12)</f>
        <v>0</v>
      </c>
      <c r="X35" s="1">
        <f>SUMIFS(super1[Qtde],super1[Item],tab_alimentos[[#This Row],[Item]],super1[Bairro],mercado13)+SUMIFS(supercb[Qtde],supercb[Item],tab_alimentos[[#This Row],[Item]],supercb[Bairro],mercado13)</f>
        <v>0</v>
      </c>
      <c r="Y35" s="1">
        <f>SUMIFS(super1[Qtde],super1[Item],tab_alimentos[[#This Row],[Item]],super1[Bairro],mercado14)+SUMIFS(supercb[Qtde],supercb[Item],tab_alimentos[[#This Row],[Item]],supercb[Bairro],mercado14)</f>
        <v>0</v>
      </c>
      <c r="Z35" s="1">
        <f>SUMIFS(super1[Qtde],super1[Item],tab_alimentos[[#This Row],[Item]],super1[Bairro],mercado15)+SUMIFS(supercb[Qtde],supercb[Item],tab_alimentos[[#This Row],[Item]],supercb[Bairro],mercado15)</f>
        <v>0</v>
      </c>
      <c r="AA35" s="1">
        <f>SUMIFS(super1[Qtde],super1[Item],tab_alimentos[[#This Row],[Item]],super1[Bairro],mercado16)+SUMIFS(supercb[Qtde],supercb[Item],tab_alimentos[[#This Row],[Item]],supercb[Bairro],mercado16)</f>
        <v>0</v>
      </c>
      <c r="AB35" s="1">
        <f>SUMIFS(super1[Qtde],super1[Item],tab_alimentos[[#This Row],[Item]],super1[Bairro],mercado17)+SUMIFS(supercb[Qtde],supercb[Item],tab_alimentos[[#This Row],[Item]],supercb[Bairro],mercado17)</f>
        <v>0</v>
      </c>
      <c r="AC35" s="1">
        <f>SUMIFS(super1[Qtde],super1[Item],tab_alimentos[[#This Row],[Item]],super1[Bairro],mercado18)+SUMIFS(supercb[Qtde],supercb[Item],tab_alimentos[[#This Row],[Item]],supercb[Bairro],mercado18)</f>
        <v>0</v>
      </c>
      <c r="AD35" s="1">
        <f>SUMIFS(super1[Qtde],super1[Item],tab_alimentos[[#This Row],[Item]],super1[Bairro],extras)+SUMIFS(supercb[Qtde],supercb[Item],tab_alimentos[[#This Row],[Item]],supercb[Bairro],extras)</f>
        <v>0</v>
      </c>
      <c r="AE35" s="1">
        <f t="shared" si="0"/>
        <v>0</v>
      </c>
      <c r="AF35" s="1">
        <f t="shared" si="1"/>
        <v>0</v>
      </c>
      <c r="AG35" s="3">
        <f t="shared" si="2"/>
        <v>0</v>
      </c>
      <c r="AH35" s="25" t="str">
        <f>higiene[[#This Row],[Item]]</f>
        <v>Band Aid (10un)</v>
      </c>
      <c r="AI35" s="1">
        <f>IFERROR(higiene[[#This Row],[Kg equivalente]],0)</f>
        <v>1.283052827298413</v>
      </c>
      <c r="AJ35" s="1">
        <f>IFERROR(higiene[[#This Row],[Preço por produto]],0)</f>
        <v>4.25</v>
      </c>
      <c r="AK35" s="1">
        <f>SUMIFS(super1[Qtde],super1[Item],tab_higiene[[#This Row],[Item]],super1[Bairro],mercado1)+SUMIFS(supercb[Qtde],supercb[Item],tab_higiene[[#This Row],[Item]],supercb[Bairro],mercado1)</f>
        <v>0</v>
      </c>
      <c r="AL35" s="1">
        <f>SUMIFS(super1[Qtde],super1[Item],tab_higiene[[#This Row],[Item]],super1[Bairro],mercado2)+SUMIFS(supercb[Qtde],supercb[Item],tab_higiene[[#This Row],[Item]],supercb[Bairro],mercado2)</f>
        <v>0</v>
      </c>
      <c r="AM35" s="1">
        <f>SUMIFS(super1[Qtde],super1[Item],tab_higiene[[#This Row],[Item]],super1[Bairro],mercado3)+SUMIFS(supercb[Qtde],supercb[Item],tab_higiene[[#This Row],[Item]],supercb[Bairro],mercado3)</f>
        <v>0</v>
      </c>
      <c r="AN35" s="1">
        <f>SUMIFS(super1[Qtde],super1[Item],tab_higiene[[#This Row],[Item]],super1[Bairro],mercado4)+SUMIFS(supercb[Qtde],supercb[Item],tab_higiene[[#This Row],[Item]],supercb[Bairro],mercado4)</f>
        <v>0</v>
      </c>
      <c r="AO35" s="1">
        <f>SUMIFS(super1[Qtde],super1[Item],tab_higiene[[#This Row],[Item]],super1[Bairro],mercado5)+SUMIFS(supercb[Qtde],supercb[Item],tab_higiene[[#This Row],[Item]],supercb[Bairro],mercado5)</f>
        <v>0</v>
      </c>
      <c r="AP35" s="1">
        <f>SUMIFS(super1[Qtde],super1[Item],tab_higiene[[#This Row],[Item]],super1[Bairro],mercado6)+SUMIFS(supercb[Qtde],supercb[Item],tab_higiene[[#This Row],[Item]],supercb[Bairro],mercado6)</f>
        <v>0</v>
      </c>
      <c r="AQ35" s="1">
        <f>SUMIFS(super1[Qtde],super1[Item],tab_higiene[[#This Row],[Item]],super1[Bairro],mercado7)+SUMIFS(supercb[Qtde],supercb[Item],tab_higiene[[#This Row],[Item]],supercb[Bairro],mercado7)</f>
        <v>0</v>
      </c>
      <c r="AR35" s="1">
        <f>SUMIFS(super1[Qtde],super1[Item],tab_higiene[[#This Row],[Item]],super1[Bairro],mercado8)+SUMIFS(supercb[Qtde],supercb[Item],tab_higiene[[#This Row],[Item]],supercb[Bairro],mercado8)</f>
        <v>0</v>
      </c>
      <c r="AS35" s="1">
        <f>SUMIFS(super1[Qtde],super1[Item],tab_higiene[[#This Row],[Item]],super1[Bairro],mercado9)+SUMIFS(supercb[Qtde],supercb[Item],tab_higiene[[#This Row],[Item]],supercb[Bairro],mercado9)</f>
        <v>0</v>
      </c>
      <c r="AT35" s="1">
        <f>SUMIFS(super1[Qtde],super1[Item],tab_higiene[[#This Row],[Item]],super1[Bairro],mercado10)+SUMIFS(supercb[Qtde],supercb[Item],tab_higiene[[#This Row],[Item]],supercb[Bairro],mercado10)</f>
        <v>0</v>
      </c>
      <c r="AU35" s="1">
        <f>SUMIFS(super1[Qtde],super1[Item],tab_higiene[[#This Row],[Item]],super1[Bairro],mercado11)+SUMIFS(supercb[Qtde],supercb[Item],tab_higiene[[#This Row],[Item]],supercb[Bairro],mercado11)</f>
        <v>0</v>
      </c>
      <c r="AV35" s="1">
        <f>SUMIFS(super1[Qtde],super1[Item],tab_higiene[[#This Row],[Item]],super1[Bairro],mercado12)+SUMIFS(supercb[Qtde],supercb[Item],tab_higiene[[#This Row],[Item]],supercb[Bairro],mercado12)</f>
        <v>0</v>
      </c>
      <c r="AW35" s="1">
        <f>SUMIFS(super1[Qtde],super1[Item],tab_higiene[[#This Row],[Item]],super1[Bairro],mercado13)+SUMIFS(supercb[Qtde],supercb[Item],tab_higiene[[#This Row],[Item]],supercb[Bairro],mercado13)</f>
        <v>0</v>
      </c>
      <c r="AX35" s="1">
        <f>SUMIFS(super1[Qtde],super1[Item],tab_higiene[[#This Row],[Item]],super1[Bairro],mercado14)+SUMIFS(supercb[Qtde],supercb[Item],tab_higiene[[#This Row],[Item]],supercb[Bairro],mercado14)</f>
        <v>0</v>
      </c>
      <c r="AY35" s="1">
        <f>SUMIFS(super1[Qtde],super1[Item],tab_higiene[[#This Row],[Item]],super1[Bairro],mercado15)+SUMIFS(supercb[Qtde],supercb[Item],tab_higiene[[#This Row],[Item]],supercb[Bairro],mercado15)</f>
        <v>0</v>
      </c>
      <c r="AZ35" s="1">
        <f>SUMIFS(super1[Qtde],super1[Item],tab_higiene[[#This Row],[Item]],super1[Bairro],mercado16)+SUMIFS(supercb[Qtde],supercb[Item],tab_higiene[[#This Row],[Item]],supercb[Bairro],mercado16)</f>
        <v>0</v>
      </c>
      <c r="BA35" s="1">
        <f>SUMIFS(super1[Qtde],super1[Item],tab_higiene[[#This Row],[Item]],super1[Bairro],mercado17)+SUMIFS(supercb[Qtde],supercb[Item],tab_higiene[[#This Row],[Item]],supercb[Bairro],mercado17)</f>
        <v>0</v>
      </c>
      <c r="BB35" s="1">
        <f>SUMIFS(super1[Qtde],super1[Item],tab_higiene[[#This Row],[Item]],super1[Bairro],mercado18)+SUMIFS(supercb[Qtde],supercb[Item],tab_higiene[[#This Row],[Item]],supercb[Bairro],mercado18)</f>
        <v>0</v>
      </c>
      <c r="BC35" s="1">
        <f>SUMIFS(super1[Qtde],super1[Item],tab_higiene[[#This Row],[Item]],super1[Bairro],extras)+SUMIFS(supercb[Qtde],supercb[Item],tab_higiene[[#This Row],[Item]],supercb[Bairro],extras)</f>
        <v>0</v>
      </c>
      <c r="BD35" s="1">
        <f t="shared" si="3"/>
        <v>0</v>
      </c>
      <c r="BE35" s="1">
        <f t="shared" si="4"/>
        <v>0</v>
      </c>
      <c r="BF35" s="26">
        <f t="shared" si="5"/>
        <v>0</v>
      </c>
      <c r="BI35" s="33" t="str">
        <f>tab_alimentos[[#This Row],[Item]]</f>
        <v>Azeitona (160g)</v>
      </c>
      <c r="BJ35" s="33">
        <f t="shared" si="6"/>
        <v>9</v>
      </c>
      <c r="BK35" s="33" t="str">
        <f t="shared" si="7"/>
        <v>Azeitona</v>
      </c>
      <c r="BL35" s="33">
        <f>tab_alimentos[[#This Row],[kg]]</f>
        <v>0</v>
      </c>
      <c r="BM35" s="37" t="s">
        <v>139</v>
      </c>
      <c r="BN35" s="35">
        <f t="shared" si="11"/>
        <v>0</v>
      </c>
      <c r="BP35" s="33" t="str">
        <f>tab_higiene[[#This Row],[Item]]</f>
        <v>Band Aid (10un)</v>
      </c>
      <c r="BQ35" s="33">
        <f t="shared" si="8"/>
        <v>9</v>
      </c>
      <c r="BR35" s="33" t="str">
        <f t="shared" si="9"/>
        <v>Band Aid</v>
      </c>
      <c r="BS35" s="33">
        <f>higiene[[#This Row],[Quantidade]]</f>
        <v>1</v>
      </c>
      <c r="BT35" s="33">
        <f>tab_higiene[Qtde (tot)]</f>
        <v>0</v>
      </c>
      <c r="BU35" s="33">
        <f t="shared" si="12"/>
        <v>0</v>
      </c>
      <c r="BV35" s="37" t="s">
        <v>85</v>
      </c>
      <c r="BW35" s="33">
        <f t="shared" si="10"/>
        <v>0</v>
      </c>
    </row>
    <row r="36" spans="1:75" x14ac:dyDescent="0.25">
      <c r="A36" s="86"/>
      <c r="B36" s="86"/>
      <c r="C36" s="86"/>
      <c r="D36" s="86"/>
      <c r="E36" s="86"/>
      <c r="F36" s="86"/>
      <c r="G36" s="86"/>
      <c r="I36" s="25" t="str">
        <f>alimentos[[#This Row],[Item]]</f>
        <v>Azeitona (1kg)</v>
      </c>
      <c r="J36" s="1">
        <f>IFERROR(alimentos[[#This Row],[kg/embalagem]],0)</f>
        <v>1</v>
      </c>
      <c r="K36" s="1">
        <f>IFERROR(alimentos[[#This Row],[Preço]],0)</f>
        <v>13.98</v>
      </c>
      <c r="L36" s="1">
        <f>SUMIFS(super1[Qtde],super1[Item],tab_alimentos[[#This Row],[Item]],super1[Bairro],mercado1)+SUMIFS(supercb[Qtde],supercb[Item],tab_alimentos[[#This Row],[Item]],supercb[Bairro],mercado1)</f>
        <v>0</v>
      </c>
      <c r="M36" s="1">
        <f>SUMIFS(super1[Qtde],super1[Item],tab_alimentos[[#This Row],[Item]],super1[Bairro],mercado2)+SUMIFS(supercb[Qtde],supercb[Item],tab_alimentos[[#This Row],[Item]],supercb[Bairro],mercado2)</f>
        <v>0</v>
      </c>
      <c r="N36" s="1">
        <f>SUMIFS(super1[Qtde],super1[Item],tab_alimentos[[#This Row],[Item]],super1[Bairro],mercado3)+SUMIFS(supercb[Qtde],supercb[Item],tab_alimentos[[#This Row],[Item]],supercb[Bairro],mercado3)</f>
        <v>0</v>
      </c>
      <c r="O36" s="1">
        <f>SUMIFS(super1[Qtde],super1[Item],tab_alimentos[[#This Row],[Item]],super1[Bairro],mercado4)+SUMIFS(supercb[Qtde],supercb[Item],tab_alimentos[[#This Row],[Item]],supercb[Bairro],mercado4)</f>
        <v>0</v>
      </c>
      <c r="P36" s="1">
        <f>SUMIFS(super1[Qtde],super1[Item],tab_alimentos[[#This Row],[Item]],super1[Bairro],mercado5)+SUMIFS(supercb[Qtde],supercb[Item],tab_alimentos[[#This Row],[Item]],supercb[Bairro],mercado5)</f>
        <v>0</v>
      </c>
      <c r="Q36" s="1">
        <f>SUMIFS(super1[Qtde],super1[Item],tab_alimentos[[#This Row],[Item]],super1[Bairro],mercado6)+SUMIFS(supercb[Qtde],supercb[Item],tab_alimentos[[#This Row],[Item]],supercb[Bairro],mercado6)</f>
        <v>0</v>
      </c>
      <c r="R36" s="1">
        <f>SUMIFS(super1[Qtde],super1[Item],tab_alimentos[[#This Row],[Item]],super1[Bairro],mercado7)+SUMIFS(supercb[Qtde],supercb[Item],tab_alimentos[[#This Row],[Item]],supercb[Bairro],mercado7)</f>
        <v>0</v>
      </c>
      <c r="S36" s="1">
        <f>SUMIFS(super1[Qtde],super1[Item],tab_alimentos[[#This Row],[Item]],super1[Bairro],mercado8)+SUMIFS(supercb[Qtde],supercb[Item],tab_alimentos[[#This Row],[Item]],supercb[Bairro],mercado8)</f>
        <v>0</v>
      </c>
      <c r="T36" s="1">
        <f>SUMIFS(super1[Qtde],super1[Item],tab_alimentos[[#This Row],[Item]],super1[Bairro],mercado9)+SUMIFS(supercb[Qtde],supercb[Item],tab_alimentos[[#This Row],[Item]],supercb[Bairro],mercado9)</f>
        <v>0</v>
      </c>
      <c r="U36" s="1">
        <f>SUMIFS(super1[Qtde],super1[Item],tab_alimentos[[#This Row],[Item]],super1[Bairro],mercado10)+SUMIFS(supercb[Qtde],supercb[Item],tab_alimentos[[#This Row],[Item]],supercb[Bairro],mercado10)</f>
        <v>0</v>
      </c>
      <c r="V36" s="1">
        <f>SUMIFS(super1[Qtde],super1[Item],tab_alimentos[[#This Row],[Item]],super1[Bairro],mercado11)+SUMIFS(supercb[Qtde],supercb[Item],tab_alimentos[[#This Row],[Item]],supercb[Bairro],mercado11)</f>
        <v>0</v>
      </c>
      <c r="W36" s="1">
        <f>SUMIFS(super1[Qtde],super1[Item],tab_alimentos[[#This Row],[Item]],super1[Bairro],mercado12)+SUMIFS(supercb[Qtde],supercb[Item],tab_alimentos[[#This Row],[Item]],supercb[Bairro],mercado12)</f>
        <v>0</v>
      </c>
      <c r="X36" s="1">
        <f>SUMIFS(super1[Qtde],super1[Item],tab_alimentos[[#This Row],[Item]],super1[Bairro],mercado13)+SUMIFS(supercb[Qtde],supercb[Item],tab_alimentos[[#This Row],[Item]],supercb[Bairro],mercado13)</f>
        <v>0</v>
      </c>
      <c r="Y36" s="1">
        <f>SUMIFS(super1[Qtde],super1[Item],tab_alimentos[[#This Row],[Item]],super1[Bairro],mercado14)+SUMIFS(supercb[Qtde],supercb[Item],tab_alimentos[[#This Row],[Item]],supercb[Bairro],mercado14)</f>
        <v>0</v>
      </c>
      <c r="Z36" s="1">
        <f>SUMIFS(super1[Qtde],super1[Item],tab_alimentos[[#This Row],[Item]],super1[Bairro],mercado15)+SUMIFS(supercb[Qtde],supercb[Item],tab_alimentos[[#This Row],[Item]],supercb[Bairro],mercado15)</f>
        <v>0</v>
      </c>
      <c r="AA36" s="1">
        <f>SUMIFS(super1[Qtde],super1[Item],tab_alimentos[[#This Row],[Item]],super1[Bairro],mercado16)+SUMIFS(supercb[Qtde],supercb[Item],tab_alimentos[[#This Row],[Item]],supercb[Bairro],mercado16)</f>
        <v>0</v>
      </c>
      <c r="AB36" s="1">
        <f>SUMIFS(super1[Qtde],super1[Item],tab_alimentos[[#This Row],[Item]],super1[Bairro],mercado17)+SUMIFS(supercb[Qtde],supercb[Item],tab_alimentos[[#This Row],[Item]],supercb[Bairro],mercado17)</f>
        <v>0</v>
      </c>
      <c r="AC36" s="1">
        <f>SUMIFS(super1[Qtde],super1[Item],tab_alimentos[[#This Row],[Item]],super1[Bairro],mercado18)+SUMIFS(supercb[Qtde],supercb[Item],tab_alimentos[[#This Row],[Item]],supercb[Bairro],mercado18)</f>
        <v>0</v>
      </c>
      <c r="AD36" s="1">
        <f>SUMIFS(super1[Qtde],super1[Item],tab_alimentos[[#This Row],[Item]],super1[Bairro],extras)+SUMIFS(supercb[Qtde],supercb[Item],tab_alimentos[[#This Row],[Item]],supercb[Bairro],extras)</f>
        <v>0</v>
      </c>
      <c r="AE36" s="1">
        <f t="shared" si="0"/>
        <v>0</v>
      </c>
      <c r="AF36" s="1">
        <f t="shared" si="1"/>
        <v>0</v>
      </c>
      <c r="AG36" s="3">
        <f t="shared" si="2"/>
        <v>0</v>
      </c>
      <c r="AH36" s="25" t="str">
        <f>higiene[[#This Row],[Item]]</f>
        <v>Band Aid (40un)</v>
      </c>
      <c r="AI36" s="1">
        <f>IFERROR(higiene[[#This Row],[Kg equivalente]],0)</f>
        <v>3.4687710554491216</v>
      </c>
      <c r="AJ36" s="1">
        <f>IFERROR(higiene[[#This Row],[Preço por produto]],0)</f>
        <v>11.49</v>
      </c>
      <c r="AK36" s="1">
        <f>SUMIFS(super1[Qtde],super1[Item],tab_higiene[[#This Row],[Item]],super1[Bairro],mercado1)+SUMIFS(supercb[Qtde],supercb[Item],tab_higiene[[#This Row],[Item]],supercb[Bairro],mercado1)</f>
        <v>0</v>
      </c>
      <c r="AL36" s="1">
        <f>SUMIFS(super1[Qtde],super1[Item],tab_higiene[[#This Row],[Item]],super1[Bairro],mercado2)+SUMIFS(supercb[Qtde],supercb[Item],tab_higiene[[#This Row],[Item]],supercb[Bairro],mercado2)</f>
        <v>0</v>
      </c>
      <c r="AM36" s="1">
        <f>SUMIFS(super1[Qtde],super1[Item],tab_higiene[[#This Row],[Item]],super1[Bairro],mercado3)+SUMIFS(supercb[Qtde],supercb[Item],tab_higiene[[#This Row],[Item]],supercb[Bairro],mercado3)</f>
        <v>0</v>
      </c>
      <c r="AN36" s="1">
        <f>SUMIFS(super1[Qtde],super1[Item],tab_higiene[[#This Row],[Item]],super1[Bairro],mercado4)+SUMIFS(supercb[Qtde],supercb[Item],tab_higiene[[#This Row],[Item]],supercb[Bairro],mercado4)</f>
        <v>0</v>
      </c>
      <c r="AO36" s="1">
        <f>SUMIFS(super1[Qtde],super1[Item],tab_higiene[[#This Row],[Item]],super1[Bairro],mercado5)+SUMIFS(supercb[Qtde],supercb[Item],tab_higiene[[#This Row],[Item]],supercb[Bairro],mercado5)</f>
        <v>0</v>
      </c>
      <c r="AP36" s="1">
        <f>SUMIFS(super1[Qtde],super1[Item],tab_higiene[[#This Row],[Item]],super1[Bairro],mercado6)+SUMIFS(supercb[Qtde],supercb[Item],tab_higiene[[#This Row],[Item]],supercb[Bairro],mercado6)</f>
        <v>0</v>
      </c>
      <c r="AQ36" s="1">
        <f>SUMIFS(super1[Qtde],super1[Item],tab_higiene[[#This Row],[Item]],super1[Bairro],mercado7)+SUMIFS(supercb[Qtde],supercb[Item],tab_higiene[[#This Row],[Item]],supercb[Bairro],mercado7)</f>
        <v>0</v>
      </c>
      <c r="AR36" s="1">
        <f>SUMIFS(super1[Qtde],super1[Item],tab_higiene[[#This Row],[Item]],super1[Bairro],mercado8)+SUMIFS(supercb[Qtde],supercb[Item],tab_higiene[[#This Row],[Item]],supercb[Bairro],mercado8)</f>
        <v>0</v>
      </c>
      <c r="AS36" s="1">
        <f>SUMIFS(super1[Qtde],super1[Item],tab_higiene[[#This Row],[Item]],super1[Bairro],mercado9)+SUMIFS(supercb[Qtde],supercb[Item],tab_higiene[[#This Row],[Item]],supercb[Bairro],mercado9)</f>
        <v>0</v>
      </c>
      <c r="AT36" s="1">
        <f>SUMIFS(super1[Qtde],super1[Item],tab_higiene[[#This Row],[Item]],super1[Bairro],mercado10)+SUMIFS(supercb[Qtde],supercb[Item],tab_higiene[[#This Row],[Item]],supercb[Bairro],mercado10)</f>
        <v>0</v>
      </c>
      <c r="AU36" s="1">
        <f>SUMIFS(super1[Qtde],super1[Item],tab_higiene[[#This Row],[Item]],super1[Bairro],mercado11)+SUMIFS(supercb[Qtde],supercb[Item],tab_higiene[[#This Row],[Item]],supercb[Bairro],mercado11)</f>
        <v>0</v>
      </c>
      <c r="AV36" s="1">
        <f>SUMIFS(super1[Qtde],super1[Item],tab_higiene[[#This Row],[Item]],super1[Bairro],mercado12)+SUMIFS(supercb[Qtde],supercb[Item],tab_higiene[[#This Row],[Item]],supercb[Bairro],mercado12)</f>
        <v>0</v>
      </c>
      <c r="AW36" s="1">
        <f>SUMIFS(super1[Qtde],super1[Item],tab_higiene[[#This Row],[Item]],super1[Bairro],mercado13)+SUMIFS(supercb[Qtde],supercb[Item],tab_higiene[[#This Row],[Item]],supercb[Bairro],mercado13)</f>
        <v>0</v>
      </c>
      <c r="AX36" s="1">
        <f>SUMIFS(super1[Qtde],super1[Item],tab_higiene[[#This Row],[Item]],super1[Bairro],mercado14)+SUMIFS(supercb[Qtde],supercb[Item],tab_higiene[[#This Row],[Item]],supercb[Bairro],mercado14)</f>
        <v>0</v>
      </c>
      <c r="AY36" s="1">
        <f>SUMIFS(super1[Qtde],super1[Item],tab_higiene[[#This Row],[Item]],super1[Bairro],mercado15)+SUMIFS(supercb[Qtde],supercb[Item],tab_higiene[[#This Row],[Item]],supercb[Bairro],mercado15)</f>
        <v>0</v>
      </c>
      <c r="AZ36" s="1">
        <f>SUMIFS(super1[Qtde],super1[Item],tab_higiene[[#This Row],[Item]],super1[Bairro],mercado16)+SUMIFS(supercb[Qtde],supercb[Item],tab_higiene[[#This Row],[Item]],supercb[Bairro],mercado16)</f>
        <v>0</v>
      </c>
      <c r="BA36" s="1">
        <f>SUMIFS(super1[Qtde],super1[Item],tab_higiene[[#This Row],[Item]],super1[Bairro],mercado17)+SUMIFS(supercb[Qtde],supercb[Item],tab_higiene[[#This Row],[Item]],supercb[Bairro],mercado17)</f>
        <v>0</v>
      </c>
      <c r="BB36" s="1">
        <f>SUMIFS(super1[Qtde],super1[Item],tab_higiene[[#This Row],[Item]],super1[Bairro],mercado18)+SUMIFS(supercb[Qtde],supercb[Item],tab_higiene[[#This Row],[Item]],supercb[Bairro],mercado18)</f>
        <v>0</v>
      </c>
      <c r="BC36" s="1">
        <f>SUMIFS(super1[Qtde],super1[Item],tab_higiene[[#This Row],[Item]],super1[Bairro],extras)+SUMIFS(supercb[Qtde],supercb[Item],tab_higiene[[#This Row],[Item]],supercb[Bairro],extras)</f>
        <v>0</v>
      </c>
      <c r="BD36" s="1">
        <f t="shared" si="3"/>
        <v>0</v>
      </c>
      <c r="BE36" s="1">
        <f t="shared" si="4"/>
        <v>0</v>
      </c>
      <c r="BF36" s="26">
        <f t="shared" si="5"/>
        <v>0</v>
      </c>
      <c r="BI36" s="33" t="str">
        <f>tab_alimentos[[#This Row],[Item]]</f>
        <v>Azeitona (1kg)</v>
      </c>
      <c r="BJ36" s="33">
        <f t="shared" si="6"/>
        <v>9</v>
      </c>
      <c r="BK36" s="33" t="str">
        <f t="shared" si="7"/>
        <v>Azeitona</v>
      </c>
      <c r="BL36" s="33">
        <f>tab_alimentos[[#This Row],[kg]]</f>
        <v>0</v>
      </c>
      <c r="BM36" s="37" t="s">
        <v>284</v>
      </c>
      <c r="BN36" s="35">
        <f t="shared" si="11"/>
        <v>0</v>
      </c>
      <c r="BP36" s="33" t="str">
        <f>tab_higiene[[#This Row],[Item]]</f>
        <v>Band Aid (40un)</v>
      </c>
      <c r="BQ36" s="33">
        <f t="shared" si="8"/>
        <v>9</v>
      </c>
      <c r="BR36" s="33" t="str">
        <f t="shared" si="9"/>
        <v>Band Aid</v>
      </c>
      <c r="BS36" s="33">
        <f>higiene[[#This Row],[Quantidade]]</f>
        <v>0</v>
      </c>
      <c r="BT36" s="33">
        <f>tab_higiene[Qtde (tot)]</f>
        <v>0</v>
      </c>
      <c r="BU36" s="33">
        <f t="shared" si="12"/>
        <v>0</v>
      </c>
      <c r="BV36" s="37" t="s">
        <v>86</v>
      </c>
      <c r="BW36" s="33">
        <f t="shared" si="10"/>
        <v>0</v>
      </c>
    </row>
    <row r="37" spans="1:75" x14ac:dyDescent="0.25">
      <c r="A37" s="87" t="s">
        <v>250</v>
      </c>
      <c r="B37" s="87"/>
      <c r="C37" s="87"/>
      <c r="D37" s="87"/>
      <c r="E37" s="87"/>
      <c r="F37" s="87"/>
      <c r="G37" s="87"/>
      <c r="I37" s="25" t="str">
        <f>alimentos[[#This Row],[Item]]</f>
        <v>Azeitona (270g)</v>
      </c>
      <c r="J37" s="1">
        <f>IFERROR(alimentos[[#This Row],[kg/embalagem]],0)</f>
        <v>0.27</v>
      </c>
      <c r="K37" s="1">
        <f>IFERROR(alimentos[[#This Row],[Preço]],0)</f>
        <v>6.99</v>
      </c>
      <c r="L37" s="1">
        <f>SUMIFS(super1[Qtde],super1[Item],tab_alimentos[[#This Row],[Item]],super1[Bairro],mercado1)+SUMIFS(supercb[Qtde],supercb[Item],tab_alimentos[[#This Row],[Item]],supercb[Bairro],mercado1)</f>
        <v>0</v>
      </c>
      <c r="M37" s="1">
        <f>SUMIFS(super1[Qtde],super1[Item],tab_alimentos[[#This Row],[Item]],super1[Bairro],mercado2)+SUMIFS(supercb[Qtde],supercb[Item],tab_alimentos[[#This Row],[Item]],supercb[Bairro],mercado2)</f>
        <v>0</v>
      </c>
      <c r="N37" s="1">
        <f>SUMIFS(super1[Qtde],super1[Item],tab_alimentos[[#This Row],[Item]],super1[Bairro],mercado3)+SUMIFS(supercb[Qtde],supercb[Item],tab_alimentos[[#This Row],[Item]],supercb[Bairro],mercado3)</f>
        <v>0</v>
      </c>
      <c r="O37" s="1">
        <f>SUMIFS(super1[Qtde],super1[Item],tab_alimentos[[#This Row],[Item]],super1[Bairro],mercado4)+SUMIFS(supercb[Qtde],supercb[Item],tab_alimentos[[#This Row],[Item]],supercb[Bairro],mercado4)</f>
        <v>0</v>
      </c>
      <c r="P37" s="1">
        <f>SUMIFS(super1[Qtde],super1[Item],tab_alimentos[[#This Row],[Item]],super1[Bairro],mercado5)+SUMIFS(supercb[Qtde],supercb[Item],tab_alimentos[[#This Row],[Item]],supercb[Bairro],mercado5)</f>
        <v>0</v>
      </c>
      <c r="Q37" s="1">
        <f>SUMIFS(super1[Qtde],super1[Item],tab_alimentos[[#This Row],[Item]],super1[Bairro],mercado6)+SUMIFS(supercb[Qtde],supercb[Item],tab_alimentos[[#This Row],[Item]],supercb[Bairro],mercado6)</f>
        <v>0</v>
      </c>
      <c r="R37" s="1">
        <f>SUMIFS(super1[Qtde],super1[Item],tab_alimentos[[#This Row],[Item]],super1[Bairro],mercado7)+SUMIFS(supercb[Qtde],supercb[Item],tab_alimentos[[#This Row],[Item]],supercb[Bairro],mercado7)</f>
        <v>0</v>
      </c>
      <c r="S37" s="1">
        <f>SUMIFS(super1[Qtde],super1[Item],tab_alimentos[[#This Row],[Item]],super1[Bairro],mercado8)+SUMIFS(supercb[Qtde],supercb[Item],tab_alimentos[[#This Row],[Item]],supercb[Bairro],mercado8)</f>
        <v>0</v>
      </c>
      <c r="T37" s="1">
        <f>SUMIFS(super1[Qtde],super1[Item],tab_alimentos[[#This Row],[Item]],super1[Bairro],mercado9)+SUMIFS(supercb[Qtde],supercb[Item],tab_alimentos[[#This Row],[Item]],supercb[Bairro],mercado9)</f>
        <v>0</v>
      </c>
      <c r="U37" s="1">
        <f>SUMIFS(super1[Qtde],super1[Item],tab_alimentos[[#This Row],[Item]],super1[Bairro],mercado10)+SUMIFS(supercb[Qtde],supercb[Item],tab_alimentos[[#This Row],[Item]],supercb[Bairro],mercado10)</f>
        <v>0</v>
      </c>
      <c r="V37" s="1">
        <f>SUMIFS(super1[Qtde],super1[Item],tab_alimentos[[#This Row],[Item]],super1[Bairro],mercado11)+SUMIFS(supercb[Qtde],supercb[Item],tab_alimentos[[#This Row],[Item]],supercb[Bairro],mercado11)</f>
        <v>0</v>
      </c>
      <c r="W37" s="1">
        <f>SUMIFS(super1[Qtde],super1[Item],tab_alimentos[[#This Row],[Item]],super1[Bairro],mercado12)+SUMIFS(supercb[Qtde],supercb[Item],tab_alimentos[[#This Row],[Item]],supercb[Bairro],mercado12)</f>
        <v>0</v>
      </c>
      <c r="X37" s="1">
        <f>SUMIFS(super1[Qtde],super1[Item],tab_alimentos[[#This Row],[Item]],super1[Bairro],mercado13)+SUMIFS(supercb[Qtde],supercb[Item],tab_alimentos[[#This Row],[Item]],supercb[Bairro],mercado13)</f>
        <v>0</v>
      </c>
      <c r="Y37" s="1">
        <f>SUMIFS(super1[Qtde],super1[Item],tab_alimentos[[#This Row],[Item]],super1[Bairro],mercado14)+SUMIFS(supercb[Qtde],supercb[Item],tab_alimentos[[#This Row],[Item]],supercb[Bairro],mercado14)</f>
        <v>0</v>
      </c>
      <c r="Z37" s="1">
        <f>SUMIFS(super1[Qtde],super1[Item],tab_alimentos[[#This Row],[Item]],super1[Bairro],mercado15)+SUMIFS(supercb[Qtde],supercb[Item],tab_alimentos[[#This Row],[Item]],supercb[Bairro],mercado15)</f>
        <v>0</v>
      </c>
      <c r="AA37" s="1">
        <f>SUMIFS(super1[Qtde],super1[Item],tab_alimentos[[#This Row],[Item]],super1[Bairro],mercado16)+SUMIFS(supercb[Qtde],supercb[Item],tab_alimentos[[#This Row],[Item]],supercb[Bairro],mercado16)</f>
        <v>0</v>
      </c>
      <c r="AB37" s="1">
        <f>SUMIFS(super1[Qtde],super1[Item],tab_alimentos[[#This Row],[Item]],super1[Bairro],mercado17)+SUMIFS(supercb[Qtde],supercb[Item],tab_alimentos[[#This Row],[Item]],supercb[Bairro],mercado17)</f>
        <v>0</v>
      </c>
      <c r="AC37" s="1">
        <f>SUMIFS(super1[Qtde],super1[Item],tab_alimentos[[#This Row],[Item]],super1[Bairro],mercado18)+SUMIFS(supercb[Qtde],supercb[Item],tab_alimentos[[#This Row],[Item]],supercb[Bairro],mercado18)</f>
        <v>0</v>
      </c>
      <c r="AD37" s="1">
        <f>SUMIFS(super1[Qtde],super1[Item],tab_alimentos[[#This Row],[Item]],super1[Bairro],extras)+SUMIFS(supercb[Qtde],supercb[Item],tab_alimentos[[#This Row],[Item]],supercb[Bairro],extras)</f>
        <v>0</v>
      </c>
      <c r="AE37" s="1">
        <f t="shared" ref="AE37:AE68" si="18">SUM(L37:AC37)</f>
        <v>0</v>
      </c>
      <c r="AF37" s="1">
        <f t="shared" ref="AF37:AF68" si="19">IFERROR(AE37*K37,0)</f>
        <v>0</v>
      </c>
      <c r="AG37" s="3">
        <f t="shared" ref="AG37:AG68" si="20">IFERROR(J37*AE37,0)</f>
        <v>0</v>
      </c>
      <c r="AH37" s="25" t="str">
        <f>higiene[[#This Row],[Item]]</f>
        <v>Brilho Alumínio (2L)</v>
      </c>
      <c r="AI37" s="1">
        <f>IFERROR(higiene[[#This Row],[Kg equivalente]],0)</f>
        <v>1.7781602712441535</v>
      </c>
      <c r="AJ37" s="1">
        <f>IFERROR(higiene[[#This Row],[Preço por produto]],0)</f>
        <v>5.89</v>
      </c>
      <c r="AK37" s="1">
        <f>SUMIFS(super1[Qtde],super1[Item],tab_higiene[[#This Row],[Item]],super1[Bairro],mercado1)+SUMIFS(supercb[Qtde],supercb[Item],tab_higiene[[#This Row],[Item]],supercb[Bairro],mercado1)</f>
        <v>0</v>
      </c>
      <c r="AL37" s="1">
        <f>SUMIFS(super1[Qtde],super1[Item],tab_higiene[[#This Row],[Item]],super1[Bairro],mercado2)+SUMIFS(supercb[Qtde],supercb[Item],tab_higiene[[#This Row],[Item]],supercb[Bairro],mercado2)</f>
        <v>0</v>
      </c>
      <c r="AM37" s="1">
        <f>SUMIFS(super1[Qtde],super1[Item],tab_higiene[[#This Row],[Item]],super1[Bairro],mercado3)+SUMIFS(supercb[Qtde],supercb[Item],tab_higiene[[#This Row],[Item]],supercb[Bairro],mercado3)</f>
        <v>0</v>
      </c>
      <c r="AN37" s="1">
        <f>SUMIFS(super1[Qtde],super1[Item],tab_higiene[[#This Row],[Item]],super1[Bairro],mercado4)+SUMIFS(supercb[Qtde],supercb[Item],tab_higiene[[#This Row],[Item]],supercb[Bairro],mercado4)</f>
        <v>0</v>
      </c>
      <c r="AO37" s="1">
        <f>SUMIFS(super1[Qtde],super1[Item],tab_higiene[[#This Row],[Item]],super1[Bairro],mercado5)+SUMIFS(supercb[Qtde],supercb[Item],tab_higiene[[#This Row],[Item]],supercb[Bairro],mercado5)</f>
        <v>0</v>
      </c>
      <c r="AP37" s="1">
        <f>SUMIFS(super1[Qtde],super1[Item],tab_higiene[[#This Row],[Item]],super1[Bairro],mercado6)+SUMIFS(supercb[Qtde],supercb[Item],tab_higiene[[#This Row],[Item]],supercb[Bairro],mercado6)</f>
        <v>0</v>
      </c>
      <c r="AQ37" s="1">
        <f>SUMIFS(super1[Qtde],super1[Item],tab_higiene[[#This Row],[Item]],super1[Bairro],mercado7)+SUMIFS(supercb[Qtde],supercb[Item],tab_higiene[[#This Row],[Item]],supercb[Bairro],mercado7)</f>
        <v>0</v>
      </c>
      <c r="AR37" s="1">
        <f>SUMIFS(super1[Qtde],super1[Item],tab_higiene[[#This Row],[Item]],super1[Bairro],mercado8)+SUMIFS(supercb[Qtde],supercb[Item],tab_higiene[[#This Row],[Item]],supercb[Bairro],mercado8)</f>
        <v>0</v>
      </c>
      <c r="AS37" s="1">
        <f>SUMIFS(super1[Qtde],super1[Item],tab_higiene[[#This Row],[Item]],super1[Bairro],mercado9)+SUMIFS(supercb[Qtde],supercb[Item],tab_higiene[[#This Row],[Item]],supercb[Bairro],mercado9)</f>
        <v>0</v>
      </c>
      <c r="AT37" s="1">
        <f>SUMIFS(super1[Qtde],super1[Item],tab_higiene[[#This Row],[Item]],super1[Bairro],mercado10)+SUMIFS(supercb[Qtde],supercb[Item],tab_higiene[[#This Row],[Item]],supercb[Bairro],mercado10)</f>
        <v>0</v>
      </c>
      <c r="AU37" s="1">
        <f>SUMIFS(super1[Qtde],super1[Item],tab_higiene[[#This Row],[Item]],super1[Bairro],mercado11)+SUMIFS(supercb[Qtde],supercb[Item],tab_higiene[[#This Row],[Item]],supercb[Bairro],mercado11)</f>
        <v>0</v>
      </c>
      <c r="AV37" s="1">
        <f>SUMIFS(super1[Qtde],super1[Item],tab_higiene[[#This Row],[Item]],super1[Bairro],mercado12)+SUMIFS(supercb[Qtde],supercb[Item],tab_higiene[[#This Row],[Item]],supercb[Bairro],mercado12)</f>
        <v>0</v>
      </c>
      <c r="AW37" s="1">
        <f>SUMIFS(super1[Qtde],super1[Item],tab_higiene[[#This Row],[Item]],super1[Bairro],mercado13)+SUMIFS(supercb[Qtde],supercb[Item],tab_higiene[[#This Row],[Item]],supercb[Bairro],mercado13)</f>
        <v>0</v>
      </c>
      <c r="AX37" s="1">
        <f>SUMIFS(super1[Qtde],super1[Item],tab_higiene[[#This Row],[Item]],super1[Bairro],mercado14)+SUMIFS(supercb[Qtde],supercb[Item],tab_higiene[[#This Row],[Item]],supercb[Bairro],mercado14)</f>
        <v>0</v>
      </c>
      <c r="AY37" s="1">
        <f>SUMIFS(super1[Qtde],super1[Item],tab_higiene[[#This Row],[Item]],super1[Bairro],mercado15)+SUMIFS(supercb[Qtde],supercb[Item],tab_higiene[[#This Row],[Item]],supercb[Bairro],mercado15)</f>
        <v>0</v>
      </c>
      <c r="AZ37" s="1">
        <f>SUMIFS(super1[Qtde],super1[Item],tab_higiene[[#This Row],[Item]],super1[Bairro],mercado16)+SUMIFS(supercb[Qtde],supercb[Item],tab_higiene[[#This Row],[Item]],supercb[Bairro],mercado16)</f>
        <v>0</v>
      </c>
      <c r="BA37" s="1">
        <f>SUMIFS(super1[Qtde],super1[Item],tab_higiene[[#This Row],[Item]],super1[Bairro],mercado17)+SUMIFS(supercb[Qtde],supercb[Item],tab_higiene[[#This Row],[Item]],supercb[Bairro],mercado17)</f>
        <v>0</v>
      </c>
      <c r="BB37" s="1">
        <f>SUMIFS(super1[Qtde],super1[Item],tab_higiene[[#This Row],[Item]],super1[Bairro],mercado18)+SUMIFS(supercb[Qtde],supercb[Item],tab_higiene[[#This Row],[Item]],supercb[Bairro],mercado18)</f>
        <v>0</v>
      </c>
      <c r="BC37" s="1">
        <f>SUMIFS(super1[Qtde],super1[Item],tab_higiene[[#This Row],[Item]],super1[Bairro],extras)+SUMIFS(supercb[Qtde],supercb[Item],tab_higiene[[#This Row],[Item]],supercb[Bairro],extras)</f>
        <v>0</v>
      </c>
      <c r="BD37" s="1">
        <f t="shared" ref="BD37:BD68" si="21">SUM(AK37:BB37)</f>
        <v>0</v>
      </c>
      <c r="BE37" s="1">
        <f t="shared" ref="BE37:BE68" si="22">IFERROR(BD37*AJ37,0)</f>
        <v>0</v>
      </c>
      <c r="BF37" s="26">
        <f t="shared" ref="BF37:BF68" si="23">IFERROR(AI37*BD37,0)</f>
        <v>0</v>
      </c>
      <c r="BI37" s="33" t="str">
        <f>tab_alimentos[[#This Row],[Item]]</f>
        <v>Azeitona (270g)</v>
      </c>
      <c r="BJ37" s="33">
        <f t="shared" si="6"/>
        <v>9</v>
      </c>
      <c r="BK37" s="33" t="str">
        <f t="shared" si="7"/>
        <v>Azeitona</v>
      </c>
      <c r="BL37" s="33">
        <f>tab_alimentos[[#This Row],[kg]]</f>
        <v>0</v>
      </c>
      <c r="BM37" s="37" t="s">
        <v>285</v>
      </c>
      <c r="BN37" s="35">
        <f t="shared" si="11"/>
        <v>0</v>
      </c>
      <c r="BP37" s="33" t="str">
        <f>tab_higiene[[#This Row],[Item]]</f>
        <v>Brilho Alumínio (2L)</v>
      </c>
      <c r="BQ37" s="33">
        <f t="shared" si="8"/>
        <v>16</v>
      </c>
      <c r="BR37" s="33" t="str">
        <f t="shared" si="9"/>
        <v>Brilho Alumínio</v>
      </c>
      <c r="BS37" s="33">
        <f>higiene[[#This Row],[Quantidade]]</f>
        <v>0.5</v>
      </c>
      <c r="BT37" s="33">
        <f>tab_higiene[Qtde (tot)]</f>
        <v>0</v>
      </c>
      <c r="BU37" s="33">
        <f t="shared" si="12"/>
        <v>0</v>
      </c>
      <c r="BV37" s="37" t="s">
        <v>321</v>
      </c>
      <c r="BW37" s="33">
        <f t="shared" ref="BW37:BW68" si="24">SUMIF($BR$5:$BR$142,BV37,$BU$5:$BU$142)</f>
        <v>12.95</v>
      </c>
    </row>
    <row r="38" spans="1:75" x14ac:dyDescent="0.25">
      <c r="A38" s="88">
        <f>SUM(tab_alimentos[Preço x Qtde])/SUM(tab_alimentos[kg])</f>
        <v>3.31241232595915</v>
      </c>
      <c r="B38" s="88"/>
      <c r="C38" s="88"/>
      <c r="D38" s="88"/>
      <c r="E38" s="88"/>
      <c r="F38" s="88"/>
      <c r="G38" s="88"/>
      <c r="I38" s="25" t="str">
        <f>alimentos[[#This Row],[Item]]</f>
        <v>B</v>
      </c>
      <c r="J38" s="1">
        <f>IFERROR(alimentos[[#This Row],[kg/embalagem]],0)</f>
        <v>0</v>
      </c>
      <c r="K38" s="1">
        <f>IFERROR(alimentos[[#This Row],[Preço]],0)</f>
        <v>0</v>
      </c>
      <c r="L38" s="1">
        <f>SUMIFS(super1[Qtde],super1[Item],tab_alimentos[[#This Row],[Item]],super1[Bairro],mercado1)+SUMIFS(supercb[Qtde],supercb[Item],tab_alimentos[[#This Row],[Item]],supercb[Bairro],mercado1)</f>
        <v>0</v>
      </c>
      <c r="M38" s="1">
        <f>SUMIFS(super1[Qtde],super1[Item],tab_alimentos[[#This Row],[Item]],super1[Bairro],mercado2)+SUMIFS(supercb[Qtde],supercb[Item],tab_alimentos[[#This Row],[Item]],supercb[Bairro],mercado2)</f>
        <v>0</v>
      </c>
      <c r="N38" s="1">
        <f>SUMIFS(super1[Qtde],super1[Item],tab_alimentos[[#This Row],[Item]],super1[Bairro],mercado3)+SUMIFS(supercb[Qtde],supercb[Item],tab_alimentos[[#This Row],[Item]],supercb[Bairro],mercado3)</f>
        <v>0</v>
      </c>
      <c r="O38" s="1">
        <f>SUMIFS(super1[Qtde],super1[Item],tab_alimentos[[#This Row],[Item]],super1[Bairro],mercado4)+SUMIFS(supercb[Qtde],supercb[Item],tab_alimentos[[#This Row],[Item]],supercb[Bairro],mercado4)</f>
        <v>0</v>
      </c>
      <c r="P38" s="1">
        <f>SUMIFS(super1[Qtde],super1[Item],tab_alimentos[[#This Row],[Item]],super1[Bairro],mercado5)+SUMIFS(supercb[Qtde],supercb[Item],tab_alimentos[[#This Row],[Item]],supercb[Bairro],mercado5)</f>
        <v>0</v>
      </c>
      <c r="Q38" s="1">
        <f>SUMIFS(super1[Qtde],super1[Item],tab_alimentos[[#This Row],[Item]],super1[Bairro],mercado6)+SUMIFS(supercb[Qtde],supercb[Item],tab_alimentos[[#This Row],[Item]],supercb[Bairro],mercado6)</f>
        <v>0</v>
      </c>
      <c r="R38" s="1">
        <f>SUMIFS(super1[Qtde],super1[Item],tab_alimentos[[#This Row],[Item]],super1[Bairro],mercado7)+SUMIFS(supercb[Qtde],supercb[Item],tab_alimentos[[#This Row],[Item]],supercb[Bairro],mercado7)</f>
        <v>0</v>
      </c>
      <c r="S38" s="1">
        <f>SUMIFS(super1[Qtde],super1[Item],tab_alimentos[[#This Row],[Item]],super1[Bairro],mercado8)+SUMIFS(supercb[Qtde],supercb[Item],tab_alimentos[[#This Row],[Item]],supercb[Bairro],mercado8)</f>
        <v>0</v>
      </c>
      <c r="T38" s="1">
        <f>SUMIFS(super1[Qtde],super1[Item],tab_alimentos[[#This Row],[Item]],super1[Bairro],mercado9)+SUMIFS(supercb[Qtde],supercb[Item],tab_alimentos[[#This Row],[Item]],supercb[Bairro],mercado9)</f>
        <v>0</v>
      </c>
      <c r="U38" s="1">
        <f>SUMIFS(super1[Qtde],super1[Item],tab_alimentos[[#This Row],[Item]],super1[Bairro],mercado10)+SUMIFS(supercb[Qtde],supercb[Item],tab_alimentos[[#This Row],[Item]],supercb[Bairro],mercado10)</f>
        <v>0</v>
      </c>
      <c r="V38" s="1">
        <f>SUMIFS(super1[Qtde],super1[Item],tab_alimentos[[#This Row],[Item]],super1[Bairro],mercado11)+SUMIFS(supercb[Qtde],supercb[Item],tab_alimentos[[#This Row],[Item]],supercb[Bairro],mercado11)</f>
        <v>0</v>
      </c>
      <c r="W38" s="1">
        <f>SUMIFS(super1[Qtde],super1[Item],tab_alimentos[[#This Row],[Item]],super1[Bairro],mercado12)+SUMIFS(supercb[Qtde],supercb[Item],tab_alimentos[[#This Row],[Item]],supercb[Bairro],mercado12)</f>
        <v>0</v>
      </c>
      <c r="X38" s="1">
        <f>SUMIFS(super1[Qtde],super1[Item],tab_alimentos[[#This Row],[Item]],super1[Bairro],mercado13)+SUMIFS(supercb[Qtde],supercb[Item],tab_alimentos[[#This Row],[Item]],supercb[Bairro],mercado13)</f>
        <v>0</v>
      </c>
      <c r="Y38" s="1">
        <f>SUMIFS(super1[Qtde],super1[Item],tab_alimentos[[#This Row],[Item]],super1[Bairro],mercado14)+SUMIFS(supercb[Qtde],supercb[Item],tab_alimentos[[#This Row],[Item]],supercb[Bairro],mercado14)</f>
        <v>0</v>
      </c>
      <c r="Z38" s="1">
        <f>SUMIFS(super1[Qtde],super1[Item],tab_alimentos[[#This Row],[Item]],super1[Bairro],mercado15)+SUMIFS(supercb[Qtde],supercb[Item],tab_alimentos[[#This Row],[Item]],supercb[Bairro],mercado15)</f>
        <v>0</v>
      </c>
      <c r="AA38" s="1">
        <f>SUMIFS(super1[Qtde],super1[Item],tab_alimentos[[#This Row],[Item]],super1[Bairro],mercado16)+SUMIFS(supercb[Qtde],supercb[Item],tab_alimentos[[#This Row],[Item]],supercb[Bairro],mercado16)</f>
        <v>0</v>
      </c>
      <c r="AB38" s="1">
        <f>SUMIFS(super1[Qtde],super1[Item],tab_alimentos[[#This Row],[Item]],super1[Bairro],mercado17)+SUMIFS(supercb[Qtde],supercb[Item],tab_alimentos[[#This Row],[Item]],supercb[Bairro],mercado17)</f>
        <v>0</v>
      </c>
      <c r="AC38" s="1">
        <f>SUMIFS(super1[Qtde],super1[Item],tab_alimentos[[#This Row],[Item]],super1[Bairro],mercado18)+SUMIFS(supercb[Qtde],supercb[Item],tab_alimentos[[#This Row],[Item]],supercb[Bairro],mercado18)</f>
        <v>0</v>
      </c>
      <c r="AD38" s="1">
        <f>SUMIFS(super1[Qtde],super1[Item],tab_alimentos[[#This Row],[Item]],super1[Bairro],extras)+SUMIFS(supercb[Qtde],supercb[Item],tab_alimentos[[#This Row],[Item]],supercb[Bairro],extras)</f>
        <v>0</v>
      </c>
      <c r="AE38" s="1">
        <f t="shared" si="18"/>
        <v>0</v>
      </c>
      <c r="AF38" s="1">
        <f t="shared" si="19"/>
        <v>0</v>
      </c>
      <c r="AG38" s="3">
        <f t="shared" si="20"/>
        <v>0</v>
      </c>
      <c r="AH38" s="25" t="str">
        <f>higiene[[#This Row],[Item]]</f>
        <v>Brilho Alumínio (500mL)</v>
      </c>
      <c r="AI38" s="1">
        <f>IFERROR(higiene[[#This Row],[Kg equivalente]],0)</f>
        <v>0.57058113966917656</v>
      </c>
      <c r="AJ38" s="1">
        <f>IFERROR(higiene[[#This Row],[Preço por produto]],0)</f>
        <v>1.89</v>
      </c>
      <c r="AK38" s="1">
        <f>SUMIFS(super1[Qtde],super1[Item],tab_higiene[[#This Row],[Item]],super1[Bairro],mercado1)+SUMIFS(supercb[Qtde],supercb[Item],tab_higiene[[#This Row],[Item]],supercb[Bairro],mercado1)</f>
        <v>0</v>
      </c>
      <c r="AL38" s="1">
        <f>SUMIFS(super1[Qtde],super1[Item],tab_higiene[[#This Row],[Item]],super1[Bairro],mercado2)+SUMIFS(supercb[Qtde],supercb[Item],tab_higiene[[#This Row],[Item]],supercb[Bairro],mercado2)</f>
        <v>0</v>
      </c>
      <c r="AM38" s="1">
        <f>SUMIFS(super1[Qtde],super1[Item],tab_higiene[[#This Row],[Item]],super1[Bairro],mercado3)+SUMIFS(supercb[Qtde],supercb[Item],tab_higiene[[#This Row],[Item]],supercb[Bairro],mercado3)</f>
        <v>0</v>
      </c>
      <c r="AN38" s="1">
        <f>SUMIFS(super1[Qtde],super1[Item],tab_higiene[[#This Row],[Item]],super1[Bairro],mercado4)+SUMIFS(supercb[Qtde],supercb[Item],tab_higiene[[#This Row],[Item]],supercb[Bairro],mercado4)</f>
        <v>0</v>
      </c>
      <c r="AO38" s="1">
        <f>SUMIFS(super1[Qtde],super1[Item],tab_higiene[[#This Row],[Item]],super1[Bairro],mercado5)+SUMIFS(supercb[Qtde],supercb[Item],tab_higiene[[#This Row],[Item]],supercb[Bairro],mercado5)</f>
        <v>0</v>
      </c>
      <c r="AP38" s="1">
        <f>SUMIFS(super1[Qtde],super1[Item],tab_higiene[[#This Row],[Item]],super1[Bairro],mercado6)+SUMIFS(supercb[Qtde],supercb[Item],tab_higiene[[#This Row],[Item]],supercb[Bairro],mercado6)</f>
        <v>0</v>
      </c>
      <c r="AQ38" s="1">
        <f>SUMIFS(super1[Qtde],super1[Item],tab_higiene[[#This Row],[Item]],super1[Bairro],mercado7)+SUMIFS(supercb[Qtde],supercb[Item],tab_higiene[[#This Row],[Item]],supercb[Bairro],mercado7)</f>
        <v>0</v>
      </c>
      <c r="AR38" s="1">
        <f>SUMIFS(super1[Qtde],super1[Item],tab_higiene[[#This Row],[Item]],super1[Bairro],mercado8)+SUMIFS(supercb[Qtde],supercb[Item],tab_higiene[[#This Row],[Item]],supercb[Bairro],mercado8)</f>
        <v>0</v>
      </c>
      <c r="AS38" s="1">
        <f>SUMIFS(super1[Qtde],super1[Item],tab_higiene[[#This Row],[Item]],super1[Bairro],mercado9)+SUMIFS(supercb[Qtde],supercb[Item],tab_higiene[[#This Row],[Item]],supercb[Bairro],mercado9)</f>
        <v>0</v>
      </c>
      <c r="AT38" s="1">
        <f>SUMIFS(super1[Qtde],super1[Item],tab_higiene[[#This Row],[Item]],super1[Bairro],mercado10)+SUMIFS(supercb[Qtde],supercb[Item],tab_higiene[[#This Row],[Item]],supercb[Bairro],mercado10)</f>
        <v>0</v>
      </c>
      <c r="AU38" s="1">
        <f>SUMIFS(super1[Qtde],super1[Item],tab_higiene[[#This Row],[Item]],super1[Bairro],mercado11)+SUMIFS(supercb[Qtde],supercb[Item],tab_higiene[[#This Row],[Item]],supercb[Bairro],mercado11)</f>
        <v>0</v>
      </c>
      <c r="AV38" s="1">
        <f>SUMIFS(super1[Qtde],super1[Item],tab_higiene[[#This Row],[Item]],super1[Bairro],mercado12)+SUMIFS(supercb[Qtde],supercb[Item],tab_higiene[[#This Row],[Item]],supercb[Bairro],mercado12)</f>
        <v>0</v>
      </c>
      <c r="AW38" s="1">
        <f>SUMIFS(super1[Qtde],super1[Item],tab_higiene[[#This Row],[Item]],super1[Bairro],mercado13)+SUMIFS(supercb[Qtde],supercb[Item],tab_higiene[[#This Row],[Item]],supercb[Bairro],mercado13)</f>
        <v>0</v>
      </c>
      <c r="AX38" s="1">
        <f>SUMIFS(super1[Qtde],super1[Item],tab_higiene[[#This Row],[Item]],super1[Bairro],mercado14)+SUMIFS(supercb[Qtde],supercb[Item],tab_higiene[[#This Row],[Item]],supercb[Bairro],mercado14)</f>
        <v>0</v>
      </c>
      <c r="AY38" s="1">
        <f>SUMIFS(super1[Qtde],super1[Item],tab_higiene[[#This Row],[Item]],super1[Bairro],mercado15)+SUMIFS(supercb[Qtde],supercb[Item],tab_higiene[[#This Row],[Item]],supercb[Bairro],mercado15)</f>
        <v>0</v>
      </c>
      <c r="AZ38" s="1">
        <f>SUMIFS(super1[Qtde],super1[Item],tab_higiene[[#This Row],[Item]],super1[Bairro],mercado16)+SUMIFS(supercb[Qtde],supercb[Item],tab_higiene[[#This Row],[Item]],supercb[Bairro],mercado16)</f>
        <v>0</v>
      </c>
      <c r="BA38" s="1">
        <f>SUMIFS(super1[Qtde],super1[Item],tab_higiene[[#This Row],[Item]],super1[Bairro],mercado17)+SUMIFS(supercb[Qtde],supercb[Item],tab_higiene[[#This Row],[Item]],supercb[Bairro],mercado17)</f>
        <v>0</v>
      </c>
      <c r="BB38" s="1">
        <f>SUMIFS(super1[Qtde],super1[Item],tab_higiene[[#This Row],[Item]],super1[Bairro],mercado18)+SUMIFS(supercb[Qtde],supercb[Item],tab_higiene[[#This Row],[Item]],supercb[Bairro],mercado18)</f>
        <v>0</v>
      </c>
      <c r="BC38" s="1">
        <f>SUMIFS(super1[Qtde],super1[Item],tab_higiene[[#This Row],[Item]],super1[Bairro],extras)+SUMIFS(supercb[Qtde],supercb[Item],tab_higiene[[#This Row],[Item]],supercb[Bairro],extras)</f>
        <v>0</v>
      </c>
      <c r="BD38" s="1">
        <f t="shared" si="21"/>
        <v>0</v>
      </c>
      <c r="BE38" s="1">
        <f t="shared" si="22"/>
        <v>0</v>
      </c>
      <c r="BF38" s="26">
        <f t="shared" si="23"/>
        <v>0</v>
      </c>
      <c r="BI38" s="33" t="str">
        <f>tab_alimentos[[#This Row],[Item]]</f>
        <v>B</v>
      </c>
      <c r="BJ38" s="33">
        <f t="shared" si="6"/>
        <v>0</v>
      </c>
      <c r="BK38" s="33" t="str">
        <f t="shared" si="7"/>
        <v>B</v>
      </c>
      <c r="BL38" s="33">
        <f>tab_alimentos[[#This Row],[kg]]</f>
        <v>0</v>
      </c>
      <c r="BM38" s="37" t="s">
        <v>82</v>
      </c>
      <c r="BN38" s="35">
        <f t="shared" si="11"/>
        <v>0</v>
      </c>
      <c r="BP38" s="33" t="str">
        <f>tab_higiene[[#This Row],[Item]]</f>
        <v>Brilho Alumínio (500mL)</v>
      </c>
      <c r="BQ38" s="33">
        <f t="shared" si="8"/>
        <v>16</v>
      </c>
      <c r="BR38" s="33" t="str">
        <f t="shared" si="9"/>
        <v>Brilho Alumínio</v>
      </c>
      <c r="BS38" s="33">
        <f>higiene[[#This Row],[Quantidade]]</f>
        <v>1</v>
      </c>
      <c r="BT38" s="33">
        <f>tab_higiene[Qtde (tot)]</f>
        <v>0</v>
      </c>
      <c r="BU38" s="33">
        <f t="shared" si="12"/>
        <v>0</v>
      </c>
      <c r="BV38" s="37" t="s">
        <v>322</v>
      </c>
      <c r="BW38" s="33">
        <f t="shared" si="24"/>
        <v>1</v>
      </c>
    </row>
    <row r="39" spans="1:75" x14ac:dyDescent="0.25">
      <c r="A39" s="88"/>
      <c r="B39" s="88"/>
      <c r="C39" s="88"/>
      <c r="D39" s="88"/>
      <c r="E39" s="88"/>
      <c r="F39" s="88"/>
      <c r="G39" s="88"/>
      <c r="I39" s="25" t="str">
        <f>alimentos[[#This Row],[Item]]</f>
        <v>Barra de Cereal (4un)</v>
      </c>
      <c r="J39" s="1">
        <f>IFERROR(alimentos[[#This Row],[kg/embalagem]],0)</f>
        <v>0.08</v>
      </c>
      <c r="K39" s="1">
        <f>IFERROR(alimentos[[#This Row],[Preço]],0)</f>
        <v>4.17</v>
      </c>
      <c r="L39" s="1">
        <f>SUMIFS(super1[Qtde],super1[Item],tab_alimentos[[#This Row],[Item]],super1[Bairro],mercado1)+SUMIFS(supercb[Qtde],supercb[Item],tab_alimentos[[#This Row],[Item]],supercb[Bairro],mercado1)</f>
        <v>0</v>
      </c>
      <c r="M39" s="1">
        <f>SUMIFS(super1[Qtde],super1[Item],tab_alimentos[[#This Row],[Item]],super1[Bairro],mercado2)+SUMIFS(supercb[Qtde],supercb[Item],tab_alimentos[[#This Row],[Item]],supercb[Bairro],mercado2)</f>
        <v>0</v>
      </c>
      <c r="N39" s="1">
        <f>SUMIFS(super1[Qtde],super1[Item],tab_alimentos[[#This Row],[Item]],super1[Bairro],mercado3)+SUMIFS(supercb[Qtde],supercb[Item],tab_alimentos[[#This Row],[Item]],supercb[Bairro],mercado3)</f>
        <v>0</v>
      </c>
      <c r="O39" s="1">
        <f>SUMIFS(super1[Qtde],super1[Item],tab_alimentos[[#This Row],[Item]],super1[Bairro],mercado4)+SUMIFS(supercb[Qtde],supercb[Item],tab_alimentos[[#This Row],[Item]],supercb[Bairro],mercado4)</f>
        <v>2</v>
      </c>
      <c r="P39" s="1">
        <f>SUMIFS(super1[Qtde],super1[Item],tab_alimentos[[#This Row],[Item]],super1[Bairro],mercado5)+SUMIFS(supercb[Qtde],supercb[Item],tab_alimentos[[#This Row],[Item]],supercb[Bairro],mercado5)</f>
        <v>0</v>
      </c>
      <c r="Q39" s="1">
        <f>SUMIFS(super1[Qtde],super1[Item],tab_alimentos[[#This Row],[Item]],super1[Bairro],mercado6)+SUMIFS(supercb[Qtde],supercb[Item],tab_alimentos[[#This Row],[Item]],supercb[Bairro],mercado6)</f>
        <v>0</v>
      </c>
      <c r="R39" s="1">
        <f>SUMIFS(super1[Qtde],super1[Item],tab_alimentos[[#This Row],[Item]],super1[Bairro],mercado7)+SUMIFS(supercb[Qtde],supercb[Item],tab_alimentos[[#This Row],[Item]],supercb[Bairro],mercado7)</f>
        <v>0</v>
      </c>
      <c r="S39" s="1">
        <f>SUMIFS(super1[Qtde],super1[Item],tab_alimentos[[#This Row],[Item]],super1[Bairro],mercado8)+SUMIFS(supercb[Qtde],supercb[Item],tab_alimentos[[#This Row],[Item]],supercb[Bairro],mercado8)</f>
        <v>0</v>
      </c>
      <c r="T39" s="1">
        <f>SUMIFS(super1[Qtde],super1[Item],tab_alimentos[[#This Row],[Item]],super1[Bairro],mercado9)+SUMIFS(supercb[Qtde],supercb[Item],tab_alimentos[[#This Row],[Item]],supercb[Bairro],mercado9)</f>
        <v>0</v>
      </c>
      <c r="U39" s="1">
        <f>SUMIFS(super1[Qtde],super1[Item],tab_alimentos[[#This Row],[Item]],super1[Bairro],mercado10)+SUMIFS(supercb[Qtde],supercb[Item],tab_alimentos[[#This Row],[Item]],supercb[Bairro],mercado10)</f>
        <v>0</v>
      </c>
      <c r="V39" s="1">
        <f>SUMIFS(super1[Qtde],super1[Item],tab_alimentos[[#This Row],[Item]],super1[Bairro],mercado11)+SUMIFS(supercb[Qtde],supercb[Item],tab_alimentos[[#This Row],[Item]],supercb[Bairro],mercado11)</f>
        <v>0</v>
      </c>
      <c r="W39" s="1">
        <f>SUMIFS(super1[Qtde],super1[Item],tab_alimentos[[#This Row],[Item]],super1[Bairro],mercado12)+SUMIFS(supercb[Qtde],supercb[Item],tab_alimentos[[#This Row],[Item]],supercb[Bairro],mercado12)</f>
        <v>0</v>
      </c>
      <c r="X39" s="1">
        <f>SUMIFS(super1[Qtde],super1[Item],tab_alimentos[[#This Row],[Item]],super1[Bairro],mercado13)+SUMIFS(supercb[Qtde],supercb[Item],tab_alimentos[[#This Row],[Item]],supercb[Bairro],mercado13)</f>
        <v>0</v>
      </c>
      <c r="Y39" s="1">
        <f>SUMIFS(super1[Qtde],super1[Item],tab_alimentos[[#This Row],[Item]],super1[Bairro],mercado14)+SUMIFS(supercb[Qtde],supercb[Item],tab_alimentos[[#This Row],[Item]],supercb[Bairro],mercado14)</f>
        <v>0</v>
      </c>
      <c r="Z39" s="1">
        <f>SUMIFS(super1[Qtde],super1[Item],tab_alimentos[[#This Row],[Item]],super1[Bairro],mercado15)+SUMIFS(supercb[Qtde],supercb[Item],tab_alimentos[[#This Row],[Item]],supercb[Bairro],mercado15)</f>
        <v>0</v>
      </c>
      <c r="AA39" s="1">
        <f>SUMIFS(super1[Qtde],super1[Item],tab_alimentos[[#This Row],[Item]],super1[Bairro],mercado16)+SUMIFS(supercb[Qtde],supercb[Item],tab_alimentos[[#This Row],[Item]],supercb[Bairro],mercado16)</f>
        <v>0</v>
      </c>
      <c r="AB39" s="1">
        <f>SUMIFS(super1[Qtde],super1[Item],tab_alimentos[[#This Row],[Item]],super1[Bairro],mercado17)+SUMIFS(supercb[Qtde],supercb[Item],tab_alimentos[[#This Row],[Item]],supercb[Bairro],mercado17)</f>
        <v>0</v>
      </c>
      <c r="AC39" s="1">
        <f>SUMIFS(super1[Qtde],super1[Item],tab_alimentos[[#This Row],[Item]],super1[Bairro],mercado18)+SUMIFS(supercb[Qtde],supercb[Item],tab_alimentos[[#This Row],[Item]],supercb[Bairro],mercado18)</f>
        <v>0</v>
      </c>
      <c r="AD39" s="1">
        <f>SUMIFS(super1[Qtde],super1[Item],tab_alimentos[[#This Row],[Item]],super1[Bairro],extras)+SUMIFS(supercb[Qtde],supercb[Item],tab_alimentos[[#This Row],[Item]],supercb[Bairro],extras)</f>
        <v>0</v>
      </c>
      <c r="AE39" s="1">
        <f t="shared" si="18"/>
        <v>2</v>
      </c>
      <c r="AF39" s="1">
        <f t="shared" si="19"/>
        <v>8.34</v>
      </c>
      <c r="AG39" s="3">
        <f t="shared" si="20"/>
        <v>0.16</v>
      </c>
      <c r="AH39" s="25" t="str">
        <f>higiene[[#This Row],[Item]]</f>
        <v>C</v>
      </c>
      <c r="AI39" s="1">
        <f>IFERROR(higiene[[#This Row],[Kg equivalente]],0)</f>
        <v>0</v>
      </c>
      <c r="AJ39" s="1" t="str">
        <f>IFERROR(higiene[[#This Row],[Preço por produto]],0)</f>
        <v/>
      </c>
      <c r="AK39" s="1">
        <f>SUMIFS(super1[Qtde],super1[Item],tab_higiene[[#This Row],[Item]],super1[Bairro],mercado1)+SUMIFS(supercb[Qtde],supercb[Item],tab_higiene[[#This Row],[Item]],supercb[Bairro],mercado1)</f>
        <v>0</v>
      </c>
      <c r="AL39" s="1">
        <f>SUMIFS(super1[Qtde],super1[Item],tab_higiene[[#This Row],[Item]],super1[Bairro],mercado2)+SUMIFS(supercb[Qtde],supercb[Item],tab_higiene[[#This Row],[Item]],supercb[Bairro],mercado2)</f>
        <v>0</v>
      </c>
      <c r="AM39" s="1">
        <f>SUMIFS(super1[Qtde],super1[Item],tab_higiene[[#This Row],[Item]],super1[Bairro],mercado3)+SUMIFS(supercb[Qtde],supercb[Item],tab_higiene[[#This Row],[Item]],supercb[Bairro],mercado3)</f>
        <v>0</v>
      </c>
      <c r="AN39" s="1">
        <f>SUMIFS(super1[Qtde],super1[Item],tab_higiene[[#This Row],[Item]],super1[Bairro],mercado4)+SUMIFS(supercb[Qtde],supercb[Item],tab_higiene[[#This Row],[Item]],supercb[Bairro],mercado4)</f>
        <v>0</v>
      </c>
      <c r="AO39" s="1">
        <f>SUMIFS(super1[Qtde],super1[Item],tab_higiene[[#This Row],[Item]],super1[Bairro],mercado5)+SUMIFS(supercb[Qtde],supercb[Item],tab_higiene[[#This Row],[Item]],supercb[Bairro],mercado5)</f>
        <v>0</v>
      </c>
      <c r="AP39" s="1">
        <f>SUMIFS(super1[Qtde],super1[Item],tab_higiene[[#This Row],[Item]],super1[Bairro],mercado6)+SUMIFS(supercb[Qtde],supercb[Item],tab_higiene[[#This Row],[Item]],supercb[Bairro],mercado6)</f>
        <v>0</v>
      </c>
      <c r="AQ39" s="1">
        <f>SUMIFS(super1[Qtde],super1[Item],tab_higiene[[#This Row],[Item]],super1[Bairro],mercado7)+SUMIFS(supercb[Qtde],supercb[Item],tab_higiene[[#This Row],[Item]],supercb[Bairro],mercado7)</f>
        <v>0</v>
      </c>
      <c r="AR39" s="1">
        <f>SUMIFS(super1[Qtde],super1[Item],tab_higiene[[#This Row],[Item]],super1[Bairro],mercado8)+SUMIFS(supercb[Qtde],supercb[Item],tab_higiene[[#This Row],[Item]],supercb[Bairro],mercado8)</f>
        <v>0</v>
      </c>
      <c r="AS39" s="1">
        <f>SUMIFS(super1[Qtde],super1[Item],tab_higiene[[#This Row],[Item]],super1[Bairro],mercado9)+SUMIFS(supercb[Qtde],supercb[Item],tab_higiene[[#This Row],[Item]],supercb[Bairro],mercado9)</f>
        <v>0</v>
      </c>
      <c r="AT39" s="1">
        <f>SUMIFS(super1[Qtde],super1[Item],tab_higiene[[#This Row],[Item]],super1[Bairro],mercado10)+SUMIFS(supercb[Qtde],supercb[Item],tab_higiene[[#This Row],[Item]],supercb[Bairro],mercado10)</f>
        <v>0</v>
      </c>
      <c r="AU39" s="1">
        <f>SUMIFS(super1[Qtde],super1[Item],tab_higiene[[#This Row],[Item]],super1[Bairro],mercado11)+SUMIFS(supercb[Qtde],supercb[Item],tab_higiene[[#This Row],[Item]],supercb[Bairro],mercado11)</f>
        <v>0</v>
      </c>
      <c r="AV39" s="1">
        <f>SUMIFS(super1[Qtde],super1[Item],tab_higiene[[#This Row],[Item]],super1[Bairro],mercado12)+SUMIFS(supercb[Qtde],supercb[Item],tab_higiene[[#This Row],[Item]],supercb[Bairro],mercado12)</f>
        <v>0</v>
      </c>
      <c r="AW39" s="1">
        <f>SUMIFS(super1[Qtde],super1[Item],tab_higiene[[#This Row],[Item]],super1[Bairro],mercado13)+SUMIFS(supercb[Qtde],supercb[Item],tab_higiene[[#This Row],[Item]],supercb[Bairro],mercado13)</f>
        <v>0</v>
      </c>
      <c r="AX39" s="1">
        <f>SUMIFS(super1[Qtde],super1[Item],tab_higiene[[#This Row],[Item]],super1[Bairro],mercado14)+SUMIFS(supercb[Qtde],supercb[Item],tab_higiene[[#This Row],[Item]],supercb[Bairro],mercado14)</f>
        <v>0</v>
      </c>
      <c r="AY39" s="1">
        <f>SUMIFS(super1[Qtde],super1[Item],tab_higiene[[#This Row],[Item]],super1[Bairro],mercado15)+SUMIFS(supercb[Qtde],supercb[Item],tab_higiene[[#This Row],[Item]],supercb[Bairro],mercado15)</f>
        <v>0</v>
      </c>
      <c r="AZ39" s="1">
        <f>SUMIFS(super1[Qtde],super1[Item],tab_higiene[[#This Row],[Item]],super1[Bairro],mercado16)+SUMIFS(supercb[Qtde],supercb[Item],tab_higiene[[#This Row],[Item]],supercb[Bairro],mercado16)</f>
        <v>0</v>
      </c>
      <c r="BA39" s="1">
        <f>SUMIFS(super1[Qtde],super1[Item],tab_higiene[[#This Row],[Item]],super1[Bairro],mercado17)+SUMIFS(supercb[Qtde],supercb[Item],tab_higiene[[#This Row],[Item]],supercb[Bairro],mercado17)</f>
        <v>0</v>
      </c>
      <c r="BB39" s="1">
        <f>SUMIFS(super1[Qtde],super1[Item],tab_higiene[[#This Row],[Item]],super1[Bairro],mercado18)+SUMIFS(supercb[Qtde],supercb[Item],tab_higiene[[#This Row],[Item]],supercb[Bairro],mercado18)</f>
        <v>0</v>
      </c>
      <c r="BC39" s="1">
        <f>SUMIFS(super1[Qtde],super1[Item],tab_higiene[[#This Row],[Item]],super1[Bairro],extras)+SUMIFS(supercb[Qtde],supercb[Item],tab_higiene[[#This Row],[Item]],supercb[Bairro],extras)</f>
        <v>0</v>
      </c>
      <c r="BD39" s="1">
        <f t="shared" si="21"/>
        <v>0</v>
      </c>
      <c r="BE39" s="1">
        <f t="shared" si="22"/>
        <v>0</v>
      </c>
      <c r="BF39" s="26">
        <f t="shared" si="23"/>
        <v>0</v>
      </c>
      <c r="BI39" s="33" t="str">
        <f>tab_alimentos[[#This Row],[Item]]</f>
        <v>Barra de Cereal (4un)</v>
      </c>
      <c r="BJ39" s="33">
        <f t="shared" si="6"/>
        <v>16</v>
      </c>
      <c r="BK39" s="33" t="str">
        <f t="shared" si="7"/>
        <v>Barra de Cereal</v>
      </c>
      <c r="BL39" s="33">
        <f>tab_alimentos[[#This Row],[kg]]</f>
        <v>0.16</v>
      </c>
      <c r="BM39" s="37" t="s">
        <v>286</v>
      </c>
      <c r="BN39" s="35">
        <f t="shared" si="11"/>
        <v>0</v>
      </c>
      <c r="BP39" s="33" t="str">
        <f>tab_higiene[[#This Row],[Item]]</f>
        <v>C</v>
      </c>
      <c r="BQ39" s="33">
        <f t="shared" si="8"/>
        <v>0</v>
      </c>
      <c r="BR39" s="33" t="str">
        <f t="shared" si="9"/>
        <v>C</v>
      </c>
      <c r="BS39" s="33">
        <f>higiene[[#This Row],[Quantidade]]</f>
        <v>0</v>
      </c>
      <c r="BT39" s="33">
        <f>tab_higiene[Qtde (tot)]</f>
        <v>0</v>
      </c>
      <c r="BU39" s="33">
        <f t="shared" si="12"/>
        <v>0</v>
      </c>
      <c r="BV39" s="37" t="s">
        <v>323</v>
      </c>
      <c r="BW39" s="33">
        <f t="shared" si="24"/>
        <v>9</v>
      </c>
    </row>
    <row r="40" spans="1:75" x14ac:dyDescent="0.25">
      <c r="A40" s="87" t="s">
        <v>251</v>
      </c>
      <c r="B40" s="87"/>
      <c r="C40" s="87"/>
      <c r="D40" s="87"/>
      <c r="E40" s="87"/>
      <c r="F40" s="87"/>
      <c r="G40" s="87"/>
      <c r="I40" s="25" t="str">
        <f>alimentos[[#This Row],[Item]]</f>
        <v>Batata Palha (120g)</v>
      </c>
      <c r="J40" s="1">
        <f>IFERROR(alimentos[[#This Row],[kg/embalagem]],0)</f>
        <v>0.12</v>
      </c>
      <c r="K40" s="1">
        <f>IFERROR(alimentos[[#This Row],[Preço]],0)</f>
        <v>4.5716666666666672</v>
      </c>
      <c r="L40" s="1">
        <f>SUMIFS(super1[Qtde],super1[Item],tab_alimentos[[#This Row],[Item]],super1[Bairro],mercado1)+SUMIFS(supercb[Qtde],supercb[Item],tab_alimentos[[#This Row],[Item]],supercb[Bairro],mercado1)</f>
        <v>0</v>
      </c>
      <c r="M40" s="1">
        <f>SUMIFS(super1[Qtde],super1[Item],tab_alimentos[[#This Row],[Item]],super1[Bairro],mercado2)+SUMIFS(supercb[Qtde],supercb[Item],tab_alimentos[[#This Row],[Item]],supercb[Bairro],mercado2)</f>
        <v>0</v>
      </c>
      <c r="N40" s="1">
        <f>SUMIFS(super1[Qtde],super1[Item],tab_alimentos[[#This Row],[Item]],super1[Bairro],mercado3)+SUMIFS(supercb[Qtde],supercb[Item],tab_alimentos[[#This Row],[Item]],supercb[Bairro],mercado3)</f>
        <v>0</v>
      </c>
      <c r="O40" s="1">
        <f>SUMIFS(super1[Qtde],super1[Item],tab_alimentos[[#This Row],[Item]],super1[Bairro],mercado4)+SUMIFS(supercb[Qtde],supercb[Item],tab_alimentos[[#This Row],[Item]],supercb[Bairro],mercado4)</f>
        <v>0</v>
      </c>
      <c r="P40" s="1">
        <f>SUMIFS(super1[Qtde],super1[Item],tab_alimentos[[#This Row],[Item]],super1[Bairro],mercado5)+SUMIFS(supercb[Qtde],supercb[Item],tab_alimentos[[#This Row],[Item]],supercb[Bairro],mercado5)</f>
        <v>0</v>
      </c>
      <c r="Q40" s="1">
        <f>SUMIFS(super1[Qtde],super1[Item],tab_alimentos[[#This Row],[Item]],super1[Bairro],mercado6)+SUMIFS(supercb[Qtde],supercb[Item],tab_alimentos[[#This Row],[Item]],supercb[Bairro],mercado6)</f>
        <v>0</v>
      </c>
      <c r="R40" s="1">
        <f>SUMIFS(super1[Qtde],super1[Item],tab_alimentos[[#This Row],[Item]],super1[Bairro],mercado7)+SUMIFS(supercb[Qtde],supercb[Item],tab_alimentos[[#This Row],[Item]],supercb[Bairro],mercado7)</f>
        <v>0</v>
      </c>
      <c r="S40" s="1">
        <f>SUMIFS(super1[Qtde],super1[Item],tab_alimentos[[#This Row],[Item]],super1[Bairro],mercado8)+SUMIFS(supercb[Qtde],supercb[Item],tab_alimentos[[#This Row],[Item]],supercb[Bairro],mercado8)</f>
        <v>0</v>
      </c>
      <c r="T40" s="1">
        <f>SUMIFS(super1[Qtde],super1[Item],tab_alimentos[[#This Row],[Item]],super1[Bairro],mercado9)+SUMIFS(supercb[Qtde],supercb[Item],tab_alimentos[[#This Row],[Item]],supercb[Bairro],mercado9)</f>
        <v>0</v>
      </c>
      <c r="U40" s="1">
        <f>SUMIFS(super1[Qtde],super1[Item],tab_alimentos[[#This Row],[Item]],super1[Bairro],mercado10)+SUMIFS(supercb[Qtde],supercb[Item],tab_alimentos[[#This Row],[Item]],supercb[Bairro],mercado10)</f>
        <v>0</v>
      </c>
      <c r="V40" s="1">
        <f>SUMIFS(super1[Qtde],super1[Item],tab_alimentos[[#This Row],[Item]],super1[Bairro],mercado11)+SUMIFS(supercb[Qtde],supercb[Item],tab_alimentos[[#This Row],[Item]],supercb[Bairro],mercado11)</f>
        <v>0</v>
      </c>
      <c r="W40" s="1">
        <f>SUMIFS(super1[Qtde],super1[Item],tab_alimentos[[#This Row],[Item]],super1[Bairro],mercado12)+SUMIFS(supercb[Qtde],supercb[Item],tab_alimentos[[#This Row],[Item]],supercb[Bairro],mercado12)</f>
        <v>0</v>
      </c>
      <c r="X40" s="1">
        <f>SUMIFS(super1[Qtde],super1[Item],tab_alimentos[[#This Row],[Item]],super1[Bairro],mercado13)+SUMIFS(supercb[Qtde],supercb[Item],tab_alimentos[[#This Row],[Item]],supercb[Bairro],mercado13)</f>
        <v>0</v>
      </c>
      <c r="Y40" s="1">
        <f>SUMIFS(super1[Qtde],super1[Item],tab_alimentos[[#This Row],[Item]],super1[Bairro],mercado14)+SUMIFS(supercb[Qtde],supercb[Item],tab_alimentos[[#This Row],[Item]],supercb[Bairro],mercado14)</f>
        <v>0</v>
      </c>
      <c r="Z40" s="1">
        <f>SUMIFS(super1[Qtde],super1[Item],tab_alimentos[[#This Row],[Item]],super1[Bairro],mercado15)+SUMIFS(supercb[Qtde],supercb[Item],tab_alimentos[[#This Row],[Item]],supercb[Bairro],mercado15)</f>
        <v>0</v>
      </c>
      <c r="AA40" s="1">
        <f>SUMIFS(super1[Qtde],super1[Item],tab_alimentos[[#This Row],[Item]],super1[Bairro],mercado16)+SUMIFS(supercb[Qtde],supercb[Item],tab_alimentos[[#This Row],[Item]],supercb[Bairro],mercado16)</f>
        <v>0</v>
      </c>
      <c r="AB40" s="1">
        <f>SUMIFS(super1[Qtde],super1[Item],tab_alimentos[[#This Row],[Item]],super1[Bairro],mercado17)+SUMIFS(supercb[Qtde],supercb[Item],tab_alimentos[[#This Row],[Item]],supercb[Bairro],mercado17)</f>
        <v>0</v>
      </c>
      <c r="AC40" s="1">
        <f>SUMIFS(super1[Qtde],super1[Item],tab_alimentos[[#This Row],[Item]],super1[Bairro],mercado18)+SUMIFS(supercb[Qtde],supercb[Item],tab_alimentos[[#This Row],[Item]],supercb[Bairro],mercado18)</f>
        <v>0</v>
      </c>
      <c r="AD40" s="1">
        <f>SUMIFS(super1[Qtde],super1[Item],tab_alimentos[[#This Row],[Item]],super1[Bairro],extras)+SUMIFS(supercb[Qtde],supercb[Item],tab_alimentos[[#This Row],[Item]],supercb[Bairro],extras)</f>
        <v>0</v>
      </c>
      <c r="AE40" s="1">
        <f t="shared" si="18"/>
        <v>0</v>
      </c>
      <c r="AF40" s="1">
        <f t="shared" si="19"/>
        <v>0</v>
      </c>
      <c r="AG40" s="3">
        <f t="shared" si="20"/>
        <v>0</v>
      </c>
      <c r="AH40" s="25" t="str">
        <f>higiene[[#This Row],[Item]]</f>
        <v>Cloro ativo (500ml)</v>
      </c>
      <c r="AI40" s="1">
        <f>IFERROR(higiene[[#This Row],[Kg equivalente]],0)</f>
        <v>2.7240972576445524</v>
      </c>
      <c r="AJ40" s="1">
        <f>IFERROR(higiene[[#This Row],[Preço por produto]],0)</f>
        <v>9.0233333333333334</v>
      </c>
      <c r="AK40" s="1">
        <f>SUMIFS(super1[Qtde],super1[Item],tab_higiene[[#This Row],[Item]],super1[Bairro],mercado1)+SUMIFS(supercb[Qtde],supercb[Item],tab_higiene[[#This Row],[Item]],supercb[Bairro],mercado1)</f>
        <v>0</v>
      </c>
      <c r="AL40" s="1">
        <f>SUMIFS(super1[Qtde],super1[Item],tab_higiene[[#This Row],[Item]],super1[Bairro],mercado2)+SUMIFS(supercb[Qtde],supercb[Item],tab_higiene[[#This Row],[Item]],supercb[Bairro],mercado2)</f>
        <v>0</v>
      </c>
      <c r="AM40" s="1">
        <f>SUMIFS(super1[Qtde],super1[Item],tab_higiene[[#This Row],[Item]],super1[Bairro],mercado3)+SUMIFS(supercb[Qtde],supercb[Item],tab_higiene[[#This Row],[Item]],supercb[Bairro],mercado3)</f>
        <v>0</v>
      </c>
      <c r="AN40" s="1">
        <f>SUMIFS(super1[Qtde],super1[Item],tab_higiene[[#This Row],[Item]],super1[Bairro],mercado4)+SUMIFS(supercb[Qtde],supercb[Item],tab_higiene[[#This Row],[Item]],supercb[Bairro],mercado4)</f>
        <v>0</v>
      </c>
      <c r="AO40" s="1">
        <f>SUMIFS(super1[Qtde],super1[Item],tab_higiene[[#This Row],[Item]],super1[Bairro],mercado5)+SUMIFS(supercb[Qtde],supercb[Item],tab_higiene[[#This Row],[Item]],supercb[Bairro],mercado5)</f>
        <v>0</v>
      </c>
      <c r="AP40" s="1">
        <f>SUMIFS(super1[Qtde],super1[Item],tab_higiene[[#This Row],[Item]],super1[Bairro],mercado6)+SUMIFS(supercb[Qtde],supercb[Item],tab_higiene[[#This Row],[Item]],supercb[Bairro],mercado6)</f>
        <v>0</v>
      </c>
      <c r="AQ40" s="1">
        <f>SUMIFS(super1[Qtde],super1[Item],tab_higiene[[#This Row],[Item]],super1[Bairro],mercado7)+SUMIFS(supercb[Qtde],supercb[Item],tab_higiene[[#This Row],[Item]],supercb[Bairro],mercado7)</f>
        <v>0</v>
      </c>
      <c r="AR40" s="1">
        <f>SUMIFS(super1[Qtde],super1[Item],tab_higiene[[#This Row],[Item]],super1[Bairro],mercado8)+SUMIFS(supercb[Qtde],supercb[Item],tab_higiene[[#This Row],[Item]],supercb[Bairro],mercado8)</f>
        <v>0</v>
      </c>
      <c r="AS40" s="1">
        <f>SUMIFS(super1[Qtde],super1[Item],tab_higiene[[#This Row],[Item]],super1[Bairro],mercado9)+SUMIFS(supercb[Qtde],supercb[Item],tab_higiene[[#This Row],[Item]],supercb[Bairro],mercado9)</f>
        <v>0</v>
      </c>
      <c r="AT40" s="1">
        <f>SUMIFS(super1[Qtde],super1[Item],tab_higiene[[#This Row],[Item]],super1[Bairro],mercado10)+SUMIFS(supercb[Qtde],supercb[Item],tab_higiene[[#This Row],[Item]],supercb[Bairro],mercado10)</f>
        <v>0</v>
      </c>
      <c r="AU40" s="1">
        <f>SUMIFS(super1[Qtde],super1[Item],tab_higiene[[#This Row],[Item]],super1[Bairro],mercado11)+SUMIFS(supercb[Qtde],supercb[Item],tab_higiene[[#This Row],[Item]],supercb[Bairro],mercado11)</f>
        <v>0</v>
      </c>
      <c r="AV40" s="1">
        <f>SUMIFS(super1[Qtde],super1[Item],tab_higiene[[#This Row],[Item]],super1[Bairro],mercado12)+SUMIFS(supercb[Qtde],supercb[Item],tab_higiene[[#This Row],[Item]],supercb[Bairro],mercado12)</f>
        <v>0</v>
      </c>
      <c r="AW40" s="1">
        <f>SUMIFS(super1[Qtde],super1[Item],tab_higiene[[#This Row],[Item]],super1[Bairro],mercado13)+SUMIFS(supercb[Qtde],supercb[Item],tab_higiene[[#This Row],[Item]],supercb[Bairro],mercado13)</f>
        <v>0</v>
      </c>
      <c r="AX40" s="1">
        <f>SUMIFS(super1[Qtde],super1[Item],tab_higiene[[#This Row],[Item]],super1[Bairro],mercado14)+SUMIFS(supercb[Qtde],supercb[Item],tab_higiene[[#This Row],[Item]],supercb[Bairro],mercado14)</f>
        <v>0</v>
      </c>
      <c r="AY40" s="1">
        <f>SUMIFS(super1[Qtde],super1[Item],tab_higiene[[#This Row],[Item]],super1[Bairro],mercado15)+SUMIFS(supercb[Qtde],supercb[Item],tab_higiene[[#This Row],[Item]],supercb[Bairro],mercado15)</f>
        <v>0</v>
      </c>
      <c r="AZ40" s="1">
        <f>SUMIFS(super1[Qtde],super1[Item],tab_higiene[[#This Row],[Item]],super1[Bairro],mercado16)+SUMIFS(supercb[Qtde],supercb[Item],tab_higiene[[#This Row],[Item]],supercb[Bairro],mercado16)</f>
        <v>0</v>
      </c>
      <c r="BA40" s="1">
        <f>SUMIFS(super1[Qtde],super1[Item],tab_higiene[[#This Row],[Item]],super1[Bairro],mercado17)+SUMIFS(supercb[Qtde],supercb[Item],tab_higiene[[#This Row],[Item]],supercb[Bairro],mercado17)</f>
        <v>0</v>
      </c>
      <c r="BB40" s="1">
        <f>SUMIFS(super1[Qtde],super1[Item],tab_higiene[[#This Row],[Item]],super1[Bairro],mercado18)+SUMIFS(supercb[Qtde],supercb[Item],tab_higiene[[#This Row],[Item]],supercb[Bairro],mercado18)</f>
        <v>0</v>
      </c>
      <c r="BC40" s="1">
        <f>SUMIFS(super1[Qtde],super1[Item],tab_higiene[[#This Row],[Item]],super1[Bairro],extras)+SUMIFS(supercb[Qtde],supercb[Item],tab_higiene[[#This Row],[Item]],supercb[Bairro],extras)</f>
        <v>0</v>
      </c>
      <c r="BD40" s="1">
        <f t="shared" si="21"/>
        <v>0</v>
      </c>
      <c r="BE40" s="1">
        <f t="shared" si="22"/>
        <v>0</v>
      </c>
      <c r="BF40" s="26">
        <f t="shared" si="23"/>
        <v>0</v>
      </c>
      <c r="BI40" s="33" t="str">
        <f>tab_alimentos[[#This Row],[Item]]</f>
        <v>Batata Palha (120g)</v>
      </c>
      <c r="BJ40" s="33">
        <f t="shared" si="6"/>
        <v>13</v>
      </c>
      <c r="BK40" s="33" t="str">
        <f t="shared" si="7"/>
        <v>Batata Palha</v>
      </c>
      <c r="BL40" s="33">
        <f>tab_alimentos[[#This Row],[kg]]</f>
        <v>0</v>
      </c>
      <c r="BM40" s="37" t="s">
        <v>287</v>
      </c>
      <c r="BN40" s="35">
        <f t="shared" si="11"/>
        <v>0</v>
      </c>
      <c r="BP40" s="33" t="str">
        <f>tab_higiene[[#This Row],[Item]]</f>
        <v>Cloro ativo (500ml)</v>
      </c>
      <c r="BQ40" s="33">
        <f t="shared" si="8"/>
        <v>12</v>
      </c>
      <c r="BR40" s="33" t="str">
        <f t="shared" si="9"/>
        <v>Cloro ativo</v>
      </c>
      <c r="BS40" s="33">
        <f>higiene[[#This Row],[Quantidade]]</f>
        <v>0.3</v>
      </c>
      <c r="BT40" s="33">
        <f>tab_higiene[Qtde (tot)]</f>
        <v>0</v>
      </c>
      <c r="BU40" s="33">
        <f t="shared" si="12"/>
        <v>0</v>
      </c>
      <c r="BV40" s="37" t="s">
        <v>87</v>
      </c>
      <c r="BW40" s="33">
        <f t="shared" si="24"/>
        <v>0</v>
      </c>
    </row>
    <row r="41" spans="1:75" x14ac:dyDescent="0.25">
      <c r="A41" s="88">
        <f>SUM(tab_alimentos[Preço x Qtde])+SUM(tab_higiene[Preço x Qtde])</f>
        <v>22730.939666666662</v>
      </c>
      <c r="B41" s="88"/>
      <c r="C41" s="88"/>
      <c r="D41" s="88"/>
      <c r="E41" s="88"/>
      <c r="F41" s="88"/>
      <c r="G41" s="88"/>
      <c r="I41" s="25" t="str">
        <f>alimentos[[#This Row],[Item]]</f>
        <v>Bebida Láctea Chocolate (180mL)</v>
      </c>
      <c r="J41" s="1">
        <f>IFERROR(alimentos[[#This Row],[kg/embalagem]],0)</f>
        <v>0.18</v>
      </c>
      <c r="K41" s="1">
        <f>IFERROR(alimentos[[#This Row],[Preço]],0)</f>
        <v>1.0620000000000001</v>
      </c>
      <c r="L41" s="1">
        <f>SUMIFS(super1[Qtde],super1[Item],tab_alimentos[[#This Row],[Item]],super1[Bairro],mercado1)+SUMIFS(supercb[Qtde],supercb[Item],tab_alimentos[[#This Row],[Item]],supercb[Bairro],mercado1)</f>
        <v>0</v>
      </c>
      <c r="M41" s="1">
        <f>SUMIFS(super1[Qtde],super1[Item],tab_alimentos[[#This Row],[Item]],super1[Bairro],mercado2)+SUMIFS(supercb[Qtde],supercb[Item],tab_alimentos[[#This Row],[Item]],supercb[Bairro],mercado2)</f>
        <v>0</v>
      </c>
      <c r="N41" s="1">
        <f>SUMIFS(super1[Qtde],super1[Item],tab_alimentos[[#This Row],[Item]],super1[Bairro],mercado3)+SUMIFS(supercb[Qtde],supercb[Item],tab_alimentos[[#This Row],[Item]],supercb[Bairro],mercado3)</f>
        <v>0</v>
      </c>
      <c r="O41" s="1">
        <f>SUMIFS(super1[Qtde],super1[Item],tab_alimentos[[#This Row],[Item]],super1[Bairro],mercado4)+SUMIFS(supercb[Qtde],supercb[Item],tab_alimentos[[#This Row],[Item]],supercb[Bairro],mercado4)</f>
        <v>0</v>
      </c>
      <c r="P41" s="1">
        <f>SUMIFS(super1[Qtde],super1[Item],tab_alimentos[[#This Row],[Item]],super1[Bairro],mercado5)+SUMIFS(supercb[Qtde],supercb[Item],tab_alimentos[[#This Row],[Item]],supercb[Bairro],mercado5)</f>
        <v>0</v>
      </c>
      <c r="Q41" s="1">
        <f>SUMIFS(super1[Qtde],super1[Item],tab_alimentos[[#This Row],[Item]],super1[Bairro],mercado6)+SUMIFS(supercb[Qtde],supercb[Item],tab_alimentos[[#This Row],[Item]],supercb[Bairro],mercado6)</f>
        <v>0</v>
      </c>
      <c r="R41" s="1">
        <f>SUMIFS(super1[Qtde],super1[Item],tab_alimentos[[#This Row],[Item]],super1[Bairro],mercado7)+SUMIFS(supercb[Qtde],supercb[Item],tab_alimentos[[#This Row],[Item]],supercb[Bairro],mercado7)</f>
        <v>0</v>
      </c>
      <c r="S41" s="1">
        <f>SUMIFS(super1[Qtde],super1[Item],tab_alimentos[[#This Row],[Item]],super1[Bairro],mercado8)+SUMIFS(supercb[Qtde],supercb[Item],tab_alimentos[[#This Row],[Item]],supercb[Bairro],mercado8)</f>
        <v>0</v>
      </c>
      <c r="T41" s="1">
        <f>SUMIFS(super1[Qtde],super1[Item],tab_alimentos[[#This Row],[Item]],super1[Bairro],mercado9)+SUMIFS(supercb[Qtde],supercb[Item],tab_alimentos[[#This Row],[Item]],supercb[Bairro],mercado9)</f>
        <v>0</v>
      </c>
      <c r="U41" s="1">
        <f>SUMIFS(super1[Qtde],super1[Item],tab_alimentos[[#This Row],[Item]],super1[Bairro],mercado10)+SUMIFS(supercb[Qtde],supercb[Item],tab_alimentos[[#This Row],[Item]],supercb[Bairro],mercado10)</f>
        <v>0</v>
      </c>
      <c r="V41" s="1">
        <f>SUMIFS(super1[Qtde],super1[Item],tab_alimentos[[#This Row],[Item]],super1[Bairro],mercado11)+SUMIFS(supercb[Qtde],supercb[Item],tab_alimentos[[#This Row],[Item]],supercb[Bairro],mercado11)</f>
        <v>3</v>
      </c>
      <c r="W41" s="1">
        <f>SUMIFS(super1[Qtde],super1[Item],tab_alimentos[[#This Row],[Item]],super1[Bairro],mercado12)+SUMIFS(supercb[Qtde],supercb[Item],tab_alimentos[[#This Row],[Item]],supercb[Bairro],mercado12)</f>
        <v>0</v>
      </c>
      <c r="X41" s="1">
        <f>SUMIFS(super1[Qtde],super1[Item],tab_alimentos[[#This Row],[Item]],super1[Bairro],mercado13)+SUMIFS(supercb[Qtde],supercb[Item],tab_alimentos[[#This Row],[Item]],supercb[Bairro],mercado13)</f>
        <v>0</v>
      </c>
      <c r="Y41" s="1">
        <f>SUMIFS(super1[Qtde],super1[Item],tab_alimentos[[#This Row],[Item]],super1[Bairro],mercado14)+SUMIFS(supercb[Qtde],supercb[Item],tab_alimentos[[#This Row],[Item]],supercb[Bairro],mercado14)</f>
        <v>0</v>
      </c>
      <c r="Z41" s="1">
        <f>SUMIFS(super1[Qtde],super1[Item],tab_alimentos[[#This Row],[Item]],super1[Bairro],mercado15)+SUMIFS(supercb[Qtde],supercb[Item],tab_alimentos[[#This Row],[Item]],supercb[Bairro],mercado15)</f>
        <v>0</v>
      </c>
      <c r="AA41" s="1">
        <f>SUMIFS(super1[Qtde],super1[Item],tab_alimentos[[#This Row],[Item]],super1[Bairro],mercado16)+SUMIFS(supercb[Qtde],supercb[Item],tab_alimentos[[#This Row],[Item]],supercb[Bairro],mercado16)</f>
        <v>0</v>
      </c>
      <c r="AB41" s="1">
        <f>SUMIFS(super1[Qtde],super1[Item],tab_alimentos[[#This Row],[Item]],super1[Bairro],mercado17)+SUMIFS(supercb[Qtde],supercb[Item],tab_alimentos[[#This Row],[Item]],supercb[Bairro],mercado17)</f>
        <v>0</v>
      </c>
      <c r="AC41" s="1">
        <f>SUMIFS(super1[Qtde],super1[Item],tab_alimentos[[#This Row],[Item]],super1[Bairro],mercado18)+SUMIFS(supercb[Qtde],supercb[Item],tab_alimentos[[#This Row],[Item]],supercb[Bairro],mercado18)</f>
        <v>0</v>
      </c>
      <c r="AD41" s="1">
        <f>SUMIFS(super1[Qtde],super1[Item],tab_alimentos[[#This Row],[Item]],super1[Bairro],extras)+SUMIFS(supercb[Qtde],supercb[Item],tab_alimentos[[#This Row],[Item]],supercb[Bairro],extras)</f>
        <v>0</v>
      </c>
      <c r="AE41" s="1">
        <f t="shared" si="18"/>
        <v>3</v>
      </c>
      <c r="AF41" s="1">
        <f t="shared" si="19"/>
        <v>3.1859999999999999</v>
      </c>
      <c r="AG41" s="3">
        <f t="shared" si="20"/>
        <v>0.54</v>
      </c>
      <c r="AH41" s="25" t="str">
        <f>higiene[[#This Row],[Item]]</f>
        <v>Cloro ativo (5L)</v>
      </c>
      <c r="AI41" s="1">
        <f>IFERROR(higiene[[#This Row],[Kg equivalente]],0)</f>
        <v>8.0002117466842222</v>
      </c>
      <c r="AJ41" s="1">
        <f>IFERROR(higiene[[#This Row],[Preço por produto]],0)</f>
        <v>26.5</v>
      </c>
      <c r="AK41" s="1">
        <f>SUMIFS(super1[Qtde],super1[Item],tab_higiene[[#This Row],[Item]],super1[Bairro],mercado1)+SUMIFS(supercb[Qtde],supercb[Item],tab_higiene[[#This Row],[Item]],supercb[Bairro],mercado1)</f>
        <v>0</v>
      </c>
      <c r="AL41" s="1">
        <f>SUMIFS(super1[Qtde],super1[Item],tab_higiene[[#This Row],[Item]],super1[Bairro],mercado2)+SUMIFS(supercb[Qtde],supercb[Item],tab_higiene[[#This Row],[Item]],supercb[Bairro],mercado2)</f>
        <v>0</v>
      </c>
      <c r="AM41" s="1">
        <f>SUMIFS(super1[Qtde],super1[Item],tab_higiene[[#This Row],[Item]],super1[Bairro],mercado3)+SUMIFS(supercb[Qtde],supercb[Item],tab_higiene[[#This Row],[Item]],supercb[Bairro],mercado3)</f>
        <v>0</v>
      </c>
      <c r="AN41" s="1">
        <f>SUMIFS(super1[Qtde],super1[Item],tab_higiene[[#This Row],[Item]],super1[Bairro],mercado4)+SUMIFS(supercb[Qtde],supercb[Item],tab_higiene[[#This Row],[Item]],supercb[Bairro],mercado4)</f>
        <v>0</v>
      </c>
      <c r="AO41" s="1">
        <f>SUMIFS(super1[Qtde],super1[Item],tab_higiene[[#This Row],[Item]],super1[Bairro],mercado5)+SUMIFS(supercb[Qtde],supercb[Item],tab_higiene[[#This Row],[Item]],supercb[Bairro],mercado5)</f>
        <v>0</v>
      </c>
      <c r="AP41" s="1">
        <f>SUMIFS(super1[Qtde],super1[Item],tab_higiene[[#This Row],[Item]],super1[Bairro],mercado6)+SUMIFS(supercb[Qtde],supercb[Item],tab_higiene[[#This Row],[Item]],supercb[Bairro],mercado6)</f>
        <v>0</v>
      </c>
      <c r="AQ41" s="1">
        <f>SUMIFS(super1[Qtde],super1[Item],tab_higiene[[#This Row],[Item]],super1[Bairro],mercado7)+SUMIFS(supercb[Qtde],supercb[Item],tab_higiene[[#This Row],[Item]],supercb[Bairro],mercado7)</f>
        <v>0</v>
      </c>
      <c r="AR41" s="1">
        <f>SUMIFS(super1[Qtde],super1[Item],tab_higiene[[#This Row],[Item]],super1[Bairro],mercado8)+SUMIFS(supercb[Qtde],supercb[Item],tab_higiene[[#This Row],[Item]],supercb[Bairro],mercado8)</f>
        <v>0</v>
      </c>
      <c r="AS41" s="1">
        <f>SUMIFS(super1[Qtde],super1[Item],tab_higiene[[#This Row],[Item]],super1[Bairro],mercado9)+SUMIFS(supercb[Qtde],supercb[Item],tab_higiene[[#This Row],[Item]],supercb[Bairro],mercado9)</f>
        <v>0</v>
      </c>
      <c r="AT41" s="1">
        <f>SUMIFS(super1[Qtde],super1[Item],tab_higiene[[#This Row],[Item]],super1[Bairro],mercado10)+SUMIFS(supercb[Qtde],supercb[Item],tab_higiene[[#This Row],[Item]],supercb[Bairro],mercado10)</f>
        <v>0</v>
      </c>
      <c r="AU41" s="1">
        <f>SUMIFS(super1[Qtde],super1[Item],tab_higiene[[#This Row],[Item]],super1[Bairro],mercado11)+SUMIFS(supercb[Qtde],supercb[Item],tab_higiene[[#This Row],[Item]],supercb[Bairro],mercado11)</f>
        <v>0</v>
      </c>
      <c r="AV41" s="1">
        <f>SUMIFS(super1[Qtde],super1[Item],tab_higiene[[#This Row],[Item]],super1[Bairro],mercado12)+SUMIFS(supercb[Qtde],supercb[Item],tab_higiene[[#This Row],[Item]],supercb[Bairro],mercado12)</f>
        <v>0</v>
      </c>
      <c r="AW41" s="1">
        <f>SUMIFS(super1[Qtde],super1[Item],tab_higiene[[#This Row],[Item]],super1[Bairro],mercado13)+SUMIFS(supercb[Qtde],supercb[Item],tab_higiene[[#This Row],[Item]],supercb[Bairro],mercado13)</f>
        <v>0</v>
      </c>
      <c r="AX41" s="1">
        <f>SUMIFS(super1[Qtde],super1[Item],tab_higiene[[#This Row],[Item]],super1[Bairro],mercado14)+SUMIFS(supercb[Qtde],supercb[Item],tab_higiene[[#This Row],[Item]],supercb[Bairro],mercado14)</f>
        <v>0</v>
      </c>
      <c r="AY41" s="1">
        <f>SUMIFS(super1[Qtde],super1[Item],tab_higiene[[#This Row],[Item]],super1[Bairro],mercado15)+SUMIFS(supercb[Qtde],supercb[Item],tab_higiene[[#This Row],[Item]],supercb[Bairro],mercado15)</f>
        <v>0</v>
      </c>
      <c r="AZ41" s="1">
        <f>SUMIFS(super1[Qtde],super1[Item],tab_higiene[[#This Row],[Item]],super1[Bairro],mercado16)+SUMIFS(supercb[Qtde],supercb[Item],tab_higiene[[#This Row],[Item]],supercb[Bairro],mercado16)</f>
        <v>0</v>
      </c>
      <c r="BA41" s="1">
        <f>SUMIFS(super1[Qtde],super1[Item],tab_higiene[[#This Row],[Item]],super1[Bairro],mercado17)+SUMIFS(supercb[Qtde],supercb[Item],tab_higiene[[#This Row],[Item]],supercb[Bairro],mercado17)</f>
        <v>0</v>
      </c>
      <c r="BB41" s="1">
        <f>SUMIFS(super1[Qtde],super1[Item],tab_higiene[[#This Row],[Item]],super1[Bairro],mercado18)+SUMIFS(supercb[Qtde],supercb[Item],tab_higiene[[#This Row],[Item]],supercb[Bairro],mercado18)</f>
        <v>0</v>
      </c>
      <c r="BC41" s="1">
        <f>SUMIFS(super1[Qtde],super1[Item],tab_higiene[[#This Row],[Item]],super1[Bairro],extras)+SUMIFS(supercb[Qtde],supercb[Item],tab_higiene[[#This Row],[Item]],supercb[Bairro],extras)</f>
        <v>0</v>
      </c>
      <c r="BD41" s="1">
        <f t="shared" si="21"/>
        <v>0</v>
      </c>
      <c r="BE41" s="1">
        <f t="shared" si="22"/>
        <v>0</v>
      </c>
      <c r="BF41" s="26">
        <f t="shared" si="23"/>
        <v>0</v>
      </c>
      <c r="BI41" s="33" t="str">
        <f>tab_alimentos[[#This Row],[Item]]</f>
        <v>Bebida Láctea Chocolate (180mL)</v>
      </c>
      <c r="BJ41" s="33">
        <f t="shared" si="6"/>
        <v>24</v>
      </c>
      <c r="BK41" s="33" t="str">
        <f t="shared" si="7"/>
        <v>Bebida Láctea Chocolate</v>
      </c>
      <c r="BL41" s="33">
        <f>tab_alimentos[[#This Row],[kg]]</f>
        <v>0.54</v>
      </c>
      <c r="BM41" s="37" t="s">
        <v>288</v>
      </c>
      <c r="BN41" s="35">
        <f t="shared" si="11"/>
        <v>0</v>
      </c>
      <c r="BP41" s="33" t="str">
        <f>tab_higiene[[#This Row],[Item]]</f>
        <v>Cloro ativo (5L)</v>
      </c>
      <c r="BQ41" s="33">
        <f t="shared" si="8"/>
        <v>12</v>
      </c>
      <c r="BR41" s="33" t="str">
        <f t="shared" si="9"/>
        <v>Cloro ativo</v>
      </c>
      <c r="BS41" s="33">
        <f>higiene[[#This Row],[Quantidade]]</f>
        <v>5</v>
      </c>
      <c r="BT41" s="33">
        <f>tab_higiene[Qtde (tot)]</f>
        <v>0</v>
      </c>
      <c r="BU41" s="33">
        <f t="shared" si="12"/>
        <v>0</v>
      </c>
      <c r="BV41" s="37" t="s">
        <v>324</v>
      </c>
      <c r="BW41" s="33">
        <f t="shared" si="24"/>
        <v>9</v>
      </c>
    </row>
    <row r="42" spans="1:75" x14ac:dyDescent="0.25">
      <c r="A42" s="88"/>
      <c r="B42" s="88"/>
      <c r="C42" s="88"/>
      <c r="D42" s="88"/>
      <c r="E42" s="88"/>
      <c r="F42" s="88"/>
      <c r="G42" s="88"/>
      <c r="I42" s="25" t="str">
        <f>alimentos[[#This Row],[Item]]</f>
        <v>bebida láctea chocolate (1l)</v>
      </c>
      <c r="J42" s="1">
        <f>IFERROR(alimentos[[#This Row],[kg/embalagem]],0)</f>
        <v>1</v>
      </c>
      <c r="K42" s="1">
        <f>IFERROR(alimentos[[#This Row],[Preço]],0)</f>
        <v>5.48</v>
      </c>
      <c r="L42" s="1">
        <f>SUMIFS(super1[Qtde],super1[Item],tab_alimentos[[#This Row],[Item]],super1[Bairro],mercado1)+SUMIFS(supercb[Qtde],supercb[Item],tab_alimentos[[#This Row],[Item]],supercb[Bairro],mercado1)</f>
        <v>0</v>
      </c>
      <c r="M42" s="1">
        <f>SUMIFS(super1[Qtde],super1[Item],tab_alimentos[[#This Row],[Item]],super1[Bairro],mercado2)+SUMIFS(supercb[Qtde],supercb[Item],tab_alimentos[[#This Row],[Item]],supercb[Bairro],mercado2)</f>
        <v>0</v>
      </c>
      <c r="N42" s="1">
        <f>SUMIFS(super1[Qtde],super1[Item],tab_alimentos[[#This Row],[Item]],super1[Bairro],mercado3)+SUMIFS(supercb[Qtde],supercb[Item],tab_alimentos[[#This Row],[Item]],supercb[Bairro],mercado3)</f>
        <v>0</v>
      </c>
      <c r="O42" s="1">
        <f>SUMIFS(super1[Qtde],super1[Item],tab_alimentos[[#This Row],[Item]],super1[Bairro],mercado4)+SUMIFS(supercb[Qtde],supercb[Item],tab_alimentos[[#This Row],[Item]],supercb[Bairro],mercado4)</f>
        <v>0</v>
      </c>
      <c r="P42" s="1">
        <f>SUMIFS(super1[Qtde],super1[Item],tab_alimentos[[#This Row],[Item]],super1[Bairro],mercado5)+SUMIFS(supercb[Qtde],supercb[Item],tab_alimentos[[#This Row],[Item]],supercb[Bairro],mercado5)</f>
        <v>0</v>
      </c>
      <c r="Q42" s="1">
        <f>SUMIFS(super1[Qtde],super1[Item],tab_alimentos[[#This Row],[Item]],super1[Bairro],mercado6)+SUMIFS(supercb[Qtde],supercb[Item],tab_alimentos[[#This Row],[Item]],supercb[Bairro],mercado6)</f>
        <v>0</v>
      </c>
      <c r="R42" s="1">
        <f>SUMIFS(super1[Qtde],super1[Item],tab_alimentos[[#This Row],[Item]],super1[Bairro],mercado7)+SUMIFS(supercb[Qtde],supercb[Item],tab_alimentos[[#This Row],[Item]],supercb[Bairro],mercado7)</f>
        <v>0</v>
      </c>
      <c r="S42" s="1">
        <f>SUMIFS(super1[Qtde],super1[Item],tab_alimentos[[#This Row],[Item]],super1[Bairro],mercado8)+SUMIFS(supercb[Qtde],supercb[Item],tab_alimentos[[#This Row],[Item]],supercb[Bairro],mercado8)</f>
        <v>0</v>
      </c>
      <c r="T42" s="1">
        <f>SUMIFS(super1[Qtde],super1[Item],tab_alimentos[[#This Row],[Item]],super1[Bairro],mercado9)+SUMIFS(supercb[Qtde],supercb[Item],tab_alimentos[[#This Row],[Item]],supercb[Bairro],mercado9)</f>
        <v>0</v>
      </c>
      <c r="U42" s="1">
        <f>SUMIFS(super1[Qtde],super1[Item],tab_alimentos[[#This Row],[Item]],super1[Bairro],mercado10)+SUMIFS(supercb[Qtde],supercb[Item],tab_alimentos[[#This Row],[Item]],supercb[Bairro],mercado10)</f>
        <v>0</v>
      </c>
      <c r="V42" s="1">
        <f>SUMIFS(super1[Qtde],super1[Item],tab_alimentos[[#This Row],[Item]],super1[Bairro],mercado11)+SUMIFS(supercb[Qtde],supercb[Item],tab_alimentos[[#This Row],[Item]],supercb[Bairro],mercado11)</f>
        <v>0</v>
      </c>
      <c r="W42" s="1">
        <f>SUMIFS(super1[Qtde],super1[Item],tab_alimentos[[#This Row],[Item]],super1[Bairro],mercado12)+SUMIFS(supercb[Qtde],supercb[Item],tab_alimentos[[#This Row],[Item]],supercb[Bairro],mercado12)</f>
        <v>0</v>
      </c>
      <c r="X42" s="1">
        <f>SUMIFS(super1[Qtde],super1[Item],tab_alimentos[[#This Row],[Item]],super1[Bairro],mercado13)+SUMIFS(supercb[Qtde],supercb[Item],tab_alimentos[[#This Row],[Item]],supercb[Bairro],mercado13)</f>
        <v>1</v>
      </c>
      <c r="Y42" s="1">
        <f>SUMIFS(super1[Qtde],super1[Item],tab_alimentos[[#This Row],[Item]],super1[Bairro],mercado14)+SUMIFS(supercb[Qtde],supercb[Item],tab_alimentos[[#This Row],[Item]],supercb[Bairro],mercado14)</f>
        <v>0</v>
      </c>
      <c r="Z42" s="1">
        <f>SUMIFS(super1[Qtde],super1[Item],tab_alimentos[[#This Row],[Item]],super1[Bairro],mercado15)+SUMIFS(supercb[Qtde],supercb[Item],tab_alimentos[[#This Row],[Item]],supercb[Bairro],mercado15)</f>
        <v>0</v>
      </c>
      <c r="AA42" s="1">
        <f>SUMIFS(super1[Qtde],super1[Item],tab_alimentos[[#This Row],[Item]],super1[Bairro],mercado16)+SUMIFS(supercb[Qtde],supercb[Item],tab_alimentos[[#This Row],[Item]],supercb[Bairro],mercado16)</f>
        <v>0</v>
      </c>
      <c r="AB42" s="1">
        <f>SUMIFS(super1[Qtde],super1[Item],tab_alimentos[[#This Row],[Item]],super1[Bairro],mercado17)+SUMIFS(supercb[Qtde],supercb[Item],tab_alimentos[[#This Row],[Item]],supercb[Bairro],mercado17)</f>
        <v>0</v>
      </c>
      <c r="AC42" s="1">
        <f>SUMIFS(super1[Qtde],super1[Item],tab_alimentos[[#This Row],[Item]],super1[Bairro],mercado18)+SUMIFS(supercb[Qtde],supercb[Item],tab_alimentos[[#This Row],[Item]],supercb[Bairro],mercado18)</f>
        <v>0</v>
      </c>
      <c r="AD42" s="1">
        <f>SUMIFS(super1[Qtde],super1[Item],tab_alimentos[[#This Row],[Item]],super1[Bairro],extras)+SUMIFS(supercb[Qtde],supercb[Item],tab_alimentos[[#This Row],[Item]],supercb[Bairro],extras)</f>
        <v>0</v>
      </c>
      <c r="AE42" s="1">
        <f t="shared" si="18"/>
        <v>1</v>
      </c>
      <c r="AF42" s="1">
        <f t="shared" si="19"/>
        <v>5.48</v>
      </c>
      <c r="AG42" s="3">
        <f t="shared" si="20"/>
        <v>1</v>
      </c>
      <c r="AH42" s="25" t="str">
        <f>higiene[[#This Row],[Item]]</f>
        <v>Condicionador (200mL)</v>
      </c>
      <c r="AI42" s="1">
        <f>IFERROR(higiene[[#This Row],[Kg equivalente]],0)</f>
        <v>2.5630867067678889</v>
      </c>
      <c r="AJ42" s="1">
        <f>IFERROR(higiene[[#This Row],[Preço por produto]],0)</f>
        <v>8.49</v>
      </c>
      <c r="AK42" s="1">
        <f>SUMIFS(super1[Qtde],super1[Item],tab_higiene[[#This Row],[Item]],super1[Bairro],mercado1)+SUMIFS(supercb[Qtde],supercb[Item],tab_higiene[[#This Row],[Item]],supercb[Bairro],mercado1)</f>
        <v>0</v>
      </c>
      <c r="AL42" s="1">
        <f>SUMIFS(super1[Qtde],super1[Item],tab_higiene[[#This Row],[Item]],super1[Bairro],mercado2)+SUMIFS(supercb[Qtde],supercb[Item],tab_higiene[[#This Row],[Item]],supercb[Bairro],mercado2)</f>
        <v>0</v>
      </c>
      <c r="AM42" s="1">
        <f>SUMIFS(super1[Qtde],super1[Item],tab_higiene[[#This Row],[Item]],super1[Bairro],mercado3)+SUMIFS(supercb[Qtde],supercb[Item],tab_higiene[[#This Row],[Item]],supercb[Bairro],mercado3)</f>
        <v>0</v>
      </c>
      <c r="AN42" s="1">
        <f>SUMIFS(super1[Qtde],super1[Item],tab_higiene[[#This Row],[Item]],super1[Bairro],mercado4)+SUMIFS(supercb[Qtde],supercb[Item],tab_higiene[[#This Row],[Item]],supercb[Bairro],mercado4)</f>
        <v>0</v>
      </c>
      <c r="AO42" s="1">
        <f>SUMIFS(super1[Qtde],super1[Item],tab_higiene[[#This Row],[Item]],super1[Bairro],mercado5)+SUMIFS(supercb[Qtde],supercb[Item],tab_higiene[[#This Row],[Item]],supercb[Bairro],mercado5)</f>
        <v>0</v>
      </c>
      <c r="AP42" s="1">
        <f>SUMIFS(super1[Qtde],super1[Item],tab_higiene[[#This Row],[Item]],super1[Bairro],mercado6)+SUMIFS(supercb[Qtde],supercb[Item],tab_higiene[[#This Row],[Item]],supercb[Bairro],mercado6)</f>
        <v>0</v>
      </c>
      <c r="AQ42" s="1">
        <f>SUMIFS(super1[Qtde],super1[Item],tab_higiene[[#This Row],[Item]],super1[Bairro],mercado7)+SUMIFS(supercb[Qtde],supercb[Item],tab_higiene[[#This Row],[Item]],supercb[Bairro],mercado7)</f>
        <v>0</v>
      </c>
      <c r="AR42" s="1">
        <f>SUMIFS(super1[Qtde],super1[Item],tab_higiene[[#This Row],[Item]],super1[Bairro],mercado8)+SUMIFS(supercb[Qtde],supercb[Item],tab_higiene[[#This Row],[Item]],supercb[Bairro],mercado8)</f>
        <v>0</v>
      </c>
      <c r="AS42" s="1">
        <f>SUMIFS(super1[Qtde],super1[Item],tab_higiene[[#This Row],[Item]],super1[Bairro],mercado9)+SUMIFS(supercb[Qtde],supercb[Item],tab_higiene[[#This Row],[Item]],supercb[Bairro],mercado9)</f>
        <v>0</v>
      </c>
      <c r="AT42" s="1">
        <f>SUMIFS(super1[Qtde],super1[Item],tab_higiene[[#This Row],[Item]],super1[Bairro],mercado10)+SUMIFS(supercb[Qtde],supercb[Item],tab_higiene[[#This Row],[Item]],supercb[Bairro],mercado10)</f>
        <v>0</v>
      </c>
      <c r="AU42" s="1">
        <f>SUMIFS(super1[Qtde],super1[Item],tab_higiene[[#This Row],[Item]],super1[Bairro],mercado11)+SUMIFS(supercb[Qtde],supercb[Item],tab_higiene[[#This Row],[Item]],supercb[Bairro],mercado11)</f>
        <v>0</v>
      </c>
      <c r="AV42" s="1">
        <f>SUMIFS(super1[Qtde],super1[Item],tab_higiene[[#This Row],[Item]],super1[Bairro],mercado12)+SUMIFS(supercb[Qtde],supercb[Item],tab_higiene[[#This Row],[Item]],supercb[Bairro],mercado12)</f>
        <v>0</v>
      </c>
      <c r="AW42" s="1">
        <f>SUMIFS(super1[Qtde],super1[Item],tab_higiene[[#This Row],[Item]],super1[Bairro],mercado13)+SUMIFS(supercb[Qtde],supercb[Item],tab_higiene[[#This Row],[Item]],supercb[Bairro],mercado13)</f>
        <v>0</v>
      </c>
      <c r="AX42" s="1">
        <f>SUMIFS(super1[Qtde],super1[Item],tab_higiene[[#This Row],[Item]],super1[Bairro],mercado14)+SUMIFS(supercb[Qtde],supercb[Item],tab_higiene[[#This Row],[Item]],supercb[Bairro],mercado14)</f>
        <v>0</v>
      </c>
      <c r="AY42" s="1">
        <f>SUMIFS(super1[Qtde],super1[Item],tab_higiene[[#This Row],[Item]],super1[Bairro],mercado15)+SUMIFS(supercb[Qtde],supercb[Item],tab_higiene[[#This Row],[Item]],supercb[Bairro],mercado15)</f>
        <v>0</v>
      </c>
      <c r="AZ42" s="1">
        <f>SUMIFS(super1[Qtde],super1[Item],tab_higiene[[#This Row],[Item]],super1[Bairro],mercado16)+SUMIFS(supercb[Qtde],supercb[Item],tab_higiene[[#This Row],[Item]],supercb[Bairro],mercado16)</f>
        <v>0</v>
      </c>
      <c r="BA42" s="1">
        <f>SUMIFS(super1[Qtde],super1[Item],tab_higiene[[#This Row],[Item]],super1[Bairro],mercado17)+SUMIFS(supercb[Qtde],supercb[Item],tab_higiene[[#This Row],[Item]],supercb[Bairro],mercado17)</f>
        <v>0</v>
      </c>
      <c r="BB42" s="1">
        <f>SUMIFS(super1[Qtde],super1[Item],tab_higiene[[#This Row],[Item]],super1[Bairro],mercado18)+SUMIFS(supercb[Qtde],supercb[Item],tab_higiene[[#This Row],[Item]],supercb[Bairro],mercado18)</f>
        <v>0</v>
      </c>
      <c r="BC42" s="1">
        <f>SUMIFS(super1[Qtde],super1[Item],tab_higiene[[#This Row],[Item]],super1[Bairro],extras)+SUMIFS(supercb[Qtde],supercb[Item],tab_higiene[[#This Row],[Item]],supercb[Bairro],extras)</f>
        <v>0</v>
      </c>
      <c r="BD42" s="1">
        <f t="shared" si="21"/>
        <v>0</v>
      </c>
      <c r="BE42" s="1">
        <f t="shared" si="22"/>
        <v>0</v>
      </c>
      <c r="BF42" s="26">
        <f t="shared" si="23"/>
        <v>0</v>
      </c>
      <c r="BI42" s="33" t="str">
        <f>tab_alimentos[[#This Row],[Item]]</f>
        <v>bebida láctea chocolate (1l)</v>
      </c>
      <c r="BJ42" s="33">
        <f t="shared" si="6"/>
        <v>24</v>
      </c>
      <c r="BK42" s="33" t="str">
        <f t="shared" si="7"/>
        <v>bebida láctea chocolate</v>
      </c>
      <c r="BL42" s="33">
        <f>tab_alimentos[[#This Row],[kg]]</f>
        <v>1</v>
      </c>
      <c r="BM42" s="37" t="s">
        <v>83</v>
      </c>
      <c r="BN42" s="35">
        <f t="shared" si="11"/>
        <v>0</v>
      </c>
      <c r="BP42" s="33" t="str">
        <f>tab_higiene[[#This Row],[Item]]</f>
        <v>Condicionador (200mL)</v>
      </c>
      <c r="BQ42" s="33">
        <f t="shared" si="8"/>
        <v>14</v>
      </c>
      <c r="BR42" s="33" t="str">
        <f t="shared" si="9"/>
        <v>Condicionador</v>
      </c>
      <c r="BS42" s="33">
        <f>higiene[[#This Row],[Quantidade]]</f>
        <v>0.75</v>
      </c>
      <c r="BT42" s="33">
        <f>tab_higiene[Qtde (tot)]</f>
        <v>0</v>
      </c>
      <c r="BU42" s="33">
        <f t="shared" si="12"/>
        <v>0</v>
      </c>
      <c r="BV42" s="37" t="s">
        <v>88</v>
      </c>
      <c r="BW42" s="33">
        <f t="shared" si="24"/>
        <v>0</v>
      </c>
    </row>
    <row r="43" spans="1:75" x14ac:dyDescent="0.25">
      <c r="A43" s="87" t="s">
        <v>252</v>
      </c>
      <c r="B43" s="87"/>
      <c r="C43" s="87"/>
      <c r="D43" s="87"/>
      <c r="E43" s="87"/>
      <c r="F43" s="87"/>
      <c r="G43" s="87"/>
      <c r="I43" s="25" t="str">
        <f>alimentos[[#This Row],[Item]]</f>
        <v>Biscoito de Polvinho</v>
      </c>
      <c r="J43" s="1">
        <f>IFERROR(alimentos[[#This Row],[kg/embalagem]],0)</f>
        <v>0.3</v>
      </c>
      <c r="K43" s="1">
        <f>IFERROR(alimentos[[#This Row],[Preço]],0)</f>
        <v>3.7066666666666666</v>
      </c>
      <c r="L43" s="1">
        <f>SUMIFS(super1[Qtde],super1[Item],tab_alimentos[[#This Row],[Item]],super1[Bairro],mercado1)+SUMIFS(supercb[Qtde],supercb[Item],tab_alimentos[[#This Row],[Item]],supercb[Bairro],mercado1)</f>
        <v>0</v>
      </c>
      <c r="M43" s="1">
        <f>SUMIFS(super1[Qtde],super1[Item],tab_alimentos[[#This Row],[Item]],super1[Bairro],mercado2)+SUMIFS(supercb[Qtde],supercb[Item],tab_alimentos[[#This Row],[Item]],supercb[Bairro],mercado2)</f>
        <v>0</v>
      </c>
      <c r="N43" s="1">
        <f>SUMIFS(super1[Qtde],super1[Item],tab_alimentos[[#This Row],[Item]],super1[Bairro],mercado3)+SUMIFS(supercb[Qtde],supercb[Item],tab_alimentos[[#This Row],[Item]],supercb[Bairro],mercado3)</f>
        <v>0</v>
      </c>
      <c r="O43" s="1">
        <f>SUMIFS(super1[Qtde],super1[Item],tab_alimentos[[#This Row],[Item]],super1[Bairro],mercado4)+SUMIFS(supercb[Qtde],supercb[Item],tab_alimentos[[#This Row],[Item]],supercb[Bairro],mercado4)</f>
        <v>0</v>
      </c>
      <c r="P43" s="1">
        <f>SUMIFS(super1[Qtde],super1[Item],tab_alimentos[[#This Row],[Item]],super1[Bairro],mercado5)+SUMIFS(supercb[Qtde],supercb[Item],tab_alimentos[[#This Row],[Item]],supercb[Bairro],mercado5)</f>
        <v>0</v>
      </c>
      <c r="Q43" s="1">
        <f>SUMIFS(super1[Qtde],super1[Item],tab_alimentos[[#This Row],[Item]],super1[Bairro],mercado6)+SUMIFS(supercb[Qtde],supercb[Item],tab_alimentos[[#This Row],[Item]],supercb[Bairro],mercado6)</f>
        <v>0</v>
      </c>
      <c r="R43" s="1">
        <f>SUMIFS(super1[Qtde],super1[Item],tab_alimentos[[#This Row],[Item]],super1[Bairro],mercado7)+SUMIFS(supercb[Qtde],supercb[Item],tab_alimentos[[#This Row],[Item]],supercb[Bairro],mercado7)</f>
        <v>0</v>
      </c>
      <c r="S43" s="1">
        <f>SUMIFS(super1[Qtde],super1[Item],tab_alimentos[[#This Row],[Item]],super1[Bairro],mercado8)+SUMIFS(supercb[Qtde],supercb[Item],tab_alimentos[[#This Row],[Item]],supercb[Bairro],mercado8)</f>
        <v>0</v>
      </c>
      <c r="T43" s="1">
        <f>SUMIFS(super1[Qtde],super1[Item],tab_alimentos[[#This Row],[Item]],super1[Bairro],mercado9)+SUMIFS(supercb[Qtde],supercb[Item],tab_alimentos[[#This Row],[Item]],supercb[Bairro],mercado9)</f>
        <v>0</v>
      </c>
      <c r="U43" s="1">
        <f>SUMIFS(super1[Qtde],super1[Item],tab_alimentos[[#This Row],[Item]],super1[Bairro],mercado10)+SUMIFS(supercb[Qtde],supercb[Item],tab_alimentos[[#This Row],[Item]],supercb[Bairro],mercado10)</f>
        <v>0</v>
      </c>
      <c r="V43" s="1">
        <f>SUMIFS(super1[Qtde],super1[Item],tab_alimentos[[#This Row],[Item]],super1[Bairro],mercado11)+SUMIFS(supercb[Qtde],supercb[Item],tab_alimentos[[#This Row],[Item]],supercb[Bairro],mercado11)</f>
        <v>0</v>
      </c>
      <c r="W43" s="1">
        <f>SUMIFS(super1[Qtde],super1[Item],tab_alimentos[[#This Row],[Item]],super1[Bairro],mercado12)+SUMIFS(supercb[Qtde],supercb[Item],tab_alimentos[[#This Row],[Item]],supercb[Bairro],mercado12)</f>
        <v>0</v>
      </c>
      <c r="X43" s="1">
        <f>SUMIFS(super1[Qtde],super1[Item],tab_alimentos[[#This Row],[Item]],super1[Bairro],mercado13)+SUMIFS(supercb[Qtde],supercb[Item],tab_alimentos[[#This Row],[Item]],supercb[Bairro],mercado13)</f>
        <v>0</v>
      </c>
      <c r="Y43" s="1">
        <f>SUMIFS(super1[Qtde],super1[Item],tab_alimentos[[#This Row],[Item]],super1[Bairro],mercado14)+SUMIFS(supercb[Qtde],supercb[Item],tab_alimentos[[#This Row],[Item]],supercb[Bairro],mercado14)</f>
        <v>0</v>
      </c>
      <c r="Z43" s="1">
        <f>SUMIFS(super1[Qtde],super1[Item],tab_alimentos[[#This Row],[Item]],super1[Bairro],mercado15)+SUMIFS(supercb[Qtde],supercb[Item],tab_alimentos[[#This Row],[Item]],supercb[Bairro],mercado15)</f>
        <v>0</v>
      </c>
      <c r="AA43" s="1">
        <f>SUMIFS(super1[Qtde],super1[Item],tab_alimentos[[#This Row],[Item]],super1[Bairro],mercado16)+SUMIFS(supercb[Qtde],supercb[Item],tab_alimentos[[#This Row],[Item]],supercb[Bairro],mercado16)</f>
        <v>0</v>
      </c>
      <c r="AB43" s="1">
        <f>SUMIFS(super1[Qtde],super1[Item],tab_alimentos[[#This Row],[Item]],super1[Bairro],mercado17)+SUMIFS(supercb[Qtde],supercb[Item],tab_alimentos[[#This Row],[Item]],supercb[Bairro],mercado17)</f>
        <v>0</v>
      </c>
      <c r="AC43" s="1">
        <f>SUMIFS(super1[Qtde],super1[Item],tab_alimentos[[#This Row],[Item]],super1[Bairro],mercado18)+SUMIFS(supercb[Qtde],supercb[Item],tab_alimentos[[#This Row],[Item]],supercb[Bairro],mercado18)</f>
        <v>0</v>
      </c>
      <c r="AD43" s="1">
        <f>SUMIFS(super1[Qtde],super1[Item],tab_alimentos[[#This Row],[Item]],super1[Bairro],extras)+SUMIFS(supercb[Qtde],supercb[Item],tab_alimentos[[#This Row],[Item]],supercb[Bairro],extras)</f>
        <v>0</v>
      </c>
      <c r="AE43" s="1">
        <f t="shared" si="18"/>
        <v>0</v>
      </c>
      <c r="AF43" s="1">
        <f t="shared" si="19"/>
        <v>0</v>
      </c>
      <c r="AG43" s="3">
        <f t="shared" si="20"/>
        <v>0</v>
      </c>
      <c r="AH43" s="25" t="str">
        <f>higiene[[#This Row],[Item]]</f>
        <v>Condicionador (325 mL)</v>
      </c>
      <c r="AI43" s="1">
        <f>IFERROR(higiene[[#This Row],[Kg equivalente]],0)</f>
        <v>2.1706234890060214</v>
      </c>
      <c r="AJ43" s="1">
        <f>IFERROR(higiene[[#This Row],[Preço por produto]],0)</f>
        <v>7.19</v>
      </c>
      <c r="AK43" s="1">
        <f>SUMIFS(super1[Qtde],super1[Item],tab_higiene[[#This Row],[Item]],super1[Bairro],mercado1)+SUMIFS(supercb[Qtde],supercb[Item],tab_higiene[[#This Row],[Item]],supercb[Bairro],mercado1)</f>
        <v>0</v>
      </c>
      <c r="AL43" s="1">
        <f>SUMIFS(super1[Qtde],super1[Item],tab_higiene[[#This Row],[Item]],super1[Bairro],mercado2)+SUMIFS(supercb[Qtde],supercb[Item],tab_higiene[[#This Row],[Item]],supercb[Bairro],mercado2)</f>
        <v>0</v>
      </c>
      <c r="AM43" s="1">
        <f>SUMIFS(super1[Qtde],super1[Item],tab_higiene[[#This Row],[Item]],super1[Bairro],mercado3)+SUMIFS(supercb[Qtde],supercb[Item],tab_higiene[[#This Row],[Item]],supercb[Bairro],mercado3)</f>
        <v>0</v>
      </c>
      <c r="AN43" s="1">
        <f>SUMIFS(super1[Qtde],super1[Item],tab_higiene[[#This Row],[Item]],super1[Bairro],mercado4)+SUMIFS(supercb[Qtde],supercb[Item],tab_higiene[[#This Row],[Item]],supercb[Bairro],mercado4)</f>
        <v>0</v>
      </c>
      <c r="AO43" s="1">
        <f>SUMIFS(super1[Qtde],super1[Item],tab_higiene[[#This Row],[Item]],super1[Bairro],mercado5)+SUMIFS(supercb[Qtde],supercb[Item],tab_higiene[[#This Row],[Item]],supercb[Bairro],mercado5)</f>
        <v>0</v>
      </c>
      <c r="AP43" s="1">
        <f>SUMIFS(super1[Qtde],super1[Item],tab_higiene[[#This Row],[Item]],super1[Bairro],mercado6)+SUMIFS(supercb[Qtde],supercb[Item],tab_higiene[[#This Row],[Item]],supercb[Bairro],mercado6)</f>
        <v>0</v>
      </c>
      <c r="AQ43" s="1">
        <f>SUMIFS(super1[Qtde],super1[Item],tab_higiene[[#This Row],[Item]],super1[Bairro],mercado7)+SUMIFS(supercb[Qtde],supercb[Item],tab_higiene[[#This Row],[Item]],supercb[Bairro],mercado7)</f>
        <v>0</v>
      </c>
      <c r="AR43" s="1">
        <f>SUMIFS(super1[Qtde],super1[Item],tab_higiene[[#This Row],[Item]],super1[Bairro],mercado8)+SUMIFS(supercb[Qtde],supercb[Item],tab_higiene[[#This Row],[Item]],supercb[Bairro],mercado8)</f>
        <v>0</v>
      </c>
      <c r="AS43" s="1">
        <f>SUMIFS(super1[Qtde],super1[Item],tab_higiene[[#This Row],[Item]],super1[Bairro],mercado9)+SUMIFS(supercb[Qtde],supercb[Item],tab_higiene[[#This Row],[Item]],supercb[Bairro],mercado9)</f>
        <v>0</v>
      </c>
      <c r="AT43" s="1">
        <f>SUMIFS(super1[Qtde],super1[Item],tab_higiene[[#This Row],[Item]],super1[Bairro],mercado10)+SUMIFS(supercb[Qtde],supercb[Item],tab_higiene[[#This Row],[Item]],supercb[Bairro],mercado10)</f>
        <v>0</v>
      </c>
      <c r="AU43" s="1">
        <f>SUMIFS(super1[Qtde],super1[Item],tab_higiene[[#This Row],[Item]],super1[Bairro],mercado11)+SUMIFS(supercb[Qtde],supercb[Item],tab_higiene[[#This Row],[Item]],supercb[Bairro],mercado11)</f>
        <v>0</v>
      </c>
      <c r="AV43" s="1">
        <f>SUMIFS(super1[Qtde],super1[Item],tab_higiene[[#This Row],[Item]],super1[Bairro],mercado12)+SUMIFS(supercb[Qtde],supercb[Item],tab_higiene[[#This Row],[Item]],supercb[Bairro],mercado12)</f>
        <v>0</v>
      </c>
      <c r="AW43" s="1">
        <f>SUMIFS(super1[Qtde],super1[Item],tab_higiene[[#This Row],[Item]],super1[Bairro],mercado13)+SUMIFS(supercb[Qtde],supercb[Item],tab_higiene[[#This Row],[Item]],supercb[Bairro],mercado13)</f>
        <v>0</v>
      </c>
      <c r="AX43" s="1">
        <f>SUMIFS(super1[Qtde],super1[Item],tab_higiene[[#This Row],[Item]],super1[Bairro],mercado14)+SUMIFS(supercb[Qtde],supercb[Item],tab_higiene[[#This Row],[Item]],supercb[Bairro],mercado14)</f>
        <v>0</v>
      </c>
      <c r="AY43" s="1">
        <f>SUMIFS(super1[Qtde],super1[Item],tab_higiene[[#This Row],[Item]],super1[Bairro],mercado15)+SUMIFS(supercb[Qtde],supercb[Item],tab_higiene[[#This Row],[Item]],supercb[Bairro],mercado15)</f>
        <v>0</v>
      </c>
      <c r="AZ43" s="1">
        <f>SUMIFS(super1[Qtde],super1[Item],tab_higiene[[#This Row],[Item]],super1[Bairro],mercado16)+SUMIFS(supercb[Qtde],supercb[Item],tab_higiene[[#This Row],[Item]],supercb[Bairro],mercado16)</f>
        <v>0</v>
      </c>
      <c r="BA43" s="1">
        <f>SUMIFS(super1[Qtde],super1[Item],tab_higiene[[#This Row],[Item]],super1[Bairro],mercado17)+SUMIFS(supercb[Qtde],supercb[Item],tab_higiene[[#This Row],[Item]],supercb[Bairro],mercado17)</f>
        <v>0</v>
      </c>
      <c r="BB43" s="1">
        <f>SUMIFS(super1[Qtde],super1[Item],tab_higiene[[#This Row],[Item]],super1[Bairro],mercado18)+SUMIFS(supercb[Qtde],supercb[Item],tab_higiene[[#This Row],[Item]],supercb[Bairro],mercado18)</f>
        <v>0</v>
      </c>
      <c r="BC43" s="1">
        <f>SUMIFS(super1[Qtde],super1[Item],tab_higiene[[#This Row],[Item]],super1[Bairro],extras)+SUMIFS(supercb[Qtde],supercb[Item],tab_higiene[[#This Row],[Item]],supercb[Bairro],extras)</f>
        <v>0</v>
      </c>
      <c r="BD43" s="1">
        <f t="shared" si="21"/>
        <v>0</v>
      </c>
      <c r="BE43" s="1">
        <f t="shared" si="22"/>
        <v>0</v>
      </c>
      <c r="BF43" s="26">
        <f t="shared" si="23"/>
        <v>0</v>
      </c>
      <c r="BI43" s="33" t="str">
        <f>tab_alimentos[[#This Row],[Item]]</f>
        <v>Biscoito de Polvinho</v>
      </c>
      <c r="BJ43" s="33">
        <f t="shared" si="6"/>
        <v>0</v>
      </c>
      <c r="BK43" s="33" t="str">
        <f t="shared" si="7"/>
        <v>Biscoito de Polvinho</v>
      </c>
      <c r="BL43" s="33">
        <f>tab_alimentos[[#This Row],[kg]]</f>
        <v>0</v>
      </c>
      <c r="BM43" s="37" t="s">
        <v>84</v>
      </c>
      <c r="BN43" s="35">
        <f t="shared" si="11"/>
        <v>0</v>
      </c>
      <c r="BP43" s="33" t="str">
        <f>tab_higiene[[#This Row],[Item]]</f>
        <v>Condicionador (325 mL)</v>
      </c>
      <c r="BQ43" s="33">
        <f t="shared" si="8"/>
        <v>14</v>
      </c>
      <c r="BR43" s="33" t="str">
        <f t="shared" si="9"/>
        <v>Condicionador</v>
      </c>
      <c r="BS43" s="33">
        <f>higiene[[#This Row],[Quantidade]]</f>
        <v>0.5</v>
      </c>
      <c r="BT43" s="33">
        <f>tab_higiene[Qtde (tot)]</f>
        <v>0</v>
      </c>
      <c r="BU43" s="33">
        <f t="shared" si="12"/>
        <v>0</v>
      </c>
      <c r="BV43" s="37" t="s">
        <v>89</v>
      </c>
      <c r="BW43" s="33">
        <f t="shared" si="24"/>
        <v>0</v>
      </c>
    </row>
    <row r="44" spans="1:75" x14ac:dyDescent="0.25">
      <c r="A44" s="86">
        <f>A32+A35</f>
        <v>6862.3520956391312</v>
      </c>
      <c r="B44" s="86"/>
      <c r="C44" s="86"/>
      <c r="D44" s="86"/>
      <c r="E44" s="86"/>
      <c r="F44" s="86"/>
      <c r="G44" s="86"/>
      <c r="I44" s="25" t="str">
        <f>alimentos[[#This Row],[Item]]</f>
        <v>Bisnaguinha (300g)</v>
      </c>
      <c r="J44" s="1">
        <f>IFERROR(alimentos[[#This Row],[kg/embalagem]],0)</f>
        <v>0.3</v>
      </c>
      <c r="K44" s="1">
        <f>IFERROR(alimentos[[#This Row],[Preço]],0)</f>
        <v>4</v>
      </c>
      <c r="L44" s="1">
        <f>SUMIFS(super1[Qtde],super1[Item],tab_alimentos[[#This Row],[Item]],super1[Bairro],mercado1)+SUMIFS(supercb[Qtde],supercb[Item],tab_alimentos[[#This Row],[Item]],supercb[Bairro],mercado1)</f>
        <v>0</v>
      </c>
      <c r="M44" s="1">
        <f>SUMIFS(super1[Qtde],super1[Item],tab_alimentos[[#This Row],[Item]],super1[Bairro],mercado2)+SUMIFS(supercb[Qtde],supercb[Item],tab_alimentos[[#This Row],[Item]],supercb[Bairro],mercado2)</f>
        <v>0</v>
      </c>
      <c r="N44" s="1">
        <f>SUMIFS(super1[Qtde],super1[Item],tab_alimentos[[#This Row],[Item]],super1[Bairro],mercado3)+SUMIFS(supercb[Qtde],supercb[Item],tab_alimentos[[#This Row],[Item]],supercb[Bairro],mercado3)</f>
        <v>0</v>
      </c>
      <c r="O44" s="1">
        <f>SUMIFS(super1[Qtde],super1[Item],tab_alimentos[[#This Row],[Item]],super1[Bairro],mercado4)+SUMIFS(supercb[Qtde],supercb[Item],tab_alimentos[[#This Row],[Item]],supercb[Bairro],mercado4)</f>
        <v>0</v>
      </c>
      <c r="P44" s="1">
        <f>SUMIFS(super1[Qtde],super1[Item],tab_alimentos[[#This Row],[Item]],super1[Bairro],mercado5)+SUMIFS(supercb[Qtde],supercb[Item],tab_alimentos[[#This Row],[Item]],supercb[Bairro],mercado5)</f>
        <v>2</v>
      </c>
      <c r="Q44" s="1">
        <f>SUMIFS(super1[Qtde],super1[Item],tab_alimentos[[#This Row],[Item]],super1[Bairro],mercado6)+SUMIFS(supercb[Qtde],supercb[Item],tab_alimentos[[#This Row],[Item]],supercb[Bairro],mercado6)</f>
        <v>0</v>
      </c>
      <c r="R44" s="1">
        <f>SUMIFS(super1[Qtde],super1[Item],tab_alimentos[[#This Row],[Item]],super1[Bairro],mercado7)+SUMIFS(supercb[Qtde],supercb[Item],tab_alimentos[[#This Row],[Item]],supercb[Bairro],mercado7)</f>
        <v>0</v>
      </c>
      <c r="S44" s="1">
        <f>SUMIFS(super1[Qtde],super1[Item],tab_alimentos[[#This Row],[Item]],super1[Bairro],mercado8)+SUMIFS(supercb[Qtde],supercb[Item],tab_alimentos[[#This Row],[Item]],supercb[Bairro],mercado8)</f>
        <v>0</v>
      </c>
      <c r="T44" s="1">
        <f>SUMIFS(super1[Qtde],super1[Item],tab_alimentos[[#This Row],[Item]],super1[Bairro],mercado9)+SUMIFS(supercb[Qtde],supercb[Item],tab_alimentos[[#This Row],[Item]],supercb[Bairro],mercado9)</f>
        <v>0</v>
      </c>
      <c r="U44" s="1">
        <f>SUMIFS(super1[Qtde],super1[Item],tab_alimentos[[#This Row],[Item]],super1[Bairro],mercado10)+SUMIFS(supercb[Qtde],supercb[Item],tab_alimentos[[#This Row],[Item]],supercb[Bairro],mercado10)</f>
        <v>0</v>
      </c>
      <c r="V44" s="1">
        <f>SUMIFS(super1[Qtde],super1[Item],tab_alimentos[[#This Row],[Item]],super1[Bairro],mercado11)+SUMIFS(supercb[Qtde],supercb[Item],tab_alimentos[[#This Row],[Item]],supercb[Bairro],mercado11)</f>
        <v>0</v>
      </c>
      <c r="W44" s="1">
        <f>SUMIFS(super1[Qtde],super1[Item],tab_alimentos[[#This Row],[Item]],super1[Bairro],mercado12)+SUMIFS(supercb[Qtde],supercb[Item],tab_alimentos[[#This Row],[Item]],supercb[Bairro],mercado12)</f>
        <v>0</v>
      </c>
      <c r="X44" s="1">
        <f>SUMIFS(super1[Qtde],super1[Item],tab_alimentos[[#This Row],[Item]],super1[Bairro],mercado13)+SUMIFS(supercb[Qtde],supercb[Item],tab_alimentos[[#This Row],[Item]],supercb[Bairro],mercado13)</f>
        <v>0</v>
      </c>
      <c r="Y44" s="1">
        <f>SUMIFS(super1[Qtde],super1[Item],tab_alimentos[[#This Row],[Item]],super1[Bairro],mercado14)+SUMIFS(supercb[Qtde],supercb[Item],tab_alimentos[[#This Row],[Item]],supercb[Bairro],mercado14)</f>
        <v>0</v>
      </c>
      <c r="Z44" s="1">
        <f>SUMIFS(super1[Qtde],super1[Item],tab_alimentos[[#This Row],[Item]],super1[Bairro],mercado15)+SUMIFS(supercb[Qtde],supercb[Item],tab_alimentos[[#This Row],[Item]],supercb[Bairro],mercado15)</f>
        <v>0</v>
      </c>
      <c r="AA44" s="1">
        <f>SUMIFS(super1[Qtde],super1[Item],tab_alimentos[[#This Row],[Item]],super1[Bairro],mercado16)+SUMIFS(supercb[Qtde],supercb[Item],tab_alimentos[[#This Row],[Item]],supercb[Bairro],mercado16)</f>
        <v>0</v>
      </c>
      <c r="AB44" s="1">
        <f>SUMIFS(super1[Qtde],super1[Item],tab_alimentos[[#This Row],[Item]],super1[Bairro],mercado17)+SUMIFS(supercb[Qtde],supercb[Item],tab_alimentos[[#This Row],[Item]],supercb[Bairro],mercado17)</f>
        <v>0</v>
      </c>
      <c r="AC44" s="1">
        <f>SUMIFS(super1[Qtde],super1[Item],tab_alimentos[[#This Row],[Item]],super1[Bairro],mercado18)+SUMIFS(supercb[Qtde],supercb[Item],tab_alimentos[[#This Row],[Item]],supercb[Bairro],mercado18)</f>
        <v>0</v>
      </c>
      <c r="AD44" s="1">
        <f>SUMIFS(super1[Qtde],super1[Item],tab_alimentos[[#This Row],[Item]],super1[Bairro],extras)+SUMIFS(supercb[Qtde],supercb[Item],tab_alimentos[[#This Row],[Item]],supercb[Bairro],extras)</f>
        <v>0</v>
      </c>
      <c r="AE44" s="1">
        <f t="shared" si="18"/>
        <v>2</v>
      </c>
      <c r="AF44" s="1">
        <f t="shared" si="19"/>
        <v>8</v>
      </c>
      <c r="AG44" s="3">
        <f t="shared" si="20"/>
        <v>0.6</v>
      </c>
      <c r="AH44" s="25" t="str">
        <f>higiene[[#This Row],[Item]]</f>
        <v>Condicionador (350 mL)</v>
      </c>
      <c r="AI44" s="1">
        <f>IFERROR(higiene[[#This Row],[Kg equivalente]],0)</f>
        <v>2.1102445324272723</v>
      </c>
      <c r="AJ44" s="1">
        <f>IFERROR(higiene[[#This Row],[Preço por produto]],0)</f>
        <v>6.99</v>
      </c>
      <c r="AK44" s="1">
        <f>SUMIFS(super1[Qtde],super1[Item],tab_higiene[[#This Row],[Item]],super1[Bairro],mercado1)+SUMIFS(supercb[Qtde],supercb[Item],tab_higiene[[#This Row],[Item]],supercb[Bairro],mercado1)</f>
        <v>0</v>
      </c>
      <c r="AL44" s="1">
        <f>SUMIFS(super1[Qtde],super1[Item],tab_higiene[[#This Row],[Item]],super1[Bairro],mercado2)+SUMIFS(supercb[Qtde],supercb[Item],tab_higiene[[#This Row],[Item]],supercb[Bairro],mercado2)</f>
        <v>0</v>
      </c>
      <c r="AM44" s="1">
        <f>SUMIFS(super1[Qtde],super1[Item],tab_higiene[[#This Row],[Item]],super1[Bairro],mercado3)+SUMIFS(supercb[Qtde],supercb[Item],tab_higiene[[#This Row],[Item]],supercb[Bairro],mercado3)</f>
        <v>0</v>
      </c>
      <c r="AN44" s="1">
        <f>SUMIFS(super1[Qtde],super1[Item],tab_higiene[[#This Row],[Item]],super1[Bairro],mercado4)+SUMIFS(supercb[Qtde],supercb[Item],tab_higiene[[#This Row],[Item]],supercb[Bairro],mercado4)</f>
        <v>0</v>
      </c>
      <c r="AO44" s="1">
        <f>SUMIFS(super1[Qtde],super1[Item],tab_higiene[[#This Row],[Item]],super1[Bairro],mercado5)+SUMIFS(supercb[Qtde],supercb[Item],tab_higiene[[#This Row],[Item]],supercb[Bairro],mercado5)</f>
        <v>0</v>
      </c>
      <c r="AP44" s="1">
        <f>SUMIFS(super1[Qtde],super1[Item],tab_higiene[[#This Row],[Item]],super1[Bairro],mercado6)+SUMIFS(supercb[Qtde],supercb[Item],tab_higiene[[#This Row],[Item]],supercb[Bairro],mercado6)</f>
        <v>0</v>
      </c>
      <c r="AQ44" s="1">
        <f>SUMIFS(super1[Qtde],super1[Item],tab_higiene[[#This Row],[Item]],super1[Bairro],mercado7)+SUMIFS(supercb[Qtde],supercb[Item],tab_higiene[[#This Row],[Item]],supercb[Bairro],mercado7)</f>
        <v>0</v>
      </c>
      <c r="AR44" s="1">
        <f>SUMIFS(super1[Qtde],super1[Item],tab_higiene[[#This Row],[Item]],super1[Bairro],mercado8)+SUMIFS(supercb[Qtde],supercb[Item],tab_higiene[[#This Row],[Item]],supercb[Bairro],mercado8)</f>
        <v>0</v>
      </c>
      <c r="AS44" s="1">
        <f>SUMIFS(super1[Qtde],super1[Item],tab_higiene[[#This Row],[Item]],super1[Bairro],mercado9)+SUMIFS(supercb[Qtde],supercb[Item],tab_higiene[[#This Row],[Item]],supercb[Bairro],mercado9)</f>
        <v>0</v>
      </c>
      <c r="AT44" s="1">
        <f>SUMIFS(super1[Qtde],super1[Item],tab_higiene[[#This Row],[Item]],super1[Bairro],mercado10)+SUMIFS(supercb[Qtde],supercb[Item],tab_higiene[[#This Row],[Item]],supercb[Bairro],mercado10)</f>
        <v>0</v>
      </c>
      <c r="AU44" s="1">
        <f>SUMIFS(super1[Qtde],super1[Item],tab_higiene[[#This Row],[Item]],super1[Bairro],mercado11)+SUMIFS(supercb[Qtde],supercb[Item],tab_higiene[[#This Row],[Item]],supercb[Bairro],mercado11)</f>
        <v>0</v>
      </c>
      <c r="AV44" s="1">
        <f>SUMIFS(super1[Qtde],super1[Item],tab_higiene[[#This Row],[Item]],super1[Bairro],mercado12)+SUMIFS(supercb[Qtde],supercb[Item],tab_higiene[[#This Row],[Item]],supercb[Bairro],mercado12)</f>
        <v>0</v>
      </c>
      <c r="AW44" s="1">
        <f>SUMIFS(super1[Qtde],super1[Item],tab_higiene[[#This Row],[Item]],super1[Bairro],mercado13)+SUMIFS(supercb[Qtde],supercb[Item],tab_higiene[[#This Row],[Item]],supercb[Bairro],mercado13)</f>
        <v>0</v>
      </c>
      <c r="AX44" s="1">
        <f>SUMIFS(super1[Qtde],super1[Item],tab_higiene[[#This Row],[Item]],super1[Bairro],mercado14)+SUMIFS(supercb[Qtde],supercb[Item],tab_higiene[[#This Row],[Item]],supercb[Bairro],mercado14)</f>
        <v>0</v>
      </c>
      <c r="AY44" s="1">
        <f>SUMIFS(super1[Qtde],super1[Item],tab_higiene[[#This Row],[Item]],super1[Bairro],mercado15)+SUMIFS(supercb[Qtde],supercb[Item],tab_higiene[[#This Row],[Item]],supercb[Bairro],mercado15)</f>
        <v>0</v>
      </c>
      <c r="AZ44" s="1">
        <f>SUMIFS(super1[Qtde],super1[Item],tab_higiene[[#This Row],[Item]],super1[Bairro],mercado16)+SUMIFS(supercb[Qtde],supercb[Item],tab_higiene[[#This Row],[Item]],supercb[Bairro],mercado16)</f>
        <v>0</v>
      </c>
      <c r="BA44" s="1">
        <f>SUMIFS(super1[Qtde],super1[Item],tab_higiene[[#This Row],[Item]],super1[Bairro],mercado17)+SUMIFS(supercb[Qtde],supercb[Item],tab_higiene[[#This Row],[Item]],supercb[Bairro],mercado17)</f>
        <v>0</v>
      </c>
      <c r="BB44" s="1">
        <f>SUMIFS(super1[Qtde],super1[Item],tab_higiene[[#This Row],[Item]],super1[Bairro],mercado18)+SUMIFS(supercb[Qtde],supercb[Item],tab_higiene[[#This Row],[Item]],supercb[Bairro],mercado18)</f>
        <v>0</v>
      </c>
      <c r="BC44" s="1">
        <f>SUMIFS(super1[Qtde],super1[Item],tab_higiene[[#This Row],[Item]],super1[Bairro],extras)+SUMIFS(supercb[Qtde],supercb[Item],tab_higiene[[#This Row],[Item]],supercb[Bairro],extras)</f>
        <v>0</v>
      </c>
      <c r="BD44" s="1">
        <f t="shared" si="21"/>
        <v>0</v>
      </c>
      <c r="BE44" s="1">
        <f t="shared" si="22"/>
        <v>0</v>
      </c>
      <c r="BF44" s="26">
        <f t="shared" si="23"/>
        <v>0</v>
      </c>
      <c r="BI44" s="33" t="str">
        <f>tab_alimentos[[#This Row],[Item]]</f>
        <v>Bisnaguinha (300g)</v>
      </c>
      <c r="BJ44" s="33">
        <f t="shared" si="6"/>
        <v>12</v>
      </c>
      <c r="BK44" s="33" t="str">
        <f t="shared" si="7"/>
        <v>Bisnaguinha</v>
      </c>
      <c r="BL44" s="33">
        <f>tab_alimentos[[#This Row],[kg]]</f>
        <v>0.6</v>
      </c>
      <c r="BM44" s="37" t="s">
        <v>85</v>
      </c>
      <c r="BN44" s="35">
        <f t="shared" si="11"/>
        <v>0</v>
      </c>
      <c r="BP44" s="33" t="str">
        <f>tab_higiene[[#This Row],[Item]]</f>
        <v>Condicionador (350 mL)</v>
      </c>
      <c r="BQ44" s="33">
        <f t="shared" si="8"/>
        <v>14</v>
      </c>
      <c r="BR44" s="33" t="str">
        <f t="shared" si="9"/>
        <v>Condicionador</v>
      </c>
      <c r="BS44" s="33">
        <f>higiene[[#This Row],[Quantidade]]</f>
        <v>1</v>
      </c>
      <c r="BT44" s="33">
        <f>tab_higiene[Qtde (tot)]</f>
        <v>0</v>
      </c>
      <c r="BU44" s="33">
        <f t="shared" si="12"/>
        <v>0</v>
      </c>
      <c r="BV44" s="37" t="s">
        <v>90</v>
      </c>
      <c r="BW44" s="33">
        <f t="shared" si="24"/>
        <v>0</v>
      </c>
    </row>
    <row r="45" spans="1:75" x14ac:dyDescent="0.25">
      <c r="A45" s="86"/>
      <c r="B45" s="86"/>
      <c r="C45" s="86"/>
      <c r="D45" s="86"/>
      <c r="E45" s="86"/>
      <c r="F45" s="86"/>
      <c r="G45" s="86"/>
      <c r="I45" s="25" t="str">
        <f>alimentos[[#This Row],[Item]]</f>
        <v>Bolacha (090g)</v>
      </c>
      <c r="J45" s="1">
        <f>IFERROR(alimentos[[#This Row],[kg/embalagem]],0)</f>
        <v>0.09</v>
      </c>
      <c r="K45" s="1">
        <f>IFERROR(alimentos[[#This Row],[Preço]],0)</f>
        <v>1.81</v>
      </c>
      <c r="L45" s="1">
        <f>SUMIFS(super1[Qtde],super1[Item],tab_alimentos[[#This Row],[Item]],super1[Bairro],mercado1)+SUMIFS(supercb[Qtde],supercb[Item],tab_alimentos[[#This Row],[Item]],supercb[Bairro],mercado1)</f>
        <v>0</v>
      </c>
      <c r="M45" s="1">
        <f>SUMIFS(super1[Qtde],super1[Item],tab_alimentos[[#This Row],[Item]],super1[Bairro],mercado2)+SUMIFS(supercb[Qtde],supercb[Item],tab_alimentos[[#This Row],[Item]],supercb[Bairro],mercado2)</f>
        <v>0</v>
      </c>
      <c r="N45" s="1">
        <f>SUMIFS(super1[Qtde],super1[Item],tab_alimentos[[#This Row],[Item]],super1[Bairro],mercado3)+SUMIFS(supercb[Qtde],supercb[Item],tab_alimentos[[#This Row],[Item]],supercb[Bairro],mercado3)</f>
        <v>0</v>
      </c>
      <c r="O45" s="1">
        <f>SUMIFS(super1[Qtde],super1[Item],tab_alimentos[[#This Row],[Item]],super1[Bairro],mercado4)+SUMIFS(supercb[Qtde],supercb[Item],tab_alimentos[[#This Row],[Item]],supercb[Bairro],mercado4)</f>
        <v>0</v>
      </c>
      <c r="P45" s="1">
        <f>SUMIFS(super1[Qtde],super1[Item],tab_alimentos[[#This Row],[Item]],super1[Bairro],mercado5)+SUMIFS(supercb[Qtde],supercb[Item],tab_alimentos[[#This Row],[Item]],supercb[Bairro],mercado5)</f>
        <v>0</v>
      </c>
      <c r="Q45" s="1">
        <f>SUMIFS(super1[Qtde],super1[Item],tab_alimentos[[#This Row],[Item]],super1[Bairro],mercado6)+SUMIFS(supercb[Qtde],supercb[Item],tab_alimentos[[#This Row],[Item]],supercb[Bairro],mercado6)</f>
        <v>2</v>
      </c>
      <c r="R45" s="1">
        <f>SUMIFS(super1[Qtde],super1[Item],tab_alimentos[[#This Row],[Item]],super1[Bairro],mercado7)+SUMIFS(supercb[Qtde],supercb[Item],tab_alimentos[[#This Row],[Item]],supercb[Bairro],mercado7)</f>
        <v>1</v>
      </c>
      <c r="S45" s="1">
        <f>SUMIFS(super1[Qtde],super1[Item],tab_alimentos[[#This Row],[Item]],super1[Bairro],mercado8)+SUMIFS(supercb[Qtde],supercb[Item],tab_alimentos[[#This Row],[Item]],supercb[Bairro],mercado8)</f>
        <v>1</v>
      </c>
      <c r="T45" s="1">
        <f>SUMIFS(super1[Qtde],super1[Item],tab_alimentos[[#This Row],[Item]],super1[Bairro],mercado9)+SUMIFS(supercb[Qtde],supercb[Item],tab_alimentos[[#This Row],[Item]],supercb[Bairro],mercado9)</f>
        <v>0</v>
      </c>
      <c r="U45" s="1">
        <f>SUMIFS(super1[Qtde],super1[Item],tab_alimentos[[#This Row],[Item]],super1[Bairro],mercado10)+SUMIFS(supercb[Qtde],supercb[Item],tab_alimentos[[#This Row],[Item]],supercb[Bairro],mercado10)</f>
        <v>0</v>
      </c>
      <c r="V45" s="1">
        <f>SUMIFS(super1[Qtde],super1[Item],tab_alimentos[[#This Row],[Item]],super1[Bairro],mercado11)+SUMIFS(supercb[Qtde],supercb[Item],tab_alimentos[[#This Row],[Item]],supercb[Bairro],mercado11)</f>
        <v>0</v>
      </c>
      <c r="W45" s="1">
        <f>SUMIFS(super1[Qtde],super1[Item],tab_alimentos[[#This Row],[Item]],super1[Bairro],mercado12)+SUMIFS(supercb[Qtde],supercb[Item],tab_alimentos[[#This Row],[Item]],supercb[Bairro],mercado12)</f>
        <v>0</v>
      </c>
      <c r="X45" s="1">
        <f>SUMIFS(super1[Qtde],super1[Item],tab_alimentos[[#This Row],[Item]],super1[Bairro],mercado13)+SUMIFS(supercb[Qtde],supercb[Item],tab_alimentos[[#This Row],[Item]],supercb[Bairro],mercado13)</f>
        <v>0</v>
      </c>
      <c r="Y45" s="1">
        <f>SUMIFS(super1[Qtde],super1[Item],tab_alimentos[[#This Row],[Item]],super1[Bairro],mercado14)+SUMIFS(supercb[Qtde],supercb[Item],tab_alimentos[[#This Row],[Item]],supercb[Bairro],mercado14)</f>
        <v>0</v>
      </c>
      <c r="Z45" s="1">
        <f>SUMIFS(super1[Qtde],super1[Item],tab_alimentos[[#This Row],[Item]],super1[Bairro],mercado15)+SUMIFS(supercb[Qtde],supercb[Item],tab_alimentos[[#This Row],[Item]],supercb[Bairro],mercado15)</f>
        <v>0</v>
      </c>
      <c r="AA45" s="1">
        <f>SUMIFS(super1[Qtde],super1[Item],tab_alimentos[[#This Row],[Item]],super1[Bairro],mercado16)+SUMIFS(supercb[Qtde],supercb[Item],tab_alimentos[[#This Row],[Item]],supercb[Bairro],mercado16)</f>
        <v>0</v>
      </c>
      <c r="AB45" s="1">
        <f>SUMIFS(super1[Qtde],super1[Item],tab_alimentos[[#This Row],[Item]],super1[Bairro],mercado17)+SUMIFS(supercb[Qtde],supercb[Item],tab_alimentos[[#This Row],[Item]],supercb[Bairro],mercado17)</f>
        <v>0</v>
      </c>
      <c r="AC45" s="1">
        <f>SUMIFS(super1[Qtde],super1[Item],tab_alimentos[[#This Row],[Item]],super1[Bairro],mercado18)+SUMIFS(supercb[Qtde],supercb[Item],tab_alimentos[[#This Row],[Item]],supercb[Bairro],mercado18)</f>
        <v>0</v>
      </c>
      <c r="AD45" s="1">
        <f>SUMIFS(super1[Qtde],super1[Item],tab_alimentos[[#This Row],[Item]],super1[Bairro],extras)+SUMIFS(supercb[Qtde],supercb[Item],tab_alimentos[[#This Row],[Item]],supercb[Bairro],extras)</f>
        <v>0</v>
      </c>
      <c r="AE45" s="1">
        <f t="shared" si="18"/>
        <v>4</v>
      </c>
      <c r="AF45" s="1">
        <f t="shared" si="19"/>
        <v>7.24</v>
      </c>
      <c r="AG45" s="3">
        <f t="shared" si="20"/>
        <v>0.36</v>
      </c>
      <c r="AH45" s="25" t="str">
        <f>higiene[[#This Row],[Item]]</f>
        <v>Condicionador (400mL)</v>
      </c>
      <c r="AI45" s="1">
        <f>IFERROR(higiene[[#This Row],[Kg equivalente]],0)</f>
        <v>5.3103292311009609</v>
      </c>
      <c r="AJ45" s="1">
        <f>IFERROR(higiene[[#This Row],[Preço por produto]],0)</f>
        <v>17.59</v>
      </c>
      <c r="AK45" s="1">
        <f>SUMIFS(super1[Qtde],super1[Item],tab_higiene[[#This Row],[Item]],super1[Bairro],mercado1)+SUMIFS(supercb[Qtde],supercb[Item],tab_higiene[[#This Row],[Item]],supercb[Bairro],mercado1)</f>
        <v>0</v>
      </c>
      <c r="AL45" s="1">
        <f>SUMIFS(super1[Qtde],super1[Item],tab_higiene[[#This Row],[Item]],super1[Bairro],mercado2)+SUMIFS(supercb[Qtde],supercb[Item],tab_higiene[[#This Row],[Item]],supercb[Bairro],mercado2)</f>
        <v>0</v>
      </c>
      <c r="AM45" s="1">
        <f>SUMIFS(super1[Qtde],super1[Item],tab_higiene[[#This Row],[Item]],super1[Bairro],mercado3)+SUMIFS(supercb[Qtde],supercb[Item],tab_higiene[[#This Row],[Item]],supercb[Bairro],mercado3)</f>
        <v>0</v>
      </c>
      <c r="AN45" s="1">
        <f>SUMIFS(super1[Qtde],super1[Item],tab_higiene[[#This Row],[Item]],super1[Bairro],mercado4)+SUMIFS(supercb[Qtde],supercb[Item],tab_higiene[[#This Row],[Item]],supercb[Bairro],mercado4)</f>
        <v>0</v>
      </c>
      <c r="AO45" s="1">
        <f>SUMIFS(super1[Qtde],super1[Item],tab_higiene[[#This Row],[Item]],super1[Bairro],mercado5)+SUMIFS(supercb[Qtde],supercb[Item],tab_higiene[[#This Row],[Item]],supercb[Bairro],mercado5)</f>
        <v>0</v>
      </c>
      <c r="AP45" s="1">
        <f>SUMIFS(super1[Qtde],super1[Item],tab_higiene[[#This Row],[Item]],super1[Bairro],mercado6)+SUMIFS(supercb[Qtde],supercb[Item],tab_higiene[[#This Row],[Item]],supercb[Bairro],mercado6)</f>
        <v>0</v>
      </c>
      <c r="AQ45" s="1">
        <f>SUMIFS(super1[Qtde],super1[Item],tab_higiene[[#This Row],[Item]],super1[Bairro],mercado7)+SUMIFS(supercb[Qtde],supercb[Item],tab_higiene[[#This Row],[Item]],supercb[Bairro],mercado7)</f>
        <v>0</v>
      </c>
      <c r="AR45" s="1">
        <f>SUMIFS(super1[Qtde],super1[Item],tab_higiene[[#This Row],[Item]],super1[Bairro],mercado8)+SUMIFS(supercb[Qtde],supercb[Item],tab_higiene[[#This Row],[Item]],supercb[Bairro],mercado8)</f>
        <v>0</v>
      </c>
      <c r="AS45" s="1">
        <f>SUMIFS(super1[Qtde],super1[Item],tab_higiene[[#This Row],[Item]],super1[Bairro],mercado9)+SUMIFS(supercb[Qtde],supercb[Item],tab_higiene[[#This Row],[Item]],supercb[Bairro],mercado9)</f>
        <v>0</v>
      </c>
      <c r="AT45" s="1">
        <f>SUMIFS(super1[Qtde],super1[Item],tab_higiene[[#This Row],[Item]],super1[Bairro],mercado10)+SUMIFS(supercb[Qtde],supercb[Item],tab_higiene[[#This Row],[Item]],supercb[Bairro],mercado10)</f>
        <v>0</v>
      </c>
      <c r="AU45" s="1">
        <f>SUMIFS(super1[Qtde],super1[Item],tab_higiene[[#This Row],[Item]],super1[Bairro],mercado11)+SUMIFS(supercb[Qtde],supercb[Item],tab_higiene[[#This Row],[Item]],supercb[Bairro],mercado11)</f>
        <v>0</v>
      </c>
      <c r="AV45" s="1">
        <f>SUMIFS(super1[Qtde],super1[Item],tab_higiene[[#This Row],[Item]],super1[Bairro],mercado12)+SUMIFS(supercb[Qtde],supercb[Item],tab_higiene[[#This Row],[Item]],supercb[Bairro],mercado12)</f>
        <v>0</v>
      </c>
      <c r="AW45" s="1">
        <f>SUMIFS(super1[Qtde],super1[Item],tab_higiene[[#This Row],[Item]],super1[Bairro],mercado13)+SUMIFS(supercb[Qtde],supercb[Item],tab_higiene[[#This Row],[Item]],supercb[Bairro],mercado13)</f>
        <v>0</v>
      </c>
      <c r="AX45" s="1">
        <f>SUMIFS(super1[Qtde],super1[Item],tab_higiene[[#This Row],[Item]],super1[Bairro],mercado14)+SUMIFS(supercb[Qtde],supercb[Item],tab_higiene[[#This Row],[Item]],supercb[Bairro],mercado14)</f>
        <v>0</v>
      </c>
      <c r="AY45" s="1">
        <f>SUMIFS(super1[Qtde],super1[Item],tab_higiene[[#This Row],[Item]],super1[Bairro],mercado15)+SUMIFS(supercb[Qtde],supercb[Item],tab_higiene[[#This Row],[Item]],supercb[Bairro],mercado15)</f>
        <v>0</v>
      </c>
      <c r="AZ45" s="1">
        <f>SUMIFS(super1[Qtde],super1[Item],tab_higiene[[#This Row],[Item]],super1[Bairro],mercado16)+SUMIFS(supercb[Qtde],supercb[Item],tab_higiene[[#This Row],[Item]],supercb[Bairro],mercado16)</f>
        <v>0</v>
      </c>
      <c r="BA45" s="1">
        <f>SUMIFS(super1[Qtde],super1[Item],tab_higiene[[#This Row],[Item]],super1[Bairro],mercado17)+SUMIFS(supercb[Qtde],supercb[Item],tab_higiene[[#This Row],[Item]],supercb[Bairro],mercado17)</f>
        <v>0</v>
      </c>
      <c r="BB45" s="1">
        <f>SUMIFS(super1[Qtde],super1[Item],tab_higiene[[#This Row],[Item]],super1[Bairro],mercado18)+SUMIFS(supercb[Qtde],supercb[Item],tab_higiene[[#This Row],[Item]],supercb[Bairro],mercado18)</f>
        <v>0</v>
      </c>
      <c r="BC45" s="1">
        <f>SUMIFS(super1[Qtde],super1[Item],tab_higiene[[#This Row],[Item]],super1[Bairro],extras)+SUMIFS(supercb[Qtde],supercb[Item],tab_higiene[[#This Row],[Item]],supercb[Bairro],extras)</f>
        <v>0</v>
      </c>
      <c r="BD45" s="1">
        <f t="shared" si="21"/>
        <v>0</v>
      </c>
      <c r="BE45" s="1">
        <f t="shared" si="22"/>
        <v>0</v>
      </c>
      <c r="BF45" s="26">
        <f t="shared" si="23"/>
        <v>0</v>
      </c>
      <c r="BI45" s="33" t="str">
        <f>tab_alimentos[[#This Row],[Item]]</f>
        <v>Bolacha (090g)</v>
      </c>
      <c r="BJ45" s="33">
        <f t="shared" si="6"/>
        <v>8</v>
      </c>
      <c r="BK45" s="33" t="str">
        <f t="shared" si="7"/>
        <v>Bolacha</v>
      </c>
      <c r="BL45" s="33">
        <f>tab_alimentos[[#This Row],[kg]]</f>
        <v>0.36</v>
      </c>
      <c r="BM45" s="37" t="s">
        <v>86</v>
      </c>
      <c r="BN45" s="35">
        <f t="shared" si="11"/>
        <v>0</v>
      </c>
      <c r="BP45" s="33" t="str">
        <f>tab_higiene[[#This Row],[Item]]</f>
        <v>Condicionador (400mL)</v>
      </c>
      <c r="BQ45" s="33">
        <f t="shared" si="8"/>
        <v>14</v>
      </c>
      <c r="BR45" s="33" t="str">
        <f t="shared" si="9"/>
        <v>Condicionador</v>
      </c>
      <c r="BS45" s="33">
        <f>higiene[[#This Row],[Quantidade]]</f>
        <v>1</v>
      </c>
      <c r="BT45" s="33">
        <f>tab_higiene[Qtde (tot)]</f>
        <v>0</v>
      </c>
      <c r="BU45" s="33">
        <f t="shared" si="12"/>
        <v>0</v>
      </c>
      <c r="BV45" s="37" t="s">
        <v>325</v>
      </c>
      <c r="BW45" s="33">
        <f t="shared" si="24"/>
        <v>0</v>
      </c>
    </row>
    <row r="46" spans="1:75" x14ac:dyDescent="0.25">
      <c r="I46" s="25" t="str">
        <f>alimentos[[#This Row],[Item]]</f>
        <v>Bolacha (100g)</v>
      </c>
      <c r="J46" s="1">
        <f>IFERROR(alimentos[[#This Row],[kg/embalagem]],0)</f>
        <v>0.1</v>
      </c>
      <c r="K46" s="1">
        <f>IFERROR(alimentos[[#This Row],[Preço]],0)</f>
        <v>1.7100000000000002</v>
      </c>
      <c r="L46" s="1">
        <f>SUMIFS(super1[Qtde],super1[Item],tab_alimentos[[#This Row],[Item]],super1[Bairro],mercado1)+SUMIFS(supercb[Qtde],supercb[Item],tab_alimentos[[#This Row],[Item]],supercb[Bairro],mercado1)</f>
        <v>0</v>
      </c>
      <c r="M46" s="1">
        <f>SUMIFS(super1[Qtde],super1[Item],tab_alimentos[[#This Row],[Item]],super1[Bairro],mercado2)+SUMIFS(supercb[Qtde],supercb[Item],tab_alimentos[[#This Row],[Item]],supercb[Bairro],mercado2)</f>
        <v>0</v>
      </c>
      <c r="N46" s="1">
        <f>SUMIFS(super1[Qtde],super1[Item],tab_alimentos[[#This Row],[Item]],super1[Bairro],mercado3)+SUMIFS(supercb[Qtde],supercb[Item],tab_alimentos[[#This Row],[Item]],supercb[Bairro],mercado3)</f>
        <v>0</v>
      </c>
      <c r="O46" s="1">
        <f>SUMIFS(super1[Qtde],super1[Item],tab_alimentos[[#This Row],[Item]],super1[Bairro],mercado4)+SUMIFS(supercb[Qtde],supercb[Item],tab_alimentos[[#This Row],[Item]],supercb[Bairro],mercado4)</f>
        <v>0</v>
      </c>
      <c r="P46" s="1">
        <f>SUMIFS(super1[Qtde],super1[Item],tab_alimentos[[#This Row],[Item]],super1[Bairro],mercado5)+SUMIFS(supercb[Qtde],supercb[Item],tab_alimentos[[#This Row],[Item]],supercb[Bairro],mercado5)</f>
        <v>0</v>
      </c>
      <c r="Q46" s="1">
        <f>SUMIFS(super1[Qtde],super1[Item],tab_alimentos[[#This Row],[Item]],super1[Bairro],mercado6)+SUMIFS(supercb[Qtde],supercb[Item],tab_alimentos[[#This Row],[Item]],supercb[Bairro],mercado6)</f>
        <v>0</v>
      </c>
      <c r="R46" s="1">
        <f>SUMIFS(super1[Qtde],super1[Item],tab_alimentos[[#This Row],[Item]],super1[Bairro],mercado7)+SUMIFS(supercb[Qtde],supercb[Item],tab_alimentos[[#This Row],[Item]],supercb[Bairro],mercado7)</f>
        <v>0</v>
      </c>
      <c r="S46" s="1">
        <f>SUMIFS(super1[Qtde],super1[Item],tab_alimentos[[#This Row],[Item]],super1[Bairro],mercado8)+SUMIFS(supercb[Qtde],supercb[Item],tab_alimentos[[#This Row],[Item]],supercb[Bairro],mercado8)</f>
        <v>0</v>
      </c>
      <c r="T46" s="1">
        <f>SUMIFS(super1[Qtde],super1[Item],tab_alimentos[[#This Row],[Item]],super1[Bairro],mercado9)+SUMIFS(supercb[Qtde],supercb[Item],tab_alimentos[[#This Row],[Item]],supercb[Bairro],mercado9)</f>
        <v>0</v>
      </c>
      <c r="U46" s="1">
        <f>SUMIFS(super1[Qtde],super1[Item],tab_alimentos[[#This Row],[Item]],super1[Bairro],mercado10)+SUMIFS(supercb[Qtde],supercb[Item],tab_alimentos[[#This Row],[Item]],supercb[Bairro],mercado10)</f>
        <v>0</v>
      </c>
      <c r="V46" s="1">
        <f>SUMIFS(super1[Qtde],super1[Item],tab_alimentos[[#This Row],[Item]],super1[Bairro],mercado11)+SUMIFS(supercb[Qtde],supercb[Item],tab_alimentos[[#This Row],[Item]],supercb[Bairro],mercado11)</f>
        <v>0</v>
      </c>
      <c r="W46" s="1">
        <f>SUMIFS(super1[Qtde],super1[Item],tab_alimentos[[#This Row],[Item]],super1[Bairro],mercado12)+SUMIFS(supercb[Qtde],supercb[Item],tab_alimentos[[#This Row],[Item]],supercb[Bairro],mercado12)</f>
        <v>0</v>
      </c>
      <c r="X46" s="1">
        <f>SUMIFS(super1[Qtde],super1[Item],tab_alimentos[[#This Row],[Item]],super1[Bairro],mercado13)+SUMIFS(supercb[Qtde],supercb[Item],tab_alimentos[[#This Row],[Item]],supercb[Bairro],mercado13)</f>
        <v>0</v>
      </c>
      <c r="Y46" s="1">
        <f>SUMIFS(super1[Qtde],super1[Item],tab_alimentos[[#This Row],[Item]],super1[Bairro],mercado14)+SUMIFS(supercb[Qtde],supercb[Item],tab_alimentos[[#This Row],[Item]],supercb[Bairro],mercado14)</f>
        <v>0</v>
      </c>
      <c r="Z46" s="1">
        <f>SUMIFS(super1[Qtde],super1[Item],tab_alimentos[[#This Row],[Item]],super1[Bairro],mercado15)+SUMIFS(supercb[Qtde],supercb[Item],tab_alimentos[[#This Row],[Item]],supercb[Bairro],mercado15)</f>
        <v>0</v>
      </c>
      <c r="AA46" s="1">
        <f>SUMIFS(super1[Qtde],super1[Item],tab_alimentos[[#This Row],[Item]],super1[Bairro],mercado16)+SUMIFS(supercb[Qtde],supercb[Item],tab_alimentos[[#This Row],[Item]],supercb[Bairro],mercado16)</f>
        <v>0</v>
      </c>
      <c r="AB46" s="1">
        <f>SUMIFS(super1[Qtde],super1[Item],tab_alimentos[[#This Row],[Item]],super1[Bairro],mercado17)+SUMIFS(supercb[Qtde],supercb[Item],tab_alimentos[[#This Row],[Item]],supercb[Bairro],mercado17)</f>
        <v>0</v>
      </c>
      <c r="AC46" s="1">
        <f>SUMIFS(super1[Qtde],super1[Item],tab_alimentos[[#This Row],[Item]],super1[Bairro],mercado18)+SUMIFS(supercb[Qtde],supercb[Item],tab_alimentos[[#This Row],[Item]],supercb[Bairro],mercado18)</f>
        <v>0</v>
      </c>
      <c r="AD46" s="1">
        <f>SUMIFS(super1[Qtde],super1[Item],tab_alimentos[[#This Row],[Item]],super1[Bairro],extras)+SUMIFS(supercb[Qtde],supercb[Item],tab_alimentos[[#This Row],[Item]],supercb[Bairro],extras)</f>
        <v>0</v>
      </c>
      <c r="AE46" s="1">
        <f t="shared" si="18"/>
        <v>0</v>
      </c>
      <c r="AF46" s="1">
        <f t="shared" si="19"/>
        <v>0</v>
      </c>
      <c r="AG46" s="3">
        <f t="shared" si="20"/>
        <v>0</v>
      </c>
      <c r="AH46" s="25" t="str">
        <f>higiene[[#This Row],[Item]]</f>
        <v>Cotonete</v>
      </c>
      <c r="AI46" s="1">
        <f>IFERROR(higiene[[#This Row],[Kg equivalente]],0)</f>
        <v>0.85436223558929636</v>
      </c>
      <c r="AJ46" s="1">
        <f>IFERROR(higiene[[#This Row],[Preço por produto]],0)</f>
        <v>2.8300000000000005</v>
      </c>
      <c r="AK46" s="1">
        <f>SUMIFS(super1[Qtde],super1[Item],tab_higiene[[#This Row],[Item]],super1[Bairro],mercado1)+SUMIFS(supercb[Qtde],supercb[Item],tab_higiene[[#This Row],[Item]],supercb[Bairro],mercado1)</f>
        <v>0</v>
      </c>
      <c r="AL46" s="1">
        <f>SUMIFS(super1[Qtde],super1[Item],tab_higiene[[#This Row],[Item]],super1[Bairro],mercado2)+SUMIFS(supercb[Qtde],supercb[Item],tab_higiene[[#This Row],[Item]],supercb[Bairro],mercado2)</f>
        <v>1</v>
      </c>
      <c r="AM46" s="1">
        <f>SUMIFS(super1[Qtde],super1[Item],tab_higiene[[#This Row],[Item]],super1[Bairro],mercado3)+SUMIFS(supercb[Qtde],supercb[Item],tab_higiene[[#This Row],[Item]],supercb[Bairro],mercado3)</f>
        <v>0</v>
      </c>
      <c r="AN46" s="1">
        <f>SUMIFS(super1[Qtde],super1[Item],tab_higiene[[#This Row],[Item]],super1[Bairro],mercado4)+SUMIFS(supercb[Qtde],supercb[Item],tab_higiene[[#This Row],[Item]],supercb[Bairro],mercado4)</f>
        <v>0</v>
      </c>
      <c r="AO46" s="1">
        <f>SUMIFS(super1[Qtde],super1[Item],tab_higiene[[#This Row],[Item]],super1[Bairro],mercado5)+SUMIFS(supercb[Qtde],supercb[Item],tab_higiene[[#This Row],[Item]],supercb[Bairro],mercado5)</f>
        <v>0</v>
      </c>
      <c r="AP46" s="1">
        <f>SUMIFS(super1[Qtde],super1[Item],tab_higiene[[#This Row],[Item]],super1[Bairro],mercado6)+SUMIFS(supercb[Qtde],supercb[Item],tab_higiene[[#This Row],[Item]],supercb[Bairro],mercado6)</f>
        <v>0</v>
      </c>
      <c r="AQ46" s="1">
        <f>SUMIFS(super1[Qtde],super1[Item],tab_higiene[[#This Row],[Item]],super1[Bairro],mercado7)+SUMIFS(supercb[Qtde],supercb[Item],tab_higiene[[#This Row],[Item]],supercb[Bairro],mercado7)</f>
        <v>0</v>
      </c>
      <c r="AR46" s="1">
        <f>SUMIFS(super1[Qtde],super1[Item],tab_higiene[[#This Row],[Item]],super1[Bairro],mercado8)+SUMIFS(supercb[Qtde],supercb[Item],tab_higiene[[#This Row],[Item]],supercb[Bairro],mercado8)</f>
        <v>0</v>
      </c>
      <c r="AS46" s="1">
        <f>SUMIFS(super1[Qtde],super1[Item],tab_higiene[[#This Row],[Item]],super1[Bairro],mercado9)+SUMIFS(supercb[Qtde],supercb[Item],tab_higiene[[#This Row],[Item]],supercb[Bairro],mercado9)</f>
        <v>0</v>
      </c>
      <c r="AT46" s="1">
        <f>SUMIFS(super1[Qtde],super1[Item],tab_higiene[[#This Row],[Item]],super1[Bairro],mercado10)+SUMIFS(supercb[Qtde],supercb[Item],tab_higiene[[#This Row],[Item]],supercb[Bairro],mercado10)</f>
        <v>6</v>
      </c>
      <c r="AU46" s="1">
        <f>SUMIFS(super1[Qtde],super1[Item],tab_higiene[[#This Row],[Item]],super1[Bairro],mercado11)+SUMIFS(supercb[Qtde],supercb[Item],tab_higiene[[#This Row],[Item]],supercb[Bairro],mercado11)</f>
        <v>0</v>
      </c>
      <c r="AV46" s="1">
        <f>SUMIFS(super1[Qtde],super1[Item],tab_higiene[[#This Row],[Item]],super1[Bairro],mercado12)+SUMIFS(supercb[Qtde],supercb[Item],tab_higiene[[#This Row],[Item]],supercb[Bairro],mercado12)</f>
        <v>0</v>
      </c>
      <c r="AW46" s="1">
        <f>SUMIFS(super1[Qtde],super1[Item],tab_higiene[[#This Row],[Item]],super1[Bairro],mercado13)+SUMIFS(supercb[Qtde],supercb[Item],tab_higiene[[#This Row],[Item]],supercb[Bairro],mercado13)</f>
        <v>0</v>
      </c>
      <c r="AX46" s="1">
        <f>SUMIFS(super1[Qtde],super1[Item],tab_higiene[[#This Row],[Item]],super1[Bairro],mercado14)+SUMIFS(supercb[Qtde],supercb[Item],tab_higiene[[#This Row],[Item]],supercb[Bairro],mercado14)</f>
        <v>0</v>
      </c>
      <c r="AY46" s="1">
        <f>SUMIFS(super1[Qtde],super1[Item],tab_higiene[[#This Row],[Item]],super1[Bairro],mercado15)+SUMIFS(supercb[Qtde],supercb[Item],tab_higiene[[#This Row],[Item]],supercb[Bairro],mercado15)</f>
        <v>0</v>
      </c>
      <c r="AZ46" s="1">
        <f>SUMIFS(super1[Qtde],super1[Item],tab_higiene[[#This Row],[Item]],super1[Bairro],mercado16)+SUMIFS(supercb[Qtde],supercb[Item],tab_higiene[[#This Row],[Item]],supercb[Bairro],mercado16)</f>
        <v>0</v>
      </c>
      <c r="BA46" s="1">
        <f>SUMIFS(super1[Qtde],super1[Item],tab_higiene[[#This Row],[Item]],super1[Bairro],mercado17)+SUMIFS(supercb[Qtde],supercb[Item],tab_higiene[[#This Row],[Item]],supercb[Bairro],mercado17)</f>
        <v>0</v>
      </c>
      <c r="BB46" s="1">
        <f>SUMIFS(super1[Qtde],super1[Item],tab_higiene[[#This Row],[Item]],super1[Bairro],mercado18)+SUMIFS(supercb[Qtde],supercb[Item],tab_higiene[[#This Row],[Item]],supercb[Bairro],mercado18)</f>
        <v>0</v>
      </c>
      <c r="BC46" s="1">
        <f>SUMIFS(super1[Qtde],super1[Item],tab_higiene[[#This Row],[Item]],super1[Bairro],extras)+SUMIFS(supercb[Qtde],supercb[Item],tab_higiene[[#This Row],[Item]],supercb[Bairro],extras)</f>
        <v>0</v>
      </c>
      <c r="BD46" s="1">
        <f t="shared" si="21"/>
        <v>7</v>
      </c>
      <c r="BE46" s="1">
        <f t="shared" si="22"/>
        <v>19.810000000000002</v>
      </c>
      <c r="BF46" s="26">
        <f t="shared" si="23"/>
        <v>5.9805356491250743</v>
      </c>
      <c r="BI46" s="33" t="str">
        <f>tab_alimentos[[#This Row],[Item]]</f>
        <v>Bolacha (100g)</v>
      </c>
      <c r="BJ46" s="33">
        <f t="shared" si="6"/>
        <v>8</v>
      </c>
      <c r="BK46" s="33" t="str">
        <f t="shared" si="7"/>
        <v>Bolacha</v>
      </c>
      <c r="BL46" s="33">
        <f>tab_alimentos[[#This Row],[kg]]</f>
        <v>0</v>
      </c>
      <c r="BM46" s="37" t="s">
        <v>289</v>
      </c>
      <c r="BN46" s="35">
        <f t="shared" si="11"/>
        <v>0</v>
      </c>
      <c r="BP46" s="33" t="str">
        <f>tab_higiene[[#This Row],[Item]]</f>
        <v>Cotonete</v>
      </c>
      <c r="BQ46" s="33">
        <f t="shared" si="8"/>
        <v>0</v>
      </c>
      <c r="BR46" s="33" t="str">
        <f t="shared" si="9"/>
        <v>Cotonete</v>
      </c>
      <c r="BS46" s="33">
        <f>higiene[[#This Row],[Quantidade]]</f>
        <v>1</v>
      </c>
      <c r="BT46" s="33">
        <f>tab_higiene[Qtde (tot)]</f>
        <v>7</v>
      </c>
      <c r="BU46" s="33">
        <f t="shared" si="12"/>
        <v>7</v>
      </c>
      <c r="BV46" s="37" t="s">
        <v>326</v>
      </c>
      <c r="BW46" s="33">
        <f t="shared" si="24"/>
        <v>0</v>
      </c>
    </row>
    <row r="47" spans="1:75" x14ac:dyDescent="0.25">
      <c r="I47" s="25" t="str">
        <f>alimentos[[#This Row],[Item]]</f>
        <v>Bolacha (110g)</v>
      </c>
      <c r="J47" s="1">
        <f>IFERROR(alimentos[[#This Row],[kg/embalagem]],0)</f>
        <v>0.11</v>
      </c>
      <c r="K47" s="1">
        <f>IFERROR(alimentos[[#This Row],[Preço]],0)</f>
        <v>2.1033333333333335</v>
      </c>
      <c r="L47" s="1">
        <f>SUMIFS(super1[Qtde],super1[Item],tab_alimentos[[#This Row],[Item]],super1[Bairro],mercado1)+SUMIFS(supercb[Qtde],supercb[Item],tab_alimentos[[#This Row],[Item]],supercb[Bairro],mercado1)</f>
        <v>1</v>
      </c>
      <c r="M47" s="1">
        <f>SUMIFS(super1[Qtde],super1[Item],tab_alimentos[[#This Row],[Item]],super1[Bairro],mercado2)+SUMIFS(supercb[Qtde],supercb[Item],tab_alimentos[[#This Row],[Item]],supercb[Bairro],mercado2)</f>
        <v>0</v>
      </c>
      <c r="N47" s="1">
        <f>SUMIFS(super1[Qtde],super1[Item],tab_alimentos[[#This Row],[Item]],super1[Bairro],mercado3)+SUMIFS(supercb[Qtde],supercb[Item],tab_alimentos[[#This Row],[Item]],supercb[Bairro],mercado3)</f>
        <v>0</v>
      </c>
      <c r="O47" s="1">
        <f>SUMIFS(super1[Qtde],super1[Item],tab_alimentos[[#This Row],[Item]],super1[Bairro],mercado4)+SUMIFS(supercb[Qtde],supercb[Item],tab_alimentos[[#This Row],[Item]],supercb[Bairro],mercado4)</f>
        <v>10</v>
      </c>
      <c r="P47" s="1">
        <f>SUMIFS(super1[Qtde],super1[Item],tab_alimentos[[#This Row],[Item]],super1[Bairro],mercado5)+SUMIFS(supercb[Qtde],supercb[Item],tab_alimentos[[#This Row],[Item]],supercb[Bairro],mercado5)</f>
        <v>0</v>
      </c>
      <c r="Q47" s="1">
        <f>SUMIFS(super1[Qtde],super1[Item],tab_alimentos[[#This Row],[Item]],super1[Bairro],mercado6)+SUMIFS(supercb[Qtde],supercb[Item],tab_alimentos[[#This Row],[Item]],supercb[Bairro],mercado6)</f>
        <v>0</v>
      </c>
      <c r="R47" s="1">
        <f>SUMIFS(super1[Qtde],super1[Item],tab_alimentos[[#This Row],[Item]],super1[Bairro],mercado7)+SUMIFS(supercb[Qtde],supercb[Item],tab_alimentos[[#This Row],[Item]],supercb[Bairro],mercado7)</f>
        <v>0</v>
      </c>
      <c r="S47" s="1">
        <f>SUMIFS(super1[Qtde],super1[Item],tab_alimentos[[#This Row],[Item]],super1[Bairro],mercado8)+SUMIFS(supercb[Qtde],supercb[Item],tab_alimentos[[#This Row],[Item]],supercb[Bairro],mercado8)</f>
        <v>6</v>
      </c>
      <c r="T47" s="1">
        <f>SUMIFS(super1[Qtde],super1[Item],tab_alimentos[[#This Row],[Item]],super1[Bairro],mercado9)+SUMIFS(supercb[Qtde],supercb[Item],tab_alimentos[[#This Row],[Item]],supercb[Bairro],mercado9)</f>
        <v>0</v>
      </c>
      <c r="U47" s="1">
        <f>SUMIFS(super1[Qtde],super1[Item],tab_alimentos[[#This Row],[Item]],super1[Bairro],mercado10)+SUMIFS(supercb[Qtde],supercb[Item],tab_alimentos[[#This Row],[Item]],supercb[Bairro],mercado10)</f>
        <v>0</v>
      </c>
      <c r="V47" s="1">
        <f>SUMIFS(super1[Qtde],super1[Item],tab_alimentos[[#This Row],[Item]],super1[Bairro],mercado11)+SUMIFS(supercb[Qtde],supercb[Item],tab_alimentos[[#This Row],[Item]],supercb[Bairro],mercado11)</f>
        <v>0</v>
      </c>
      <c r="W47" s="1">
        <f>SUMIFS(super1[Qtde],super1[Item],tab_alimentos[[#This Row],[Item]],super1[Bairro],mercado12)+SUMIFS(supercb[Qtde],supercb[Item],tab_alimentos[[#This Row],[Item]],supercb[Bairro],mercado12)</f>
        <v>0</v>
      </c>
      <c r="X47" s="1">
        <f>SUMIFS(super1[Qtde],super1[Item],tab_alimentos[[#This Row],[Item]],super1[Bairro],mercado13)+SUMIFS(supercb[Qtde],supercb[Item],tab_alimentos[[#This Row],[Item]],supercb[Bairro],mercado13)</f>
        <v>4</v>
      </c>
      <c r="Y47" s="1">
        <f>SUMIFS(super1[Qtde],super1[Item],tab_alimentos[[#This Row],[Item]],super1[Bairro],mercado14)+SUMIFS(supercb[Qtde],supercb[Item],tab_alimentos[[#This Row],[Item]],supercb[Bairro],mercado14)</f>
        <v>0</v>
      </c>
      <c r="Z47" s="1">
        <f>SUMIFS(super1[Qtde],super1[Item],tab_alimentos[[#This Row],[Item]],super1[Bairro],mercado15)+SUMIFS(supercb[Qtde],supercb[Item],tab_alimentos[[#This Row],[Item]],supercb[Bairro],mercado15)</f>
        <v>0</v>
      </c>
      <c r="AA47" s="1">
        <f>SUMIFS(super1[Qtde],super1[Item],tab_alimentos[[#This Row],[Item]],super1[Bairro],mercado16)+SUMIFS(supercb[Qtde],supercb[Item],tab_alimentos[[#This Row],[Item]],supercb[Bairro],mercado16)</f>
        <v>0</v>
      </c>
      <c r="AB47" s="1">
        <f>SUMIFS(super1[Qtde],super1[Item],tab_alimentos[[#This Row],[Item]],super1[Bairro],mercado17)+SUMIFS(supercb[Qtde],supercb[Item],tab_alimentos[[#This Row],[Item]],supercb[Bairro],mercado17)</f>
        <v>0</v>
      </c>
      <c r="AC47" s="1">
        <f>SUMIFS(super1[Qtde],super1[Item],tab_alimentos[[#This Row],[Item]],super1[Bairro],mercado18)+SUMIFS(supercb[Qtde],supercb[Item],tab_alimentos[[#This Row],[Item]],supercb[Bairro],mercado18)</f>
        <v>0</v>
      </c>
      <c r="AD47" s="1">
        <f>SUMIFS(super1[Qtde],super1[Item],tab_alimentos[[#This Row],[Item]],super1[Bairro],extras)+SUMIFS(supercb[Qtde],supercb[Item],tab_alimentos[[#This Row],[Item]],supercb[Bairro],extras)</f>
        <v>0</v>
      </c>
      <c r="AE47" s="1">
        <f t="shared" si="18"/>
        <v>21</v>
      </c>
      <c r="AF47" s="1">
        <f t="shared" si="19"/>
        <v>44.17</v>
      </c>
      <c r="AG47" s="3">
        <f t="shared" si="20"/>
        <v>2.31</v>
      </c>
      <c r="AH47" s="25" t="str">
        <f>higiene[[#This Row],[Item]]</f>
        <v>Creme de barbear</v>
      </c>
      <c r="AI47" s="1">
        <f>IFERROR(higiene[[#This Row],[Kg equivalente]],0)</f>
        <v>2.2436820264663075</v>
      </c>
      <c r="AJ47" s="1">
        <f>IFERROR(higiene[[#This Row],[Preço por produto]],0)</f>
        <v>7.4320000000000004</v>
      </c>
      <c r="AK47" s="1">
        <f>SUMIFS(super1[Qtde],super1[Item],tab_higiene[[#This Row],[Item]],super1[Bairro],mercado1)+SUMIFS(supercb[Qtde],supercb[Item],tab_higiene[[#This Row],[Item]],supercb[Bairro],mercado1)</f>
        <v>0</v>
      </c>
      <c r="AL47" s="1">
        <f>SUMIFS(super1[Qtde],super1[Item],tab_higiene[[#This Row],[Item]],super1[Bairro],mercado2)+SUMIFS(supercb[Qtde],supercb[Item],tab_higiene[[#This Row],[Item]],supercb[Bairro],mercado2)</f>
        <v>0</v>
      </c>
      <c r="AM47" s="1">
        <f>SUMIFS(super1[Qtde],super1[Item],tab_higiene[[#This Row],[Item]],super1[Bairro],mercado3)+SUMIFS(supercb[Qtde],supercb[Item],tab_higiene[[#This Row],[Item]],supercb[Bairro],mercado3)</f>
        <v>0</v>
      </c>
      <c r="AN47" s="1">
        <f>SUMIFS(super1[Qtde],super1[Item],tab_higiene[[#This Row],[Item]],super1[Bairro],mercado4)+SUMIFS(supercb[Qtde],supercb[Item],tab_higiene[[#This Row],[Item]],supercb[Bairro],mercado4)</f>
        <v>0</v>
      </c>
      <c r="AO47" s="1">
        <f>SUMIFS(super1[Qtde],super1[Item],tab_higiene[[#This Row],[Item]],super1[Bairro],mercado5)+SUMIFS(supercb[Qtde],supercb[Item],tab_higiene[[#This Row],[Item]],supercb[Bairro],mercado5)</f>
        <v>0</v>
      </c>
      <c r="AP47" s="1">
        <f>SUMIFS(super1[Qtde],super1[Item],tab_higiene[[#This Row],[Item]],super1[Bairro],mercado6)+SUMIFS(supercb[Qtde],supercb[Item],tab_higiene[[#This Row],[Item]],supercb[Bairro],mercado6)</f>
        <v>0</v>
      </c>
      <c r="AQ47" s="1">
        <f>SUMIFS(super1[Qtde],super1[Item],tab_higiene[[#This Row],[Item]],super1[Bairro],mercado7)+SUMIFS(supercb[Qtde],supercb[Item],tab_higiene[[#This Row],[Item]],supercb[Bairro],mercado7)</f>
        <v>0</v>
      </c>
      <c r="AR47" s="1">
        <f>SUMIFS(super1[Qtde],super1[Item],tab_higiene[[#This Row],[Item]],super1[Bairro],mercado8)+SUMIFS(supercb[Qtde],supercb[Item],tab_higiene[[#This Row],[Item]],supercb[Bairro],mercado8)</f>
        <v>0</v>
      </c>
      <c r="AS47" s="1">
        <f>SUMIFS(super1[Qtde],super1[Item],tab_higiene[[#This Row],[Item]],super1[Bairro],mercado9)+SUMIFS(supercb[Qtde],supercb[Item],tab_higiene[[#This Row],[Item]],supercb[Bairro],mercado9)</f>
        <v>0</v>
      </c>
      <c r="AT47" s="1">
        <f>SUMIFS(super1[Qtde],super1[Item],tab_higiene[[#This Row],[Item]],super1[Bairro],mercado10)+SUMIFS(supercb[Qtde],supercb[Item],tab_higiene[[#This Row],[Item]],supercb[Bairro],mercado10)</f>
        <v>0</v>
      </c>
      <c r="AU47" s="1">
        <f>SUMIFS(super1[Qtde],super1[Item],tab_higiene[[#This Row],[Item]],super1[Bairro],mercado11)+SUMIFS(supercb[Qtde],supercb[Item],tab_higiene[[#This Row],[Item]],supercb[Bairro],mercado11)</f>
        <v>0</v>
      </c>
      <c r="AV47" s="1">
        <f>SUMIFS(super1[Qtde],super1[Item],tab_higiene[[#This Row],[Item]],super1[Bairro],mercado12)+SUMIFS(supercb[Qtde],supercb[Item],tab_higiene[[#This Row],[Item]],supercb[Bairro],mercado12)</f>
        <v>0</v>
      </c>
      <c r="AW47" s="1">
        <f>SUMIFS(super1[Qtde],super1[Item],tab_higiene[[#This Row],[Item]],super1[Bairro],mercado13)+SUMIFS(supercb[Qtde],supercb[Item],tab_higiene[[#This Row],[Item]],supercb[Bairro],mercado13)</f>
        <v>0</v>
      </c>
      <c r="AX47" s="1">
        <f>SUMIFS(super1[Qtde],super1[Item],tab_higiene[[#This Row],[Item]],super1[Bairro],mercado14)+SUMIFS(supercb[Qtde],supercb[Item],tab_higiene[[#This Row],[Item]],supercb[Bairro],mercado14)</f>
        <v>0</v>
      </c>
      <c r="AY47" s="1">
        <f>SUMIFS(super1[Qtde],super1[Item],tab_higiene[[#This Row],[Item]],super1[Bairro],mercado15)+SUMIFS(supercb[Qtde],supercb[Item],tab_higiene[[#This Row],[Item]],supercb[Bairro],mercado15)</f>
        <v>0</v>
      </c>
      <c r="AZ47" s="1">
        <f>SUMIFS(super1[Qtde],super1[Item],tab_higiene[[#This Row],[Item]],super1[Bairro],mercado16)+SUMIFS(supercb[Qtde],supercb[Item],tab_higiene[[#This Row],[Item]],supercb[Bairro],mercado16)</f>
        <v>0</v>
      </c>
      <c r="BA47" s="1">
        <f>SUMIFS(super1[Qtde],super1[Item],tab_higiene[[#This Row],[Item]],super1[Bairro],mercado17)+SUMIFS(supercb[Qtde],supercb[Item],tab_higiene[[#This Row],[Item]],supercb[Bairro],mercado17)</f>
        <v>0</v>
      </c>
      <c r="BB47" s="1">
        <f>SUMIFS(super1[Qtde],super1[Item],tab_higiene[[#This Row],[Item]],super1[Bairro],mercado18)+SUMIFS(supercb[Qtde],supercb[Item],tab_higiene[[#This Row],[Item]],supercb[Bairro],mercado18)</f>
        <v>0</v>
      </c>
      <c r="BC47" s="1">
        <f>SUMIFS(super1[Qtde],super1[Item],tab_higiene[[#This Row],[Item]],super1[Bairro],extras)+SUMIFS(supercb[Qtde],supercb[Item],tab_higiene[[#This Row],[Item]],supercb[Bairro],extras)</f>
        <v>0</v>
      </c>
      <c r="BD47" s="1">
        <f t="shared" si="21"/>
        <v>0</v>
      </c>
      <c r="BE47" s="1">
        <f t="shared" si="22"/>
        <v>0</v>
      </c>
      <c r="BF47" s="26">
        <f t="shared" si="23"/>
        <v>0</v>
      </c>
      <c r="BI47" s="33" t="str">
        <f>tab_alimentos[[#This Row],[Item]]</f>
        <v>Bolacha (110g)</v>
      </c>
      <c r="BJ47" s="33">
        <f t="shared" si="6"/>
        <v>8</v>
      </c>
      <c r="BK47" s="33" t="str">
        <f t="shared" si="7"/>
        <v>Bolacha</v>
      </c>
      <c r="BL47" s="33">
        <f>tab_alimentos[[#This Row],[kg]]</f>
        <v>2.31</v>
      </c>
      <c r="BM47" s="37" t="s">
        <v>147</v>
      </c>
      <c r="BN47" s="35">
        <f t="shared" si="11"/>
        <v>0</v>
      </c>
      <c r="BP47" s="33" t="str">
        <f>tab_higiene[[#This Row],[Item]]</f>
        <v>Creme de barbear</v>
      </c>
      <c r="BQ47" s="33">
        <f t="shared" si="8"/>
        <v>0</v>
      </c>
      <c r="BR47" s="33" t="str">
        <f t="shared" si="9"/>
        <v>Creme de barbear</v>
      </c>
      <c r="BS47" s="33">
        <f>higiene[[#This Row],[Quantidade]]</f>
        <v>6</v>
      </c>
      <c r="BT47" s="33">
        <f>tab_higiene[Qtde (tot)]</f>
        <v>0</v>
      </c>
      <c r="BU47" s="33">
        <f t="shared" si="12"/>
        <v>0</v>
      </c>
      <c r="BV47" s="37" t="s">
        <v>327</v>
      </c>
      <c r="BW47" s="33">
        <f t="shared" si="24"/>
        <v>0</v>
      </c>
    </row>
    <row r="48" spans="1:75" x14ac:dyDescent="0.25">
      <c r="I48" s="25" t="str">
        <f>alimentos[[#This Row],[Item]]</f>
        <v>Bolacha (115g)</v>
      </c>
      <c r="J48" s="1">
        <f>IFERROR(alimentos[[#This Row],[kg/embalagem]],0)</f>
        <v>0.115</v>
      </c>
      <c r="K48" s="1">
        <f>IFERROR(alimentos[[#This Row],[Preço]],0)</f>
        <v>1.9300000000000002</v>
      </c>
      <c r="L48" s="1">
        <f>SUMIFS(super1[Qtde],super1[Item],tab_alimentos[[#This Row],[Item]],super1[Bairro],mercado1)+SUMIFS(supercb[Qtde],supercb[Item],tab_alimentos[[#This Row],[Item]],supercb[Bairro],mercado1)</f>
        <v>0</v>
      </c>
      <c r="M48" s="1">
        <f>SUMIFS(super1[Qtde],super1[Item],tab_alimentos[[#This Row],[Item]],super1[Bairro],mercado2)+SUMIFS(supercb[Qtde],supercb[Item],tab_alimentos[[#This Row],[Item]],supercb[Bairro],mercado2)</f>
        <v>0</v>
      </c>
      <c r="N48" s="1">
        <f>SUMIFS(super1[Qtde],super1[Item],tab_alimentos[[#This Row],[Item]],super1[Bairro],mercado3)+SUMIFS(supercb[Qtde],supercb[Item],tab_alimentos[[#This Row],[Item]],supercb[Bairro],mercado3)</f>
        <v>0</v>
      </c>
      <c r="O48" s="1">
        <f>SUMIFS(super1[Qtde],super1[Item],tab_alimentos[[#This Row],[Item]],super1[Bairro],mercado4)+SUMIFS(supercb[Qtde],supercb[Item],tab_alimentos[[#This Row],[Item]],supercb[Bairro],mercado4)</f>
        <v>0</v>
      </c>
      <c r="P48" s="1">
        <f>SUMIFS(super1[Qtde],super1[Item],tab_alimentos[[#This Row],[Item]],super1[Bairro],mercado5)+SUMIFS(supercb[Qtde],supercb[Item],tab_alimentos[[#This Row],[Item]],supercb[Bairro],mercado5)</f>
        <v>0</v>
      </c>
      <c r="Q48" s="1">
        <f>SUMIFS(super1[Qtde],super1[Item],tab_alimentos[[#This Row],[Item]],super1[Bairro],mercado6)+SUMIFS(supercb[Qtde],supercb[Item],tab_alimentos[[#This Row],[Item]],supercb[Bairro],mercado6)</f>
        <v>0</v>
      </c>
      <c r="R48" s="1">
        <f>SUMIFS(super1[Qtde],super1[Item],tab_alimentos[[#This Row],[Item]],super1[Bairro],mercado7)+SUMIFS(supercb[Qtde],supercb[Item],tab_alimentos[[#This Row],[Item]],supercb[Bairro],mercado7)</f>
        <v>0</v>
      </c>
      <c r="S48" s="1">
        <f>SUMIFS(super1[Qtde],super1[Item],tab_alimentos[[#This Row],[Item]],super1[Bairro],mercado8)+SUMIFS(supercb[Qtde],supercb[Item],tab_alimentos[[#This Row],[Item]],supercb[Bairro],mercado8)</f>
        <v>0</v>
      </c>
      <c r="T48" s="1">
        <f>SUMIFS(super1[Qtde],super1[Item],tab_alimentos[[#This Row],[Item]],super1[Bairro],mercado9)+SUMIFS(supercb[Qtde],supercb[Item],tab_alimentos[[#This Row],[Item]],supercb[Bairro],mercado9)</f>
        <v>0</v>
      </c>
      <c r="U48" s="1">
        <f>SUMIFS(super1[Qtde],super1[Item],tab_alimentos[[#This Row],[Item]],super1[Bairro],mercado10)+SUMIFS(supercb[Qtde],supercb[Item],tab_alimentos[[#This Row],[Item]],supercb[Bairro],mercado10)</f>
        <v>0</v>
      </c>
      <c r="V48" s="1">
        <f>SUMIFS(super1[Qtde],super1[Item],tab_alimentos[[#This Row],[Item]],super1[Bairro],mercado11)+SUMIFS(supercb[Qtde],supercb[Item],tab_alimentos[[#This Row],[Item]],supercb[Bairro],mercado11)</f>
        <v>0</v>
      </c>
      <c r="W48" s="1">
        <f>SUMIFS(super1[Qtde],super1[Item],tab_alimentos[[#This Row],[Item]],super1[Bairro],mercado12)+SUMIFS(supercb[Qtde],supercb[Item],tab_alimentos[[#This Row],[Item]],supercb[Bairro],mercado12)</f>
        <v>0</v>
      </c>
      <c r="X48" s="1">
        <f>SUMIFS(super1[Qtde],super1[Item],tab_alimentos[[#This Row],[Item]],super1[Bairro],mercado13)+SUMIFS(supercb[Qtde],supercb[Item],tab_alimentos[[#This Row],[Item]],supercb[Bairro],mercado13)</f>
        <v>0</v>
      </c>
      <c r="Y48" s="1">
        <f>SUMIFS(super1[Qtde],super1[Item],tab_alimentos[[#This Row],[Item]],super1[Bairro],mercado14)+SUMIFS(supercb[Qtde],supercb[Item],tab_alimentos[[#This Row],[Item]],supercb[Bairro],mercado14)</f>
        <v>0</v>
      </c>
      <c r="Z48" s="1">
        <f>SUMIFS(super1[Qtde],super1[Item],tab_alimentos[[#This Row],[Item]],super1[Bairro],mercado15)+SUMIFS(supercb[Qtde],supercb[Item],tab_alimentos[[#This Row],[Item]],supercb[Bairro],mercado15)</f>
        <v>0</v>
      </c>
      <c r="AA48" s="1">
        <f>SUMIFS(super1[Qtde],super1[Item],tab_alimentos[[#This Row],[Item]],super1[Bairro],mercado16)+SUMIFS(supercb[Qtde],supercb[Item],tab_alimentos[[#This Row],[Item]],supercb[Bairro],mercado16)</f>
        <v>0</v>
      </c>
      <c r="AB48" s="1">
        <f>SUMIFS(super1[Qtde],super1[Item],tab_alimentos[[#This Row],[Item]],super1[Bairro],mercado17)+SUMIFS(supercb[Qtde],supercb[Item],tab_alimentos[[#This Row],[Item]],supercb[Bairro],mercado17)</f>
        <v>0</v>
      </c>
      <c r="AC48" s="1">
        <f>SUMIFS(super1[Qtde],super1[Item],tab_alimentos[[#This Row],[Item]],super1[Bairro],mercado18)+SUMIFS(supercb[Qtde],supercb[Item],tab_alimentos[[#This Row],[Item]],supercb[Bairro],mercado18)</f>
        <v>0</v>
      </c>
      <c r="AD48" s="1">
        <f>SUMIFS(super1[Qtde],super1[Item],tab_alimentos[[#This Row],[Item]],super1[Bairro],extras)+SUMIFS(supercb[Qtde],supercb[Item],tab_alimentos[[#This Row],[Item]],supercb[Bairro],extras)</f>
        <v>0</v>
      </c>
      <c r="AE48" s="1">
        <f t="shared" si="18"/>
        <v>0</v>
      </c>
      <c r="AF48" s="1">
        <f t="shared" si="19"/>
        <v>0</v>
      </c>
      <c r="AG48" s="3">
        <f t="shared" si="20"/>
        <v>0</v>
      </c>
      <c r="AH48" s="25" t="str">
        <f>higiene[[#This Row],[Item]]</f>
        <v>D</v>
      </c>
      <c r="AI48" s="1">
        <f>IFERROR(higiene[[#This Row],[Kg equivalente]],0)</f>
        <v>0</v>
      </c>
      <c r="AJ48" s="1" t="str">
        <f>IFERROR(higiene[[#This Row],[Preço por produto]],0)</f>
        <v/>
      </c>
      <c r="AK48" s="1">
        <f>SUMIFS(super1[Qtde],super1[Item],tab_higiene[[#This Row],[Item]],super1[Bairro],mercado1)+SUMIFS(supercb[Qtde],supercb[Item],tab_higiene[[#This Row],[Item]],supercb[Bairro],mercado1)</f>
        <v>0</v>
      </c>
      <c r="AL48" s="1">
        <f>SUMIFS(super1[Qtde],super1[Item],tab_higiene[[#This Row],[Item]],super1[Bairro],mercado2)+SUMIFS(supercb[Qtde],supercb[Item],tab_higiene[[#This Row],[Item]],supercb[Bairro],mercado2)</f>
        <v>0</v>
      </c>
      <c r="AM48" s="1">
        <f>SUMIFS(super1[Qtde],super1[Item],tab_higiene[[#This Row],[Item]],super1[Bairro],mercado3)+SUMIFS(supercb[Qtde],supercb[Item],tab_higiene[[#This Row],[Item]],supercb[Bairro],mercado3)</f>
        <v>0</v>
      </c>
      <c r="AN48" s="1">
        <f>SUMIFS(super1[Qtde],super1[Item],tab_higiene[[#This Row],[Item]],super1[Bairro],mercado4)+SUMIFS(supercb[Qtde],supercb[Item],tab_higiene[[#This Row],[Item]],supercb[Bairro],mercado4)</f>
        <v>0</v>
      </c>
      <c r="AO48" s="1">
        <f>SUMIFS(super1[Qtde],super1[Item],tab_higiene[[#This Row],[Item]],super1[Bairro],mercado5)+SUMIFS(supercb[Qtde],supercb[Item],tab_higiene[[#This Row],[Item]],supercb[Bairro],mercado5)</f>
        <v>0</v>
      </c>
      <c r="AP48" s="1">
        <f>SUMIFS(super1[Qtde],super1[Item],tab_higiene[[#This Row],[Item]],super1[Bairro],mercado6)+SUMIFS(supercb[Qtde],supercb[Item],tab_higiene[[#This Row],[Item]],supercb[Bairro],mercado6)</f>
        <v>0</v>
      </c>
      <c r="AQ48" s="1">
        <f>SUMIFS(super1[Qtde],super1[Item],tab_higiene[[#This Row],[Item]],super1[Bairro],mercado7)+SUMIFS(supercb[Qtde],supercb[Item],tab_higiene[[#This Row],[Item]],supercb[Bairro],mercado7)</f>
        <v>0</v>
      </c>
      <c r="AR48" s="1">
        <f>SUMIFS(super1[Qtde],super1[Item],tab_higiene[[#This Row],[Item]],super1[Bairro],mercado8)+SUMIFS(supercb[Qtde],supercb[Item],tab_higiene[[#This Row],[Item]],supercb[Bairro],mercado8)</f>
        <v>0</v>
      </c>
      <c r="AS48" s="1">
        <f>SUMIFS(super1[Qtde],super1[Item],tab_higiene[[#This Row],[Item]],super1[Bairro],mercado9)+SUMIFS(supercb[Qtde],supercb[Item],tab_higiene[[#This Row],[Item]],supercb[Bairro],mercado9)</f>
        <v>0</v>
      </c>
      <c r="AT48" s="1">
        <f>SUMIFS(super1[Qtde],super1[Item],tab_higiene[[#This Row],[Item]],super1[Bairro],mercado10)+SUMIFS(supercb[Qtde],supercb[Item],tab_higiene[[#This Row],[Item]],supercb[Bairro],mercado10)</f>
        <v>0</v>
      </c>
      <c r="AU48" s="1">
        <f>SUMIFS(super1[Qtde],super1[Item],tab_higiene[[#This Row],[Item]],super1[Bairro],mercado11)+SUMIFS(supercb[Qtde],supercb[Item],tab_higiene[[#This Row],[Item]],supercb[Bairro],mercado11)</f>
        <v>0</v>
      </c>
      <c r="AV48" s="1">
        <f>SUMIFS(super1[Qtde],super1[Item],tab_higiene[[#This Row],[Item]],super1[Bairro],mercado12)+SUMIFS(supercb[Qtde],supercb[Item],tab_higiene[[#This Row],[Item]],supercb[Bairro],mercado12)</f>
        <v>0</v>
      </c>
      <c r="AW48" s="1">
        <f>SUMIFS(super1[Qtde],super1[Item],tab_higiene[[#This Row],[Item]],super1[Bairro],mercado13)+SUMIFS(supercb[Qtde],supercb[Item],tab_higiene[[#This Row],[Item]],supercb[Bairro],mercado13)</f>
        <v>0</v>
      </c>
      <c r="AX48" s="1">
        <f>SUMIFS(super1[Qtde],super1[Item],tab_higiene[[#This Row],[Item]],super1[Bairro],mercado14)+SUMIFS(supercb[Qtde],supercb[Item],tab_higiene[[#This Row],[Item]],supercb[Bairro],mercado14)</f>
        <v>0</v>
      </c>
      <c r="AY48" s="1">
        <f>SUMIFS(super1[Qtde],super1[Item],tab_higiene[[#This Row],[Item]],super1[Bairro],mercado15)+SUMIFS(supercb[Qtde],supercb[Item],tab_higiene[[#This Row],[Item]],supercb[Bairro],mercado15)</f>
        <v>0</v>
      </c>
      <c r="AZ48" s="1">
        <f>SUMIFS(super1[Qtde],super1[Item],tab_higiene[[#This Row],[Item]],super1[Bairro],mercado16)+SUMIFS(supercb[Qtde],supercb[Item],tab_higiene[[#This Row],[Item]],supercb[Bairro],mercado16)</f>
        <v>0</v>
      </c>
      <c r="BA48" s="1">
        <f>SUMIFS(super1[Qtde],super1[Item],tab_higiene[[#This Row],[Item]],super1[Bairro],mercado17)+SUMIFS(supercb[Qtde],supercb[Item],tab_higiene[[#This Row],[Item]],supercb[Bairro],mercado17)</f>
        <v>0</v>
      </c>
      <c r="BB48" s="1">
        <f>SUMIFS(super1[Qtde],super1[Item],tab_higiene[[#This Row],[Item]],super1[Bairro],mercado18)+SUMIFS(supercb[Qtde],supercb[Item],tab_higiene[[#This Row],[Item]],supercb[Bairro],mercado18)</f>
        <v>0</v>
      </c>
      <c r="BC48" s="1">
        <f>SUMIFS(super1[Qtde],super1[Item],tab_higiene[[#This Row],[Item]],super1[Bairro],extras)+SUMIFS(supercb[Qtde],supercb[Item],tab_higiene[[#This Row],[Item]],supercb[Bairro],extras)</f>
        <v>0</v>
      </c>
      <c r="BD48" s="1">
        <f t="shared" si="21"/>
        <v>0</v>
      </c>
      <c r="BE48" s="1">
        <f t="shared" si="22"/>
        <v>0</v>
      </c>
      <c r="BF48" s="26">
        <f t="shared" si="23"/>
        <v>0</v>
      </c>
      <c r="BI48" s="33" t="str">
        <f>tab_alimentos[[#This Row],[Item]]</f>
        <v>Bolacha (115g)</v>
      </c>
      <c r="BJ48" s="33">
        <f t="shared" si="6"/>
        <v>8</v>
      </c>
      <c r="BK48" s="33" t="str">
        <f t="shared" si="7"/>
        <v>Bolacha</v>
      </c>
      <c r="BL48" s="33">
        <f>tab_alimentos[[#This Row],[kg]]</f>
        <v>0</v>
      </c>
      <c r="BM48" s="37" t="s">
        <v>377</v>
      </c>
      <c r="BN48" s="35">
        <f t="shared" si="11"/>
        <v>0</v>
      </c>
      <c r="BP48" s="33" t="str">
        <f>tab_higiene[[#This Row],[Item]]</f>
        <v>D</v>
      </c>
      <c r="BQ48" s="33">
        <f t="shared" si="8"/>
        <v>0</v>
      </c>
      <c r="BR48" s="33" t="str">
        <f t="shared" si="9"/>
        <v>D</v>
      </c>
      <c r="BS48" s="33">
        <f>higiene[[#This Row],[Quantidade]]</f>
        <v>0</v>
      </c>
      <c r="BT48" s="33">
        <f>tab_higiene[Qtde (tot)]</f>
        <v>0</v>
      </c>
      <c r="BU48" s="33">
        <f t="shared" si="12"/>
        <v>0</v>
      </c>
      <c r="BV48" s="37" t="s">
        <v>362</v>
      </c>
      <c r="BW48" s="33">
        <f t="shared" si="24"/>
        <v>0</v>
      </c>
    </row>
    <row r="49" spans="9:75" x14ac:dyDescent="0.25">
      <c r="I49" s="25" t="str">
        <f>alimentos[[#This Row],[Item]]</f>
        <v>Bolacha (120g)</v>
      </c>
      <c r="J49" s="1">
        <f>IFERROR(alimentos[[#This Row],[kg/embalagem]],0)</f>
        <v>0.12</v>
      </c>
      <c r="K49" s="1">
        <f>IFERROR(alimentos[[#This Row],[Preço]],0)</f>
        <v>1.9460000000000002</v>
      </c>
      <c r="L49" s="1">
        <f>SUMIFS(super1[Qtde],super1[Item],tab_alimentos[[#This Row],[Item]],super1[Bairro],mercado1)+SUMIFS(supercb[Qtde],supercb[Item],tab_alimentos[[#This Row],[Item]],supercb[Bairro],mercado1)</f>
        <v>1</v>
      </c>
      <c r="M49" s="1">
        <f>SUMIFS(super1[Qtde],super1[Item],tab_alimentos[[#This Row],[Item]],super1[Bairro],mercado2)+SUMIFS(supercb[Qtde],supercb[Item],tab_alimentos[[#This Row],[Item]],supercb[Bairro],mercado2)</f>
        <v>0</v>
      </c>
      <c r="N49" s="1">
        <f>SUMIFS(super1[Qtde],super1[Item],tab_alimentos[[#This Row],[Item]],super1[Bairro],mercado3)+SUMIFS(supercb[Qtde],supercb[Item],tab_alimentos[[#This Row],[Item]],supercb[Bairro],mercado3)</f>
        <v>0</v>
      </c>
      <c r="O49" s="1">
        <f>SUMIFS(super1[Qtde],super1[Item],tab_alimentos[[#This Row],[Item]],super1[Bairro],mercado4)+SUMIFS(supercb[Qtde],supercb[Item],tab_alimentos[[#This Row],[Item]],supercb[Bairro],mercado4)</f>
        <v>1</v>
      </c>
      <c r="P49" s="1">
        <f>SUMIFS(super1[Qtde],super1[Item],tab_alimentos[[#This Row],[Item]],super1[Bairro],mercado5)+SUMIFS(supercb[Qtde],supercb[Item],tab_alimentos[[#This Row],[Item]],supercb[Bairro],mercado5)</f>
        <v>0</v>
      </c>
      <c r="Q49" s="1">
        <f>SUMIFS(super1[Qtde],super1[Item],tab_alimentos[[#This Row],[Item]],super1[Bairro],mercado6)+SUMIFS(supercb[Qtde],supercb[Item],tab_alimentos[[#This Row],[Item]],supercb[Bairro],mercado6)</f>
        <v>0</v>
      </c>
      <c r="R49" s="1">
        <f>SUMIFS(super1[Qtde],super1[Item],tab_alimentos[[#This Row],[Item]],super1[Bairro],mercado7)+SUMIFS(supercb[Qtde],supercb[Item],tab_alimentos[[#This Row],[Item]],supercb[Bairro],mercado7)</f>
        <v>2</v>
      </c>
      <c r="S49" s="1">
        <f>SUMIFS(super1[Qtde],super1[Item],tab_alimentos[[#This Row],[Item]],super1[Bairro],mercado8)+SUMIFS(supercb[Qtde],supercb[Item],tab_alimentos[[#This Row],[Item]],supercb[Bairro],mercado8)</f>
        <v>0</v>
      </c>
      <c r="T49" s="1">
        <f>SUMIFS(super1[Qtde],super1[Item],tab_alimentos[[#This Row],[Item]],super1[Bairro],mercado9)+SUMIFS(supercb[Qtde],supercb[Item],tab_alimentos[[#This Row],[Item]],supercb[Bairro],mercado9)</f>
        <v>0</v>
      </c>
      <c r="U49" s="1">
        <f>SUMIFS(super1[Qtde],super1[Item],tab_alimentos[[#This Row],[Item]],super1[Bairro],mercado10)+SUMIFS(supercb[Qtde],supercb[Item],tab_alimentos[[#This Row],[Item]],supercb[Bairro],mercado10)</f>
        <v>1</v>
      </c>
      <c r="V49" s="1">
        <f>SUMIFS(super1[Qtde],super1[Item],tab_alimentos[[#This Row],[Item]],super1[Bairro],mercado11)+SUMIFS(supercb[Qtde],supercb[Item],tab_alimentos[[#This Row],[Item]],supercb[Bairro],mercado11)</f>
        <v>0</v>
      </c>
      <c r="W49" s="1">
        <f>SUMIFS(super1[Qtde],super1[Item],tab_alimentos[[#This Row],[Item]],super1[Bairro],mercado12)+SUMIFS(supercb[Qtde],supercb[Item],tab_alimentos[[#This Row],[Item]],supercb[Bairro],mercado12)</f>
        <v>0</v>
      </c>
      <c r="X49" s="1">
        <f>SUMIFS(super1[Qtde],super1[Item],tab_alimentos[[#This Row],[Item]],super1[Bairro],mercado13)+SUMIFS(supercb[Qtde],supercb[Item],tab_alimentos[[#This Row],[Item]],supercb[Bairro],mercado13)</f>
        <v>0</v>
      </c>
      <c r="Y49" s="1">
        <f>SUMIFS(super1[Qtde],super1[Item],tab_alimentos[[#This Row],[Item]],super1[Bairro],mercado14)+SUMIFS(supercb[Qtde],supercb[Item],tab_alimentos[[#This Row],[Item]],supercb[Bairro],mercado14)</f>
        <v>0</v>
      </c>
      <c r="Z49" s="1">
        <f>SUMIFS(super1[Qtde],super1[Item],tab_alimentos[[#This Row],[Item]],super1[Bairro],mercado15)+SUMIFS(supercb[Qtde],supercb[Item],tab_alimentos[[#This Row],[Item]],supercb[Bairro],mercado15)</f>
        <v>0</v>
      </c>
      <c r="AA49" s="1">
        <f>SUMIFS(super1[Qtde],super1[Item],tab_alimentos[[#This Row],[Item]],super1[Bairro],mercado16)+SUMIFS(supercb[Qtde],supercb[Item],tab_alimentos[[#This Row],[Item]],supercb[Bairro],mercado16)</f>
        <v>0</v>
      </c>
      <c r="AB49" s="1">
        <f>SUMIFS(super1[Qtde],super1[Item],tab_alimentos[[#This Row],[Item]],super1[Bairro],mercado17)+SUMIFS(supercb[Qtde],supercb[Item],tab_alimentos[[#This Row],[Item]],supercb[Bairro],mercado17)</f>
        <v>0</v>
      </c>
      <c r="AC49" s="1">
        <f>SUMIFS(super1[Qtde],super1[Item],tab_alimentos[[#This Row],[Item]],super1[Bairro],mercado18)+SUMIFS(supercb[Qtde],supercb[Item],tab_alimentos[[#This Row],[Item]],supercb[Bairro],mercado18)</f>
        <v>0</v>
      </c>
      <c r="AD49" s="1">
        <f>SUMIFS(super1[Qtde],super1[Item],tab_alimentos[[#This Row],[Item]],super1[Bairro],extras)+SUMIFS(supercb[Qtde],supercb[Item],tab_alimentos[[#This Row],[Item]],supercb[Bairro],extras)</f>
        <v>0</v>
      </c>
      <c r="AE49" s="1">
        <f t="shared" si="18"/>
        <v>5</v>
      </c>
      <c r="AF49" s="1">
        <f t="shared" si="19"/>
        <v>9.73</v>
      </c>
      <c r="AG49" s="3">
        <f t="shared" si="20"/>
        <v>0.6</v>
      </c>
      <c r="AH49" s="25" t="str">
        <f>higiene[[#This Row],[Item]]</f>
        <v>Desengordurante (500ml)</v>
      </c>
      <c r="AI49" s="1">
        <f>IFERROR(higiene[[#This Row],[Kg equivalente]],0)</f>
        <v>1.7479707929547792</v>
      </c>
      <c r="AJ49" s="1">
        <f>IFERROR(higiene[[#This Row],[Preço por produto]],0)</f>
        <v>5.79</v>
      </c>
      <c r="AK49" s="1">
        <f>SUMIFS(super1[Qtde],super1[Item],tab_higiene[[#This Row],[Item]],super1[Bairro],mercado1)+SUMIFS(supercb[Qtde],supercb[Item],tab_higiene[[#This Row],[Item]],supercb[Bairro],mercado1)</f>
        <v>0</v>
      </c>
      <c r="AL49" s="1">
        <f>SUMIFS(super1[Qtde],super1[Item],tab_higiene[[#This Row],[Item]],super1[Bairro],mercado2)+SUMIFS(supercb[Qtde],supercb[Item],tab_higiene[[#This Row],[Item]],supercb[Bairro],mercado2)</f>
        <v>0</v>
      </c>
      <c r="AM49" s="1">
        <f>SUMIFS(super1[Qtde],super1[Item],tab_higiene[[#This Row],[Item]],super1[Bairro],mercado3)+SUMIFS(supercb[Qtde],supercb[Item],tab_higiene[[#This Row],[Item]],supercb[Bairro],mercado3)</f>
        <v>0</v>
      </c>
      <c r="AN49" s="1">
        <f>SUMIFS(super1[Qtde],super1[Item],tab_higiene[[#This Row],[Item]],super1[Bairro],mercado4)+SUMIFS(supercb[Qtde],supercb[Item],tab_higiene[[#This Row],[Item]],supercb[Bairro],mercado4)</f>
        <v>0</v>
      </c>
      <c r="AO49" s="1">
        <f>SUMIFS(super1[Qtde],super1[Item],tab_higiene[[#This Row],[Item]],super1[Bairro],mercado5)+SUMIFS(supercb[Qtde],supercb[Item],tab_higiene[[#This Row],[Item]],supercb[Bairro],mercado5)</f>
        <v>1</v>
      </c>
      <c r="AP49" s="1">
        <f>SUMIFS(super1[Qtde],super1[Item],tab_higiene[[#This Row],[Item]],super1[Bairro],mercado6)+SUMIFS(supercb[Qtde],supercb[Item],tab_higiene[[#This Row],[Item]],supercb[Bairro],mercado6)</f>
        <v>0</v>
      </c>
      <c r="AQ49" s="1">
        <f>SUMIFS(super1[Qtde],super1[Item],tab_higiene[[#This Row],[Item]],super1[Bairro],mercado7)+SUMIFS(supercb[Qtde],supercb[Item],tab_higiene[[#This Row],[Item]],supercb[Bairro],mercado7)</f>
        <v>0</v>
      </c>
      <c r="AR49" s="1">
        <f>SUMIFS(super1[Qtde],super1[Item],tab_higiene[[#This Row],[Item]],super1[Bairro],mercado8)+SUMIFS(supercb[Qtde],supercb[Item],tab_higiene[[#This Row],[Item]],supercb[Bairro],mercado8)</f>
        <v>0</v>
      </c>
      <c r="AS49" s="1">
        <f>SUMIFS(super1[Qtde],super1[Item],tab_higiene[[#This Row],[Item]],super1[Bairro],mercado9)+SUMIFS(supercb[Qtde],supercb[Item],tab_higiene[[#This Row],[Item]],supercb[Bairro],mercado9)</f>
        <v>0</v>
      </c>
      <c r="AT49" s="1">
        <f>SUMIFS(super1[Qtde],super1[Item],tab_higiene[[#This Row],[Item]],super1[Bairro],mercado10)+SUMIFS(supercb[Qtde],supercb[Item],tab_higiene[[#This Row],[Item]],supercb[Bairro],mercado10)</f>
        <v>0</v>
      </c>
      <c r="AU49" s="1">
        <f>SUMIFS(super1[Qtde],super1[Item],tab_higiene[[#This Row],[Item]],super1[Bairro],mercado11)+SUMIFS(supercb[Qtde],supercb[Item],tab_higiene[[#This Row],[Item]],supercb[Bairro],mercado11)</f>
        <v>0</v>
      </c>
      <c r="AV49" s="1">
        <f>SUMIFS(super1[Qtde],super1[Item],tab_higiene[[#This Row],[Item]],super1[Bairro],mercado12)+SUMIFS(supercb[Qtde],supercb[Item],tab_higiene[[#This Row],[Item]],supercb[Bairro],mercado12)</f>
        <v>0</v>
      </c>
      <c r="AW49" s="1">
        <f>SUMIFS(super1[Qtde],super1[Item],tab_higiene[[#This Row],[Item]],super1[Bairro],mercado13)+SUMIFS(supercb[Qtde],supercb[Item],tab_higiene[[#This Row],[Item]],supercb[Bairro],mercado13)</f>
        <v>0</v>
      </c>
      <c r="AX49" s="1">
        <f>SUMIFS(super1[Qtde],super1[Item],tab_higiene[[#This Row],[Item]],super1[Bairro],mercado14)+SUMIFS(supercb[Qtde],supercb[Item],tab_higiene[[#This Row],[Item]],supercb[Bairro],mercado14)</f>
        <v>0</v>
      </c>
      <c r="AY49" s="1">
        <f>SUMIFS(super1[Qtde],super1[Item],tab_higiene[[#This Row],[Item]],super1[Bairro],mercado15)+SUMIFS(supercb[Qtde],supercb[Item],tab_higiene[[#This Row],[Item]],supercb[Bairro],mercado15)</f>
        <v>0</v>
      </c>
      <c r="AZ49" s="1">
        <f>SUMIFS(super1[Qtde],super1[Item],tab_higiene[[#This Row],[Item]],super1[Bairro],mercado16)+SUMIFS(supercb[Qtde],supercb[Item],tab_higiene[[#This Row],[Item]],supercb[Bairro],mercado16)</f>
        <v>0</v>
      </c>
      <c r="BA49" s="1">
        <f>SUMIFS(super1[Qtde],super1[Item],tab_higiene[[#This Row],[Item]],super1[Bairro],mercado17)+SUMIFS(supercb[Qtde],supercb[Item],tab_higiene[[#This Row],[Item]],supercb[Bairro],mercado17)</f>
        <v>0</v>
      </c>
      <c r="BB49" s="1">
        <f>SUMIFS(super1[Qtde],super1[Item],tab_higiene[[#This Row],[Item]],super1[Bairro],mercado18)+SUMIFS(supercb[Qtde],supercb[Item],tab_higiene[[#This Row],[Item]],supercb[Bairro],mercado18)</f>
        <v>0</v>
      </c>
      <c r="BC49" s="1">
        <f>SUMIFS(super1[Qtde],super1[Item],tab_higiene[[#This Row],[Item]],super1[Bairro],extras)+SUMIFS(supercb[Qtde],supercb[Item],tab_higiene[[#This Row],[Item]],supercb[Bairro],extras)</f>
        <v>0</v>
      </c>
      <c r="BD49" s="1">
        <f t="shared" si="21"/>
        <v>1</v>
      </c>
      <c r="BE49" s="1">
        <f t="shared" si="22"/>
        <v>5.79</v>
      </c>
      <c r="BF49" s="26">
        <f t="shared" si="23"/>
        <v>1.7479707929547792</v>
      </c>
      <c r="BI49" s="33" t="str">
        <f>tab_alimentos[[#This Row],[Item]]</f>
        <v>Bolacha (120g)</v>
      </c>
      <c r="BJ49" s="33">
        <f t="shared" si="6"/>
        <v>8</v>
      </c>
      <c r="BK49" s="33" t="str">
        <f t="shared" si="7"/>
        <v>Bolacha</v>
      </c>
      <c r="BL49" s="33">
        <f>tab_alimentos[[#This Row],[kg]]</f>
        <v>0.6</v>
      </c>
      <c r="BM49" s="37" t="s">
        <v>290</v>
      </c>
      <c r="BN49" s="35">
        <f t="shared" si="11"/>
        <v>0</v>
      </c>
      <c r="BP49" s="33" t="str">
        <f>tab_higiene[[#This Row],[Item]]</f>
        <v>Desengordurante (500ml)</v>
      </c>
      <c r="BQ49" s="33">
        <f t="shared" si="8"/>
        <v>16</v>
      </c>
      <c r="BR49" s="33" t="str">
        <f t="shared" si="9"/>
        <v>Desengordurante</v>
      </c>
      <c r="BS49" s="33">
        <f>higiene[[#This Row],[Quantidade]]</f>
        <v>0.25</v>
      </c>
      <c r="BT49" s="33">
        <f>tab_higiene[Qtde (tot)]</f>
        <v>1</v>
      </c>
      <c r="BU49" s="33">
        <f t="shared" si="12"/>
        <v>0.25</v>
      </c>
      <c r="BV49" s="37" t="s">
        <v>91</v>
      </c>
      <c r="BW49" s="33">
        <f t="shared" si="24"/>
        <v>0</v>
      </c>
    </row>
    <row r="50" spans="9:75" x14ac:dyDescent="0.25">
      <c r="I50" s="25" t="str">
        <f>alimentos[[#This Row],[Item]]</f>
        <v>Bolacha (130g)</v>
      </c>
      <c r="J50" s="1">
        <f>IFERROR(alimentos[[#This Row],[kg/embalagem]],0)</f>
        <v>0.13</v>
      </c>
      <c r="K50" s="1">
        <f>IFERROR(alimentos[[#This Row],[Preço]],0)</f>
        <v>1.9216666666666669</v>
      </c>
      <c r="L50" s="1">
        <f>SUMIFS(super1[Qtde],super1[Item],tab_alimentos[[#This Row],[Item]],super1[Bairro],mercado1)+SUMIFS(supercb[Qtde],supercb[Item],tab_alimentos[[#This Row],[Item]],supercb[Bairro],mercado1)</f>
        <v>4</v>
      </c>
      <c r="M50" s="1">
        <f>SUMIFS(super1[Qtde],super1[Item],tab_alimentos[[#This Row],[Item]],super1[Bairro],mercado2)+SUMIFS(supercb[Qtde],supercb[Item],tab_alimentos[[#This Row],[Item]],supercb[Bairro],mercado2)</f>
        <v>3</v>
      </c>
      <c r="N50" s="1">
        <f>SUMIFS(super1[Qtde],super1[Item],tab_alimentos[[#This Row],[Item]],super1[Bairro],mercado3)+SUMIFS(supercb[Qtde],supercb[Item],tab_alimentos[[#This Row],[Item]],supercb[Bairro],mercado3)</f>
        <v>0</v>
      </c>
      <c r="O50" s="1">
        <f>SUMIFS(super1[Qtde],super1[Item],tab_alimentos[[#This Row],[Item]],super1[Bairro],mercado4)+SUMIFS(supercb[Qtde],supercb[Item],tab_alimentos[[#This Row],[Item]],supercb[Bairro],mercado4)</f>
        <v>0</v>
      </c>
      <c r="P50" s="1">
        <f>SUMIFS(super1[Qtde],super1[Item],tab_alimentos[[#This Row],[Item]],super1[Bairro],mercado5)+SUMIFS(supercb[Qtde],supercb[Item],tab_alimentos[[#This Row],[Item]],supercb[Bairro],mercado5)</f>
        <v>6</v>
      </c>
      <c r="Q50" s="1">
        <f>SUMIFS(super1[Qtde],super1[Item],tab_alimentos[[#This Row],[Item]],super1[Bairro],mercado6)+SUMIFS(supercb[Qtde],supercb[Item],tab_alimentos[[#This Row],[Item]],supercb[Bairro],mercado6)</f>
        <v>21</v>
      </c>
      <c r="R50" s="1">
        <f>SUMIFS(super1[Qtde],super1[Item],tab_alimentos[[#This Row],[Item]],super1[Bairro],mercado7)+SUMIFS(supercb[Qtde],supercb[Item],tab_alimentos[[#This Row],[Item]],supercb[Bairro],mercado7)</f>
        <v>3</v>
      </c>
      <c r="S50" s="1">
        <f>SUMIFS(super1[Qtde],super1[Item],tab_alimentos[[#This Row],[Item]],super1[Bairro],mercado8)+SUMIFS(supercb[Qtde],supercb[Item],tab_alimentos[[#This Row],[Item]],supercb[Bairro],mercado8)</f>
        <v>4</v>
      </c>
      <c r="T50" s="1">
        <f>SUMIFS(super1[Qtde],super1[Item],tab_alimentos[[#This Row],[Item]],super1[Bairro],mercado9)+SUMIFS(supercb[Qtde],supercb[Item],tab_alimentos[[#This Row],[Item]],supercb[Bairro],mercado9)</f>
        <v>42</v>
      </c>
      <c r="U50" s="1">
        <f>SUMIFS(super1[Qtde],super1[Item],tab_alimentos[[#This Row],[Item]],super1[Bairro],mercado10)+SUMIFS(supercb[Qtde],supercb[Item],tab_alimentos[[#This Row],[Item]],supercb[Bairro],mercado10)</f>
        <v>56</v>
      </c>
      <c r="V50" s="1">
        <f>SUMIFS(super1[Qtde],super1[Item],tab_alimentos[[#This Row],[Item]],super1[Bairro],mercado11)+SUMIFS(supercb[Qtde],supercb[Item],tab_alimentos[[#This Row],[Item]],supercb[Bairro],mercado11)</f>
        <v>44</v>
      </c>
      <c r="W50" s="1">
        <f>SUMIFS(super1[Qtde],super1[Item],tab_alimentos[[#This Row],[Item]],super1[Bairro],mercado12)+SUMIFS(supercb[Qtde],supercb[Item],tab_alimentos[[#This Row],[Item]],supercb[Bairro],mercado12)</f>
        <v>0</v>
      </c>
      <c r="X50" s="1">
        <f>SUMIFS(super1[Qtde],super1[Item],tab_alimentos[[#This Row],[Item]],super1[Bairro],mercado13)+SUMIFS(supercb[Qtde],supercb[Item],tab_alimentos[[#This Row],[Item]],supercb[Bairro],mercado13)</f>
        <v>3</v>
      </c>
      <c r="Y50" s="1">
        <f>SUMIFS(super1[Qtde],super1[Item],tab_alimentos[[#This Row],[Item]],super1[Bairro],mercado14)+SUMIFS(supercb[Qtde],supercb[Item],tab_alimentos[[#This Row],[Item]],supercb[Bairro],mercado14)</f>
        <v>0</v>
      </c>
      <c r="Z50" s="1">
        <f>SUMIFS(super1[Qtde],super1[Item],tab_alimentos[[#This Row],[Item]],super1[Bairro],mercado15)+SUMIFS(supercb[Qtde],supercb[Item],tab_alimentos[[#This Row],[Item]],supercb[Bairro],mercado15)</f>
        <v>0</v>
      </c>
      <c r="AA50" s="1">
        <f>SUMIFS(super1[Qtde],super1[Item],tab_alimentos[[#This Row],[Item]],super1[Bairro],mercado16)+SUMIFS(supercb[Qtde],supercb[Item],tab_alimentos[[#This Row],[Item]],supercb[Bairro],mercado16)</f>
        <v>0</v>
      </c>
      <c r="AB50" s="1">
        <f>SUMIFS(super1[Qtde],super1[Item],tab_alimentos[[#This Row],[Item]],super1[Bairro],mercado17)+SUMIFS(supercb[Qtde],supercb[Item],tab_alimentos[[#This Row],[Item]],supercb[Bairro],mercado17)</f>
        <v>0</v>
      </c>
      <c r="AC50" s="1">
        <f>SUMIFS(super1[Qtde],super1[Item],tab_alimentos[[#This Row],[Item]],super1[Bairro],mercado18)+SUMIFS(supercb[Qtde],supercb[Item],tab_alimentos[[#This Row],[Item]],supercb[Bairro],mercado18)</f>
        <v>0</v>
      </c>
      <c r="AD50" s="1">
        <f>SUMIFS(super1[Qtde],super1[Item],tab_alimentos[[#This Row],[Item]],super1[Bairro],extras)+SUMIFS(supercb[Qtde],supercb[Item],tab_alimentos[[#This Row],[Item]],supercb[Bairro],extras)</f>
        <v>0</v>
      </c>
      <c r="AE50" s="1">
        <f t="shared" si="18"/>
        <v>186</v>
      </c>
      <c r="AF50" s="1">
        <f t="shared" si="19"/>
        <v>357.43000000000006</v>
      </c>
      <c r="AG50" s="3">
        <f t="shared" si="20"/>
        <v>24.18</v>
      </c>
      <c r="AH50" s="25" t="str">
        <f>higiene[[#This Row],[Item]]</f>
        <v>Desengordurante(500ml)</v>
      </c>
      <c r="AI50" s="1">
        <f>IFERROR(higiene[[#This Row],[Kg equivalente]],0)</f>
        <v>2.2611919238741445</v>
      </c>
      <c r="AJ50" s="1">
        <f>IFERROR(higiene[[#This Row],[Preço por produto]],0)</f>
        <v>7.49</v>
      </c>
      <c r="AK50" s="1">
        <f>SUMIFS(super1[Qtde],super1[Item],tab_higiene[[#This Row],[Item]],super1[Bairro],mercado1)+SUMIFS(supercb[Qtde],supercb[Item],tab_higiene[[#This Row],[Item]],supercb[Bairro],mercado1)</f>
        <v>0</v>
      </c>
      <c r="AL50" s="1">
        <f>SUMIFS(super1[Qtde],super1[Item],tab_higiene[[#This Row],[Item]],super1[Bairro],mercado2)+SUMIFS(supercb[Qtde],supercb[Item],tab_higiene[[#This Row],[Item]],supercb[Bairro],mercado2)</f>
        <v>1</v>
      </c>
      <c r="AM50" s="1">
        <f>SUMIFS(super1[Qtde],super1[Item],tab_higiene[[#This Row],[Item]],super1[Bairro],mercado3)+SUMIFS(supercb[Qtde],supercb[Item],tab_higiene[[#This Row],[Item]],supercb[Bairro],mercado3)</f>
        <v>0</v>
      </c>
      <c r="AN50" s="1">
        <f>SUMIFS(super1[Qtde],super1[Item],tab_higiene[[#This Row],[Item]],super1[Bairro],mercado4)+SUMIFS(supercb[Qtde],supercb[Item],tab_higiene[[#This Row],[Item]],supercb[Bairro],mercado4)</f>
        <v>0</v>
      </c>
      <c r="AO50" s="1">
        <f>SUMIFS(super1[Qtde],super1[Item],tab_higiene[[#This Row],[Item]],super1[Bairro],mercado5)+SUMIFS(supercb[Qtde],supercb[Item],tab_higiene[[#This Row],[Item]],supercb[Bairro],mercado5)</f>
        <v>3</v>
      </c>
      <c r="AP50" s="1">
        <f>SUMIFS(super1[Qtde],super1[Item],tab_higiene[[#This Row],[Item]],super1[Bairro],mercado6)+SUMIFS(supercb[Qtde],supercb[Item],tab_higiene[[#This Row],[Item]],supercb[Bairro],mercado6)</f>
        <v>0</v>
      </c>
      <c r="AQ50" s="1">
        <f>SUMIFS(super1[Qtde],super1[Item],tab_higiene[[#This Row],[Item]],super1[Bairro],mercado7)+SUMIFS(supercb[Qtde],supercb[Item],tab_higiene[[#This Row],[Item]],supercb[Bairro],mercado7)</f>
        <v>0</v>
      </c>
      <c r="AR50" s="1">
        <f>SUMIFS(super1[Qtde],super1[Item],tab_higiene[[#This Row],[Item]],super1[Bairro],mercado8)+SUMIFS(supercb[Qtde],supercb[Item],tab_higiene[[#This Row],[Item]],supercb[Bairro],mercado8)</f>
        <v>0</v>
      </c>
      <c r="AS50" s="1">
        <f>SUMIFS(super1[Qtde],super1[Item],tab_higiene[[#This Row],[Item]],super1[Bairro],mercado9)+SUMIFS(supercb[Qtde],supercb[Item],tab_higiene[[#This Row],[Item]],supercb[Bairro],mercado9)</f>
        <v>0</v>
      </c>
      <c r="AT50" s="1">
        <f>SUMIFS(super1[Qtde],super1[Item],tab_higiene[[#This Row],[Item]],super1[Bairro],mercado10)+SUMIFS(supercb[Qtde],supercb[Item],tab_higiene[[#This Row],[Item]],supercb[Bairro],mercado10)</f>
        <v>0</v>
      </c>
      <c r="AU50" s="1">
        <f>SUMIFS(super1[Qtde],super1[Item],tab_higiene[[#This Row],[Item]],super1[Bairro],mercado11)+SUMIFS(supercb[Qtde],supercb[Item],tab_higiene[[#This Row],[Item]],supercb[Bairro],mercado11)</f>
        <v>0</v>
      </c>
      <c r="AV50" s="1">
        <f>SUMIFS(super1[Qtde],super1[Item],tab_higiene[[#This Row],[Item]],super1[Bairro],mercado12)+SUMIFS(supercb[Qtde],supercb[Item],tab_higiene[[#This Row],[Item]],supercb[Bairro],mercado12)</f>
        <v>0</v>
      </c>
      <c r="AW50" s="1">
        <f>SUMIFS(super1[Qtde],super1[Item],tab_higiene[[#This Row],[Item]],super1[Bairro],mercado13)+SUMIFS(supercb[Qtde],supercb[Item],tab_higiene[[#This Row],[Item]],supercb[Bairro],mercado13)</f>
        <v>0</v>
      </c>
      <c r="AX50" s="1">
        <f>SUMIFS(super1[Qtde],super1[Item],tab_higiene[[#This Row],[Item]],super1[Bairro],mercado14)+SUMIFS(supercb[Qtde],supercb[Item],tab_higiene[[#This Row],[Item]],supercb[Bairro],mercado14)</f>
        <v>0</v>
      </c>
      <c r="AY50" s="1">
        <f>SUMIFS(super1[Qtde],super1[Item],tab_higiene[[#This Row],[Item]],super1[Bairro],mercado15)+SUMIFS(supercb[Qtde],supercb[Item],tab_higiene[[#This Row],[Item]],supercb[Bairro],mercado15)</f>
        <v>0</v>
      </c>
      <c r="AZ50" s="1">
        <f>SUMIFS(super1[Qtde],super1[Item],tab_higiene[[#This Row],[Item]],super1[Bairro],mercado16)+SUMIFS(supercb[Qtde],supercb[Item],tab_higiene[[#This Row],[Item]],supercb[Bairro],mercado16)</f>
        <v>0</v>
      </c>
      <c r="BA50" s="1">
        <f>SUMIFS(super1[Qtde],super1[Item],tab_higiene[[#This Row],[Item]],super1[Bairro],mercado17)+SUMIFS(supercb[Qtde],supercb[Item],tab_higiene[[#This Row],[Item]],supercb[Bairro],mercado17)</f>
        <v>0</v>
      </c>
      <c r="BB50" s="1">
        <f>SUMIFS(super1[Qtde],super1[Item],tab_higiene[[#This Row],[Item]],super1[Bairro],mercado18)+SUMIFS(supercb[Qtde],supercb[Item],tab_higiene[[#This Row],[Item]],supercb[Bairro],mercado18)</f>
        <v>0</v>
      </c>
      <c r="BC50" s="1">
        <f>SUMIFS(super1[Qtde],super1[Item],tab_higiene[[#This Row],[Item]],super1[Bairro],extras)+SUMIFS(supercb[Qtde],supercb[Item],tab_higiene[[#This Row],[Item]],supercb[Bairro],extras)</f>
        <v>0</v>
      </c>
      <c r="BD50" s="1">
        <f t="shared" si="21"/>
        <v>4</v>
      </c>
      <c r="BE50" s="1">
        <f t="shared" si="22"/>
        <v>29.96</v>
      </c>
      <c r="BF50" s="26">
        <f t="shared" si="23"/>
        <v>9.0447676954965779</v>
      </c>
      <c r="BI50" s="33" t="str">
        <f>tab_alimentos[[#This Row],[Item]]</f>
        <v>Bolacha (130g)</v>
      </c>
      <c r="BJ50" s="33">
        <f t="shared" si="6"/>
        <v>8</v>
      </c>
      <c r="BK50" s="33" t="str">
        <f t="shared" si="7"/>
        <v>Bolacha</v>
      </c>
      <c r="BL50" s="33">
        <f>tab_alimentos[[#This Row],[kg]]</f>
        <v>24.18</v>
      </c>
      <c r="BM50" s="37" t="s">
        <v>291</v>
      </c>
      <c r="BN50" s="35">
        <f t="shared" si="11"/>
        <v>0</v>
      </c>
      <c r="BP50" s="33" t="str">
        <f>tab_higiene[[#This Row],[Item]]</f>
        <v>Desengordurante(500ml)</v>
      </c>
      <c r="BQ50" s="33">
        <f t="shared" si="8"/>
        <v>0</v>
      </c>
      <c r="BR50" s="33" t="str">
        <f t="shared" si="9"/>
        <v>Desengordurante(500ml)</v>
      </c>
      <c r="BS50" s="33">
        <f>higiene[[#This Row],[Quantidade]]</f>
        <v>0.5</v>
      </c>
      <c r="BT50" s="33">
        <f>tab_higiene[Qtde (tot)]</f>
        <v>4</v>
      </c>
      <c r="BU50" s="33">
        <f t="shared" si="12"/>
        <v>2</v>
      </c>
      <c r="BV50" s="37" t="s">
        <v>92</v>
      </c>
      <c r="BW50" s="33">
        <f t="shared" si="24"/>
        <v>0</v>
      </c>
    </row>
    <row r="51" spans="9:75" x14ac:dyDescent="0.25">
      <c r="I51" s="25" t="str">
        <f>alimentos[[#This Row],[Item]]</f>
        <v>Bolacha (135g)</v>
      </c>
      <c r="J51" s="1">
        <f>IFERROR(alimentos[[#This Row],[kg/embalagem]],0)</f>
        <v>0.13500000000000001</v>
      </c>
      <c r="K51" s="1">
        <f>IFERROR(alimentos[[#This Row],[Preço]],0)</f>
        <v>1.9299999999999997</v>
      </c>
      <c r="L51" s="1">
        <f>SUMIFS(super1[Qtde],super1[Item],tab_alimentos[[#This Row],[Item]],super1[Bairro],mercado1)+SUMIFS(supercb[Qtde],supercb[Item],tab_alimentos[[#This Row],[Item]],supercb[Bairro],mercado1)</f>
        <v>0</v>
      </c>
      <c r="M51" s="1">
        <f>SUMIFS(super1[Qtde],super1[Item],tab_alimentos[[#This Row],[Item]],super1[Bairro],mercado2)+SUMIFS(supercb[Qtde],supercb[Item],tab_alimentos[[#This Row],[Item]],supercb[Bairro],mercado2)</f>
        <v>0</v>
      </c>
      <c r="N51" s="1">
        <f>SUMIFS(super1[Qtde],super1[Item],tab_alimentos[[#This Row],[Item]],super1[Bairro],mercado3)+SUMIFS(supercb[Qtde],supercb[Item],tab_alimentos[[#This Row],[Item]],supercb[Bairro],mercado3)</f>
        <v>0</v>
      </c>
      <c r="O51" s="1">
        <f>SUMIFS(super1[Qtde],super1[Item],tab_alimentos[[#This Row],[Item]],super1[Bairro],mercado4)+SUMIFS(supercb[Qtde],supercb[Item],tab_alimentos[[#This Row],[Item]],supercb[Bairro],mercado4)</f>
        <v>2</v>
      </c>
      <c r="P51" s="1">
        <f>SUMIFS(super1[Qtde],super1[Item],tab_alimentos[[#This Row],[Item]],super1[Bairro],mercado5)+SUMIFS(supercb[Qtde],supercb[Item],tab_alimentos[[#This Row],[Item]],supercb[Bairro],mercado5)</f>
        <v>0</v>
      </c>
      <c r="Q51" s="1">
        <f>SUMIFS(super1[Qtde],super1[Item],tab_alimentos[[#This Row],[Item]],super1[Bairro],mercado6)+SUMIFS(supercb[Qtde],supercb[Item],tab_alimentos[[#This Row],[Item]],supercb[Bairro],mercado6)</f>
        <v>0</v>
      </c>
      <c r="R51" s="1">
        <f>SUMIFS(super1[Qtde],super1[Item],tab_alimentos[[#This Row],[Item]],super1[Bairro],mercado7)+SUMIFS(supercb[Qtde],supercb[Item],tab_alimentos[[#This Row],[Item]],supercb[Bairro],mercado7)</f>
        <v>0</v>
      </c>
      <c r="S51" s="1">
        <f>SUMIFS(super1[Qtde],super1[Item],tab_alimentos[[#This Row],[Item]],super1[Bairro],mercado8)+SUMIFS(supercb[Qtde],supercb[Item],tab_alimentos[[#This Row],[Item]],supercb[Bairro],mercado8)</f>
        <v>4</v>
      </c>
      <c r="T51" s="1">
        <f>SUMIFS(super1[Qtde],super1[Item],tab_alimentos[[#This Row],[Item]],super1[Bairro],mercado9)+SUMIFS(supercb[Qtde],supercb[Item],tab_alimentos[[#This Row],[Item]],supercb[Bairro],mercado9)</f>
        <v>6</v>
      </c>
      <c r="U51" s="1">
        <f>SUMIFS(super1[Qtde],super1[Item],tab_alimentos[[#This Row],[Item]],super1[Bairro],mercado10)+SUMIFS(supercb[Qtde],supercb[Item],tab_alimentos[[#This Row],[Item]],supercb[Bairro],mercado10)</f>
        <v>3</v>
      </c>
      <c r="V51" s="1">
        <f>SUMIFS(super1[Qtde],super1[Item],tab_alimentos[[#This Row],[Item]],super1[Bairro],mercado11)+SUMIFS(supercb[Qtde],supercb[Item],tab_alimentos[[#This Row],[Item]],supercb[Bairro],mercado11)</f>
        <v>0</v>
      </c>
      <c r="W51" s="1">
        <f>SUMIFS(super1[Qtde],super1[Item],tab_alimentos[[#This Row],[Item]],super1[Bairro],mercado12)+SUMIFS(supercb[Qtde],supercb[Item],tab_alimentos[[#This Row],[Item]],supercb[Bairro],mercado12)</f>
        <v>0</v>
      </c>
      <c r="X51" s="1">
        <f>SUMIFS(super1[Qtde],super1[Item],tab_alimentos[[#This Row],[Item]],super1[Bairro],mercado13)+SUMIFS(supercb[Qtde],supercb[Item],tab_alimentos[[#This Row],[Item]],supercb[Bairro],mercado13)</f>
        <v>1</v>
      </c>
      <c r="Y51" s="1">
        <f>SUMIFS(super1[Qtde],super1[Item],tab_alimentos[[#This Row],[Item]],super1[Bairro],mercado14)+SUMIFS(supercb[Qtde],supercb[Item],tab_alimentos[[#This Row],[Item]],supercb[Bairro],mercado14)</f>
        <v>0</v>
      </c>
      <c r="Z51" s="1">
        <f>SUMIFS(super1[Qtde],super1[Item],tab_alimentos[[#This Row],[Item]],super1[Bairro],mercado15)+SUMIFS(supercb[Qtde],supercb[Item],tab_alimentos[[#This Row],[Item]],supercb[Bairro],mercado15)</f>
        <v>0</v>
      </c>
      <c r="AA51" s="1">
        <f>SUMIFS(super1[Qtde],super1[Item],tab_alimentos[[#This Row],[Item]],super1[Bairro],mercado16)+SUMIFS(supercb[Qtde],supercb[Item],tab_alimentos[[#This Row],[Item]],supercb[Bairro],mercado16)</f>
        <v>0</v>
      </c>
      <c r="AB51" s="1">
        <f>SUMIFS(super1[Qtde],super1[Item],tab_alimentos[[#This Row],[Item]],super1[Bairro],mercado17)+SUMIFS(supercb[Qtde],supercb[Item],tab_alimentos[[#This Row],[Item]],supercb[Bairro],mercado17)</f>
        <v>0</v>
      </c>
      <c r="AC51" s="1">
        <f>SUMIFS(super1[Qtde],super1[Item],tab_alimentos[[#This Row],[Item]],super1[Bairro],mercado18)+SUMIFS(supercb[Qtde],supercb[Item],tab_alimentos[[#This Row],[Item]],supercb[Bairro],mercado18)</f>
        <v>0</v>
      </c>
      <c r="AD51" s="1">
        <f>SUMIFS(super1[Qtde],super1[Item],tab_alimentos[[#This Row],[Item]],super1[Bairro],extras)+SUMIFS(supercb[Qtde],supercb[Item],tab_alimentos[[#This Row],[Item]],supercb[Bairro],extras)</f>
        <v>0</v>
      </c>
      <c r="AE51" s="1">
        <f t="shared" si="18"/>
        <v>16</v>
      </c>
      <c r="AF51" s="1">
        <f t="shared" si="19"/>
        <v>30.879999999999995</v>
      </c>
      <c r="AG51" s="3">
        <f t="shared" si="20"/>
        <v>2.16</v>
      </c>
      <c r="AH51" s="25" t="str">
        <f>higiene[[#This Row],[Item]]</f>
        <v>Desinfetante (1L)</v>
      </c>
      <c r="AI51" s="1">
        <f>IFERROR(higiene[[#This Row],[Kg equivalente]],0)</f>
        <v>2.2302477086275356</v>
      </c>
      <c r="AJ51" s="1">
        <f>IFERROR(higiene[[#This Row],[Preço por produto]],0)</f>
        <v>7.3875000000000002</v>
      </c>
      <c r="AK51" s="1">
        <f>SUMIFS(super1[Qtde],super1[Item],tab_higiene[[#This Row],[Item]],super1[Bairro],mercado1)+SUMIFS(supercb[Qtde],supercb[Item],tab_higiene[[#This Row],[Item]],supercb[Bairro],mercado1)</f>
        <v>0</v>
      </c>
      <c r="AL51" s="1">
        <f>SUMIFS(super1[Qtde],super1[Item],tab_higiene[[#This Row],[Item]],super1[Bairro],mercado2)+SUMIFS(supercb[Qtde],supercb[Item],tab_higiene[[#This Row],[Item]],supercb[Bairro],mercado2)</f>
        <v>0</v>
      </c>
      <c r="AM51" s="1">
        <f>SUMIFS(super1[Qtde],super1[Item],tab_higiene[[#This Row],[Item]],super1[Bairro],mercado3)+SUMIFS(supercb[Qtde],supercb[Item],tab_higiene[[#This Row],[Item]],supercb[Bairro],mercado3)</f>
        <v>0</v>
      </c>
      <c r="AN51" s="1">
        <f>SUMIFS(super1[Qtde],super1[Item],tab_higiene[[#This Row],[Item]],super1[Bairro],mercado4)+SUMIFS(supercb[Qtde],supercb[Item],tab_higiene[[#This Row],[Item]],supercb[Bairro],mercado4)</f>
        <v>0</v>
      </c>
      <c r="AO51" s="1">
        <f>SUMIFS(super1[Qtde],super1[Item],tab_higiene[[#This Row],[Item]],super1[Bairro],mercado5)+SUMIFS(supercb[Qtde],supercb[Item],tab_higiene[[#This Row],[Item]],supercb[Bairro],mercado5)</f>
        <v>0</v>
      </c>
      <c r="AP51" s="1">
        <f>SUMIFS(super1[Qtde],super1[Item],tab_higiene[[#This Row],[Item]],super1[Bairro],mercado6)+SUMIFS(supercb[Qtde],supercb[Item],tab_higiene[[#This Row],[Item]],supercb[Bairro],mercado6)</f>
        <v>0</v>
      </c>
      <c r="AQ51" s="1">
        <f>SUMIFS(super1[Qtde],super1[Item],tab_higiene[[#This Row],[Item]],super1[Bairro],mercado7)+SUMIFS(supercb[Qtde],supercb[Item],tab_higiene[[#This Row],[Item]],supercb[Bairro],mercado7)</f>
        <v>1</v>
      </c>
      <c r="AR51" s="1">
        <f>SUMIFS(super1[Qtde],super1[Item],tab_higiene[[#This Row],[Item]],super1[Bairro],mercado8)+SUMIFS(supercb[Qtde],supercb[Item],tab_higiene[[#This Row],[Item]],supercb[Bairro],mercado8)</f>
        <v>0</v>
      </c>
      <c r="AS51" s="1">
        <f>SUMIFS(super1[Qtde],super1[Item],tab_higiene[[#This Row],[Item]],super1[Bairro],mercado9)+SUMIFS(supercb[Qtde],supercb[Item],tab_higiene[[#This Row],[Item]],supercb[Bairro],mercado9)</f>
        <v>0</v>
      </c>
      <c r="AT51" s="1">
        <f>SUMIFS(super1[Qtde],super1[Item],tab_higiene[[#This Row],[Item]],super1[Bairro],mercado10)+SUMIFS(supercb[Qtde],supercb[Item],tab_higiene[[#This Row],[Item]],supercb[Bairro],mercado10)</f>
        <v>1</v>
      </c>
      <c r="AU51" s="1">
        <f>SUMIFS(super1[Qtde],super1[Item],tab_higiene[[#This Row],[Item]],super1[Bairro],mercado11)+SUMIFS(supercb[Qtde],supercb[Item],tab_higiene[[#This Row],[Item]],supercb[Bairro],mercado11)</f>
        <v>1</v>
      </c>
      <c r="AV51" s="1">
        <f>SUMIFS(super1[Qtde],super1[Item],tab_higiene[[#This Row],[Item]],super1[Bairro],mercado12)+SUMIFS(supercb[Qtde],supercb[Item],tab_higiene[[#This Row],[Item]],supercb[Bairro],mercado12)</f>
        <v>0</v>
      </c>
      <c r="AW51" s="1">
        <f>SUMIFS(super1[Qtde],super1[Item],tab_higiene[[#This Row],[Item]],super1[Bairro],mercado13)+SUMIFS(supercb[Qtde],supercb[Item],tab_higiene[[#This Row],[Item]],supercb[Bairro],mercado13)</f>
        <v>0</v>
      </c>
      <c r="AX51" s="1">
        <f>SUMIFS(super1[Qtde],super1[Item],tab_higiene[[#This Row],[Item]],super1[Bairro],mercado14)+SUMIFS(supercb[Qtde],supercb[Item],tab_higiene[[#This Row],[Item]],supercb[Bairro],mercado14)</f>
        <v>0</v>
      </c>
      <c r="AY51" s="1">
        <f>SUMIFS(super1[Qtde],super1[Item],tab_higiene[[#This Row],[Item]],super1[Bairro],mercado15)+SUMIFS(supercb[Qtde],supercb[Item],tab_higiene[[#This Row],[Item]],supercb[Bairro],mercado15)</f>
        <v>0</v>
      </c>
      <c r="AZ51" s="1">
        <f>SUMIFS(super1[Qtde],super1[Item],tab_higiene[[#This Row],[Item]],super1[Bairro],mercado16)+SUMIFS(supercb[Qtde],supercb[Item],tab_higiene[[#This Row],[Item]],supercb[Bairro],mercado16)</f>
        <v>0</v>
      </c>
      <c r="BA51" s="1">
        <f>SUMIFS(super1[Qtde],super1[Item],tab_higiene[[#This Row],[Item]],super1[Bairro],mercado17)+SUMIFS(supercb[Qtde],supercb[Item],tab_higiene[[#This Row],[Item]],supercb[Bairro],mercado17)</f>
        <v>0</v>
      </c>
      <c r="BB51" s="1">
        <f>SUMIFS(super1[Qtde],super1[Item],tab_higiene[[#This Row],[Item]],super1[Bairro],mercado18)+SUMIFS(supercb[Qtde],supercb[Item],tab_higiene[[#This Row],[Item]],supercb[Bairro],mercado18)</f>
        <v>0</v>
      </c>
      <c r="BC51" s="1">
        <f>SUMIFS(super1[Qtde],super1[Item],tab_higiene[[#This Row],[Item]],super1[Bairro],extras)+SUMIFS(supercb[Qtde],supercb[Item],tab_higiene[[#This Row],[Item]],supercb[Bairro],extras)</f>
        <v>0</v>
      </c>
      <c r="BD51" s="1">
        <f t="shared" si="21"/>
        <v>3</v>
      </c>
      <c r="BE51" s="1">
        <f t="shared" si="22"/>
        <v>22.162500000000001</v>
      </c>
      <c r="BF51" s="26">
        <f t="shared" si="23"/>
        <v>6.6907431258826069</v>
      </c>
      <c r="BI51" s="33" t="str">
        <f>tab_alimentos[[#This Row],[Item]]</f>
        <v>Bolacha (135g)</v>
      </c>
      <c r="BJ51" s="33">
        <f t="shared" si="6"/>
        <v>8</v>
      </c>
      <c r="BK51" s="33" t="str">
        <f t="shared" si="7"/>
        <v>Bolacha</v>
      </c>
      <c r="BL51" s="33">
        <f>tab_alimentos[[#This Row],[kg]]</f>
        <v>2.16</v>
      </c>
      <c r="BM51" s="37" t="s">
        <v>87</v>
      </c>
      <c r="BN51" s="35">
        <f t="shared" si="11"/>
        <v>0</v>
      </c>
      <c r="BP51" s="33" t="str">
        <f>tab_higiene[[#This Row],[Item]]</f>
        <v>Desinfetante (1L)</v>
      </c>
      <c r="BQ51" s="33">
        <f t="shared" si="8"/>
        <v>13</v>
      </c>
      <c r="BR51" s="33" t="str">
        <f t="shared" si="9"/>
        <v>Desinfetante</v>
      </c>
      <c r="BS51" s="33">
        <f>higiene[[#This Row],[Quantidade]]</f>
        <v>1</v>
      </c>
      <c r="BT51" s="33">
        <f>tab_higiene[Qtde (tot)]</f>
        <v>3</v>
      </c>
      <c r="BU51" s="33">
        <f t="shared" si="12"/>
        <v>3</v>
      </c>
      <c r="BV51" s="37" t="s">
        <v>382</v>
      </c>
      <c r="BW51" s="33">
        <f t="shared" si="24"/>
        <v>0</v>
      </c>
    </row>
    <row r="52" spans="9:75" x14ac:dyDescent="0.25">
      <c r="I52" s="25" t="str">
        <f>alimentos[[#This Row],[Item]]</f>
        <v>Bolacha (140g)</v>
      </c>
      <c r="J52" s="1">
        <f>IFERROR(alimentos[[#This Row],[kg/embalagem]],0)</f>
        <v>0.14000000000000001</v>
      </c>
      <c r="K52" s="1">
        <f>IFERROR(alimentos[[#This Row],[Preço]],0)</f>
        <v>2.0399999999999996</v>
      </c>
      <c r="L52" s="1">
        <f>SUMIFS(super1[Qtde],super1[Item],tab_alimentos[[#This Row],[Item]],super1[Bairro],mercado1)+SUMIFS(supercb[Qtde],supercb[Item],tab_alimentos[[#This Row],[Item]],supercb[Bairro],mercado1)</f>
        <v>4</v>
      </c>
      <c r="M52" s="1">
        <f>SUMIFS(super1[Qtde],super1[Item],tab_alimentos[[#This Row],[Item]],super1[Bairro],mercado2)+SUMIFS(supercb[Qtde],supercb[Item],tab_alimentos[[#This Row],[Item]],supercb[Bairro],mercado2)</f>
        <v>6</v>
      </c>
      <c r="N52" s="1">
        <f>SUMIFS(super1[Qtde],super1[Item],tab_alimentos[[#This Row],[Item]],super1[Bairro],mercado3)+SUMIFS(supercb[Qtde],supercb[Item],tab_alimentos[[#This Row],[Item]],supercb[Bairro],mercado3)</f>
        <v>0</v>
      </c>
      <c r="O52" s="1">
        <f>SUMIFS(super1[Qtde],super1[Item],tab_alimentos[[#This Row],[Item]],super1[Bairro],mercado4)+SUMIFS(supercb[Qtde],supercb[Item],tab_alimentos[[#This Row],[Item]],supercb[Bairro],mercado4)</f>
        <v>3</v>
      </c>
      <c r="P52" s="1">
        <f>SUMIFS(super1[Qtde],super1[Item],tab_alimentos[[#This Row],[Item]],super1[Bairro],mercado5)+SUMIFS(supercb[Qtde],supercb[Item],tab_alimentos[[#This Row],[Item]],supercb[Bairro],mercado5)</f>
        <v>1</v>
      </c>
      <c r="Q52" s="1">
        <f>SUMIFS(super1[Qtde],super1[Item],tab_alimentos[[#This Row],[Item]],super1[Bairro],mercado6)+SUMIFS(supercb[Qtde],supercb[Item],tab_alimentos[[#This Row],[Item]],supercb[Bairro],mercado6)</f>
        <v>10</v>
      </c>
      <c r="R52" s="1">
        <f>SUMIFS(super1[Qtde],super1[Item],tab_alimentos[[#This Row],[Item]],super1[Bairro],mercado7)+SUMIFS(supercb[Qtde],supercb[Item],tab_alimentos[[#This Row],[Item]],supercb[Bairro],mercado7)</f>
        <v>2</v>
      </c>
      <c r="S52" s="1">
        <f>SUMIFS(super1[Qtde],super1[Item],tab_alimentos[[#This Row],[Item]],super1[Bairro],mercado8)+SUMIFS(supercb[Qtde],supercb[Item],tab_alimentos[[#This Row],[Item]],supercb[Bairro],mercado8)</f>
        <v>0</v>
      </c>
      <c r="T52" s="1">
        <f>SUMIFS(super1[Qtde],super1[Item],tab_alimentos[[#This Row],[Item]],super1[Bairro],mercado9)+SUMIFS(supercb[Qtde],supercb[Item],tab_alimentos[[#This Row],[Item]],supercb[Bairro],mercado9)</f>
        <v>0</v>
      </c>
      <c r="U52" s="1">
        <f>SUMIFS(super1[Qtde],super1[Item],tab_alimentos[[#This Row],[Item]],super1[Bairro],mercado10)+SUMIFS(supercb[Qtde],supercb[Item],tab_alimentos[[#This Row],[Item]],supercb[Bairro],mercado10)</f>
        <v>5</v>
      </c>
      <c r="V52" s="1">
        <f>SUMIFS(super1[Qtde],super1[Item],tab_alimentos[[#This Row],[Item]],super1[Bairro],mercado11)+SUMIFS(supercb[Qtde],supercb[Item],tab_alimentos[[#This Row],[Item]],supercb[Bairro],mercado11)</f>
        <v>0</v>
      </c>
      <c r="W52" s="1">
        <f>SUMIFS(super1[Qtde],super1[Item],tab_alimentos[[#This Row],[Item]],super1[Bairro],mercado12)+SUMIFS(supercb[Qtde],supercb[Item],tab_alimentos[[#This Row],[Item]],supercb[Bairro],mercado12)</f>
        <v>0</v>
      </c>
      <c r="X52" s="1">
        <f>SUMIFS(super1[Qtde],super1[Item],tab_alimentos[[#This Row],[Item]],super1[Bairro],mercado13)+SUMIFS(supercb[Qtde],supercb[Item],tab_alimentos[[#This Row],[Item]],supercb[Bairro],mercado13)</f>
        <v>0</v>
      </c>
      <c r="Y52" s="1">
        <f>SUMIFS(super1[Qtde],super1[Item],tab_alimentos[[#This Row],[Item]],super1[Bairro],mercado14)+SUMIFS(supercb[Qtde],supercb[Item],tab_alimentos[[#This Row],[Item]],supercb[Bairro],mercado14)</f>
        <v>0</v>
      </c>
      <c r="Z52" s="1">
        <f>SUMIFS(super1[Qtde],super1[Item],tab_alimentos[[#This Row],[Item]],super1[Bairro],mercado15)+SUMIFS(supercb[Qtde],supercb[Item],tab_alimentos[[#This Row],[Item]],supercb[Bairro],mercado15)</f>
        <v>0</v>
      </c>
      <c r="AA52" s="1">
        <f>SUMIFS(super1[Qtde],super1[Item],tab_alimentos[[#This Row],[Item]],super1[Bairro],mercado16)+SUMIFS(supercb[Qtde],supercb[Item],tab_alimentos[[#This Row],[Item]],supercb[Bairro],mercado16)</f>
        <v>0</v>
      </c>
      <c r="AB52" s="1">
        <f>SUMIFS(super1[Qtde],super1[Item],tab_alimentos[[#This Row],[Item]],super1[Bairro],mercado17)+SUMIFS(supercb[Qtde],supercb[Item],tab_alimentos[[#This Row],[Item]],supercb[Bairro],mercado17)</f>
        <v>0</v>
      </c>
      <c r="AC52" s="1">
        <f>SUMIFS(super1[Qtde],super1[Item],tab_alimentos[[#This Row],[Item]],super1[Bairro],mercado18)+SUMIFS(supercb[Qtde],supercb[Item],tab_alimentos[[#This Row],[Item]],supercb[Bairro],mercado18)</f>
        <v>0</v>
      </c>
      <c r="AD52" s="1">
        <f>SUMIFS(super1[Qtde],super1[Item],tab_alimentos[[#This Row],[Item]],super1[Bairro],extras)+SUMIFS(supercb[Qtde],supercb[Item],tab_alimentos[[#This Row],[Item]],supercb[Bairro],extras)</f>
        <v>0</v>
      </c>
      <c r="AE52" s="1">
        <f t="shared" si="18"/>
        <v>31</v>
      </c>
      <c r="AF52" s="1">
        <f t="shared" si="19"/>
        <v>63.239999999999988</v>
      </c>
      <c r="AG52" s="3">
        <f t="shared" si="20"/>
        <v>4.3400000000000007</v>
      </c>
      <c r="AH52" s="25" t="str">
        <f>higiene[[#This Row],[Item]]</f>
        <v>Desinfetante (2L)</v>
      </c>
      <c r="AI52" s="1">
        <f>IFERROR(higiene[[#This Row],[Kg equivalente]],0)</f>
        <v>1.4629821179030846</v>
      </c>
      <c r="AJ52" s="1">
        <f>IFERROR(higiene[[#This Row],[Preço por produto]],0)</f>
        <v>4.8460000000000001</v>
      </c>
      <c r="AK52" s="1">
        <f>SUMIFS(super1[Qtde],super1[Item],tab_higiene[[#This Row],[Item]],super1[Bairro],mercado1)+SUMIFS(supercb[Qtde],supercb[Item],tab_higiene[[#This Row],[Item]],supercb[Bairro],mercado1)</f>
        <v>1</v>
      </c>
      <c r="AL52" s="1">
        <f>SUMIFS(super1[Qtde],super1[Item],tab_higiene[[#This Row],[Item]],super1[Bairro],mercado2)+SUMIFS(supercb[Qtde],supercb[Item],tab_higiene[[#This Row],[Item]],supercb[Bairro],mercado2)</f>
        <v>0</v>
      </c>
      <c r="AM52" s="1">
        <f>SUMIFS(super1[Qtde],super1[Item],tab_higiene[[#This Row],[Item]],super1[Bairro],mercado3)+SUMIFS(supercb[Qtde],supercb[Item],tab_higiene[[#This Row],[Item]],supercb[Bairro],mercado3)</f>
        <v>1</v>
      </c>
      <c r="AN52" s="1">
        <f>SUMIFS(super1[Qtde],super1[Item],tab_higiene[[#This Row],[Item]],super1[Bairro],mercado4)+SUMIFS(supercb[Qtde],supercb[Item],tab_higiene[[#This Row],[Item]],supercb[Bairro],mercado4)</f>
        <v>1</v>
      </c>
      <c r="AO52" s="1">
        <f>SUMIFS(super1[Qtde],super1[Item],tab_higiene[[#This Row],[Item]],super1[Bairro],mercado5)+SUMIFS(supercb[Qtde],supercb[Item],tab_higiene[[#This Row],[Item]],supercb[Bairro],mercado5)</f>
        <v>2</v>
      </c>
      <c r="AP52" s="1">
        <f>SUMIFS(super1[Qtde],super1[Item],tab_higiene[[#This Row],[Item]],super1[Bairro],mercado6)+SUMIFS(supercb[Qtde],supercb[Item],tab_higiene[[#This Row],[Item]],supercb[Bairro],mercado6)</f>
        <v>4</v>
      </c>
      <c r="AQ52" s="1">
        <f>SUMIFS(super1[Qtde],super1[Item],tab_higiene[[#This Row],[Item]],super1[Bairro],mercado7)+SUMIFS(supercb[Qtde],supercb[Item],tab_higiene[[#This Row],[Item]],supercb[Bairro],mercado7)</f>
        <v>2</v>
      </c>
      <c r="AR52" s="1">
        <f>SUMIFS(super1[Qtde],super1[Item],tab_higiene[[#This Row],[Item]],super1[Bairro],mercado8)+SUMIFS(supercb[Qtde],supercb[Item],tab_higiene[[#This Row],[Item]],supercb[Bairro],mercado8)</f>
        <v>2</v>
      </c>
      <c r="AS52" s="1">
        <f>SUMIFS(super1[Qtde],super1[Item],tab_higiene[[#This Row],[Item]],super1[Bairro],mercado9)+SUMIFS(supercb[Qtde],supercb[Item],tab_higiene[[#This Row],[Item]],supercb[Bairro],mercado9)</f>
        <v>2</v>
      </c>
      <c r="AT52" s="1">
        <f>SUMIFS(super1[Qtde],super1[Item],tab_higiene[[#This Row],[Item]],super1[Bairro],mercado10)+SUMIFS(supercb[Qtde],supercb[Item],tab_higiene[[#This Row],[Item]],supercb[Bairro],mercado10)</f>
        <v>3</v>
      </c>
      <c r="AU52" s="1">
        <f>SUMIFS(super1[Qtde],super1[Item],tab_higiene[[#This Row],[Item]],super1[Bairro],mercado11)+SUMIFS(supercb[Qtde],supercb[Item],tab_higiene[[#This Row],[Item]],supercb[Bairro],mercado11)</f>
        <v>2</v>
      </c>
      <c r="AV52" s="1">
        <f>SUMIFS(super1[Qtde],super1[Item],tab_higiene[[#This Row],[Item]],super1[Bairro],mercado12)+SUMIFS(supercb[Qtde],supercb[Item],tab_higiene[[#This Row],[Item]],supercb[Bairro],mercado12)</f>
        <v>0</v>
      </c>
      <c r="AW52" s="1">
        <f>SUMIFS(super1[Qtde],super1[Item],tab_higiene[[#This Row],[Item]],super1[Bairro],mercado13)+SUMIFS(supercb[Qtde],supercb[Item],tab_higiene[[#This Row],[Item]],supercb[Bairro],mercado13)</f>
        <v>2</v>
      </c>
      <c r="AX52" s="1">
        <f>SUMIFS(super1[Qtde],super1[Item],tab_higiene[[#This Row],[Item]],super1[Bairro],mercado14)+SUMIFS(supercb[Qtde],supercb[Item],tab_higiene[[#This Row],[Item]],supercb[Bairro],mercado14)</f>
        <v>0</v>
      </c>
      <c r="AY52" s="1">
        <f>SUMIFS(super1[Qtde],super1[Item],tab_higiene[[#This Row],[Item]],super1[Bairro],mercado15)+SUMIFS(supercb[Qtde],supercb[Item],tab_higiene[[#This Row],[Item]],supercb[Bairro],mercado15)</f>
        <v>0</v>
      </c>
      <c r="AZ52" s="1">
        <f>SUMIFS(super1[Qtde],super1[Item],tab_higiene[[#This Row],[Item]],super1[Bairro],mercado16)+SUMIFS(supercb[Qtde],supercb[Item],tab_higiene[[#This Row],[Item]],supercb[Bairro],mercado16)</f>
        <v>0</v>
      </c>
      <c r="BA52" s="1">
        <f>SUMIFS(super1[Qtde],super1[Item],tab_higiene[[#This Row],[Item]],super1[Bairro],mercado17)+SUMIFS(supercb[Qtde],supercb[Item],tab_higiene[[#This Row],[Item]],supercb[Bairro],mercado17)</f>
        <v>0</v>
      </c>
      <c r="BB52" s="1">
        <f>SUMIFS(super1[Qtde],super1[Item],tab_higiene[[#This Row],[Item]],super1[Bairro],mercado18)+SUMIFS(supercb[Qtde],supercb[Item],tab_higiene[[#This Row],[Item]],supercb[Bairro],mercado18)</f>
        <v>0</v>
      </c>
      <c r="BC52" s="1">
        <f>SUMIFS(super1[Qtde],super1[Item],tab_higiene[[#This Row],[Item]],super1[Bairro],extras)+SUMIFS(supercb[Qtde],supercb[Item],tab_higiene[[#This Row],[Item]],supercb[Bairro],extras)</f>
        <v>0</v>
      </c>
      <c r="BD52" s="1">
        <f t="shared" si="21"/>
        <v>22</v>
      </c>
      <c r="BE52" s="1">
        <f t="shared" si="22"/>
        <v>106.61199999999999</v>
      </c>
      <c r="BF52" s="26">
        <f t="shared" si="23"/>
        <v>32.18560659386786</v>
      </c>
      <c r="BI52" s="33" t="str">
        <f>tab_alimentos[[#This Row],[Item]]</f>
        <v>Bolacha (140g)</v>
      </c>
      <c r="BJ52" s="33">
        <f t="shared" si="6"/>
        <v>8</v>
      </c>
      <c r="BK52" s="33" t="str">
        <f t="shared" si="7"/>
        <v>Bolacha</v>
      </c>
      <c r="BL52" s="33">
        <f>tab_alimentos[[#This Row],[kg]]</f>
        <v>4.3400000000000007</v>
      </c>
      <c r="BM52" s="37" t="s">
        <v>292</v>
      </c>
      <c r="BN52" s="35">
        <f t="shared" si="11"/>
        <v>0</v>
      </c>
      <c r="BP52" s="33" t="str">
        <f>tab_higiene[[#This Row],[Item]]</f>
        <v>Desinfetante (2L)</v>
      </c>
      <c r="BQ52" s="33">
        <f t="shared" si="8"/>
        <v>13</v>
      </c>
      <c r="BR52" s="33" t="str">
        <f t="shared" si="9"/>
        <v>Desinfetante</v>
      </c>
      <c r="BS52" s="33">
        <f>higiene[[#This Row],[Quantidade]]</f>
        <v>2</v>
      </c>
      <c r="BT52" s="33">
        <f>tab_higiene[Qtde (tot)]</f>
        <v>22</v>
      </c>
      <c r="BU52" s="33">
        <f t="shared" si="12"/>
        <v>44</v>
      </c>
      <c r="BV52" s="37" t="s">
        <v>93</v>
      </c>
      <c r="BW52" s="33">
        <f t="shared" si="24"/>
        <v>0</v>
      </c>
    </row>
    <row r="53" spans="9:75" x14ac:dyDescent="0.25">
      <c r="I53" s="25" t="str">
        <f>alimentos[[#This Row],[Item]]</f>
        <v>Bolacha (145g)</v>
      </c>
      <c r="J53" s="1">
        <f>IFERROR(alimentos[[#This Row],[kg/embalagem]],0)</f>
        <v>0.14499999999999999</v>
      </c>
      <c r="K53" s="1">
        <f>IFERROR(alimentos[[#This Row],[Preço]],0)</f>
        <v>2.13</v>
      </c>
      <c r="L53" s="1">
        <f>SUMIFS(super1[Qtde],super1[Item],tab_alimentos[[#This Row],[Item]],super1[Bairro],mercado1)+SUMIFS(supercb[Qtde],supercb[Item],tab_alimentos[[#This Row],[Item]],supercb[Bairro],mercado1)</f>
        <v>0</v>
      </c>
      <c r="M53" s="1">
        <f>SUMIFS(super1[Qtde],super1[Item],tab_alimentos[[#This Row],[Item]],super1[Bairro],mercado2)+SUMIFS(supercb[Qtde],supercb[Item],tab_alimentos[[#This Row],[Item]],supercb[Bairro],mercado2)</f>
        <v>0</v>
      </c>
      <c r="N53" s="1">
        <f>SUMIFS(super1[Qtde],super1[Item],tab_alimentos[[#This Row],[Item]],super1[Bairro],mercado3)+SUMIFS(supercb[Qtde],supercb[Item],tab_alimentos[[#This Row],[Item]],supercb[Bairro],mercado3)</f>
        <v>1</v>
      </c>
      <c r="O53" s="1">
        <f>SUMIFS(super1[Qtde],super1[Item],tab_alimentos[[#This Row],[Item]],super1[Bairro],mercado4)+SUMIFS(supercb[Qtde],supercb[Item],tab_alimentos[[#This Row],[Item]],supercb[Bairro],mercado4)</f>
        <v>0</v>
      </c>
      <c r="P53" s="1">
        <f>SUMIFS(super1[Qtde],super1[Item],tab_alimentos[[#This Row],[Item]],super1[Bairro],mercado5)+SUMIFS(supercb[Qtde],supercb[Item],tab_alimentos[[#This Row],[Item]],supercb[Bairro],mercado5)</f>
        <v>0</v>
      </c>
      <c r="Q53" s="1">
        <f>SUMIFS(super1[Qtde],super1[Item],tab_alimentos[[#This Row],[Item]],super1[Bairro],mercado6)+SUMIFS(supercb[Qtde],supercb[Item],tab_alimentos[[#This Row],[Item]],supercb[Bairro],mercado6)</f>
        <v>0</v>
      </c>
      <c r="R53" s="1">
        <f>SUMIFS(super1[Qtde],super1[Item],tab_alimentos[[#This Row],[Item]],super1[Bairro],mercado7)+SUMIFS(supercb[Qtde],supercb[Item],tab_alimentos[[#This Row],[Item]],supercb[Bairro],mercado7)</f>
        <v>0</v>
      </c>
      <c r="S53" s="1">
        <f>SUMIFS(super1[Qtde],super1[Item],tab_alimentos[[#This Row],[Item]],super1[Bairro],mercado8)+SUMIFS(supercb[Qtde],supercb[Item],tab_alimentos[[#This Row],[Item]],supercb[Bairro],mercado8)</f>
        <v>0</v>
      </c>
      <c r="T53" s="1">
        <f>SUMIFS(super1[Qtde],super1[Item],tab_alimentos[[#This Row],[Item]],super1[Bairro],mercado9)+SUMIFS(supercb[Qtde],supercb[Item],tab_alimentos[[#This Row],[Item]],supercb[Bairro],mercado9)</f>
        <v>0</v>
      </c>
      <c r="U53" s="1">
        <f>SUMIFS(super1[Qtde],super1[Item],tab_alimentos[[#This Row],[Item]],super1[Bairro],mercado10)+SUMIFS(supercb[Qtde],supercb[Item],tab_alimentos[[#This Row],[Item]],supercb[Bairro],mercado10)</f>
        <v>0</v>
      </c>
      <c r="V53" s="1">
        <f>SUMIFS(super1[Qtde],super1[Item],tab_alimentos[[#This Row],[Item]],super1[Bairro],mercado11)+SUMIFS(supercb[Qtde],supercb[Item],tab_alimentos[[#This Row],[Item]],supercb[Bairro],mercado11)</f>
        <v>0</v>
      </c>
      <c r="W53" s="1">
        <f>SUMIFS(super1[Qtde],super1[Item],tab_alimentos[[#This Row],[Item]],super1[Bairro],mercado12)+SUMIFS(supercb[Qtde],supercb[Item],tab_alimentos[[#This Row],[Item]],supercb[Bairro],mercado12)</f>
        <v>0</v>
      </c>
      <c r="X53" s="1">
        <f>SUMIFS(super1[Qtde],super1[Item],tab_alimentos[[#This Row],[Item]],super1[Bairro],mercado13)+SUMIFS(supercb[Qtde],supercb[Item],tab_alimentos[[#This Row],[Item]],supercb[Bairro],mercado13)</f>
        <v>0</v>
      </c>
      <c r="Y53" s="1">
        <f>SUMIFS(super1[Qtde],super1[Item],tab_alimentos[[#This Row],[Item]],super1[Bairro],mercado14)+SUMIFS(supercb[Qtde],supercb[Item],tab_alimentos[[#This Row],[Item]],supercb[Bairro],mercado14)</f>
        <v>0</v>
      </c>
      <c r="Z53" s="1">
        <f>SUMIFS(super1[Qtde],super1[Item],tab_alimentos[[#This Row],[Item]],super1[Bairro],mercado15)+SUMIFS(supercb[Qtde],supercb[Item],tab_alimentos[[#This Row],[Item]],supercb[Bairro],mercado15)</f>
        <v>0</v>
      </c>
      <c r="AA53" s="1">
        <f>SUMIFS(super1[Qtde],super1[Item],tab_alimentos[[#This Row],[Item]],super1[Bairro],mercado16)+SUMIFS(supercb[Qtde],supercb[Item],tab_alimentos[[#This Row],[Item]],supercb[Bairro],mercado16)</f>
        <v>0</v>
      </c>
      <c r="AB53" s="1">
        <f>SUMIFS(super1[Qtde],super1[Item],tab_alimentos[[#This Row],[Item]],super1[Bairro],mercado17)+SUMIFS(supercb[Qtde],supercb[Item],tab_alimentos[[#This Row],[Item]],supercb[Bairro],mercado17)</f>
        <v>0</v>
      </c>
      <c r="AC53" s="1">
        <f>SUMIFS(super1[Qtde],super1[Item],tab_alimentos[[#This Row],[Item]],super1[Bairro],mercado18)+SUMIFS(supercb[Qtde],supercb[Item],tab_alimentos[[#This Row],[Item]],supercb[Bairro],mercado18)</f>
        <v>0</v>
      </c>
      <c r="AD53" s="1">
        <f>SUMIFS(super1[Qtde],super1[Item],tab_alimentos[[#This Row],[Item]],super1[Bairro],extras)+SUMIFS(supercb[Qtde],supercb[Item],tab_alimentos[[#This Row],[Item]],supercb[Bairro],extras)</f>
        <v>0</v>
      </c>
      <c r="AE53" s="1">
        <f t="shared" si="18"/>
        <v>1</v>
      </c>
      <c r="AF53" s="1">
        <f t="shared" si="19"/>
        <v>2.13</v>
      </c>
      <c r="AG53" s="3">
        <f t="shared" si="20"/>
        <v>0.14499999999999999</v>
      </c>
      <c r="AH53" s="25" t="str">
        <f>higiene[[#This Row],[Item]]</f>
        <v>Desinfetante (300mL)</v>
      </c>
      <c r="AI53" s="1">
        <f>IFERROR(higiene[[#This Row],[Kg equivalente]],0)</f>
        <v>1.5034360188108464</v>
      </c>
      <c r="AJ53" s="1">
        <f>IFERROR(higiene[[#This Row],[Preço por produto]],0)</f>
        <v>4.9800000000000004</v>
      </c>
      <c r="AK53" s="1">
        <f>SUMIFS(super1[Qtde],super1[Item],tab_higiene[[#This Row],[Item]],super1[Bairro],mercado1)+SUMIFS(supercb[Qtde],supercb[Item],tab_higiene[[#This Row],[Item]],supercb[Bairro],mercado1)</f>
        <v>0</v>
      </c>
      <c r="AL53" s="1">
        <f>SUMIFS(super1[Qtde],super1[Item],tab_higiene[[#This Row],[Item]],super1[Bairro],mercado2)+SUMIFS(supercb[Qtde],supercb[Item],tab_higiene[[#This Row],[Item]],supercb[Bairro],mercado2)</f>
        <v>0</v>
      </c>
      <c r="AM53" s="1">
        <f>SUMIFS(super1[Qtde],super1[Item],tab_higiene[[#This Row],[Item]],super1[Bairro],mercado3)+SUMIFS(supercb[Qtde],supercb[Item],tab_higiene[[#This Row],[Item]],supercb[Bairro],mercado3)</f>
        <v>0</v>
      </c>
      <c r="AN53" s="1">
        <f>SUMIFS(super1[Qtde],super1[Item],tab_higiene[[#This Row],[Item]],super1[Bairro],mercado4)+SUMIFS(supercb[Qtde],supercb[Item],tab_higiene[[#This Row],[Item]],supercb[Bairro],mercado4)</f>
        <v>0</v>
      </c>
      <c r="AO53" s="1">
        <f>SUMIFS(super1[Qtde],super1[Item],tab_higiene[[#This Row],[Item]],super1[Bairro],mercado5)+SUMIFS(supercb[Qtde],supercb[Item],tab_higiene[[#This Row],[Item]],supercb[Bairro],mercado5)</f>
        <v>0</v>
      </c>
      <c r="AP53" s="1">
        <f>SUMIFS(super1[Qtde],super1[Item],tab_higiene[[#This Row],[Item]],super1[Bairro],mercado6)+SUMIFS(supercb[Qtde],supercb[Item],tab_higiene[[#This Row],[Item]],supercb[Bairro],mercado6)</f>
        <v>0</v>
      </c>
      <c r="AQ53" s="1">
        <f>SUMIFS(super1[Qtde],super1[Item],tab_higiene[[#This Row],[Item]],super1[Bairro],mercado7)+SUMIFS(supercb[Qtde],supercb[Item],tab_higiene[[#This Row],[Item]],supercb[Bairro],mercado7)</f>
        <v>0</v>
      </c>
      <c r="AR53" s="1">
        <f>SUMIFS(super1[Qtde],super1[Item],tab_higiene[[#This Row],[Item]],super1[Bairro],mercado8)+SUMIFS(supercb[Qtde],supercb[Item],tab_higiene[[#This Row],[Item]],supercb[Bairro],mercado8)</f>
        <v>0</v>
      </c>
      <c r="AS53" s="1">
        <f>SUMIFS(super1[Qtde],super1[Item],tab_higiene[[#This Row],[Item]],super1[Bairro],mercado9)+SUMIFS(supercb[Qtde],supercb[Item],tab_higiene[[#This Row],[Item]],supercb[Bairro],mercado9)</f>
        <v>0</v>
      </c>
      <c r="AT53" s="1">
        <f>SUMIFS(super1[Qtde],super1[Item],tab_higiene[[#This Row],[Item]],super1[Bairro],mercado10)+SUMIFS(supercb[Qtde],supercb[Item],tab_higiene[[#This Row],[Item]],supercb[Bairro],mercado10)</f>
        <v>0</v>
      </c>
      <c r="AU53" s="1">
        <f>SUMIFS(super1[Qtde],super1[Item],tab_higiene[[#This Row],[Item]],super1[Bairro],mercado11)+SUMIFS(supercb[Qtde],supercb[Item],tab_higiene[[#This Row],[Item]],supercb[Bairro],mercado11)</f>
        <v>0</v>
      </c>
      <c r="AV53" s="1">
        <f>SUMIFS(super1[Qtde],super1[Item],tab_higiene[[#This Row],[Item]],super1[Bairro],mercado12)+SUMIFS(supercb[Qtde],supercb[Item],tab_higiene[[#This Row],[Item]],supercb[Bairro],mercado12)</f>
        <v>0</v>
      </c>
      <c r="AW53" s="1">
        <f>SUMIFS(super1[Qtde],super1[Item],tab_higiene[[#This Row],[Item]],super1[Bairro],mercado13)+SUMIFS(supercb[Qtde],supercb[Item],tab_higiene[[#This Row],[Item]],supercb[Bairro],mercado13)</f>
        <v>0</v>
      </c>
      <c r="AX53" s="1">
        <f>SUMIFS(super1[Qtde],super1[Item],tab_higiene[[#This Row],[Item]],super1[Bairro],mercado14)+SUMIFS(supercb[Qtde],supercb[Item],tab_higiene[[#This Row],[Item]],supercb[Bairro],mercado14)</f>
        <v>0</v>
      </c>
      <c r="AY53" s="1">
        <f>SUMIFS(super1[Qtde],super1[Item],tab_higiene[[#This Row],[Item]],super1[Bairro],mercado15)+SUMIFS(supercb[Qtde],supercb[Item],tab_higiene[[#This Row],[Item]],supercb[Bairro],mercado15)</f>
        <v>0</v>
      </c>
      <c r="AZ53" s="1">
        <f>SUMIFS(super1[Qtde],super1[Item],tab_higiene[[#This Row],[Item]],super1[Bairro],mercado16)+SUMIFS(supercb[Qtde],supercb[Item],tab_higiene[[#This Row],[Item]],supercb[Bairro],mercado16)</f>
        <v>0</v>
      </c>
      <c r="BA53" s="1">
        <f>SUMIFS(super1[Qtde],super1[Item],tab_higiene[[#This Row],[Item]],super1[Bairro],mercado17)+SUMIFS(supercb[Qtde],supercb[Item],tab_higiene[[#This Row],[Item]],supercb[Bairro],mercado17)</f>
        <v>0</v>
      </c>
      <c r="BB53" s="1">
        <f>SUMIFS(super1[Qtde],super1[Item],tab_higiene[[#This Row],[Item]],super1[Bairro],mercado18)+SUMIFS(supercb[Qtde],supercb[Item],tab_higiene[[#This Row],[Item]],supercb[Bairro],mercado18)</f>
        <v>0</v>
      </c>
      <c r="BC53" s="1">
        <f>SUMIFS(super1[Qtde],super1[Item],tab_higiene[[#This Row],[Item]],super1[Bairro],extras)+SUMIFS(supercb[Qtde],supercb[Item],tab_higiene[[#This Row],[Item]],supercb[Bairro],extras)</f>
        <v>0</v>
      </c>
      <c r="BD53" s="1">
        <f t="shared" si="21"/>
        <v>0</v>
      </c>
      <c r="BE53" s="1">
        <f t="shared" si="22"/>
        <v>0</v>
      </c>
      <c r="BF53" s="26">
        <f t="shared" si="23"/>
        <v>0</v>
      </c>
      <c r="BI53" s="33" t="str">
        <f>tab_alimentos[[#This Row],[Item]]</f>
        <v>Bolacha (145g)</v>
      </c>
      <c r="BJ53" s="33">
        <f t="shared" si="6"/>
        <v>8</v>
      </c>
      <c r="BK53" s="33" t="str">
        <f t="shared" si="7"/>
        <v>Bolacha</v>
      </c>
      <c r="BL53" s="33">
        <f>tab_alimentos[[#This Row],[kg]]</f>
        <v>0.14499999999999999</v>
      </c>
      <c r="BM53" s="37" t="s">
        <v>293</v>
      </c>
      <c r="BN53" s="35">
        <f t="shared" si="11"/>
        <v>0</v>
      </c>
      <c r="BP53" s="33" t="str">
        <f>tab_higiene[[#This Row],[Item]]</f>
        <v>Desinfetante (300mL)</v>
      </c>
      <c r="BQ53" s="33">
        <f t="shared" si="8"/>
        <v>13</v>
      </c>
      <c r="BR53" s="33" t="str">
        <f t="shared" si="9"/>
        <v>Desinfetante</v>
      </c>
      <c r="BS53" s="33">
        <f>higiene[[#This Row],[Quantidade]]</f>
        <v>3</v>
      </c>
      <c r="BT53" s="33">
        <f>tab_higiene[Qtde (tot)]</f>
        <v>0</v>
      </c>
      <c r="BU53" s="33">
        <f t="shared" si="12"/>
        <v>0</v>
      </c>
      <c r="BV53" s="37" t="s">
        <v>328</v>
      </c>
      <c r="BW53" s="33">
        <f t="shared" si="24"/>
        <v>0</v>
      </c>
    </row>
    <row r="54" spans="9:75" x14ac:dyDescent="0.25">
      <c r="I54" s="25" t="str">
        <f>alimentos[[#This Row],[Item]]</f>
        <v>Bolacha (150g)</v>
      </c>
      <c r="J54" s="1">
        <f>IFERROR(alimentos[[#This Row],[kg/embalagem]],0)</f>
        <v>0.15</v>
      </c>
      <c r="K54" s="1">
        <f>IFERROR(alimentos[[#This Row],[Preço]],0)</f>
        <v>2.17</v>
      </c>
      <c r="L54" s="1">
        <f>SUMIFS(super1[Qtde],super1[Item],tab_alimentos[[#This Row],[Item]],super1[Bairro],mercado1)+SUMIFS(supercb[Qtde],supercb[Item],tab_alimentos[[#This Row],[Item]],supercb[Bairro],mercado1)</f>
        <v>0</v>
      </c>
      <c r="M54" s="1">
        <f>SUMIFS(super1[Qtde],super1[Item],tab_alimentos[[#This Row],[Item]],super1[Bairro],mercado2)+SUMIFS(supercb[Qtde],supercb[Item],tab_alimentos[[#This Row],[Item]],supercb[Bairro],mercado2)</f>
        <v>0</v>
      </c>
      <c r="N54" s="1">
        <f>SUMIFS(super1[Qtde],super1[Item],tab_alimentos[[#This Row],[Item]],super1[Bairro],mercado3)+SUMIFS(supercb[Qtde],supercb[Item],tab_alimentos[[#This Row],[Item]],supercb[Bairro],mercado3)</f>
        <v>0</v>
      </c>
      <c r="O54" s="1">
        <f>SUMIFS(super1[Qtde],super1[Item],tab_alimentos[[#This Row],[Item]],super1[Bairro],mercado4)+SUMIFS(supercb[Qtde],supercb[Item],tab_alimentos[[#This Row],[Item]],supercb[Bairro],mercado4)</f>
        <v>0</v>
      </c>
      <c r="P54" s="1">
        <f>SUMIFS(super1[Qtde],super1[Item],tab_alimentos[[#This Row],[Item]],super1[Bairro],mercado5)+SUMIFS(supercb[Qtde],supercb[Item],tab_alimentos[[#This Row],[Item]],supercb[Bairro],mercado5)</f>
        <v>0</v>
      </c>
      <c r="Q54" s="1">
        <f>SUMIFS(super1[Qtde],super1[Item],tab_alimentos[[#This Row],[Item]],super1[Bairro],mercado6)+SUMIFS(supercb[Qtde],supercb[Item],tab_alimentos[[#This Row],[Item]],supercb[Bairro],mercado6)</f>
        <v>0</v>
      </c>
      <c r="R54" s="1">
        <f>SUMIFS(super1[Qtde],super1[Item],tab_alimentos[[#This Row],[Item]],super1[Bairro],mercado7)+SUMIFS(supercb[Qtde],supercb[Item],tab_alimentos[[#This Row],[Item]],supercb[Bairro],mercado7)</f>
        <v>0</v>
      </c>
      <c r="S54" s="1">
        <f>SUMIFS(super1[Qtde],super1[Item],tab_alimentos[[#This Row],[Item]],super1[Bairro],mercado8)+SUMIFS(supercb[Qtde],supercb[Item],tab_alimentos[[#This Row],[Item]],supercb[Bairro],mercado8)</f>
        <v>0</v>
      </c>
      <c r="T54" s="1">
        <f>SUMIFS(super1[Qtde],super1[Item],tab_alimentos[[#This Row],[Item]],super1[Bairro],mercado9)+SUMIFS(supercb[Qtde],supercb[Item],tab_alimentos[[#This Row],[Item]],supercb[Bairro],mercado9)</f>
        <v>0</v>
      </c>
      <c r="U54" s="1">
        <f>SUMIFS(super1[Qtde],super1[Item],tab_alimentos[[#This Row],[Item]],super1[Bairro],mercado10)+SUMIFS(supercb[Qtde],supercb[Item],tab_alimentos[[#This Row],[Item]],supercb[Bairro],mercado10)</f>
        <v>0</v>
      </c>
      <c r="V54" s="1">
        <f>SUMIFS(super1[Qtde],super1[Item],tab_alimentos[[#This Row],[Item]],super1[Bairro],mercado11)+SUMIFS(supercb[Qtde],supercb[Item],tab_alimentos[[#This Row],[Item]],supercb[Bairro],mercado11)</f>
        <v>0</v>
      </c>
      <c r="W54" s="1">
        <f>SUMIFS(super1[Qtde],super1[Item],tab_alimentos[[#This Row],[Item]],super1[Bairro],mercado12)+SUMIFS(supercb[Qtde],supercb[Item],tab_alimentos[[#This Row],[Item]],supercb[Bairro],mercado12)</f>
        <v>0</v>
      </c>
      <c r="X54" s="1">
        <f>SUMIFS(super1[Qtde],super1[Item],tab_alimentos[[#This Row],[Item]],super1[Bairro],mercado13)+SUMIFS(supercb[Qtde],supercb[Item],tab_alimentos[[#This Row],[Item]],supercb[Bairro],mercado13)</f>
        <v>0</v>
      </c>
      <c r="Y54" s="1">
        <f>SUMIFS(super1[Qtde],super1[Item],tab_alimentos[[#This Row],[Item]],super1[Bairro],mercado14)+SUMIFS(supercb[Qtde],supercb[Item],tab_alimentos[[#This Row],[Item]],supercb[Bairro],mercado14)</f>
        <v>0</v>
      </c>
      <c r="Z54" s="1">
        <f>SUMIFS(super1[Qtde],super1[Item],tab_alimentos[[#This Row],[Item]],super1[Bairro],mercado15)+SUMIFS(supercb[Qtde],supercb[Item],tab_alimentos[[#This Row],[Item]],supercb[Bairro],mercado15)</f>
        <v>0</v>
      </c>
      <c r="AA54" s="1">
        <f>SUMIFS(super1[Qtde],super1[Item],tab_alimentos[[#This Row],[Item]],super1[Bairro],mercado16)+SUMIFS(supercb[Qtde],supercb[Item],tab_alimentos[[#This Row],[Item]],supercb[Bairro],mercado16)</f>
        <v>0</v>
      </c>
      <c r="AB54" s="1">
        <f>SUMIFS(super1[Qtde],super1[Item],tab_alimentos[[#This Row],[Item]],super1[Bairro],mercado17)+SUMIFS(supercb[Qtde],supercb[Item],tab_alimentos[[#This Row],[Item]],supercb[Bairro],mercado17)</f>
        <v>0</v>
      </c>
      <c r="AC54" s="1">
        <f>SUMIFS(super1[Qtde],super1[Item],tab_alimentos[[#This Row],[Item]],super1[Bairro],mercado18)+SUMIFS(supercb[Qtde],supercb[Item],tab_alimentos[[#This Row],[Item]],supercb[Bairro],mercado18)</f>
        <v>0</v>
      </c>
      <c r="AD54" s="1">
        <f>SUMIFS(super1[Qtde],super1[Item],tab_alimentos[[#This Row],[Item]],super1[Bairro],extras)+SUMIFS(supercb[Qtde],supercb[Item],tab_alimentos[[#This Row],[Item]],supercb[Bairro],extras)</f>
        <v>0</v>
      </c>
      <c r="AE54" s="1">
        <f t="shared" si="18"/>
        <v>0</v>
      </c>
      <c r="AF54" s="1">
        <f t="shared" si="19"/>
        <v>0</v>
      </c>
      <c r="AG54" s="3">
        <f t="shared" si="20"/>
        <v>0</v>
      </c>
      <c r="AH54" s="25" t="str">
        <f>higiene[[#This Row],[Item]]</f>
        <v>Desinfetante (5L)</v>
      </c>
      <c r="AI54" s="1">
        <f>IFERROR(higiene[[#This Row],[Kg equivalente]],0)</f>
        <v>2.9344172897271936</v>
      </c>
      <c r="AJ54" s="1">
        <f>IFERROR(higiene[[#This Row],[Preço por produto]],0)</f>
        <v>9.7199999999999989</v>
      </c>
      <c r="AK54" s="1">
        <f>SUMIFS(super1[Qtde],super1[Item],tab_higiene[[#This Row],[Item]],super1[Bairro],mercado1)+SUMIFS(supercb[Qtde],supercb[Item],tab_higiene[[#This Row],[Item]],supercb[Bairro],mercado1)</f>
        <v>0</v>
      </c>
      <c r="AL54" s="1">
        <f>SUMIFS(super1[Qtde],super1[Item],tab_higiene[[#This Row],[Item]],super1[Bairro],mercado2)+SUMIFS(supercb[Qtde],supercb[Item],tab_higiene[[#This Row],[Item]],supercb[Bairro],mercado2)</f>
        <v>0</v>
      </c>
      <c r="AM54" s="1">
        <f>SUMIFS(super1[Qtde],super1[Item],tab_higiene[[#This Row],[Item]],super1[Bairro],mercado3)+SUMIFS(supercb[Qtde],supercb[Item],tab_higiene[[#This Row],[Item]],supercb[Bairro],mercado3)</f>
        <v>0</v>
      </c>
      <c r="AN54" s="1">
        <f>SUMIFS(super1[Qtde],super1[Item],tab_higiene[[#This Row],[Item]],super1[Bairro],mercado4)+SUMIFS(supercb[Qtde],supercb[Item],tab_higiene[[#This Row],[Item]],supercb[Bairro],mercado4)</f>
        <v>0</v>
      </c>
      <c r="AO54" s="1">
        <f>SUMIFS(super1[Qtde],super1[Item],tab_higiene[[#This Row],[Item]],super1[Bairro],mercado5)+SUMIFS(supercb[Qtde],supercb[Item],tab_higiene[[#This Row],[Item]],supercb[Bairro],mercado5)</f>
        <v>0</v>
      </c>
      <c r="AP54" s="1">
        <f>SUMIFS(super1[Qtde],super1[Item],tab_higiene[[#This Row],[Item]],super1[Bairro],mercado6)+SUMIFS(supercb[Qtde],supercb[Item],tab_higiene[[#This Row],[Item]],supercb[Bairro],mercado6)</f>
        <v>0</v>
      </c>
      <c r="AQ54" s="1">
        <f>SUMIFS(super1[Qtde],super1[Item],tab_higiene[[#This Row],[Item]],super1[Bairro],mercado7)+SUMIFS(supercb[Qtde],supercb[Item],tab_higiene[[#This Row],[Item]],supercb[Bairro],mercado7)</f>
        <v>0</v>
      </c>
      <c r="AR54" s="1">
        <f>SUMIFS(super1[Qtde],super1[Item],tab_higiene[[#This Row],[Item]],super1[Bairro],mercado8)+SUMIFS(supercb[Qtde],supercb[Item],tab_higiene[[#This Row],[Item]],supercb[Bairro],mercado8)</f>
        <v>0</v>
      </c>
      <c r="AS54" s="1">
        <f>SUMIFS(super1[Qtde],super1[Item],tab_higiene[[#This Row],[Item]],super1[Bairro],mercado9)+SUMIFS(supercb[Qtde],supercb[Item],tab_higiene[[#This Row],[Item]],supercb[Bairro],mercado9)</f>
        <v>1</v>
      </c>
      <c r="AT54" s="1">
        <f>SUMIFS(super1[Qtde],super1[Item],tab_higiene[[#This Row],[Item]],super1[Bairro],mercado10)+SUMIFS(supercb[Qtde],supercb[Item],tab_higiene[[#This Row],[Item]],supercb[Bairro],mercado10)</f>
        <v>0</v>
      </c>
      <c r="AU54" s="1">
        <f>SUMIFS(super1[Qtde],super1[Item],tab_higiene[[#This Row],[Item]],super1[Bairro],mercado11)+SUMIFS(supercb[Qtde],supercb[Item],tab_higiene[[#This Row],[Item]],supercb[Bairro],mercado11)</f>
        <v>0</v>
      </c>
      <c r="AV54" s="1">
        <f>SUMIFS(super1[Qtde],super1[Item],tab_higiene[[#This Row],[Item]],super1[Bairro],mercado12)+SUMIFS(supercb[Qtde],supercb[Item],tab_higiene[[#This Row],[Item]],supercb[Bairro],mercado12)</f>
        <v>0</v>
      </c>
      <c r="AW54" s="1">
        <f>SUMIFS(super1[Qtde],super1[Item],tab_higiene[[#This Row],[Item]],super1[Bairro],mercado13)+SUMIFS(supercb[Qtde],supercb[Item],tab_higiene[[#This Row],[Item]],supercb[Bairro],mercado13)</f>
        <v>0</v>
      </c>
      <c r="AX54" s="1">
        <f>SUMIFS(super1[Qtde],super1[Item],tab_higiene[[#This Row],[Item]],super1[Bairro],mercado14)+SUMIFS(supercb[Qtde],supercb[Item],tab_higiene[[#This Row],[Item]],supercb[Bairro],mercado14)</f>
        <v>0</v>
      </c>
      <c r="AY54" s="1">
        <f>SUMIFS(super1[Qtde],super1[Item],tab_higiene[[#This Row],[Item]],super1[Bairro],mercado15)+SUMIFS(supercb[Qtde],supercb[Item],tab_higiene[[#This Row],[Item]],supercb[Bairro],mercado15)</f>
        <v>0</v>
      </c>
      <c r="AZ54" s="1">
        <f>SUMIFS(super1[Qtde],super1[Item],tab_higiene[[#This Row],[Item]],super1[Bairro],mercado16)+SUMIFS(supercb[Qtde],supercb[Item],tab_higiene[[#This Row],[Item]],supercb[Bairro],mercado16)</f>
        <v>0</v>
      </c>
      <c r="BA54" s="1">
        <f>SUMIFS(super1[Qtde],super1[Item],tab_higiene[[#This Row],[Item]],super1[Bairro],mercado17)+SUMIFS(supercb[Qtde],supercb[Item],tab_higiene[[#This Row],[Item]],supercb[Bairro],mercado17)</f>
        <v>0</v>
      </c>
      <c r="BB54" s="1">
        <f>SUMIFS(super1[Qtde],super1[Item],tab_higiene[[#This Row],[Item]],super1[Bairro],mercado18)+SUMIFS(supercb[Qtde],supercb[Item],tab_higiene[[#This Row],[Item]],supercb[Bairro],mercado18)</f>
        <v>0</v>
      </c>
      <c r="BC54" s="1">
        <f>SUMIFS(super1[Qtde],super1[Item],tab_higiene[[#This Row],[Item]],super1[Bairro],extras)+SUMIFS(supercb[Qtde],supercb[Item],tab_higiene[[#This Row],[Item]],supercb[Bairro],extras)</f>
        <v>0</v>
      </c>
      <c r="BD54" s="1">
        <f t="shared" si="21"/>
        <v>1</v>
      </c>
      <c r="BE54" s="1">
        <f t="shared" si="22"/>
        <v>9.7199999999999989</v>
      </c>
      <c r="BF54" s="26">
        <f t="shared" si="23"/>
        <v>2.9344172897271936</v>
      </c>
      <c r="BI54" s="33" t="str">
        <f>tab_alimentos[[#This Row],[Item]]</f>
        <v>Bolacha (150g)</v>
      </c>
      <c r="BJ54" s="33">
        <f t="shared" si="6"/>
        <v>8</v>
      </c>
      <c r="BK54" s="33" t="str">
        <f t="shared" si="7"/>
        <v>Bolacha</v>
      </c>
      <c r="BL54" s="33">
        <f>tab_alimentos[[#This Row],[kg]]</f>
        <v>0</v>
      </c>
      <c r="BM54" s="37" t="s">
        <v>294</v>
      </c>
      <c r="BN54" s="35">
        <f t="shared" si="11"/>
        <v>0</v>
      </c>
      <c r="BP54" s="33" t="str">
        <f>tab_higiene[[#This Row],[Item]]</f>
        <v>Desinfetante (5L)</v>
      </c>
      <c r="BQ54" s="33">
        <f t="shared" si="8"/>
        <v>13</v>
      </c>
      <c r="BR54" s="33" t="str">
        <f t="shared" si="9"/>
        <v>Desinfetante</v>
      </c>
      <c r="BS54" s="33">
        <f>higiene[[#This Row],[Quantidade]]</f>
        <v>1</v>
      </c>
      <c r="BT54" s="33">
        <f>tab_higiene[Qtde (tot)]</f>
        <v>1</v>
      </c>
      <c r="BU54" s="33">
        <f t="shared" si="12"/>
        <v>1</v>
      </c>
      <c r="BV54" s="37" t="s">
        <v>329</v>
      </c>
      <c r="BW54" s="33">
        <f t="shared" si="24"/>
        <v>0</v>
      </c>
    </row>
    <row r="55" spans="9:75" x14ac:dyDescent="0.25">
      <c r="I55" s="25" t="str">
        <f>alimentos[[#This Row],[Item]]</f>
        <v>Bolacha (160g)</v>
      </c>
      <c r="J55" s="1">
        <f>IFERROR(alimentos[[#This Row],[kg/embalagem]],0)</f>
        <v>0.16</v>
      </c>
      <c r="K55" s="1">
        <f>IFERROR(alimentos[[#This Row],[Preço]],0)</f>
        <v>2.0066666666666664</v>
      </c>
      <c r="L55" s="1">
        <f>SUMIFS(super1[Qtde],super1[Item],tab_alimentos[[#This Row],[Item]],super1[Bairro],mercado1)+SUMIFS(supercb[Qtde],supercb[Item],tab_alimentos[[#This Row],[Item]],supercb[Bairro],mercado1)</f>
        <v>0</v>
      </c>
      <c r="M55" s="1">
        <f>SUMIFS(super1[Qtde],super1[Item],tab_alimentos[[#This Row],[Item]],super1[Bairro],mercado2)+SUMIFS(supercb[Qtde],supercb[Item],tab_alimentos[[#This Row],[Item]],supercb[Bairro],mercado2)</f>
        <v>0</v>
      </c>
      <c r="N55" s="1">
        <f>SUMIFS(super1[Qtde],super1[Item],tab_alimentos[[#This Row],[Item]],super1[Bairro],mercado3)+SUMIFS(supercb[Qtde],supercb[Item],tab_alimentos[[#This Row],[Item]],supercb[Bairro],mercado3)</f>
        <v>0</v>
      </c>
      <c r="O55" s="1">
        <f>SUMIFS(super1[Qtde],super1[Item],tab_alimentos[[#This Row],[Item]],super1[Bairro],mercado4)+SUMIFS(supercb[Qtde],supercb[Item],tab_alimentos[[#This Row],[Item]],supercb[Bairro],mercado4)</f>
        <v>0</v>
      </c>
      <c r="P55" s="1">
        <f>SUMIFS(super1[Qtde],super1[Item],tab_alimentos[[#This Row],[Item]],super1[Bairro],mercado5)+SUMIFS(supercb[Qtde],supercb[Item],tab_alimentos[[#This Row],[Item]],supercb[Bairro],mercado5)</f>
        <v>0</v>
      </c>
      <c r="Q55" s="1">
        <f>SUMIFS(super1[Qtde],super1[Item],tab_alimentos[[#This Row],[Item]],super1[Bairro],mercado6)+SUMIFS(supercb[Qtde],supercb[Item],tab_alimentos[[#This Row],[Item]],supercb[Bairro],mercado6)</f>
        <v>6</v>
      </c>
      <c r="R55" s="1">
        <f>SUMIFS(super1[Qtde],super1[Item],tab_alimentos[[#This Row],[Item]],super1[Bairro],mercado7)+SUMIFS(supercb[Qtde],supercb[Item],tab_alimentos[[#This Row],[Item]],supercb[Bairro],mercado7)</f>
        <v>1</v>
      </c>
      <c r="S55" s="1">
        <f>SUMIFS(super1[Qtde],super1[Item],tab_alimentos[[#This Row],[Item]],super1[Bairro],mercado8)+SUMIFS(supercb[Qtde],supercb[Item],tab_alimentos[[#This Row],[Item]],supercb[Bairro],mercado8)</f>
        <v>1</v>
      </c>
      <c r="T55" s="1">
        <f>SUMIFS(super1[Qtde],super1[Item],tab_alimentos[[#This Row],[Item]],super1[Bairro],mercado9)+SUMIFS(supercb[Qtde],supercb[Item],tab_alimentos[[#This Row],[Item]],supercb[Bairro],mercado9)</f>
        <v>0</v>
      </c>
      <c r="U55" s="1">
        <f>SUMIFS(super1[Qtde],super1[Item],tab_alimentos[[#This Row],[Item]],super1[Bairro],mercado10)+SUMIFS(supercb[Qtde],supercb[Item],tab_alimentos[[#This Row],[Item]],supercb[Bairro],mercado10)</f>
        <v>0</v>
      </c>
      <c r="V55" s="1">
        <f>SUMIFS(super1[Qtde],super1[Item],tab_alimentos[[#This Row],[Item]],super1[Bairro],mercado11)+SUMIFS(supercb[Qtde],supercb[Item],tab_alimentos[[#This Row],[Item]],supercb[Bairro],mercado11)</f>
        <v>0</v>
      </c>
      <c r="W55" s="1">
        <f>SUMIFS(super1[Qtde],super1[Item],tab_alimentos[[#This Row],[Item]],super1[Bairro],mercado12)+SUMIFS(supercb[Qtde],supercb[Item],tab_alimentos[[#This Row],[Item]],supercb[Bairro],mercado12)</f>
        <v>0</v>
      </c>
      <c r="X55" s="1">
        <f>SUMIFS(super1[Qtde],super1[Item],tab_alimentos[[#This Row],[Item]],super1[Bairro],mercado13)+SUMIFS(supercb[Qtde],supercb[Item],tab_alimentos[[#This Row],[Item]],supercb[Bairro],mercado13)</f>
        <v>0</v>
      </c>
      <c r="Y55" s="1">
        <f>SUMIFS(super1[Qtde],super1[Item],tab_alimentos[[#This Row],[Item]],super1[Bairro],mercado14)+SUMIFS(supercb[Qtde],supercb[Item],tab_alimentos[[#This Row],[Item]],supercb[Bairro],mercado14)</f>
        <v>0</v>
      </c>
      <c r="Z55" s="1">
        <f>SUMIFS(super1[Qtde],super1[Item],tab_alimentos[[#This Row],[Item]],super1[Bairro],mercado15)+SUMIFS(supercb[Qtde],supercb[Item],tab_alimentos[[#This Row],[Item]],supercb[Bairro],mercado15)</f>
        <v>0</v>
      </c>
      <c r="AA55" s="1">
        <f>SUMIFS(super1[Qtde],super1[Item],tab_alimentos[[#This Row],[Item]],super1[Bairro],mercado16)+SUMIFS(supercb[Qtde],supercb[Item],tab_alimentos[[#This Row],[Item]],supercb[Bairro],mercado16)</f>
        <v>0</v>
      </c>
      <c r="AB55" s="1">
        <f>SUMIFS(super1[Qtde],super1[Item],tab_alimentos[[#This Row],[Item]],super1[Bairro],mercado17)+SUMIFS(supercb[Qtde],supercb[Item],tab_alimentos[[#This Row],[Item]],supercb[Bairro],mercado17)</f>
        <v>0</v>
      </c>
      <c r="AC55" s="1">
        <f>SUMIFS(super1[Qtde],super1[Item],tab_alimentos[[#This Row],[Item]],super1[Bairro],mercado18)+SUMIFS(supercb[Qtde],supercb[Item],tab_alimentos[[#This Row],[Item]],supercb[Bairro],mercado18)</f>
        <v>0</v>
      </c>
      <c r="AD55" s="1">
        <f>SUMIFS(super1[Qtde],super1[Item],tab_alimentos[[#This Row],[Item]],super1[Bairro],extras)+SUMIFS(supercb[Qtde],supercb[Item],tab_alimentos[[#This Row],[Item]],supercb[Bairro],extras)</f>
        <v>0</v>
      </c>
      <c r="AE55" s="1">
        <f t="shared" si="18"/>
        <v>8</v>
      </c>
      <c r="AF55" s="1">
        <f t="shared" si="19"/>
        <v>16.053333333333331</v>
      </c>
      <c r="AG55" s="3">
        <f t="shared" si="20"/>
        <v>1.28</v>
      </c>
      <c r="AH55" s="25" t="str">
        <f>higiene[[#This Row],[Item]]</f>
        <v>Desinfetante (750mL)</v>
      </c>
      <c r="AI55" s="1">
        <f>IFERROR(higiene[[#This Row],[Kg equivalente]],0)</f>
        <v>0.9170054030397482</v>
      </c>
      <c r="AJ55" s="1">
        <f>IFERROR(higiene[[#This Row],[Preço por produto]],0)</f>
        <v>3.0375000000000001</v>
      </c>
      <c r="AK55" s="1">
        <f>SUMIFS(super1[Qtde],super1[Item],tab_higiene[[#This Row],[Item]],super1[Bairro],mercado1)+SUMIFS(supercb[Qtde],supercb[Item],tab_higiene[[#This Row],[Item]],supercb[Bairro],mercado1)</f>
        <v>0</v>
      </c>
      <c r="AL55" s="1">
        <f>SUMIFS(super1[Qtde],super1[Item],tab_higiene[[#This Row],[Item]],super1[Bairro],mercado2)+SUMIFS(supercb[Qtde],supercb[Item],tab_higiene[[#This Row],[Item]],supercb[Bairro],mercado2)</f>
        <v>0</v>
      </c>
      <c r="AM55" s="1">
        <f>SUMIFS(super1[Qtde],super1[Item],tab_higiene[[#This Row],[Item]],super1[Bairro],mercado3)+SUMIFS(supercb[Qtde],supercb[Item],tab_higiene[[#This Row],[Item]],supercb[Bairro],mercado3)</f>
        <v>1</v>
      </c>
      <c r="AN55" s="1">
        <f>SUMIFS(super1[Qtde],super1[Item],tab_higiene[[#This Row],[Item]],super1[Bairro],mercado4)+SUMIFS(supercb[Qtde],supercb[Item],tab_higiene[[#This Row],[Item]],supercb[Bairro],mercado4)</f>
        <v>2</v>
      </c>
      <c r="AO55" s="1">
        <f>SUMIFS(super1[Qtde],super1[Item],tab_higiene[[#This Row],[Item]],super1[Bairro],mercado5)+SUMIFS(supercb[Qtde],supercb[Item],tab_higiene[[#This Row],[Item]],supercb[Bairro],mercado5)</f>
        <v>0</v>
      </c>
      <c r="AP55" s="1">
        <f>SUMIFS(super1[Qtde],super1[Item],tab_higiene[[#This Row],[Item]],super1[Bairro],mercado6)+SUMIFS(supercb[Qtde],supercb[Item],tab_higiene[[#This Row],[Item]],supercb[Bairro],mercado6)</f>
        <v>0</v>
      </c>
      <c r="AQ55" s="1">
        <f>SUMIFS(super1[Qtde],super1[Item],tab_higiene[[#This Row],[Item]],super1[Bairro],mercado7)+SUMIFS(supercb[Qtde],supercb[Item],tab_higiene[[#This Row],[Item]],supercb[Bairro],mercado7)</f>
        <v>0</v>
      </c>
      <c r="AR55" s="1">
        <f>SUMIFS(super1[Qtde],super1[Item],tab_higiene[[#This Row],[Item]],super1[Bairro],mercado8)+SUMIFS(supercb[Qtde],supercb[Item],tab_higiene[[#This Row],[Item]],supercb[Bairro],mercado8)</f>
        <v>2</v>
      </c>
      <c r="AS55" s="1">
        <f>SUMIFS(super1[Qtde],super1[Item],tab_higiene[[#This Row],[Item]],super1[Bairro],mercado9)+SUMIFS(supercb[Qtde],supercb[Item],tab_higiene[[#This Row],[Item]],supercb[Bairro],mercado9)</f>
        <v>0</v>
      </c>
      <c r="AT55" s="1">
        <f>SUMIFS(super1[Qtde],super1[Item],tab_higiene[[#This Row],[Item]],super1[Bairro],mercado10)+SUMIFS(supercb[Qtde],supercb[Item],tab_higiene[[#This Row],[Item]],supercb[Bairro],mercado10)</f>
        <v>0</v>
      </c>
      <c r="AU55" s="1">
        <f>SUMIFS(super1[Qtde],super1[Item],tab_higiene[[#This Row],[Item]],super1[Bairro],mercado11)+SUMIFS(supercb[Qtde],supercb[Item],tab_higiene[[#This Row],[Item]],supercb[Bairro],mercado11)</f>
        <v>0</v>
      </c>
      <c r="AV55" s="1">
        <f>SUMIFS(super1[Qtde],super1[Item],tab_higiene[[#This Row],[Item]],super1[Bairro],mercado12)+SUMIFS(supercb[Qtde],supercb[Item],tab_higiene[[#This Row],[Item]],supercb[Bairro],mercado12)</f>
        <v>0</v>
      </c>
      <c r="AW55" s="1">
        <f>SUMIFS(super1[Qtde],super1[Item],tab_higiene[[#This Row],[Item]],super1[Bairro],mercado13)+SUMIFS(supercb[Qtde],supercb[Item],tab_higiene[[#This Row],[Item]],supercb[Bairro],mercado13)</f>
        <v>0</v>
      </c>
      <c r="AX55" s="1">
        <f>SUMIFS(super1[Qtde],super1[Item],tab_higiene[[#This Row],[Item]],super1[Bairro],mercado14)+SUMIFS(supercb[Qtde],supercb[Item],tab_higiene[[#This Row],[Item]],supercb[Bairro],mercado14)</f>
        <v>0</v>
      </c>
      <c r="AY55" s="1">
        <f>SUMIFS(super1[Qtde],super1[Item],tab_higiene[[#This Row],[Item]],super1[Bairro],mercado15)+SUMIFS(supercb[Qtde],supercb[Item],tab_higiene[[#This Row],[Item]],supercb[Bairro],mercado15)</f>
        <v>0</v>
      </c>
      <c r="AZ55" s="1">
        <f>SUMIFS(super1[Qtde],super1[Item],tab_higiene[[#This Row],[Item]],super1[Bairro],mercado16)+SUMIFS(supercb[Qtde],supercb[Item],tab_higiene[[#This Row],[Item]],supercb[Bairro],mercado16)</f>
        <v>0</v>
      </c>
      <c r="BA55" s="1">
        <f>SUMIFS(super1[Qtde],super1[Item],tab_higiene[[#This Row],[Item]],super1[Bairro],mercado17)+SUMIFS(supercb[Qtde],supercb[Item],tab_higiene[[#This Row],[Item]],supercb[Bairro],mercado17)</f>
        <v>0</v>
      </c>
      <c r="BB55" s="1">
        <f>SUMIFS(super1[Qtde],super1[Item],tab_higiene[[#This Row],[Item]],super1[Bairro],mercado18)+SUMIFS(supercb[Qtde],supercb[Item],tab_higiene[[#This Row],[Item]],supercb[Bairro],mercado18)</f>
        <v>0</v>
      </c>
      <c r="BC55" s="1">
        <f>SUMIFS(super1[Qtde],super1[Item],tab_higiene[[#This Row],[Item]],super1[Bairro],extras)+SUMIFS(supercb[Qtde],supercb[Item],tab_higiene[[#This Row],[Item]],supercb[Bairro],extras)</f>
        <v>0</v>
      </c>
      <c r="BD55" s="1">
        <f t="shared" si="21"/>
        <v>5</v>
      </c>
      <c r="BE55" s="1">
        <f t="shared" si="22"/>
        <v>15.1875</v>
      </c>
      <c r="BF55" s="26">
        <f t="shared" si="23"/>
        <v>4.5850270151987411</v>
      </c>
      <c r="BI55" s="33" t="str">
        <f>tab_alimentos[[#This Row],[Item]]</f>
        <v>Bolacha (160g)</v>
      </c>
      <c r="BJ55" s="33">
        <f t="shared" si="6"/>
        <v>8</v>
      </c>
      <c r="BK55" s="33" t="str">
        <f t="shared" si="7"/>
        <v>Bolacha</v>
      </c>
      <c r="BL55" s="33">
        <f>tab_alimentos[[#This Row],[kg]]</f>
        <v>1.28</v>
      </c>
      <c r="BM55" s="37" t="s">
        <v>295</v>
      </c>
      <c r="BN55" s="35">
        <f t="shared" si="11"/>
        <v>0</v>
      </c>
      <c r="BP55" s="33" t="str">
        <f>tab_higiene[[#This Row],[Item]]</f>
        <v>Desinfetante (750mL)</v>
      </c>
      <c r="BQ55" s="33">
        <f t="shared" si="8"/>
        <v>13</v>
      </c>
      <c r="BR55" s="33" t="str">
        <f t="shared" si="9"/>
        <v>Desinfetante</v>
      </c>
      <c r="BS55" s="33">
        <f>higiene[[#This Row],[Quantidade]]</f>
        <v>3</v>
      </c>
      <c r="BT55" s="33">
        <f>tab_higiene[Qtde (tot)]</f>
        <v>5</v>
      </c>
      <c r="BU55" s="33">
        <f t="shared" si="12"/>
        <v>15</v>
      </c>
      <c r="BV55" s="37" t="s">
        <v>330</v>
      </c>
      <c r="BW55" s="33">
        <f t="shared" si="24"/>
        <v>0</v>
      </c>
    </row>
    <row r="56" spans="9:75" x14ac:dyDescent="0.25">
      <c r="I56" s="25" t="str">
        <f>alimentos[[#This Row],[Item]]</f>
        <v>Bolacha (170g)</v>
      </c>
      <c r="J56" s="1">
        <f>IFERROR(alimentos[[#This Row],[kg/embalagem]],0)</f>
        <v>0.17</v>
      </c>
      <c r="K56" s="1">
        <f>IFERROR(alimentos[[#This Row],[Preço]],0)</f>
        <v>2.11</v>
      </c>
      <c r="L56" s="1">
        <f>SUMIFS(super1[Qtde],super1[Item],tab_alimentos[[#This Row],[Item]],super1[Bairro],mercado1)+SUMIFS(supercb[Qtde],supercb[Item],tab_alimentos[[#This Row],[Item]],supercb[Bairro],mercado1)</f>
        <v>0</v>
      </c>
      <c r="M56" s="1">
        <f>SUMIFS(super1[Qtde],super1[Item],tab_alimentos[[#This Row],[Item]],super1[Bairro],mercado2)+SUMIFS(supercb[Qtde],supercb[Item],tab_alimentos[[#This Row],[Item]],supercb[Bairro],mercado2)</f>
        <v>0</v>
      </c>
      <c r="N56" s="1">
        <f>SUMIFS(super1[Qtde],super1[Item],tab_alimentos[[#This Row],[Item]],super1[Bairro],mercado3)+SUMIFS(supercb[Qtde],supercb[Item],tab_alimentos[[#This Row],[Item]],supercb[Bairro],mercado3)</f>
        <v>0</v>
      </c>
      <c r="O56" s="1">
        <f>SUMIFS(super1[Qtde],super1[Item],tab_alimentos[[#This Row],[Item]],super1[Bairro],mercado4)+SUMIFS(supercb[Qtde],supercb[Item],tab_alimentos[[#This Row],[Item]],supercb[Bairro],mercado4)</f>
        <v>1</v>
      </c>
      <c r="P56" s="1">
        <f>SUMIFS(super1[Qtde],super1[Item],tab_alimentos[[#This Row],[Item]],super1[Bairro],mercado5)+SUMIFS(supercb[Qtde],supercb[Item],tab_alimentos[[#This Row],[Item]],supercb[Bairro],mercado5)</f>
        <v>0</v>
      </c>
      <c r="Q56" s="1">
        <f>SUMIFS(super1[Qtde],super1[Item],tab_alimentos[[#This Row],[Item]],super1[Bairro],mercado6)+SUMIFS(supercb[Qtde],supercb[Item],tab_alimentos[[#This Row],[Item]],supercb[Bairro],mercado6)</f>
        <v>0</v>
      </c>
      <c r="R56" s="1">
        <f>SUMIFS(super1[Qtde],super1[Item],tab_alimentos[[#This Row],[Item]],super1[Bairro],mercado7)+SUMIFS(supercb[Qtde],supercb[Item],tab_alimentos[[#This Row],[Item]],supercb[Bairro],mercado7)</f>
        <v>0</v>
      </c>
      <c r="S56" s="1">
        <f>SUMIFS(super1[Qtde],super1[Item],tab_alimentos[[#This Row],[Item]],super1[Bairro],mercado8)+SUMIFS(supercb[Qtde],supercb[Item],tab_alimentos[[#This Row],[Item]],supercb[Bairro],mercado8)</f>
        <v>0</v>
      </c>
      <c r="T56" s="1">
        <f>SUMIFS(super1[Qtde],super1[Item],tab_alimentos[[#This Row],[Item]],super1[Bairro],mercado9)+SUMIFS(supercb[Qtde],supercb[Item],tab_alimentos[[#This Row],[Item]],supercb[Bairro],mercado9)</f>
        <v>0</v>
      </c>
      <c r="U56" s="1">
        <f>SUMIFS(super1[Qtde],super1[Item],tab_alimentos[[#This Row],[Item]],super1[Bairro],mercado10)+SUMIFS(supercb[Qtde],supercb[Item],tab_alimentos[[#This Row],[Item]],supercb[Bairro],mercado10)</f>
        <v>0</v>
      </c>
      <c r="V56" s="1">
        <f>SUMIFS(super1[Qtde],super1[Item],tab_alimentos[[#This Row],[Item]],super1[Bairro],mercado11)+SUMIFS(supercb[Qtde],supercb[Item],tab_alimentos[[#This Row],[Item]],supercb[Bairro],mercado11)</f>
        <v>0</v>
      </c>
      <c r="W56" s="1">
        <f>SUMIFS(super1[Qtde],super1[Item],tab_alimentos[[#This Row],[Item]],super1[Bairro],mercado12)+SUMIFS(supercb[Qtde],supercb[Item],tab_alimentos[[#This Row],[Item]],supercb[Bairro],mercado12)</f>
        <v>0</v>
      </c>
      <c r="X56" s="1">
        <f>SUMIFS(super1[Qtde],super1[Item],tab_alimentos[[#This Row],[Item]],super1[Bairro],mercado13)+SUMIFS(supercb[Qtde],supercb[Item],tab_alimentos[[#This Row],[Item]],supercb[Bairro],mercado13)</f>
        <v>0</v>
      </c>
      <c r="Y56" s="1">
        <f>SUMIFS(super1[Qtde],super1[Item],tab_alimentos[[#This Row],[Item]],super1[Bairro],mercado14)+SUMIFS(supercb[Qtde],supercb[Item],tab_alimentos[[#This Row],[Item]],supercb[Bairro],mercado14)</f>
        <v>0</v>
      </c>
      <c r="Z56" s="1">
        <f>SUMIFS(super1[Qtde],super1[Item],tab_alimentos[[#This Row],[Item]],super1[Bairro],mercado15)+SUMIFS(supercb[Qtde],supercb[Item],tab_alimentos[[#This Row],[Item]],supercb[Bairro],mercado15)</f>
        <v>0</v>
      </c>
      <c r="AA56" s="1">
        <f>SUMIFS(super1[Qtde],super1[Item],tab_alimentos[[#This Row],[Item]],super1[Bairro],mercado16)+SUMIFS(supercb[Qtde],supercb[Item],tab_alimentos[[#This Row],[Item]],supercb[Bairro],mercado16)</f>
        <v>0</v>
      </c>
      <c r="AB56" s="1">
        <f>SUMIFS(super1[Qtde],super1[Item],tab_alimentos[[#This Row],[Item]],super1[Bairro],mercado17)+SUMIFS(supercb[Qtde],supercb[Item],tab_alimentos[[#This Row],[Item]],supercb[Bairro],mercado17)</f>
        <v>0</v>
      </c>
      <c r="AC56" s="1">
        <f>SUMIFS(super1[Qtde],super1[Item],tab_alimentos[[#This Row],[Item]],super1[Bairro],mercado18)+SUMIFS(supercb[Qtde],supercb[Item],tab_alimentos[[#This Row],[Item]],supercb[Bairro],mercado18)</f>
        <v>0</v>
      </c>
      <c r="AD56" s="1">
        <f>SUMIFS(super1[Qtde],super1[Item],tab_alimentos[[#This Row],[Item]],super1[Bairro],extras)+SUMIFS(supercb[Qtde],supercb[Item],tab_alimentos[[#This Row],[Item]],supercb[Bairro],extras)</f>
        <v>0</v>
      </c>
      <c r="AE56" s="1">
        <f t="shared" si="18"/>
        <v>1</v>
      </c>
      <c r="AF56" s="1">
        <f t="shared" si="19"/>
        <v>2.11</v>
      </c>
      <c r="AG56" s="3">
        <f t="shared" si="20"/>
        <v>0.17</v>
      </c>
      <c r="AH56" s="25" t="str">
        <f>higiene[[#This Row],[Item]]</f>
        <v>Desinfetante(2L)</v>
      </c>
      <c r="AI56" s="1">
        <f>IFERROR(higiene[[#This Row],[Kg equivalente]],0)</f>
        <v>1.2528633490090388</v>
      </c>
      <c r="AJ56" s="1">
        <f>IFERROR(higiene[[#This Row],[Preço por produto]],0)</f>
        <v>4.1500000000000004</v>
      </c>
      <c r="AK56" s="1">
        <f>SUMIFS(super1[Qtde],super1[Item],tab_higiene[[#This Row],[Item]],super1[Bairro],mercado1)+SUMIFS(supercb[Qtde],supercb[Item],tab_higiene[[#This Row],[Item]],supercb[Bairro],mercado1)</f>
        <v>1</v>
      </c>
      <c r="AL56" s="1">
        <f>SUMIFS(super1[Qtde],super1[Item],tab_higiene[[#This Row],[Item]],super1[Bairro],mercado2)+SUMIFS(supercb[Qtde],supercb[Item],tab_higiene[[#This Row],[Item]],supercb[Bairro],mercado2)</f>
        <v>0</v>
      </c>
      <c r="AM56" s="1">
        <f>SUMIFS(super1[Qtde],super1[Item],tab_higiene[[#This Row],[Item]],super1[Bairro],mercado3)+SUMIFS(supercb[Qtde],supercb[Item],tab_higiene[[#This Row],[Item]],supercb[Bairro],mercado3)</f>
        <v>0</v>
      </c>
      <c r="AN56" s="1">
        <f>SUMIFS(super1[Qtde],super1[Item],tab_higiene[[#This Row],[Item]],super1[Bairro],mercado4)+SUMIFS(supercb[Qtde],supercb[Item],tab_higiene[[#This Row],[Item]],supercb[Bairro],mercado4)</f>
        <v>0</v>
      </c>
      <c r="AO56" s="1">
        <f>SUMIFS(super1[Qtde],super1[Item],tab_higiene[[#This Row],[Item]],super1[Bairro],mercado5)+SUMIFS(supercb[Qtde],supercb[Item],tab_higiene[[#This Row],[Item]],supercb[Bairro],mercado5)</f>
        <v>0</v>
      </c>
      <c r="AP56" s="1">
        <f>SUMIFS(super1[Qtde],super1[Item],tab_higiene[[#This Row],[Item]],super1[Bairro],mercado6)+SUMIFS(supercb[Qtde],supercb[Item],tab_higiene[[#This Row],[Item]],supercb[Bairro],mercado6)</f>
        <v>0</v>
      </c>
      <c r="AQ56" s="1">
        <f>SUMIFS(super1[Qtde],super1[Item],tab_higiene[[#This Row],[Item]],super1[Bairro],mercado7)+SUMIFS(supercb[Qtde],supercb[Item],tab_higiene[[#This Row],[Item]],supercb[Bairro],mercado7)</f>
        <v>0</v>
      </c>
      <c r="AR56" s="1">
        <f>SUMIFS(super1[Qtde],super1[Item],tab_higiene[[#This Row],[Item]],super1[Bairro],mercado8)+SUMIFS(supercb[Qtde],supercb[Item],tab_higiene[[#This Row],[Item]],supercb[Bairro],mercado8)</f>
        <v>1</v>
      </c>
      <c r="AS56" s="1">
        <f>SUMIFS(super1[Qtde],super1[Item],tab_higiene[[#This Row],[Item]],super1[Bairro],mercado9)+SUMIFS(supercb[Qtde],supercb[Item],tab_higiene[[#This Row],[Item]],supercb[Bairro],mercado9)</f>
        <v>0</v>
      </c>
      <c r="AT56" s="1">
        <f>SUMIFS(super1[Qtde],super1[Item],tab_higiene[[#This Row],[Item]],super1[Bairro],mercado10)+SUMIFS(supercb[Qtde],supercb[Item],tab_higiene[[#This Row],[Item]],supercb[Bairro],mercado10)</f>
        <v>2</v>
      </c>
      <c r="AU56" s="1">
        <f>SUMIFS(super1[Qtde],super1[Item],tab_higiene[[#This Row],[Item]],super1[Bairro],mercado11)+SUMIFS(supercb[Qtde],supercb[Item],tab_higiene[[#This Row],[Item]],supercb[Bairro],mercado11)</f>
        <v>2</v>
      </c>
      <c r="AV56" s="1">
        <f>SUMIFS(super1[Qtde],super1[Item],tab_higiene[[#This Row],[Item]],super1[Bairro],mercado12)+SUMIFS(supercb[Qtde],supercb[Item],tab_higiene[[#This Row],[Item]],supercb[Bairro],mercado12)</f>
        <v>0</v>
      </c>
      <c r="AW56" s="1">
        <f>SUMIFS(super1[Qtde],super1[Item],tab_higiene[[#This Row],[Item]],super1[Bairro],mercado13)+SUMIFS(supercb[Qtde],supercb[Item],tab_higiene[[#This Row],[Item]],supercb[Bairro],mercado13)</f>
        <v>0</v>
      </c>
      <c r="AX56" s="1">
        <f>SUMIFS(super1[Qtde],super1[Item],tab_higiene[[#This Row],[Item]],super1[Bairro],mercado14)+SUMIFS(supercb[Qtde],supercb[Item],tab_higiene[[#This Row],[Item]],supercb[Bairro],mercado14)</f>
        <v>0</v>
      </c>
      <c r="AY56" s="1">
        <f>SUMIFS(super1[Qtde],super1[Item],tab_higiene[[#This Row],[Item]],super1[Bairro],mercado15)+SUMIFS(supercb[Qtde],supercb[Item],tab_higiene[[#This Row],[Item]],supercb[Bairro],mercado15)</f>
        <v>0</v>
      </c>
      <c r="AZ56" s="1">
        <f>SUMIFS(super1[Qtde],super1[Item],tab_higiene[[#This Row],[Item]],super1[Bairro],mercado16)+SUMIFS(supercb[Qtde],supercb[Item],tab_higiene[[#This Row],[Item]],supercb[Bairro],mercado16)</f>
        <v>0</v>
      </c>
      <c r="BA56" s="1">
        <f>SUMIFS(super1[Qtde],super1[Item],tab_higiene[[#This Row],[Item]],super1[Bairro],mercado17)+SUMIFS(supercb[Qtde],supercb[Item],tab_higiene[[#This Row],[Item]],supercb[Bairro],mercado17)</f>
        <v>0</v>
      </c>
      <c r="BB56" s="1">
        <f>SUMIFS(super1[Qtde],super1[Item],tab_higiene[[#This Row],[Item]],super1[Bairro],mercado18)+SUMIFS(supercb[Qtde],supercb[Item],tab_higiene[[#This Row],[Item]],supercb[Bairro],mercado18)</f>
        <v>0</v>
      </c>
      <c r="BC56" s="1">
        <f>SUMIFS(super1[Qtde],super1[Item],tab_higiene[[#This Row],[Item]],super1[Bairro],extras)+SUMIFS(supercb[Qtde],supercb[Item],tab_higiene[[#This Row],[Item]],supercb[Bairro],extras)</f>
        <v>0</v>
      </c>
      <c r="BD56" s="1">
        <f t="shared" si="21"/>
        <v>6</v>
      </c>
      <c r="BE56" s="1">
        <f t="shared" si="22"/>
        <v>24.900000000000002</v>
      </c>
      <c r="BF56" s="26">
        <f t="shared" si="23"/>
        <v>7.5171800940542326</v>
      </c>
      <c r="BI56" s="33" t="str">
        <f>tab_alimentos[[#This Row],[Item]]</f>
        <v>Bolacha (170g)</v>
      </c>
      <c r="BJ56" s="33">
        <f t="shared" si="6"/>
        <v>8</v>
      </c>
      <c r="BK56" s="33" t="str">
        <f t="shared" si="7"/>
        <v>Bolacha</v>
      </c>
      <c r="BL56" s="33">
        <f>tab_alimentos[[#This Row],[kg]]</f>
        <v>0.17</v>
      </c>
      <c r="BM56" s="37" t="s">
        <v>153</v>
      </c>
      <c r="BN56" s="35">
        <f t="shared" si="11"/>
        <v>0</v>
      </c>
      <c r="BP56" s="33" t="str">
        <f>tab_higiene[[#This Row],[Item]]</f>
        <v>Desinfetante(2L)</v>
      </c>
      <c r="BQ56" s="33">
        <f t="shared" si="8"/>
        <v>0</v>
      </c>
      <c r="BR56" s="33" t="str">
        <f t="shared" si="9"/>
        <v>Desinfetante(2L)</v>
      </c>
      <c r="BS56" s="33">
        <f>higiene[[#This Row],[Quantidade]]</f>
        <v>4</v>
      </c>
      <c r="BT56" s="33">
        <f>tab_higiene[Qtde (tot)]</f>
        <v>6</v>
      </c>
      <c r="BU56" s="33">
        <f t="shared" si="12"/>
        <v>24</v>
      </c>
      <c r="BV56" s="37" t="s">
        <v>383</v>
      </c>
      <c r="BW56" s="33">
        <f t="shared" si="24"/>
        <v>0</v>
      </c>
    </row>
    <row r="57" spans="9:75" x14ac:dyDescent="0.25">
      <c r="I57" s="25" t="str">
        <f>alimentos[[#This Row],[Item]]</f>
        <v>Bolacha (200g)</v>
      </c>
      <c r="J57" s="1">
        <f>IFERROR(alimentos[[#This Row],[kg/embalagem]],0)</f>
        <v>0.2</v>
      </c>
      <c r="K57" s="1">
        <f>IFERROR(alimentos[[#This Row],[Preço]],0)</f>
        <v>2.5666666666666669</v>
      </c>
      <c r="L57" s="1">
        <f>SUMIFS(super1[Qtde],super1[Item],tab_alimentos[[#This Row],[Item]],super1[Bairro],mercado1)+SUMIFS(supercb[Qtde],supercb[Item],tab_alimentos[[#This Row],[Item]],supercb[Bairro],mercado1)</f>
        <v>5</v>
      </c>
      <c r="M57" s="1">
        <f>SUMIFS(super1[Qtde],super1[Item],tab_alimentos[[#This Row],[Item]],super1[Bairro],mercado2)+SUMIFS(supercb[Qtde],supercb[Item],tab_alimentos[[#This Row],[Item]],supercb[Bairro],mercado2)</f>
        <v>4</v>
      </c>
      <c r="N57" s="1">
        <f>SUMIFS(super1[Qtde],super1[Item],tab_alimentos[[#This Row],[Item]],super1[Bairro],mercado3)+SUMIFS(supercb[Qtde],supercb[Item],tab_alimentos[[#This Row],[Item]],supercb[Bairro],mercado3)</f>
        <v>2</v>
      </c>
      <c r="O57" s="1">
        <f>SUMIFS(super1[Qtde],super1[Item],tab_alimentos[[#This Row],[Item]],super1[Bairro],mercado4)+SUMIFS(supercb[Qtde],supercb[Item],tab_alimentos[[#This Row],[Item]],supercb[Bairro],mercado4)</f>
        <v>7</v>
      </c>
      <c r="P57" s="1">
        <f>SUMIFS(super1[Qtde],super1[Item],tab_alimentos[[#This Row],[Item]],super1[Bairro],mercado5)+SUMIFS(supercb[Qtde],supercb[Item],tab_alimentos[[#This Row],[Item]],supercb[Bairro],mercado5)</f>
        <v>7</v>
      </c>
      <c r="Q57" s="1">
        <f>SUMIFS(super1[Qtde],super1[Item],tab_alimentos[[#This Row],[Item]],super1[Bairro],mercado6)+SUMIFS(supercb[Qtde],supercb[Item],tab_alimentos[[#This Row],[Item]],supercb[Bairro],mercado6)</f>
        <v>10</v>
      </c>
      <c r="R57" s="1">
        <f>SUMIFS(super1[Qtde],super1[Item],tab_alimentos[[#This Row],[Item]],super1[Bairro],mercado7)+SUMIFS(supercb[Qtde],supercb[Item],tab_alimentos[[#This Row],[Item]],supercb[Bairro],mercado7)</f>
        <v>4</v>
      </c>
      <c r="S57" s="1">
        <f>SUMIFS(super1[Qtde],super1[Item],tab_alimentos[[#This Row],[Item]],super1[Bairro],mercado8)+SUMIFS(supercb[Qtde],supercb[Item],tab_alimentos[[#This Row],[Item]],supercb[Bairro],mercado8)</f>
        <v>2</v>
      </c>
      <c r="T57" s="1">
        <f>SUMIFS(super1[Qtde],super1[Item],tab_alimentos[[#This Row],[Item]],super1[Bairro],mercado9)+SUMIFS(supercb[Qtde],supercb[Item],tab_alimentos[[#This Row],[Item]],supercb[Bairro],mercado9)</f>
        <v>1</v>
      </c>
      <c r="U57" s="1">
        <f>SUMIFS(super1[Qtde],super1[Item],tab_alimentos[[#This Row],[Item]],super1[Bairro],mercado10)+SUMIFS(supercb[Qtde],supercb[Item],tab_alimentos[[#This Row],[Item]],supercb[Bairro],mercado10)</f>
        <v>5</v>
      </c>
      <c r="V57" s="1">
        <f>SUMIFS(super1[Qtde],super1[Item],tab_alimentos[[#This Row],[Item]],super1[Bairro],mercado11)+SUMIFS(supercb[Qtde],supercb[Item],tab_alimentos[[#This Row],[Item]],supercb[Bairro],mercado11)</f>
        <v>0</v>
      </c>
      <c r="W57" s="1">
        <f>SUMIFS(super1[Qtde],super1[Item],tab_alimentos[[#This Row],[Item]],super1[Bairro],mercado12)+SUMIFS(supercb[Qtde],supercb[Item],tab_alimentos[[#This Row],[Item]],supercb[Bairro],mercado12)</f>
        <v>0</v>
      </c>
      <c r="X57" s="1">
        <f>SUMIFS(super1[Qtde],super1[Item],tab_alimentos[[#This Row],[Item]],super1[Bairro],mercado13)+SUMIFS(supercb[Qtde],supercb[Item],tab_alimentos[[#This Row],[Item]],supercb[Bairro],mercado13)</f>
        <v>1</v>
      </c>
      <c r="Y57" s="1">
        <f>SUMIFS(super1[Qtde],super1[Item],tab_alimentos[[#This Row],[Item]],super1[Bairro],mercado14)+SUMIFS(supercb[Qtde],supercb[Item],tab_alimentos[[#This Row],[Item]],supercb[Bairro],mercado14)</f>
        <v>0</v>
      </c>
      <c r="Z57" s="1">
        <f>SUMIFS(super1[Qtde],super1[Item],tab_alimentos[[#This Row],[Item]],super1[Bairro],mercado15)+SUMIFS(supercb[Qtde],supercb[Item],tab_alimentos[[#This Row],[Item]],supercb[Bairro],mercado15)</f>
        <v>0</v>
      </c>
      <c r="AA57" s="1">
        <f>SUMIFS(super1[Qtde],super1[Item],tab_alimentos[[#This Row],[Item]],super1[Bairro],mercado16)+SUMIFS(supercb[Qtde],supercb[Item],tab_alimentos[[#This Row],[Item]],supercb[Bairro],mercado16)</f>
        <v>0</v>
      </c>
      <c r="AB57" s="1">
        <f>SUMIFS(super1[Qtde],super1[Item],tab_alimentos[[#This Row],[Item]],super1[Bairro],mercado17)+SUMIFS(supercb[Qtde],supercb[Item],tab_alimentos[[#This Row],[Item]],supercb[Bairro],mercado17)</f>
        <v>0</v>
      </c>
      <c r="AC57" s="1">
        <f>SUMIFS(super1[Qtde],super1[Item],tab_alimentos[[#This Row],[Item]],super1[Bairro],mercado18)+SUMIFS(supercb[Qtde],supercb[Item],tab_alimentos[[#This Row],[Item]],supercb[Bairro],mercado18)</f>
        <v>0</v>
      </c>
      <c r="AD57" s="1">
        <f>SUMIFS(super1[Qtde],super1[Item],tab_alimentos[[#This Row],[Item]],super1[Bairro],extras)+SUMIFS(supercb[Qtde],supercb[Item],tab_alimentos[[#This Row],[Item]],supercb[Bairro],extras)</f>
        <v>0</v>
      </c>
      <c r="AE57" s="1">
        <f t="shared" si="18"/>
        <v>48</v>
      </c>
      <c r="AF57" s="1">
        <f t="shared" si="19"/>
        <v>123.20000000000002</v>
      </c>
      <c r="AG57" s="3">
        <f t="shared" si="20"/>
        <v>9.6000000000000014</v>
      </c>
      <c r="AH57" s="25" t="str">
        <f>higiene[[#This Row],[Item]]</f>
        <v>Desinfetante(500mL)</v>
      </c>
      <c r="AI57" s="1">
        <f>IFERROR(higiene[[#This Row],[Kg equivalente]],0)</f>
        <v>0.8060590703262972</v>
      </c>
      <c r="AJ57" s="1">
        <f>IFERROR(higiene[[#This Row],[Preço por produto]],0)</f>
        <v>2.6700000000000004</v>
      </c>
      <c r="AK57" s="1">
        <f>SUMIFS(super1[Qtde],super1[Item],tab_higiene[[#This Row],[Item]],super1[Bairro],mercado1)+SUMIFS(supercb[Qtde],supercb[Item],tab_higiene[[#This Row],[Item]],supercb[Bairro],mercado1)</f>
        <v>0</v>
      </c>
      <c r="AL57" s="1">
        <f>SUMIFS(super1[Qtde],super1[Item],tab_higiene[[#This Row],[Item]],super1[Bairro],mercado2)+SUMIFS(supercb[Qtde],supercb[Item],tab_higiene[[#This Row],[Item]],supercb[Bairro],mercado2)</f>
        <v>0</v>
      </c>
      <c r="AM57" s="1">
        <f>SUMIFS(super1[Qtde],super1[Item],tab_higiene[[#This Row],[Item]],super1[Bairro],mercado3)+SUMIFS(supercb[Qtde],supercb[Item],tab_higiene[[#This Row],[Item]],supercb[Bairro],mercado3)</f>
        <v>1</v>
      </c>
      <c r="AN57" s="1">
        <f>SUMIFS(super1[Qtde],super1[Item],tab_higiene[[#This Row],[Item]],super1[Bairro],mercado4)+SUMIFS(supercb[Qtde],supercb[Item],tab_higiene[[#This Row],[Item]],supercb[Bairro],mercado4)</f>
        <v>4</v>
      </c>
      <c r="AO57" s="1">
        <f>SUMIFS(super1[Qtde],super1[Item],tab_higiene[[#This Row],[Item]],super1[Bairro],mercado5)+SUMIFS(supercb[Qtde],supercb[Item],tab_higiene[[#This Row],[Item]],supercb[Bairro],mercado5)</f>
        <v>2</v>
      </c>
      <c r="AP57" s="1">
        <f>SUMIFS(super1[Qtde],super1[Item],tab_higiene[[#This Row],[Item]],super1[Bairro],mercado6)+SUMIFS(supercb[Qtde],supercb[Item],tab_higiene[[#This Row],[Item]],supercb[Bairro],mercado6)</f>
        <v>0</v>
      </c>
      <c r="AQ57" s="1">
        <f>SUMIFS(super1[Qtde],super1[Item],tab_higiene[[#This Row],[Item]],super1[Bairro],mercado7)+SUMIFS(supercb[Qtde],supercb[Item],tab_higiene[[#This Row],[Item]],supercb[Bairro],mercado7)</f>
        <v>1</v>
      </c>
      <c r="AR57" s="1">
        <f>SUMIFS(super1[Qtde],super1[Item],tab_higiene[[#This Row],[Item]],super1[Bairro],mercado8)+SUMIFS(supercb[Qtde],supercb[Item],tab_higiene[[#This Row],[Item]],supercb[Bairro],mercado8)</f>
        <v>0</v>
      </c>
      <c r="AS57" s="1">
        <f>SUMIFS(super1[Qtde],super1[Item],tab_higiene[[#This Row],[Item]],super1[Bairro],mercado9)+SUMIFS(supercb[Qtde],supercb[Item],tab_higiene[[#This Row],[Item]],supercb[Bairro],mercado9)</f>
        <v>6</v>
      </c>
      <c r="AT57" s="1">
        <f>SUMIFS(super1[Qtde],super1[Item],tab_higiene[[#This Row],[Item]],super1[Bairro],mercado10)+SUMIFS(supercb[Qtde],supercb[Item],tab_higiene[[#This Row],[Item]],supercb[Bairro],mercado10)</f>
        <v>0</v>
      </c>
      <c r="AU57" s="1">
        <f>SUMIFS(super1[Qtde],super1[Item],tab_higiene[[#This Row],[Item]],super1[Bairro],mercado11)+SUMIFS(supercb[Qtde],supercb[Item],tab_higiene[[#This Row],[Item]],supercb[Bairro],mercado11)</f>
        <v>1</v>
      </c>
      <c r="AV57" s="1">
        <f>SUMIFS(super1[Qtde],super1[Item],tab_higiene[[#This Row],[Item]],super1[Bairro],mercado12)+SUMIFS(supercb[Qtde],supercb[Item],tab_higiene[[#This Row],[Item]],supercb[Bairro],mercado12)</f>
        <v>0</v>
      </c>
      <c r="AW57" s="1">
        <f>SUMIFS(super1[Qtde],super1[Item],tab_higiene[[#This Row],[Item]],super1[Bairro],mercado13)+SUMIFS(supercb[Qtde],supercb[Item],tab_higiene[[#This Row],[Item]],supercb[Bairro],mercado13)</f>
        <v>2</v>
      </c>
      <c r="AX57" s="1">
        <f>SUMIFS(super1[Qtde],super1[Item],tab_higiene[[#This Row],[Item]],super1[Bairro],mercado14)+SUMIFS(supercb[Qtde],supercb[Item],tab_higiene[[#This Row],[Item]],supercb[Bairro],mercado14)</f>
        <v>0</v>
      </c>
      <c r="AY57" s="1">
        <f>SUMIFS(super1[Qtde],super1[Item],tab_higiene[[#This Row],[Item]],super1[Bairro],mercado15)+SUMIFS(supercb[Qtde],supercb[Item],tab_higiene[[#This Row],[Item]],supercb[Bairro],mercado15)</f>
        <v>0</v>
      </c>
      <c r="AZ57" s="1">
        <f>SUMIFS(super1[Qtde],super1[Item],tab_higiene[[#This Row],[Item]],super1[Bairro],mercado16)+SUMIFS(supercb[Qtde],supercb[Item],tab_higiene[[#This Row],[Item]],supercb[Bairro],mercado16)</f>
        <v>0</v>
      </c>
      <c r="BA57" s="1">
        <f>SUMIFS(super1[Qtde],super1[Item],tab_higiene[[#This Row],[Item]],super1[Bairro],mercado17)+SUMIFS(supercb[Qtde],supercb[Item],tab_higiene[[#This Row],[Item]],supercb[Bairro],mercado17)</f>
        <v>0</v>
      </c>
      <c r="BB57" s="1">
        <f>SUMIFS(super1[Qtde],super1[Item],tab_higiene[[#This Row],[Item]],super1[Bairro],mercado18)+SUMIFS(supercb[Qtde],supercb[Item],tab_higiene[[#This Row],[Item]],supercb[Bairro],mercado18)</f>
        <v>0</v>
      </c>
      <c r="BC57" s="1">
        <f>SUMIFS(super1[Qtde],super1[Item],tab_higiene[[#This Row],[Item]],super1[Bairro],extras)+SUMIFS(supercb[Qtde],supercb[Item],tab_higiene[[#This Row],[Item]],supercb[Bairro],extras)</f>
        <v>0</v>
      </c>
      <c r="BD57" s="1">
        <f t="shared" si="21"/>
        <v>17</v>
      </c>
      <c r="BE57" s="1">
        <f t="shared" si="22"/>
        <v>45.390000000000008</v>
      </c>
      <c r="BF57" s="26">
        <f t="shared" si="23"/>
        <v>13.703004195547052</v>
      </c>
      <c r="BI57" s="33" t="str">
        <f>tab_alimentos[[#This Row],[Item]]</f>
        <v>Bolacha (200g)</v>
      </c>
      <c r="BJ57" s="33">
        <f t="shared" si="6"/>
        <v>8</v>
      </c>
      <c r="BK57" s="33" t="str">
        <f t="shared" si="7"/>
        <v>Bolacha</v>
      </c>
      <c r="BL57" s="33">
        <f>tab_alimentos[[#This Row],[kg]]</f>
        <v>9.6000000000000014</v>
      </c>
      <c r="BM57" s="37" t="s">
        <v>296</v>
      </c>
      <c r="BN57" s="35">
        <f t="shared" si="11"/>
        <v>0</v>
      </c>
      <c r="BP57" s="33" t="str">
        <f>tab_higiene[[#This Row],[Item]]</f>
        <v>Desinfetante(500mL)</v>
      </c>
      <c r="BQ57" s="33">
        <f t="shared" si="8"/>
        <v>0</v>
      </c>
      <c r="BR57" s="33" t="str">
        <f t="shared" si="9"/>
        <v>Desinfetante(500mL)</v>
      </c>
      <c r="BS57" s="33">
        <f>higiene[[#This Row],[Quantidade]]</f>
        <v>1</v>
      </c>
      <c r="BT57" s="33">
        <f>tab_higiene[Qtde (tot)]</f>
        <v>17</v>
      </c>
      <c r="BU57" s="33">
        <f t="shared" si="12"/>
        <v>17</v>
      </c>
      <c r="BV57" s="37" t="s">
        <v>331</v>
      </c>
      <c r="BW57" s="33">
        <f t="shared" si="24"/>
        <v>0</v>
      </c>
    </row>
    <row r="58" spans="9:75" x14ac:dyDescent="0.25">
      <c r="I58" s="25" t="str">
        <f>alimentos[[#This Row],[Item]]</f>
        <v>Bolacha (250g)</v>
      </c>
      <c r="J58" s="1">
        <f>IFERROR(alimentos[[#This Row],[kg/embalagem]],0)</f>
        <v>0.25</v>
      </c>
      <c r="K58" s="1">
        <f>IFERROR(alimentos[[#This Row],[Preço]],0)</f>
        <v>7.59</v>
      </c>
      <c r="L58" s="1">
        <f>SUMIFS(super1[Qtde],super1[Item],tab_alimentos[[#This Row],[Item]],super1[Bairro],mercado1)+SUMIFS(supercb[Qtde],supercb[Item],tab_alimentos[[#This Row],[Item]],supercb[Bairro],mercado1)</f>
        <v>0</v>
      </c>
      <c r="M58" s="1">
        <f>SUMIFS(super1[Qtde],super1[Item],tab_alimentos[[#This Row],[Item]],super1[Bairro],mercado2)+SUMIFS(supercb[Qtde],supercb[Item],tab_alimentos[[#This Row],[Item]],supercb[Bairro],mercado2)</f>
        <v>0</v>
      </c>
      <c r="N58" s="1">
        <f>SUMIFS(super1[Qtde],super1[Item],tab_alimentos[[#This Row],[Item]],super1[Bairro],mercado3)+SUMIFS(supercb[Qtde],supercb[Item],tab_alimentos[[#This Row],[Item]],supercb[Bairro],mercado3)</f>
        <v>0</v>
      </c>
      <c r="O58" s="1">
        <f>SUMIFS(super1[Qtde],super1[Item],tab_alimentos[[#This Row],[Item]],super1[Bairro],mercado4)+SUMIFS(supercb[Qtde],supercb[Item],tab_alimentos[[#This Row],[Item]],supercb[Bairro],mercado4)</f>
        <v>0</v>
      </c>
      <c r="P58" s="1">
        <f>SUMIFS(super1[Qtde],super1[Item],tab_alimentos[[#This Row],[Item]],super1[Bairro],mercado5)+SUMIFS(supercb[Qtde],supercb[Item],tab_alimentos[[#This Row],[Item]],supercb[Bairro],mercado5)</f>
        <v>0</v>
      </c>
      <c r="Q58" s="1">
        <f>SUMIFS(super1[Qtde],super1[Item],tab_alimentos[[#This Row],[Item]],super1[Bairro],mercado6)+SUMIFS(supercb[Qtde],supercb[Item],tab_alimentos[[#This Row],[Item]],supercb[Bairro],mercado6)</f>
        <v>0</v>
      </c>
      <c r="R58" s="1">
        <f>SUMIFS(super1[Qtde],super1[Item],tab_alimentos[[#This Row],[Item]],super1[Bairro],mercado7)+SUMIFS(supercb[Qtde],supercb[Item],tab_alimentos[[#This Row],[Item]],supercb[Bairro],mercado7)</f>
        <v>0</v>
      </c>
      <c r="S58" s="1">
        <f>SUMIFS(super1[Qtde],super1[Item],tab_alimentos[[#This Row],[Item]],super1[Bairro],mercado8)+SUMIFS(supercb[Qtde],supercb[Item],tab_alimentos[[#This Row],[Item]],supercb[Bairro],mercado8)</f>
        <v>0</v>
      </c>
      <c r="T58" s="1">
        <f>SUMIFS(super1[Qtde],super1[Item],tab_alimentos[[#This Row],[Item]],super1[Bairro],mercado9)+SUMIFS(supercb[Qtde],supercb[Item],tab_alimentos[[#This Row],[Item]],supercb[Bairro],mercado9)</f>
        <v>0</v>
      </c>
      <c r="U58" s="1">
        <f>SUMIFS(super1[Qtde],super1[Item],tab_alimentos[[#This Row],[Item]],super1[Bairro],mercado10)+SUMIFS(supercb[Qtde],supercb[Item],tab_alimentos[[#This Row],[Item]],supercb[Bairro],mercado10)</f>
        <v>0</v>
      </c>
      <c r="V58" s="1">
        <f>SUMIFS(super1[Qtde],super1[Item],tab_alimentos[[#This Row],[Item]],super1[Bairro],mercado11)+SUMIFS(supercb[Qtde],supercb[Item],tab_alimentos[[#This Row],[Item]],supercb[Bairro],mercado11)</f>
        <v>0</v>
      </c>
      <c r="W58" s="1">
        <f>SUMIFS(super1[Qtde],super1[Item],tab_alimentos[[#This Row],[Item]],super1[Bairro],mercado12)+SUMIFS(supercb[Qtde],supercb[Item],tab_alimentos[[#This Row],[Item]],supercb[Bairro],mercado12)</f>
        <v>0</v>
      </c>
      <c r="X58" s="1">
        <f>SUMIFS(super1[Qtde],super1[Item],tab_alimentos[[#This Row],[Item]],super1[Bairro],mercado13)+SUMIFS(supercb[Qtde],supercb[Item],tab_alimentos[[#This Row],[Item]],supercb[Bairro],mercado13)</f>
        <v>0</v>
      </c>
      <c r="Y58" s="1">
        <f>SUMIFS(super1[Qtde],super1[Item],tab_alimentos[[#This Row],[Item]],super1[Bairro],mercado14)+SUMIFS(supercb[Qtde],supercb[Item],tab_alimentos[[#This Row],[Item]],supercb[Bairro],mercado14)</f>
        <v>0</v>
      </c>
      <c r="Z58" s="1">
        <f>SUMIFS(super1[Qtde],super1[Item],tab_alimentos[[#This Row],[Item]],super1[Bairro],mercado15)+SUMIFS(supercb[Qtde],supercb[Item],tab_alimentos[[#This Row],[Item]],supercb[Bairro],mercado15)</f>
        <v>0</v>
      </c>
      <c r="AA58" s="1">
        <f>SUMIFS(super1[Qtde],super1[Item],tab_alimentos[[#This Row],[Item]],super1[Bairro],mercado16)+SUMIFS(supercb[Qtde],supercb[Item],tab_alimentos[[#This Row],[Item]],supercb[Bairro],mercado16)</f>
        <v>0</v>
      </c>
      <c r="AB58" s="1">
        <f>SUMIFS(super1[Qtde],super1[Item],tab_alimentos[[#This Row],[Item]],super1[Bairro],mercado17)+SUMIFS(supercb[Qtde],supercb[Item],tab_alimentos[[#This Row],[Item]],supercb[Bairro],mercado17)</f>
        <v>0</v>
      </c>
      <c r="AC58" s="1">
        <f>SUMIFS(super1[Qtde],super1[Item],tab_alimentos[[#This Row],[Item]],super1[Bairro],mercado18)+SUMIFS(supercb[Qtde],supercb[Item],tab_alimentos[[#This Row],[Item]],supercb[Bairro],mercado18)</f>
        <v>0</v>
      </c>
      <c r="AD58" s="1">
        <f>SUMIFS(super1[Qtde],super1[Item],tab_alimentos[[#This Row],[Item]],super1[Bairro],extras)+SUMIFS(supercb[Qtde],supercb[Item],tab_alimentos[[#This Row],[Item]],supercb[Bairro],extras)</f>
        <v>0</v>
      </c>
      <c r="AE58" s="1">
        <f t="shared" si="18"/>
        <v>0</v>
      </c>
      <c r="AF58" s="1">
        <f t="shared" si="19"/>
        <v>0</v>
      </c>
      <c r="AG58" s="3">
        <f t="shared" si="20"/>
        <v>0</v>
      </c>
      <c r="AH58" s="25" t="str">
        <f>higiene[[#This Row],[Item]]</f>
        <v>Desodorante</v>
      </c>
      <c r="AI58" s="1">
        <f>IFERROR(higiene[[#This Row],[Kg equivalente]],0)</f>
        <v>1.9031447113621638</v>
      </c>
      <c r="AJ58" s="1">
        <f>IFERROR(higiene[[#This Row],[Preço por produto]],0)</f>
        <v>6.3040000000000003</v>
      </c>
      <c r="AK58" s="1">
        <f>SUMIFS(super1[Qtde],super1[Item],tab_higiene[[#This Row],[Item]],super1[Bairro],mercado1)+SUMIFS(supercb[Qtde],supercb[Item],tab_higiene[[#This Row],[Item]],supercb[Bairro],mercado1)</f>
        <v>0</v>
      </c>
      <c r="AL58" s="1">
        <f>SUMIFS(super1[Qtde],super1[Item],tab_higiene[[#This Row],[Item]],super1[Bairro],mercado2)+SUMIFS(supercb[Qtde],supercb[Item],tab_higiene[[#This Row],[Item]],supercb[Bairro],mercado2)</f>
        <v>0</v>
      </c>
      <c r="AM58" s="1">
        <f>SUMIFS(super1[Qtde],super1[Item],tab_higiene[[#This Row],[Item]],super1[Bairro],mercado3)+SUMIFS(supercb[Qtde],supercb[Item],tab_higiene[[#This Row],[Item]],supercb[Bairro],mercado3)</f>
        <v>0</v>
      </c>
      <c r="AN58" s="1">
        <f>SUMIFS(super1[Qtde],super1[Item],tab_higiene[[#This Row],[Item]],super1[Bairro],mercado4)+SUMIFS(supercb[Qtde],supercb[Item],tab_higiene[[#This Row],[Item]],supercb[Bairro],mercado4)</f>
        <v>0</v>
      </c>
      <c r="AO58" s="1">
        <f>SUMIFS(super1[Qtde],super1[Item],tab_higiene[[#This Row],[Item]],super1[Bairro],mercado5)+SUMIFS(supercb[Qtde],supercb[Item],tab_higiene[[#This Row],[Item]],supercb[Bairro],mercado5)</f>
        <v>0</v>
      </c>
      <c r="AP58" s="1">
        <f>SUMIFS(super1[Qtde],super1[Item],tab_higiene[[#This Row],[Item]],super1[Bairro],mercado6)+SUMIFS(supercb[Qtde],supercb[Item],tab_higiene[[#This Row],[Item]],supercb[Bairro],mercado6)</f>
        <v>0</v>
      </c>
      <c r="AQ58" s="1">
        <f>SUMIFS(super1[Qtde],super1[Item],tab_higiene[[#This Row],[Item]],super1[Bairro],mercado7)+SUMIFS(supercb[Qtde],supercb[Item],tab_higiene[[#This Row],[Item]],supercb[Bairro],mercado7)</f>
        <v>0</v>
      </c>
      <c r="AR58" s="1">
        <f>SUMIFS(super1[Qtde],super1[Item],tab_higiene[[#This Row],[Item]],super1[Bairro],mercado8)+SUMIFS(supercb[Qtde],supercb[Item],tab_higiene[[#This Row],[Item]],supercb[Bairro],mercado8)</f>
        <v>1</v>
      </c>
      <c r="AS58" s="1">
        <f>SUMIFS(super1[Qtde],super1[Item],tab_higiene[[#This Row],[Item]],super1[Bairro],mercado9)+SUMIFS(supercb[Qtde],supercb[Item],tab_higiene[[#This Row],[Item]],supercb[Bairro],mercado9)</f>
        <v>0</v>
      </c>
      <c r="AT58" s="1">
        <f>SUMIFS(super1[Qtde],super1[Item],tab_higiene[[#This Row],[Item]],super1[Bairro],mercado10)+SUMIFS(supercb[Qtde],supercb[Item],tab_higiene[[#This Row],[Item]],supercb[Bairro],mercado10)</f>
        <v>0</v>
      </c>
      <c r="AU58" s="1">
        <f>SUMIFS(super1[Qtde],super1[Item],tab_higiene[[#This Row],[Item]],super1[Bairro],mercado11)+SUMIFS(supercb[Qtde],supercb[Item],tab_higiene[[#This Row],[Item]],supercb[Bairro],mercado11)</f>
        <v>3</v>
      </c>
      <c r="AV58" s="1">
        <f>SUMIFS(super1[Qtde],super1[Item],tab_higiene[[#This Row],[Item]],super1[Bairro],mercado12)+SUMIFS(supercb[Qtde],supercb[Item],tab_higiene[[#This Row],[Item]],supercb[Bairro],mercado12)</f>
        <v>0</v>
      </c>
      <c r="AW58" s="1">
        <f>SUMIFS(super1[Qtde],super1[Item],tab_higiene[[#This Row],[Item]],super1[Bairro],mercado13)+SUMIFS(supercb[Qtde],supercb[Item],tab_higiene[[#This Row],[Item]],supercb[Bairro],mercado13)</f>
        <v>0</v>
      </c>
      <c r="AX58" s="1">
        <f>SUMIFS(super1[Qtde],super1[Item],tab_higiene[[#This Row],[Item]],super1[Bairro],mercado14)+SUMIFS(supercb[Qtde],supercb[Item],tab_higiene[[#This Row],[Item]],supercb[Bairro],mercado14)</f>
        <v>0</v>
      </c>
      <c r="AY58" s="1">
        <f>SUMIFS(super1[Qtde],super1[Item],tab_higiene[[#This Row],[Item]],super1[Bairro],mercado15)+SUMIFS(supercb[Qtde],supercb[Item],tab_higiene[[#This Row],[Item]],supercb[Bairro],mercado15)</f>
        <v>0</v>
      </c>
      <c r="AZ58" s="1">
        <f>SUMIFS(super1[Qtde],super1[Item],tab_higiene[[#This Row],[Item]],super1[Bairro],mercado16)+SUMIFS(supercb[Qtde],supercb[Item],tab_higiene[[#This Row],[Item]],supercb[Bairro],mercado16)</f>
        <v>0</v>
      </c>
      <c r="BA58" s="1">
        <f>SUMIFS(super1[Qtde],super1[Item],tab_higiene[[#This Row],[Item]],super1[Bairro],mercado17)+SUMIFS(supercb[Qtde],supercb[Item],tab_higiene[[#This Row],[Item]],supercb[Bairro],mercado17)</f>
        <v>0</v>
      </c>
      <c r="BB58" s="1">
        <f>SUMIFS(super1[Qtde],super1[Item],tab_higiene[[#This Row],[Item]],super1[Bairro],mercado18)+SUMIFS(supercb[Qtde],supercb[Item],tab_higiene[[#This Row],[Item]],supercb[Bairro],mercado18)</f>
        <v>0</v>
      </c>
      <c r="BC58" s="1">
        <f>SUMIFS(super1[Qtde],super1[Item],tab_higiene[[#This Row],[Item]],super1[Bairro],extras)+SUMIFS(supercb[Qtde],supercb[Item],tab_higiene[[#This Row],[Item]],supercb[Bairro],extras)</f>
        <v>0</v>
      </c>
      <c r="BD58" s="1">
        <f t="shared" si="21"/>
        <v>4</v>
      </c>
      <c r="BE58" s="1">
        <f t="shared" si="22"/>
        <v>25.216000000000001</v>
      </c>
      <c r="BF58" s="26">
        <f t="shared" si="23"/>
        <v>7.6125788454486552</v>
      </c>
      <c r="BI58" s="33" t="str">
        <f>tab_alimentos[[#This Row],[Item]]</f>
        <v>Bolacha (250g)</v>
      </c>
      <c r="BJ58" s="33">
        <f t="shared" si="6"/>
        <v>8</v>
      </c>
      <c r="BK58" s="33" t="str">
        <f t="shared" si="7"/>
        <v>Bolacha</v>
      </c>
      <c r="BL58" s="33">
        <f>tab_alimentos[[#This Row],[kg]]</f>
        <v>0</v>
      </c>
      <c r="BM58" s="37" t="s">
        <v>151</v>
      </c>
      <c r="BN58" s="35">
        <f t="shared" si="11"/>
        <v>0</v>
      </c>
      <c r="BP58" s="33" t="str">
        <f>tab_higiene[[#This Row],[Item]]</f>
        <v>Desodorante</v>
      </c>
      <c r="BQ58" s="33">
        <f t="shared" si="8"/>
        <v>0</v>
      </c>
      <c r="BR58" s="33" t="str">
        <f t="shared" si="9"/>
        <v>Desodorante</v>
      </c>
      <c r="BS58" s="33">
        <f>higiene[[#This Row],[Quantidade]]</f>
        <v>0</v>
      </c>
      <c r="BT58" s="33">
        <f>tab_higiene[Qtde (tot)]</f>
        <v>4</v>
      </c>
      <c r="BU58" s="33">
        <f t="shared" si="12"/>
        <v>0</v>
      </c>
      <c r="BV58" s="37" t="s">
        <v>332</v>
      </c>
      <c r="BW58" s="33">
        <f t="shared" si="24"/>
        <v>0</v>
      </c>
    </row>
    <row r="59" spans="9:75" x14ac:dyDescent="0.25">
      <c r="I59" s="25" t="str">
        <f>alimentos[[#This Row],[Item]]</f>
        <v>Bolacha (300g)</v>
      </c>
      <c r="J59" s="1">
        <f>IFERROR(alimentos[[#This Row],[kg/embalagem]],0)</f>
        <v>0.3</v>
      </c>
      <c r="K59" s="1">
        <f>IFERROR(alimentos[[#This Row],[Preço]],0)</f>
        <v>3.2900000000000005</v>
      </c>
      <c r="L59" s="1">
        <f>SUMIFS(super1[Qtde],super1[Item],tab_alimentos[[#This Row],[Item]],super1[Bairro],mercado1)+SUMIFS(supercb[Qtde],supercb[Item],tab_alimentos[[#This Row],[Item]],supercb[Bairro],mercado1)</f>
        <v>3</v>
      </c>
      <c r="M59" s="1">
        <f>SUMIFS(super1[Qtde],super1[Item],tab_alimentos[[#This Row],[Item]],super1[Bairro],mercado2)+SUMIFS(supercb[Qtde],supercb[Item],tab_alimentos[[#This Row],[Item]],supercb[Bairro],mercado2)</f>
        <v>3</v>
      </c>
      <c r="N59" s="1">
        <f>SUMIFS(super1[Qtde],super1[Item],tab_alimentos[[#This Row],[Item]],super1[Bairro],mercado3)+SUMIFS(supercb[Qtde],supercb[Item],tab_alimentos[[#This Row],[Item]],supercb[Bairro],mercado3)</f>
        <v>0</v>
      </c>
      <c r="O59" s="1">
        <f>SUMIFS(super1[Qtde],super1[Item],tab_alimentos[[#This Row],[Item]],super1[Bairro],mercado4)+SUMIFS(supercb[Qtde],supercb[Item],tab_alimentos[[#This Row],[Item]],supercb[Bairro],mercado4)</f>
        <v>0</v>
      </c>
      <c r="P59" s="1">
        <f>SUMIFS(super1[Qtde],super1[Item],tab_alimentos[[#This Row],[Item]],super1[Bairro],mercado5)+SUMIFS(supercb[Qtde],supercb[Item],tab_alimentos[[#This Row],[Item]],supercb[Bairro],mercado5)</f>
        <v>4</v>
      </c>
      <c r="Q59" s="1">
        <f>SUMIFS(super1[Qtde],super1[Item],tab_alimentos[[#This Row],[Item]],super1[Bairro],mercado6)+SUMIFS(supercb[Qtde],supercb[Item],tab_alimentos[[#This Row],[Item]],supercb[Bairro],mercado6)</f>
        <v>9</v>
      </c>
      <c r="R59" s="1">
        <f>SUMIFS(super1[Qtde],super1[Item],tab_alimentos[[#This Row],[Item]],super1[Bairro],mercado7)+SUMIFS(supercb[Qtde],supercb[Item],tab_alimentos[[#This Row],[Item]],supercb[Bairro],mercado7)</f>
        <v>1</v>
      </c>
      <c r="S59" s="1">
        <f>SUMIFS(super1[Qtde],super1[Item],tab_alimentos[[#This Row],[Item]],super1[Bairro],mercado8)+SUMIFS(supercb[Qtde],supercb[Item],tab_alimentos[[#This Row],[Item]],supercb[Bairro],mercado8)</f>
        <v>4</v>
      </c>
      <c r="T59" s="1">
        <f>SUMIFS(super1[Qtde],super1[Item],tab_alimentos[[#This Row],[Item]],super1[Bairro],mercado9)+SUMIFS(supercb[Qtde],supercb[Item],tab_alimentos[[#This Row],[Item]],supercb[Bairro],mercado9)</f>
        <v>0</v>
      </c>
      <c r="U59" s="1">
        <f>SUMIFS(super1[Qtde],super1[Item],tab_alimentos[[#This Row],[Item]],super1[Bairro],mercado10)+SUMIFS(supercb[Qtde],supercb[Item],tab_alimentos[[#This Row],[Item]],supercb[Bairro],mercado10)</f>
        <v>1</v>
      </c>
      <c r="V59" s="1">
        <f>SUMIFS(super1[Qtde],super1[Item],tab_alimentos[[#This Row],[Item]],super1[Bairro],mercado11)+SUMIFS(supercb[Qtde],supercb[Item],tab_alimentos[[#This Row],[Item]],supercb[Bairro],mercado11)</f>
        <v>0</v>
      </c>
      <c r="W59" s="1">
        <f>SUMIFS(super1[Qtde],super1[Item],tab_alimentos[[#This Row],[Item]],super1[Bairro],mercado12)+SUMIFS(supercb[Qtde],supercb[Item],tab_alimentos[[#This Row],[Item]],supercb[Bairro],mercado12)</f>
        <v>0</v>
      </c>
      <c r="X59" s="1">
        <f>SUMIFS(super1[Qtde],super1[Item],tab_alimentos[[#This Row],[Item]],super1[Bairro],mercado13)+SUMIFS(supercb[Qtde],supercb[Item],tab_alimentos[[#This Row],[Item]],supercb[Bairro],mercado13)</f>
        <v>0</v>
      </c>
      <c r="Y59" s="1">
        <f>SUMIFS(super1[Qtde],super1[Item],tab_alimentos[[#This Row],[Item]],super1[Bairro],mercado14)+SUMIFS(supercb[Qtde],supercb[Item],tab_alimentos[[#This Row],[Item]],supercb[Bairro],mercado14)</f>
        <v>0</v>
      </c>
      <c r="Z59" s="1">
        <f>SUMIFS(super1[Qtde],super1[Item],tab_alimentos[[#This Row],[Item]],super1[Bairro],mercado15)+SUMIFS(supercb[Qtde],supercb[Item],tab_alimentos[[#This Row],[Item]],supercb[Bairro],mercado15)</f>
        <v>0</v>
      </c>
      <c r="AA59" s="1">
        <f>SUMIFS(super1[Qtde],super1[Item],tab_alimentos[[#This Row],[Item]],super1[Bairro],mercado16)+SUMIFS(supercb[Qtde],supercb[Item],tab_alimentos[[#This Row],[Item]],supercb[Bairro],mercado16)</f>
        <v>0</v>
      </c>
      <c r="AB59" s="1">
        <f>SUMIFS(super1[Qtde],super1[Item],tab_alimentos[[#This Row],[Item]],super1[Bairro],mercado17)+SUMIFS(supercb[Qtde],supercb[Item],tab_alimentos[[#This Row],[Item]],supercb[Bairro],mercado17)</f>
        <v>0</v>
      </c>
      <c r="AC59" s="1">
        <f>SUMIFS(super1[Qtde],super1[Item],tab_alimentos[[#This Row],[Item]],super1[Bairro],mercado18)+SUMIFS(supercb[Qtde],supercb[Item],tab_alimentos[[#This Row],[Item]],supercb[Bairro],mercado18)</f>
        <v>0</v>
      </c>
      <c r="AD59" s="1">
        <f>SUMIFS(super1[Qtde],super1[Item],tab_alimentos[[#This Row],[Item]],super1[Bairro],extras)+SUMIFS(supercb[Qtde],supercb[Item],tab_alimentos[[#This Row],[Item]],supercb[Bairro],extras)</f>
        <v>0</v>
      </c>
      <c r="AE59" s="1">
        <f t="shared" si="18"/>
        <v>25</v>
      </c>
      <c r="AF59" s="1">
        <f t="shared" si="19"/>
        <v>82.250000000000014</v>
      </c>
      <c r="AG59" s="3">
        <f t="shared" si="20"/>
        <v>7.5</v>
      </c>
      <c r="AH59" s="25" t="str">
        <f>higiene[[#This Row],[Item]]</f>
        <v>Desodorante creme</v>
      </c>
      <c r="AI59" s="1">
        <f>IFERROR(higiene[[#This Row],[Kg equivalente]],0)</f>
        <v>1.2045601837460396</v>
      </c>
      <c r="AJ59" s="1">
        <f>IFERROR(higiene[[#This Row],[Preço por produto]],0)</f>
        <v>3.99</v>
      </c>
      <c r="AK59" s="1">
        <f>SUMIFS(super1[Qtde],super1[Item],tab_higiene[[#This Row],[Item]],super1[Bairro],mercado1)+SUMIFS(supercb[Qtde],supercb[Item],tab_higiene[[#This Row],[Item]],supercb[Bairro],mercado1)</f>
        <v>0</v>
      </c>
      <c r="AL59" s="1">
        <f>SUMIFS(super1[Qtde],super1[Item],tab_higiene[[#This Row],[Item]],super1[Bairro],mercado2)+SUMIFS(supercb[Qtde],supercb[Item],tab_higiene[[#This Row],[Item]],supercb[Bairro],mercado2)</f>
        <v>0</v>
      </c>
      <c r="AM59" s="1">
        <f>SUMIFS(super1[Qtde],super1[Item],tab_higiene[[#This Row],[Item]],super1[Bairro],mercado3)+SUMIFS(supercb[Qtde],supercb[Item],tab_higiene[[#This Row],[Item]],supercb[Bairro],mercado3)</f>
        <v>0</v>
      </c>
      <c r="AN59" s="1">
        <f>SUMIFS(super1[Qtde],super1[Item],tab_higiene[[#This Row],[Item]],super1[Bairro],mercado4)+SUMIFS(supercb[Qtde],supercb[Item],tab_higiene[[#This Row],[Item]],supercb[Bairro],mercado4)</f>
        <v>0</v>
      </c>
      <c r="AO59" s="1">
        <f>SUMIFS(super1[Qtde],super1[Item],tab_higiene[[#This Row],[Item]],super1[Bairro],mercado5)+SUMIFS(supercb[Qtde],supercb[Item],tab_higiene[[#This Row],[Item]],supercb[Bairro],mercado5)</f>
        <v>0</v>
      </c>
      <c r="AP59" s="1">
        <f>SUMIFS(super1[Qtde],super1[Item],tab_higiene[[#This Row],[Item]],super1[Bairro],mercado6)+SUMIFS(supercb[Qtde],supercb[Item],tab_higiene[[#This Row],[Item]],supercb[Bairro],mercado6)</f>
        <v>0</v>
      </c>
      <c r="AQ59" s="1">
        <f>SUMIFS(super1[Qtde],super1[Item],tab_higiene[[#This Row],[Item]],super1[Bairro],mercado7)+SUMIFS(supercb[Qtde],supercb[Item],tab_higiene[[#This Row],[Item]],supercb[Bairro],mercado7)</f>
        <v>0</v>
      </c>
      <c r="AR59" s="1">
        <f>SUMIFS(super1[Qtde],super1[Item],tab_higiene[[#This Row],[Item]],super1[Bairro],mercado8)+SUMIFS(supercb[Qtde],supercb[Item],tab_higiene[[#This Row],[Item]],supercb[Bairro],mercado8)</f>
        <v>0</v>
      </c>
      <c r="AS59" s="1">
        <f>SUMIFS(super1[Qtde],super1[Item],tab_higiene[[#This Row],[Item]],super1[Bairro],mercado9)+SUMIFS(supercb[Qtde],supercb[Item],tab_higiene[[#This Row],[Item]],supercb[Bairro],mercado9)</f>
        <v>0</v>
      </c>
      <c r="AT59" s="1">
        <f>SUMIFS(super1[Qtde],super1[Item],tab_higiene[[#This Row],[Item]],super1[Bairro],mercado10)+SUMIFS(supercb[Qtde],supercb[Item],tab_higiene[[#This Row],[Item]],supercb[Bairro],mercado10)</f>
        <v>0</v>
      </c>
      <c r="AU59" s="1">
        <f>SUMIFS(super1[Qtde],super1[Item],tab_higiene[[#This Row],[Item]],super1[Bairro],mercado11)+SUMIFS(supercb[Qtde],supercb[Item],tab_higiene[[#This Row],[Item]],supercb[Bairro],mercado11)</f>
        <v>0</v>
      </c>
      <c r="AV59" s="1">
        <f>SUMIFS(super1[Qtde],super1[Item],tab_higiene[[#This Row],[Item]],super1[Bairro],mercado12)+SUMIFS(supercb[Qtde],supercb[Item],tab_higiene[[#This Row],[Item]],supercb[Bairro],mercado12)</f>
        <v>0</v>
      </c>
      <c r="AW59" s="1">
        <f>SUMIFS(super1[Qtde],super1[Item],tab_higiene[[#This Row],[Item]],super1[Bairro],mercado13)+SUMIFS(supercb[Qtde],supercb[Item],tab_higiene[[#This Row],[Item]],supercb[Bairro],mercado13)</f>
        <v>0</v>
      </c>
      <c r="AX59" s="1">
        <f>SUMIFS(super1[Qtde],super1[Item],tab_higiene[[#This Row],[Item]],super1[Bairro],mercado14)+SUMIFS(supercb[Qtde],supercb[Item],tab_higiene[[#This Row],[Item]],supercb[Bairro],mercado14)</f>
        <v>0</v>
      </c>
      <c r="AY59" s="1">
        <f>SUMIFS(super1[Qtde],super1[Item],tab_higiene[[#This Row],[Item]],super1[Bairro],mercado15)+SUMIFS(supercb[Qtde],supercb[Item],tab_higiene[[#This Row],[Item]],supercb[Bairro],mercado15)</f>
        <v>0</v>
      </c>
      <c r="AZ59" s="1">
        <f>SUMIFS(super1[Qtde],super1[Item],tab_higiene[[#This Row],[Item]],super1[Bairro],mercado16)+SUMIFS(supercb[Qtde],supercb[Item],tab_higiene[[#This Row],[Item]],supercb[Bairro],mercado16)</f>
        <v>0</v>
      </c>
      <c r="BA59" s="1">
        <f>SUMIFS(super1[Qtde],super1[Item],tab_higiene[[#This Row],[Item]],super1[Bairro],mercado17)+SUMIFS(supercb[Qtde],supercb[Item],tab_higiene[[#This Row],[Item]],supercb[Bairro],mercado17)</f>
        <v>0</v>
      </c>
      <c r="BB59" s="1">
        <f>SUMIFS(super1[Qtde],super1[Item],tab_higiene[[#This Row],[Item]],super1[Bairro],mercado18)+SUMIFS(supercb[Qtde],supercb[Item],tab_higiene[[#This Row],[Item]],supercb[Bairro],mercado18)</f>
        <v>0</v>
      </c>
      <c r="BC59" s="1">
        <f>SUMIFS(super1[Qtde],super1[Item],tab_higiene[[#This Row],[Item]],super1[Bairro],extras)+SUMIFS(supercb[Qtde],supercb[Item],tab_higiene[[#This Row],[Item]],supercb[Bairro],extras)</f>
        <v>0</v>
      </c>
      <c r="BD59" s="1">
        <f t="shared" si="21"/>
        <v>0</v>
      </c>
      <c r="BE59" s="1">
        <f t="shared" si="22"/>
        <v>0</v>
      </c>
      <c r="BF59" s="26">
        <f t="shared" si="23"/>
        <v>0</v>
      </c>
      <c r="BI59" s="33" t="str">
        <f>tab_alimentos[[#This Row],[Item]]</f>
        <v>Bolacha (300g)</v>
      </c>
      <c r="BJ59" s="33">
        <f t="shared" si="6"/>
        <v>8</v>
      </c>
      <c r="BK59" s="33" t="str">
        <f t="shared" si="7"/>
        <v>Bolacha</v>
      </c>
      <c r="BL59" s="33">
        <f>tab_alimentos[[#This Row],[kg]]</f>
        <v>7.5</v>
      </c>
      <c r="BM59" s="37" t="s">
        <v>154</v>
      </c>
      <c r="BN59" s="35">
        <f t="shared" si="11"/>
        <v>0</v>
      </c>
      <c r="BP59" s="33" t="str">
        <f>tab_higiene[[#This Row],[Item]]</f>
        <v>Desodorante creme</v>
      </c>
      <c r="BQ59" s="33">
        <f t="shared" si="8"/>
        <v>0</v>
      </c>
      <c r="BR59" s="33" t="str">
        <f t="shared" si="9"/>
        <v>Desodorante creme</v>
      </c>
      <c r="BS59" s="33">
        <f>higiene[[#This Row],[Quantidade]]</f>
        <v>30</v>
      </c>
      <c r="BT59" s="33">
        <f>tab_higiene[Qtde (tot)]</f>
        <v>0</v>
      </c>
      <c r="BU59" s="33">
        <f t="shared" si="12"/>
        <v>0</v>
      </c>
      <c r="BV59" s="37" t="s">
        <v>333</v>
      </c>
      <c r="BW59" s="33">
        <f t="shared" si="24"/>
        <v>0</v>
      </c>
    </row>
    <row r="60" spans="9:75" x14ac:dyDescent="0.25">
      <c r="I60" s="25" t="str">
        <f>alimentos[[#This Row],[Item]]</f>
        <v>Bolacha (315g)</v>
      </c>
      <c r="J60" s="1">
        <f>IFERROR(alimentos[[#This Row],[kg/embalagem]],0)</f>
        <v>0.315</v>
      </c>
      <c r="K60" s="1">
        <f>IFERROR(alimentos[[#This Row],[Preço]],0)</f>
        <v>7.69</v>
      </c>
      <c r="L60" s="1">
        <f>SUMIFS(super1[Qtde],super1[Item],tab_alimentos[[#This Row],[Item]],super1[Bairro],mercado1)+SUMIFS(supercb[Qtde],supercb[Item],tab_alimentos[[#This Row],[Item]],supercb[Bairro],mercado1)</f>
        <v>0</v>
      </c>
      <c r="M60" s="1">
        <f>SUMIFS(super1[Qtde],super1[Item],tab_alimentos[[#This Row],[Item]],super1[Bairro],mercado2)+SUMIFS(supercb[Qtde],supercb[Item],tab_alimentos[[#This Row],[Item]],supercb[Bairro],mercado2)</f>
        <v>0</v>
      </c>
      <c r="N60" s="1">
        <f>SUMIFS(super1[Qtde],super1[Item],tab_alimentos[[#This Row],[Item]],super1[Bairro],mercado3)+SUMIFS(supercb[Qtde],supercb[Item],tab_alimentos[[#This Row],[Item]],supercb[Bairro],mercado3)</f>
        <v>0</v>
      </c>
      <c r="O60" s="1">
        <f>SUMIFS(super1[Qtde],super1[Item],tab_alimentos[[#This Row],[Item]],super1[Bairro],mercado4)+SUMIFS(supercb[Qtde],supercb[Item],tab_alimentos[[#This Row],[Item]],supercb[Bairro],mercado4)</f>
        <v>0</v>
      </c>
      <c r="P60" s="1">
        <f>SUMIFS(super1[Qtde],super1[Item],tab_alimentos[[#This Row],[Item]],super1[Bairro],mercado5)+SUMIFS(supercb[Qtde],supercb[Item],tab_alimentos[[#This Row],[Item]],supercb[Bairro],mercado5)</f>
        <v>0</v>
      </c>
      <c r="Q60" s="1">
        <f>SUMIFS(super1[Qtde],super1[Item],tab_alimentos[[#This Row],[Item]],super1[Bairro],mercado6)+SUMIFS(supercb[Qtde],supercb[Item],tab_alimentos[[#This Row],[Item]],supercb[Bairro],mercado6)</f>
        <v>0</v>
      </c>
      <c r="R60" s="1">
        <f>SUMIFS(super1[Qtde],super1[Item],tab_alimentos[[#This Row],[Item]],super1[Bairro],mercado7)+SUMIFS(supercb[Qtde],supercb[Item],tab_alimentos[[#This Row],[Item]],supercb[Bairro],mercado7)</f>
        <v>0</v>
      </c>
      <c r="S60" s="1">
        <f>SUMIFS(super1[Qtde],super1[Item],tab_alimentos[[#This Row],[Item]],super1[Bairro],mercado8)+SUMIFS(supercb[Qtde],supercb[Item],tab_alimentos[[#This Row],[Item]],supercb[Bairro],mercado8)</f>
        <v>0</v>
      </c>
      <c r="T60" s="1">
        <f>SUMIFS(super1[Qtde],super1[Item],tab_alimentos[[#This Row],[Item]],super1[Bairro],mercado9)+SUMIFS(supercb[Qtde],supercb[Item],tab_alimentos[[#This Row],[Item]],supercb[Bairro],mercado9)</f>
        <v>0</v>
      </c>
      <c r="U60" s="1">
        <f>SUMIFS(super1[Qtde],super1[Item],tab_alimentos[[#This Row],[Item]],super1[Bairro],mercado10)+SUMIFS(supercb[Qtde],supercb[Item],tab_alimentos[[#This Row],[Item]],supercb[Bairro],mercado10)</f>
        <v>0</v>
      </c>
      <c r="V60" s="1">
        <f>SUMIFS(super1[Qtde],super1[Item],tab_alimentos[[#This Row],[Item]],super1[Bairro],mercado11)+SUMIFS(supercb[Qtde],supercb[Item],tab_alimentos[[#This Row],[Item]],supercb[Bairro],mercado11)</f>
        <v>0</v>
      </c>
      <c r="W60" s="1">
        <f>SUMIFS(super1[Qtde],super1[Item],tab_alimentos[[#This Row],[Item]],super1[Bairro],mercado12)+SUMIFS(supercb[Qtde],supercb[Item],tab_alimentos[[#This Row],[Item]],supercb[Bairro],mercado12)</f>
        <v>0</v>
      </c>
      <c r="X60" s="1">
        <f>SUMIFS(super1[Qtde],super1[Item],tab_alimentos[[#This Row],[Item]],super1[Bairro],mercado13)+SUMIFS(supercb[Qtde],supercb[Item],tab_alimentos[[#This Row],[Item]],supercb[Bairro],mercado13)</f>
        <v>0</v>
      </c>
      <c r="Y60" s="1">
        <f>SUMIFS(super1[Qtde],super1[Item],tab_alimentos[[#This Row],[Item]],super1[Bairro],mercado14)+SUMIFS(supercb[Qtde],supercb[Item],tab_alimentos[[#This Row],[Item]],supercb[Bairro],mercado14)</f>
        <v>0</v>
      </c>
      <c r="Z60" s="1">
        <f>SUMIFS(super1[Qtde],super1[Item],tab_alimentos[[#This Row],[Item]],super1[Bairro],mercado15)+SUMIFS(supercb[Qtde],supercb[Item],tab_alimentos[[#This Row],[Item]],supercb[Bairro],mercado15)</f>
        <v>0</v>
      </c>
      <c r="AA60" s="1">
        <f>SUMIFS(super1[Qtde],super1[Item],tab_alimentos[[#This Row],[Item]],super1[Bairro],mercado16)+SUMIFS(supercb[Qtde],supercb[Item],tab_alimentos[[#This Row],[Item]],supercb[Bairro],mercado16)</f>
        <v>0</v>
      </c>
      <c r="AB60" s="1">
        <f>SUMIFS(super1[Qtde],super1[Item],tab_alimentos[[#This Row],[Item]],super1[Bairro],mercado17)+SUMIFS(supercb[Qtde],supercb[Item],tab_alimentos[[#This Row],[Item]],supercb[Bairro],mercado17)</f>
        <v>0</v>
      </c>
      <c r="AC60" s="1">
        <f>SUMIFS(super1[Qtde],super1[Item],tab_alimentos[[#This Row],[Item]],super1[Bairro],mercado18)+SUMIFS(supercb[Qtde],supercb[Item],tab_alimentos[[#This Row],[Item]],supercb[Bairro],mercado18)</f>
        <v>0</v>
      </c>
      <c r="AD60" s="1">
        <f>SUMIFS(super1[Qtde],super1[Item],tab_alimentos[[#This Row],[Item]],super1[Bairro],extras)+SUMIFS(supercb[Qtde],supercb[Item],tab_alimentos[[#This Row],[Item]],supercb[Bairro],extras)</f>
        <v>0</v>
      </c>
      <c r="AE60" s="1">
        <f t="shared" si="18"/>
        <v>0</v>
      </c>
      <c r="AF60" s="1">
        <f t="shared" si="19"/>
        <v>0</v>
      </c>
      <c r="AG60" s="3">
        <f t="shared" si="20"/>
        <v>0</v>
      </c>
      <c r="AH60" s="25" t="str">
        <f>higiene[[#This Row],[Item]]</f>
        <v>Desodorante rollon</v>
      </c>
      <c r="AI60" s="1">
        <f>IFERROR(higiene[[#This Row],[Kg equivalente]],0)</f>
        <v>1.7781602712441535</v>
      </c>
      <c r="AJ60" s="1">
        <f>IFERROR(higiene[[#This Row],[Preço por produto]],0)</f>
        <v>5.89</v>
      </c>
      <c r="AK60" s="1">
        <f>SUMIFS(super1[Qtde],super1[Item],tab_higiene[[#This Row],[Item]],super1[Bairro],mercado1)+SUMIFS(supercb[Qtde],supercb[Item],tab_higiene[[#This Row],[Item]],supercb[Bairro],mercado1)</f>
        <v>0</v>
      </c>
      <c r="AL60" s="1">
        <f>SUMIFS(super1[Qtde],super1[Item],tab_higiene[[#This Row],[Item]],super1[Bairro],mercado2)+SUMIFS(supercb[Qtde],supercb[Item],tab_higiene[[#This Row],[Item]],supercb[Bairro],mercado2)</f>
        <v>0</v>
      </c>
      <c r="AM60" s="1">
        <f>SUMIFS(super1[Qtde],super1[Item],tab_higiene[[#This Row],[Item]],super1[Bairro],mercado3)+SUMIFS(supercb[Qtde],supercb[Item],tab_higiene[[#This Row],[Item]],supercb[Bairro],mercado3)</f>
        <v>0</v>
      </c>
      <c r="AN60" s="1">
        <f>SUMIFS(super1[Qtde],super1[Item],tab_higiene[[#This Row],[Item]],super1[Bairro],mercado4)+SUMIFS(supercb[Qtde],supercb[Item],tab_higiene[[#This Row],[Item]],supercb[Bairro],mercado4)</f>
        <v>0</v>
      </c>
      <c r="AO60" s="1">
        <f>SUMIFS(super1[Qtde],super1[Item],tab_higiene[[#This Row],[Item]],super1[Bairro],mercado5)+SUMIFS(supercb[Qtde],supercb[Item],tab_higiene[[#This Row],[Item]],supercb[Bairro],mercado5)</f>
        <v>0</v>
      </c>
      <c r="AP60" s="1">
        <f>SUMIFS(super1[Qtde],super1[Item],tab_higiene[[#This Row],[Item]],super1[Bairro],mercado6)+SUMIFS(supercb[Qtde],supercb[Item],tab_higiene[[#This Row],[Item]],supercb[Bairro],mercado6)</f>
        <v>0</v>
      </c>
      <c r="AQ60" s="1">
        <f>SUMIFS(super1[Qtde],super1[Item],tab_higiene[[#This Row],[Item]],super1[Bairro],mercado7)+SUMIFS(supercb[Qtde],supercb[Item],tab_higiene[[#This Row],[Item]],supercb[Bairro],mercado7)</f>
        <v>0</v>
      </c>
      <c r="AR60" s="1">
        <f>SUMIFS(super1[Qtde],super1[Item],tab_higiene[[#This Row],[Item]],super1[Bairro],mercado8)+SUMIFS(supercb[Qtde],supercb[Item],tab_higiene[[#This Row],[Item]],supercb[Bairro],mercado8)</f>
        <v>0</v>
      </c>
      <c r="AS60" s="1">
        <f>SUMIFS(super1[Qtde],super1[Item],tab_higiene[[#This Row],[Item]],super1[Bairro],mercado9)+SUMIFS(supercb[Qtde],supercb[Item],tab_higiene[[#This Row],[Item]],supercb[Bairro],mercado9)</f>
        <v>0</v>
      </c>
      <c r="AT60" s="1">
        <f>SUMIFS(super1[Qtde],super1[Item],tab_higiene[[#This Row],[Item]],super1[Bairro],mercado10)+SUMIFS(supercb[Qtde],supercb[Item],tab_higiene[[#This Row],[Item]],supercb[Bairro],mercado10)</f>
        <v>0</v>
      </c>
      <c r="AU60" s="1">
        <f>SUMIFS(super1[Qtde],super1[Item],tab_higiene[[#This Row],[Item]],super1[Bairro],mercado11)+SUMIFS(supercb[Qtde],supercb[Item],tab_higiene[[#This Row],[Item]],supercb[Bairro],mercado11)</f>
        <v>0</v>
      </c>
      <c r="AV60" s="1">
        <f>SUMIFS(super1[Qtde],super1[Item],tab_higiene[[#This Row],[Item]],super1[Bairro],mercado12)+SUMIFS(supercb[Qtde],supercb[Item],tab_higiene[[#This Row],[Item]],supercb[Bairro],mercado12)</f>
        <v>0</v>
      </c>
      <c r="AW60" s="1">
        <f>SUMIFS(super1[Qtde],super1[Item],tab_higiene[[#This Row],[Item]],super1[Bairro],mercado13)+SUMIFS(supercb[Qtde],supercb[Item],tab_higiene[[#This Row],[Item]],supercb[Bairro],mercado13)</f>
        <v>0</v>
      </c>
      <c r="AX60" s="1">
        <f>SUMIFS(super1[Qtde],super1[Item],tab_higiene[[#This Row],[Item]],super1[Bairro],mercado14)+SUMIFS(supercb[Qtde],supercb[Item],tab_higiene[[#This Row],[Item]],supercb[Bairro],mercado14)</f>
        <v>0</v>
      </c>
      <c r="AY60" s="1">
        <f>SUMIFS(super1[Qtde],super1[Item],tab_higiene[[#This Row],[Item]],super1[Bairro],mercado15)+SUMIFS(supercb[Qtde],supercb[Item],tab_higiene[[#This Row],[Item]],supercb[Bairro],mercado15)</f>
        <v>0</v>
      </c>
      <c r="AZ60" s="1">
        <f>SUMIFS(super1[Qtde],super1[Item],tab_higiene[[#This Row],[Item]],super1[Bairro],mercado16)+SUMIFS(supercb[Qtde],supercb[Item],tab_higiene[[#This Row],[Item]],supercb[Bairro],mercado16)</f>
        <v>0</v>
      </c>
      <c r="BA60" s="1">
        <f>SUMIFS(super1[Qtde],super1[Item],tab_higiene[[#This Row],[Item]],super1[Bairro],mercado17)+SUMIFS(supercb[Qtde],supercb[Item],tab_higiene[[#This Row],[Item]],supercb[Bairro],mercado17)</f>
        <v>0</v>
      </c>
      <c r="BB60" s="1">
        <f>SUMIFS(super1[Qtde],super1[Item],tab_higiene[[#This Row],[Item]],super1[Bairro],mercado18)+SUMIFS(supercb[Qtde],supercb[Item],tab_higiene[[#This Row],[Item]],supercb[Bairro],mercado18)</f>
        <v>0</v>
      </c>
      <c r="BC60" s="1">
        <f>SUMIFS(super1[Qtde],super1[Item],tab_higiene[[#This Row],[Item]],super1[Bairro],extras)+SUMIFS(supercb[Qtde],supercb[Item],tab_higiene[[#This Row],[Item]],supercb[Bairro],extras)</f>
        <v>0</v>
      </c>
      <c r="BD60" s="1">
        <f t="shared" si="21"/>
        <v>0</v>
      </c>
      <c r="BE60" s="1">
        <f t="shared" si="22"/>
        <v>0</v>
      </c>
      <c r="BF60" s="26">
        <f t="shared" si="23"/>
        <v>0</v>
      </c>
      <c r="BI60" s="33" t="str">
        <f>tab_alimentos[[#This Row],[Item]]</f>
        <v>Bolacha (315g)</v>
      </c>
      <c r="BJ60" s="33">
        <f t="shared" si="6"/>
        <v>8</v>
      </c>
      <c r="BK60" s="33" t="str">
        <f t="shared" si="7"/>
        <v>Bolacha</v>
      </c>
      <c r="BL60" s="33">
        <f>tab_alimentos[[#This Row],[kg]]</f>
        <v>0</v>
      </c>
      <c r="BM60" s="37" t="s">
        <v>19</v>
      </c>
      <c r="BN60" s="35">
        <f t="shared" si="11"/>
        <v>0</v>
      </c>
      <c r="BP60" s="33" t="str">
        <f>tab_higiene[[#This Row],[Item]]</f>
        <v>Desodorante rollon</v>
      </c>
      <c r="BQ60" s="33">
        <f t="shared" si="8"/>
        <v>0</v>
      </c>
      <c r="BR60" s="33" t="str">
        <f t="shared" si="9"/>
        <v>Desodorante rollon</v>
      </c>
      <c r="BS60" s="33">
        <f>higiene[[#This Row],[Quantidade]]</f>
        <v>0.05</v>
      </c>
      <c r="BT60" s="33">
        <f>tab_higiene[Qtde (tot)]</f>
        <v>0</v>
      </c>
      <c r="BU60" s="33">
        <f t="shared" si="12"/>
        <v>0</v>
      </c>
      <c r="BV60" s="37" t="s">
        <v>240</v>
      </c>
      <c r="BW60" s="33">
        <f t="shared" si="24"/>
        <v>0</v>
      </c>
    </row>
    <row r="61" spans="9:75" x14ac:dyDescent="0.25">
      <c r="I61" s="25" t="str">
        <f>alimentos[[#This Row],[Item]]</f>
        <v>Bolacha (330g)</v>
      </c>
      <c r="J61" s="1">
        <f>IFERROR(alimentos[[#This Row],[kg/embalagem]],0)</f>
        <v>0.33</v>
      </c>
      <c r="K61" s="1">
        <f>IFERROR(alimentos[[#This Row],[Preço]],0)</f>
        <v>5.0039999999999996</v>
      </c>
      <c r="L61" s="1">
        <f>SUMIFS(super1[Qtde],super1[Item],tab_alimentos[[#This Row],[Item]],super1[Bairro],mercado1)+SUMIFS(supercb[Qtde],supercb[Item],tab_alimentos[[#This Row],[Item]],supercb[Bairro],mercado1)</f>
        <v>0</v>
      </c>
      <c r="M61" s="1">
        <f>SUMIFS(super1[Qtde],super1[Item],tab_alimentos[[#This Row],[Item]],super1[Bairro],mercado2)+SUMIFS(supercb[Qtde],supercb[Item],tab_alimentos[[#This Row],[Item]],supercb[Bairro],mercado2)</f>
        <v>0</v>
      </c>
      <c r="N61" s="1">
        <f>SUMIFS(super1[Qtde],super1[Item],tab_alimentos[[#This Row],[Item]],super1[Bairro],mercado3)+SUMIFS(supercb[Qtde],supercb[Item],tab_alimentos[[#This Row],[Item]],supercb[Bairro],mercado3)</f>
        <v>0</v>
      </c>
      <c r="O61" s="1">
        <f>SUMIFS(super1[Qtde],super1[Item],tab_alimentos[[#This Row],[Item]],super1[Bairro],mercado4)+SUMIFS(supercb[Qtde],supercb[Item],tab_alimentos[[#This Row],[Item]],supercb[Bairro],mercado4)</f>
        <v>0</v>
      </c>
      <c r="P61" s="1">
        <f>SUMIFS(super1[Qtde],super1[Item],tab_alimentos[[#This Row],[Item]],super1[Bairro],mercado5)+SUMIFS(supercb[Qtde],supercb[Item],tab_alimentos[[#This Row],[Item]],supercb[Bairro],mercado5)</f>
        <v>0</v>
      </c>
      <c r="Q61" s="1">
        <f>SUMIFS(super1[Qtde],super1[Item],tab_alimentos[[#This Row],[Item]],super1[Bairro],mercado6)+SUMIFS(supercb[Qtde],supercb[Item],tab_alimentos[[#This Row],[Item]],supercb[Bairro],mercado6)</f>
        <v>0</v>
      </c>
      <c r="R61" s="1">
        <f>SUMIFS(super1[Qtde],super1[Item],tab_alimentos[[#This Row],[Item]],super1[Bairro],mercado7)+SUMIFS(supercb[Qtde],supercb[Item],tab_alimentos[[#This Row],[Item]],supercb[Bairro],mercado7)</f>
        <v>0</v>
      </c>
      <c r="S61" s="1">
        <f>SUMIFS(super1[Qtde],super1[Item],tab_alimentos[[#This Row],[Item]],super1[Bairro],mercado8)+SUMIFS(supercb[Qtde],supercb[Item],tab_alimentos[[#This Row],[Item]],supercb[Bairro],mercado8)</f>
        <v>0</v>
      </c>
      <c r="T61" s="1">
        <f>SUMIFS(super1[Qtde],super1[Item],tab_alimentos[[#This Row],[Item]],super1[Bairro],mercado9)+SUMIFS(supercb[Qtde],supercb[Item],tab_alimentos[[#This Row],[Item]],supercb[Bairro],mercado9)</f>
        <v>0</v>
      </c>
      <c r="U61" s="1">
        <f>SUMIFS(super1[Qtde],super1[Item],tab_alimentos[[#This Row],[Item]],super1[Bairro],mercado10)+SUMIFS(supercb[Qtde],supercb[Item],tab_alimentos[[#This Row],[Item]],supercb[Bairro],mercado10)</f>
        <v>0</v>
      </c>
      <c r="V61" s="1">
        <f>SUMIFS(super1[Qtde],super1[Item],tab_alimentos[[#This Row],[Item]],super1[Bairro],mercado11)+SUMIFS(supercb[Qtde],supercb[Item],tab_alimentos[[#This Row],[Item]],supercb[Bairro],mercado11)</f>
        <v>0</v>
      </c>
      <c r="W61" s="1">
        <f>SUMIFS(super1[Qtde],super1[Item],tab_alimentos[[#This Row],[Item]],super1[Bairro],mercado12)+SUMIFS(supercb[Qtde],supercb[Item],tab_alimentos[[#This Row],[Item]],supercb[Bairro],mercado12)</f>
        <v>0</v>
      </c>
      <c r="X61" s="1">
        <f>SUMIFS(super1[Qtde],super1[Item],tab_alimentos[[#This Row],[Item]],super1[Bairro],mercado13)+SUMIFS(supercb[Qtde],supercb[Item],tab_alimentos[[#This Row],[Item]],supercb[Bairro],mercado13)</f>
        <v>1</v>
      </c>
      <c r="Y61" s="1">
        <f>SUMIFS(super1[Qtde],super1[Item],tab_alimentos[[#This Row],[Item]],super1[Bairro],mercado14)+SUMIFS(supercb[Qtde],supercb[Item],tab_alimentos[[#This Row],[Item]],supercb[Bairro],mercado14)</f>
        <v>0</v>
      </c>
      <c r="Z61" s="1">
        <f>SUMIFS(super1[Qtde],super1[Item],tab_alimentos[[#This Row],[Item]],super1[Bairro],mercado15)+SUMIFS(supercb[Qtde],supercb[Item],tab_alimentos[[#This Row],[Item]],supercb[Bairro],mercado15)</f>
        <v>0</v>
      </c>
      <c r="AA61" s="1">
        <f>SUMIFS(super1[Qtde],super1[Item],tab_alimentos[[#This Row],[Item]],super1[Bairro],mercado16)+SUMIFS(supercb[Qtde],supercb[Item],tab_alimentos[[#This Row],[Item]],supercb[Bairro],mercado16)</f>
        <v>0</v>
      </c>
      <c r="AB61" s="1">
        <f>SUMIFS(super1[Qtde],super1[Item],tab_alimentos[[#This Row],[Item]],super1[Bairro],mercado17)+SUMIFS(supercb[Qtde],supercb[Item],tab_alimentos[[#This Row],[Item]],supercb[Bairro],mercado17)</f>
        <v>0</v>
      </c>
      <c r="AC61" s="1">
        <f>SUMIFS(super1[Qtde],super1[Item],tab_alimentos[[#This Row],[Item]],super1[Bairro],mercado18)+SUMIFS(supercb[Qtde],supercb[Item],tab_alimentos[[#This Row],[Item]],supercb[Bairro],mercado18)</f>
        <v>0</v>
      </c>
      <c r="AD61" s="1">
        <f>SUMIFS(super1[Qtde],super1[Item],tab_alimentos[[#This Row],[Item]],super1[Bairro],extras)+SUMIFS(supercb[Qtde],supercb[Item],tab_alimentos[[#This Row],[Item]],supercb[Bairro],extras)</f>
        <v>0</v>
      </c>
      <c r="AE61" s="1">
        <f t="shared" si="18"/>
        <v>1</v>
      </c>
      <c r="AF61" s="1">
        <f t="shared" si="19"/>
        <v>5.0039999999999996</v>
      </c>
      <c r="AG61" s="3">
        <f t="shared" si="20"/>
        <v>0.33</v>
      </c>
      <c r="AH61" s="25" t="str">
        <f>higiene[[#This Row],[Item]]</f>
        <v>Desodorante spray</v>
      </c>
      <c r="AI61" s="1">
        <f>IFERROR(higiene[[#This Row],[Kg equivalente]],0)</f>
        <v>1.7177813146654048</v>
      </c>
      <c r="AJ61" s="1">
        <f>IFERROR(higiene[[#This Row],[Preço por produto]],0)</f>
        <v>5.69</v>
      </c>
      <c r="AK61" s="1">
        <f>SUMIFS(super1[Qtde],super1[Item],tab_higiene[[#This Row],[Item]],super1[Bairro],mercado1)+SUMIFS(supercb[Qtde],supercb[Item],tab_higiene[[#This Row],[Item]],supercb[Bairro],mercado1)</f>
        <v>0</v>
      </c>
      <c r="AL61" s="1">
        <f>SUMIFS(super1[Qtde],super1[Item],tab_higiene[[#This Row],[Item]],super1[Bairro],mercado2)+SUMIFS(supercb[Qtde],supercb[Item],tab_higiene[[#This Row],[Item]],supercb[Bairro],mercado2)</f>
        <v>0</v>
      </c>
      <c r="AM61" s="1">
        <f>SUMIFS(super1[Qtde],super1[Item],tab_higiene[[#This Row],[Item]],super1[Bairro],mercado3)+SUMIFS(supercb[Qtde],supercb[Item],tab_higiene[[#This Row],[Item]],supercb[Bairro],mercado3)</f>
        <v>0</v>
      </c>
      <c r="AN61" s="1">
        <f>SUMIFS(super1[Qtde],super1[Item],tab_higiene[[#This Row],[Item]],super1[Bairro],mercado4)+SUMIFS(supercb[Qtde],supercb[Item],tab_higiene[[#This Row],[Item]],supercb[Bairro],mercado4)</f>
        <v>0</v>
      </c>
      <c r="AO61" s="1">
        <f>SUMIFS(super1[Qtde],super1[Item],tab_higiene[[#This Row],[Item]],super1[Bairro],mercado5)+SUMIFS(supercb[Qtde],supercb[Item],tab_higiene[[#This Row],[Item]],supercb[Bairro],mercado5)</f>
        <v>0</v>
      </c>
      <c r="AP61" s="1">
        <f>SUMIFS(super1[Qtde],super1[Item],tab_higiene[[#This Row],[Item]],super1[Bairro],mercado6)+SUMIFS(supercb[Qtde],supercb[Item],tab_higiene[[#This Row],[Item]],supercb[Bairro],mercado6)</f>
        <v>0</v>
      </c>
      <c r="AQ61" s="1">
        <f>SUMIFS(super1[Qtde],super1[Item],tab_higiene[[#This Row],[Item]],super1[Bairro],mercado7)+SUMIFS(supercb[Qtde],supercb[Item],tab_higiene[[#This Row],[Item]],supercb[Bairro],mercado7)</f>
        <v>0</v>
      </c>
      <c r="AR61" s="1">
        <f>SUMIFS(super1[Qtde],super1[Item],tab_higiene[[#This Row],[Item]],super1[Bairro],mercado8)+SUMIFS(supercb[Qtde],supercb[Item],tab_higiene[[#This Row],[Item]],supercb[Bairro],mercado8)</f>
        <v>0</v>
      </c>
      <c r="AS61" s="1">
        <f>SUMIFS(super1[Qtde],super1[Item],tab_higiene[[#This Row],[Item]],super1[Bairro],mercado9)+SUMIFS(supercb[Qtde],supercb[Item],tab_higiene[[#This Row],[Item]],supercb[Bairro],mercado9)</f>
        <v>0</v>
      </c>
      <c r="AT61" s="1">
        <f>SUMIFS(super1[Qtde],super1[Item],tab_higiene[[#This Row],[Item]],super1[Bairro],mercado10)+SUMIFS(supercb[Qtde],supercb[Item],tab_higiene[[#This Row],[Item]],supercb[Bairro],mercado10)</f>
        <v>0</v>
      </c>
      <c r="AU61" s="1">
        <f>SUMIFS(super1[Qtde],super1[Item],tab_higiene[[#This Row],[Item]],super1[Bairro],mercado11)+SUMIFS(supercb[Qtde],supercb[Item],tab_higiene[[#This Row],[Item]],supercb[Bairro],mercado11)</f>
        <v>0</v>
      </c>
      <c r="AV61" s="1">
        <f>SUMIFS(super1[Qtde],super1[Item],tab_higiene[[#This Row],[Item]],super1[Bairro],mercado12)+SUMIFS(supercb[Qtde],supercb[Item],tab_higiene[[#This Row],[Item]],supercb[Bairro],mercado12)</f>
        <v>0</v>
      </c>
      <c r="AW61" s="1">
        <f>SUMIFS(super1[Qtde],super1[Item],tab_higiene[[#This Row],[Item]],super1[Bairro],mercado13)+SUMIFS(supercb[Qtde],supercb[Item],tab_higiene[[#This Row],[Item]],supercb[Bairro],mercado13)</f>
        <v>0</v>
      </c>
      <c r="AX61" s="1">
        <f>SUMIFS(super1[Qtde],super1[Item],tab_higiene[[#This Row],[Item]],super1[Bairro],mercado14)+SUMIFS(supercb[Qtde],supercb[Item],tab_higiene[[#This Row],[Item]],supercb[Bairro],mercado14)</f>
        <v>0</v>
      </c>
      <c r="AY61" s="1">
        <f>SUMIFS(super1[Qtde],super1[Item],tab_higiene[[#This Row],[Item]],super1[Bairro],mercado15)+SUMIFS(supercb[Qtde],supercb[Item],tab_higiene[[#This Row],[Item]],supercb[Bairro],mercado15)</f>
        <v>0</v>
      </c>
      <c r="AZ61" s="1">
        <f>SUMIFS(super1[Qtde],super1[Item],tab_higiene[[#This Row],[Item]],super1[Bairro],mercado16)+SUMIFS(supercb[Qtde],supercb[Item],tab_higiene[[#This Row],[Item]],supercb[Bairro],mercado16)</f>
        <v>0</v>
      </c>
      <c r="BA61" s="1">
        <f>SUMIFS(super1[Qtde],super1[Item],tab_higiene[[#This Row],[Item]],super1[Bairro],mercado17)+SUMIFS(supercb[Qtde],supercb[Item],tab_higiene[[#This Row],[Item]],supercb[Bairro],mercado17)</f>
        <v>0</v>
      </c>
      <c r="BB61" s="1">
        <f>SUMIFS(super1[Qtde],super1[Item],tab_higiene[[#This Row],[Item]],super1[Bairro],mercado18)+SUMIFS(supercb[Qtde],supercb[Item],tab_higiene[[#This Row],[Item]],supercb[Bairro],mercado18)</f>
        <v>0</v>
      </c>
      <c r="BC61" s="1">
        <f>SUMIFS(super1[Qtde],super1[Item],tab_higiene[[#This Row],[Item]],super1[Bairro],extras)+SUMIFS(supercb[Qtde],supercb[Item],tab_higiene[[#This Row],[Item]],supercb[Bairro],extras)</f>
        <v>0</v>
      </c>
      <c r="BD61" s="1">
        <f t="shared" si="21"/>
        <v>0</v>
      </c>
      <c r="BE61" s="1">
        <f t="shared" si="22"/>
        <v>0</v>
      </c>
      <c r="BF61" s="26">
        <f t="shared" si="23"/>
        <v>0</v>
      </c>
      <c r="BI61" s="33" t="str">
        <f>tab_alimentos[[#This Row],[Item]]</f>
        <v>Bolacha (330g)</v>
      </c>
      <c r="BJ61" s="33">
        <f t="shared" si="6"/>
        <v>8</v>
      </c>
      <c r="BK61" s="33" t="str">
        <f t="shared" si="7"/>
        <v>Bolacha</v>
      </c>
      <c r="BL61" s="33">
        <f>tab_alimentos[[#This Row],[kg]]</f>
        <v>0.33</v>
      </c>
      <c r="BM61" s="37" t="s">
        <v>20</v>
      </c>
      <c r="BN61" s="35">
        <f t="shared" si="11"/>
        <v>0</v>
      </c>
      <c r="BP61" s="33" t="str">
        <f>tab_higiene[[#This Row],[Item]]</f>
        <v>Desodorante spray</v>
      </c>
      <c r="BQ61" s="33">
        <f t="shared" si="8"/>
        <v>0</v>
      </c>
      <c r="BR61" s="33" t="str">
        <f t="shared" si="9"/>
        <v>Desodorante spray</v>
      </c>
      <c r="BS61" s="33">
        <f>higiene[[#This Row],[Quantidade]]</f>
        <v>1</v>
      </c>
      <c r="BT61" s="33">
        <f>tab_higiene[Qtde (tot)]</f>
        <v>0</v>
      </c>
      <c r="BU61" s="33">
        <f t="shared" si="12"/>
        <v>0</v>
      </c>
      <c r="BV61" s="37" t="s">
        <v>241</v>
      </c>
      <c r="BW61" s="33">
        <f t="shared" si="24"/>
        <v>0</v>
      </c>
    </row>
    <row r="62" spans="9:75" x14ac:dyDescent="0.25">
      <c r="I62" s="25" t="str">
        <f>alimentos[[#This Row],[Item]]</f>
        <v>Bolacha (360g)</v>
      </c>
      <c r="J62" s="1">
        <f>IFERROR(alimentos[[#This Row],[kg/embalagem]],0)</f>
        <v>0.36</v>
      </c>
      <c r="K62" s="1">
        <f>IFERROR(alimentos[[#This Row],[Preço]],0)</f>
        <v>3.1375000000000002</v>
      </c>
      <c r="L62" s="1">
        <f>SUMIFS(super1[Qtde],super1[Item],tab_alimentos[[#This Row],[Item]],super1[Bairro],mercado1)+SUMIFS(supercb[Qtde],supercb[Item],tab_alimentos[[#This Row],[Item]],supercb[Bairro],mercado1)</f>
        <v>5</v>
      </c>
      <c r="M62" s="1">
        <f>SUMIFS(super1[Qtde],super1[Item],tab_alimentos[[#This Row],[Item]],super1[Bairro],mercado2)+SUMIFS(supercb[Qtde],supercb[Item],tab_alimentos[[#This Row],[Item]],supercb[Bairro],mercado2)</f>
        <v>7</v>
      </c>
      <c r="N62" s="1">
        <f>SUMIFS(super1[Qtde],super1[Item],tab_alimentos[[#This Row],[Item]],super1[Bairro],mercado3)+SUMIFS(supercb[Qtde],supercb[Item],tab_alimentos[[#This Row],[Item]],supercb[Bairro],mercado3)</f>
        <v>0</v>
      </c>
      <c r="O62" s="1">
        <f>SUMIFS(super1[Qtde],super1[Item],tab_alimentos[[#This Row],[Item]],super1[Bairro],mercado4)+SUMIFS(supercb[Qtde],supercb[Item],tab_alimentos[[#This Row],[Item]],supercb[Bairro],mercado4)</f>
        <v>1</v>
      </c>
      <c r="P62" s="1">
        <f>SUMIFS(super1[Qtde],super1[Item],tab_alimentos[[#This Row],[Item]],super1[Bairro],mercado5)+SUMIFS(supercb[Qtde],supercb[Item],tab_alimentos[[#This Row],[Item]],supercb[Bairro],mercado5)</f>
        <v>0</v>
      </c>
      <c r="Q62" s="1">
        <f>SUMIFS(super1[Qtde],super1[Item],tab_alimentos[[#This Row],[Item]],super1[Bairro],mercado6)+SUMIFS(supercb[Qtde],supercb[Item],tab_alimentos[[#This Row],[Item]],supercb[Bairro],mercado6)</f>
        <v>6</v>
      </c>
      <c r="R62" s="1">
        <f>SUMIFS(super1[Qtde],super1[Item],tab_alimentos[[#This Row],[Item]],super1[Bairro],mercado7)+SUMIFS(supercb[Qtde],supercb[Item],tab_alimentos[[#This Row],[Item]],supercb[Bairro],mercado7)</f>
        <v>2</v>
      </c>
      <c r="S62" s="1">
        <f>SUMIFS(super1[Qtde],super1[Item],tab_alimentos[[#This Row],[Item]],super1[Bairro],mercado8)+SUMIFS(supercb[Qtde],supercb[Item],tab_alimentos[[#This Row],[Item]],supercb[Bairro],mercado8)</f>
        <v>3</v>
      </c>
      <c r="T62" s="1">
        <f>SUMIFS(super1[Qtde],super1[Item],tab_alimentos[[#This Row],[Item]],super1[Bairro],mercado9)+SUMIFS(supercb[Qtde],supercb[Item],tab_alimentos[[#This Row],[Item]],supercb[Bairro],mercado9)</f>
        <v>1</v>
      </c>
      <c r="U62" s="1">
        <f>SUMIFS(super1[Qtde],super1[Item],tab_alimentos[[#This Row],[Item]],super1[Bairro],mercado10)+SUMIFS(supercb[Qtde],supercb[Item],tab_alimentos[[#This Row],[Item]],supercb[Bairro],mercado10)</f>
        <v>9</v>
      </c>
      <c r="V62" s="1">
        <f>SUMIFS(super1[Qtde],super1[Item],tab_alimentos[[#This Row],[Item]],super1[Bairro],mercado11)+SUMIFS(supercb[Qtde],supercb[Item],tab_alimentos[[#This Row],[Item]],supercb[Bairro],mercado11)</f>
        <v>0</v>
      </c>
      <c r="W62" s="1">
        <f>SUMIFS(super1[Qtde],super1[Item],tab_alimentos[[#This Row],[Item]],super1[Bairro],mercado12)+SUMIFS(supercb[Qtde],supercb[Item],tab_alimentos[[#This Row],[Item]],supercb[Bairro],mercado12)</f>
        <v>0</v>
      </c>
      <c r="X62" s="1">
        <f>SUMIFS(super1[Qtde],super1[Item],tab_alimentos[[#This Row],[Item]],super1[Bairro],mercado13)+SUMIFS(supercb[Qtde],supercb[Item],tab_alimentos[[#This Row],[Item]],supercb[Bairro],mercado13)</f>
        <v>0</v>
      </c>
      <c r="Y62" s="1">
        <f>SUMIFS(super1[Qtde],super1[Item],tab_alimentos[[#This Row],[Item]],super1[Bairro],mercado14)+SUMIFS(supercb[Qtde],supercb[Item],tab_alimentos[[#This Row],[Item]],supercb[Bairro],mercado14)</f>
        <v>0</v>
      </c>
      <c r="Z62" s="1">
        <f>SUMIFS(super1[Qtde],super1[Item],tab_alimentos[[#This Row],[Item]],super1[Bairro],mercado15)+SUMIFS(supercb[Qtde],supercb[Item],tab_alimentos[[#This Row],[Item]],supercb[Bairro],mercado15)</f>
        <v>0</v>
      </c>
      <c r="AA62" s="1">
        <f>SUMIFS(super1[Qtde],super1[Item],tab_alimentos[[#This Row],[Item]],super1[Bairro],mercado16)+SUMIFS(supercb[Qtde],supercb[Item],tab_alimentos[[#This Row],[Item]],supercb[Bairro],mercado16)</f>
        <v>0</v>
      </c>
      <c r="AB62" s="1">
        <f>SUMIFS(super1[Qtde],super1[Item],tab_alimentos[[#This Row],[Item]],super1[Bairro],mercado17)+SUMIFS(supercb[Qtde],supercb[Item],tab_alimentos[[#This Row],[Item]],supercb[Bairro],mercado17)</f>
        <v>0</v>
      </c>
      <c r="AC62" s="1">
        <f>SUMIFS(super1[Qtde],super1[Item],tab_alimentos[[#This Row],[Item]],super1[Bairro],mercado18)+SUMIFS(supercb[Qtde],supercb[Item],tab_alimentos[[#This Row],[Item]],supercb[Bairro],mercado18)</f>
        <v>0</v>
      </c>
      <c r="AD62" s="1">
        <f>SUMIFS(super1[Qtde],super1[Item],tab_alimentos[[#This Row],[Item]],super1[Bairro],extras)+SUMIFS(supercb[Qtde],supercb[Item],tab_alimentos[[#This Row],[Item]],supercb[Bairro],extras)</f>
        <v>0</v>
      </c>
      <c r="AE62" s="1">
        <f t="shared" si="18"/>
        <v>34</v>
      </c>
      <c r="AF62" s="1">
        <f t="shared" si="19"/>
        <v>106.67500000000001</v>
      </c>
      <c r="AG62" s="3">
        <f t="shared" si="20"/>
        <v>12.24</v>
      </c>
      <c r="AH62" s="25" t="str">
        <f>higiene[[#This Row],[Item]]</f>
        <v>Detergente</v>
      </c>
      <c r="AI62" s="1">
        <f>IFERROR(higiene[[#This Row],[Kg equivalente]],0)</f>
        <v>0.36770784556458047</v>
      </c>
      <c r="AJ62" s="1">
        <f>IFERROR(higiene[[#This Row],[Preço por produto]],0)</f>
        <v>1.218</v>
      </c>
      <c r="AK62" s="1">
        <f>SUMIFS(super1[Qtde],super1[Item],tab_higiene[[#This Row],[Item]],super1[Bairro],mercado1)+SUMIFS(supercb[Qtde],supercb[Item],tab_higiene[[#This Row],[Item]],supercb[Bairro],mercado1)</f>
        <v>10</v>
      </c>
      <c r="AL62" s="1">
        <f>SUMIFS(super1[Qtde],super1[Item],tab_higiene[[#This Row],[Item]],super1[Bairro],mercado2)+SUMIFS(supercb[Qtde],supercb[Item],tab_higiene[[#This Row],[Item]],supercb[Bairro],mercado2)</f>
        <v>28</v>
      </c>
      <c r="AM62" s="1">
        <f>SUMIFS(super1[Qtde],super1[Item],tab_higiene[[#This Row],[Item]],super1[Bairro],mercado3)+SUMIFS(supercb[Qtde],supercb[Item],tab_higiene[[#This Row],[Item]],supercb[Bairro],mercado3)</f>
        <v>12</v>
      </c>
      <c r="AN62" s="1">
        <f>SUMIFS(super1[Qtde],super1[Item],tab_higiene[[#This Row],[Item]],super1[Bairro],mercado4)+SUMIFS(supercb[Qtde],supercb[Item],tab_higiene[[#This Row],[Item]],supercb[Bairro],mercado4)</f>
        <v>30</v>
      </c>
      <c r="AO62" s="1">
        <f>SUMIFS(super1[Qtde],super1[Item],tab_higiene[[#This Row],[Item]],super1[Bairro],mercado5)+SUMIFS(supercb[Qtde],supercb[Item],tab_higiene[[#This Row],[Item]],supercb[Bairro],mercado5)</f>
        <v>33</v>
      </c>
      <c r="AP62" s="1">
        <f>SUMIFS(super1[Qtde],super1[Item],tab_higiene[[#This Row],[Item]],super1[Bairro],mercado6)+SUMIFS(supercb[Qtde],supercb[Item],tab_higiene[[#This Row],[Item]],supercb[Bairro],mercado6)</f>
        <v>31</v>
      </c>
      <c r="AQ62" s="1">
        <f>SUMIFS(super1[Qtde],super1[Item],tab_higiene[[#This Row],[Item]],super1[Bairro],mercado7)+SUMIFS(supercb[Qtde],supercb[Item],tab_higiene[[#This Row],[Item]],supercb[Bairro],mercado7)</f>
        <v>22</v>
      </c>
      <c r="AR62" s="1">
        <f>SUMIFS(super1[Qtde],super1[Item],tab_higiene[[#This Row],[Item]],super1[Bairro],mercado8)+SUMIFS(supercb[Qtde],supercb[Item],tab_higiene[[#This Row],[Item]],supercb[Bairro],mercado8)</f>
        <v>22</v>
      </c>
      <c r="AS62" s="1">
        <f>SUMIFS(super1[Qtde],super1[Item],tab_higiene[[#This Row],[Item]],super1[Bairro],mercado9)+SUMIFS(supercb[Qtde],supercb[Item],tab_higiene[[#This Row],[Item]],supercb[Bairro],mercado9)</f>
        <v>47</v>
      </c>
      <c r="AT62" s="1">
        <f>SUMIFS(super1[Qtde],super1[Item],tab_higiene[[#This Row],[Item]],super1[Bairro],mercado10)+SUMIFS(supercb[Qtde],supercb[Item],tab_higiene[[#This Row],[Item]],supercb[Bairro],mercado10)</f>
        <v>42</v>
      </c>
      <c r="AU62" s="1">
        <f>SUMIFS(super1[Qtde],super1[Item],tab_higiene[[#This Row],[Item]],super1[Bairro],mercado11)+SUMIFS(supercb[Qtde],supercb[Item],tab_higiene[[#This Row],[Item]],supercb[Bairro],mercado11)</f>
        <v>21</v>
      </c>
      <c r="AV62" s="1">
        <f>SUMIFS(super1[Qtde],super1[Item],tab_higiene[[#This Row],[Item]],super1[Bairro],mercado12)+SUMIFS(supercb[Qtde],supercb[Item],tab_higiene[[#This Row],[Item]],supercb[Bairro],mercado12)</f>
        <v>0</v>
      </c>
      <c r="AW62" s="1">
        <f>SUMIFS(super1[Qtde],super1[Item],tab_higiene[[#This Row],[Item]],super1[Bairro],mercado13)+SUMIFS(supercb[Qtde],supercb[Item],tab_higiene[[#This Row],[Item]],supercb[Bairro],mercado13)</f>
        <v>26</v>
      </c>
      <c r="AX62" s="1">
        <f>SUMIFS(super1[Qtde],super1[Item],tab_higiene[[#This Row],[Item]],super1[Bairro],mercado14)+SUMIFS(supercb[Qtde],supercb[Item],tab_higiene[[#This Row],[Item]],supercb[Bairro],mercado14)</f>
        <v>0</v>
      </c>
      <c r="AY62" s="1">
        <f>SUMIFS(super1[Qtde],super1[Item],tab_higiene[[#This Row],[Item]],super1[Bairro],mercado15)+SUMIFS(supercb[Qtde],supercb[Item],tab_higiene[[#This Row],[Item]],supercb[Bairro],mercado15)</f>
        <v>0</v>
      </c>
      <c r="AZ62" s="1">
        <f>SUMIFS(super1[Qtde],super1[Item],tab_higiene[[#This Row],[Item]],super1[Bairro],mercado16)+SUMIFS(supercb[Qtde],supercb[Item],tab_higiene[[#This Row],[Item]],supercb[Bairro],mercado16)</f>
        <v>0</v>
      </c>
      <c r="BA62" s="1">
        <f>SUMIFS(super1[Qtde],super1[Item],tab_higiene[[#This Row],[Item]],super1[Bairro],mercado17)+SUMIFS(supercb[Qtde],supercb[Item],tab_higiene[[#This Row],[Item]],supercb[Bairro],mercado17)</f>
        <v>0</v>
      </c>
      <c r="BB62" s="1">
        <f>SUMIFS(super1[Qtde],super1[Item],tab_higiene[[#This Row],[Item]],super1[Bairro],mercado18)+SUMIFS(supercb[Qtde],supercb[Item],tab_higiene[[#This Row],[Item]],supercb[Bairro],mercado18)</f>
        <v>0</v>
      </c>
      <c r="BC62" s="1">
        <f>SUMIFS(super1[Qtde],super1[Item],tab_higiene[[#This Row],[Item]],super1[Bairro],extras)+SUMIFS(supercb[Qtde],supercb[Item],tab_higiene[[#This Row],[Item]],supercb[Bairro],extras)</f>
        <v>0</v>
      </c>
      <c r="BD62" s="1">
        <f t="shared" si="21"/>
        <v>324</v>
      </c>
      <c r="BE62" s="1">
        <f t="shared" si="22"/>
        <v>394.63200000000001</v>
      </c>
      <c r="BF62" s="26">
        <f t="shared" si="23"/>
        <v>119.13734196292407</v>
      </c>
      <c r="BI62" s="33" t="str">
        <f>tab_alimentos[[#This Row],[Item]]</f>
        <v>Bolacha (360g)</v>
      </c>
      <c r="BJ62" s="33">
        <f t="shared" si="6"/>
        <v>8</v>
      </c>
      <c r="BK62" s="33" t="str">
        <f t="shared" si="7"/>
        <v>Bolacha</v>
      </c>
      <c r="BL62" s="33">
        <f>tab_alimentos[[#This Row],[kg]]</f>
        <v>12.24</v>
      </c>
      <c r="BM62" s="37" t="s">
        <v>378</v>
      </c>
      <c r="BN62" s="35">
        <f t="shared" si="11"/>
        <v>0</v>
      </c>
      <c r="BP62" s="33" t="str">
        <f>tab_higiene[[#This Row],[Item]]</f>
        <v>Detergente</v>
      </c>
      <c r="BQ62" s="33">
        <f t="shared" si="8"/>
        <v>0</v>
      </c>
      <c r="BR62" s="33" t="str">
        <f t="shared" si="9"/>
        <v>Detergente</v>
      </c>
      <c r="BS62" s="33">
        <f>higiene[[#This Row],[Quantidade]]</f>
        <v>10</v>
      </c>
      <c r="BT62" s="33">
        <f>tab_higiene[Qtde (tot)]</f>
        <v>324</v>
      </c>
      <c r="BU62" s="33">
        <f t="shared" si="12"/>
        <v>3240</v>
      </c>
      <c r="BV62" s="37" t="s">
        <v>334</v>
      </c>
      <c r="BW62" s="33">
        <f t="shared" si="24"/>
        <v>0</v>
      </c>
    </row>
    <row r="63" spans="9:75" x14ac:dyDescent="0.25">
      <c r="I63" s="25" t="str">
        <f>alimentos[[#This Row],[Item]]</f>
        <v>Bolacha (375g)</v>
      </c>
      <c r="J63" s="1">
        <f>IFERROR(alimentos[[#This Row],[kg/embalagem]],0)</f>
        <v>0.375</v>
      </c>
      <c r="K63" s="1">
        <f>IFERROR(alimentos[[#This Row],[Preço]],0)</f>
        <v>3.79</v>
      </c>
      <c r="L63" s="1">
        <f>SUMIFS(super1[Qtde],super1[Item],tab_alimentos[[#This Row],[Item]],super1[Bairro],mercado1)+SUMIFS(supercb[Qtde],supercb[Item],tab_alimentos[[#This Row],[Item]],supercb[Bairro],mercado1)</f>
        <v>2</v>
      </c>
      <c r="M63" s="1">
        <f>SUMIFS(super1[Qtde],super1[Item],tab_alimentos[[#This Row],[Item]],super1[Bairro],mercado2)+SUMIFS(supercb[Qtde],supercb[Item],tab_alimentos[[#This Row],[Item]],supercb[Bairro],mercado2)</f>
        <v>0</v>
      </c>
      <c r="N63" s="1">
        <f>SUMIFS(super1[Qtde],super1[Item],tab_alimentos[[#This Row],[Item]],super1[Bairro],mercado3)+SUMIFS(supercb[Qtde],supercb[Item],tab_alimentos[[#This Row],[Item]],supercb[Bairro],mercado3)</f>
        <v>0</v>
      </c>
      <c r="O63" s="1">
        <f>SUMIFS(super1[Qtde],super1[Item],tab_alimentos[[#This Row],[Item]],super1[Bairro],mercado4)+SUMIFS(supercb[Qtde],supercb[Item],tab_alimentos[[#This Row],[Item]],supercb[Bairro],mercado4)</f>
        <v>0</v>
      </c>
      <c r="P63" s="1">
        <f>SUMIFS(super1[Qtde],super1[Item],tab_alimentos[[#This Row],[Item]],super1[Bairro],mercado5)+SUMIFS(supercb[Qtde],supercb[Item],tab_alimentos[[#This Row],[Item]],supercb[Bairro],mercado5)</f>
        <v>0</v>
      </c>
      <c r="Q63" s="1">
        <f>SUMIFS(super1[Qtde],super1[Item],tab_alimentos[[#This Row],[Item]],super1[Bairro],mercado6)+SUMIFS(supercb[Qtde],supercb[Item],tab_alimentos[[#This Row],[Item]],supercb[Bairro],mercado6)</f>
        <v>0</v>
      </c>
      <c r="R63" s="1">
        <f>SUMIFS(super1[Qtde],super1[Item],tab_alimentos[[#This Row],[Item]],super1[Bairro],mercado7)+SUMIFS(supercb[Qtde],supercb[Item],tab_alimentos[[#This Row],[Item]],supercb[Bairro],mercado7)</f>
        <v>0</v>
      </c>
      <c r="S63" s="1">
        <f>SUMIFS(super1[Qtde],super1[Item],tab_alimentos[[#This Row],[Item]],super1[Bairro],mercado8)+SUMIFS(supercb[Qtde],supercb[Item],tab_alimentos[[#This Row],[Item]],supercb[Bairro],mercado8)</f>
        <v>3</v>
      </c>
      <c r="T63" s="1">
        <f>SUMIFS(super1[Qtde],super1[Item],tab_alimentos[[#This Row],[Item]],super1[Bairro],mercado9)+SUMIFS(supercb[Qtde],supercb[Item],tab_alimentos[[#This Row],[Item]],supercb[Bairro],mercado9)</f>
        <v>2</v>
      </c>
      <c r="U63" s="1">
        <f>SUMIFS(super1[Qtde],super1[Item],tab_alimentos[[#This Row],[Item]],super1[Bairro],mercado10)+SUMIFS(supercb[Qtde],supercb[Item],tab_alimentos[[#This Row],[Item]],supercb[Bairro],mercado10)</f>
        <v>16</v>
      </c>
      <c r="V63" s="1">
        <f>SUMIFS(super1[Qtde],super1[Item],tab_alimentos[[#This Row],[Item]],super1[Bairro],mercado11)+SUMIFS(supercb[Qtde],supercb[Item],tab_alimentos[[#This Row],[Item]],supercb[Bairro],mercado11)</f>
        <v>1</v>
      </c>
      <c r="W63" s="1">
        <f>SUMIFS(super1[Qtde],super1[Item],tab_alimentos[[#This Row],[Item]],super1[Bairro],mercado12)+SUMIFS(supercb[Qtde],supercb[Item],tab_alimentos[[#This Row],[Item]],supercb[Bairro],mercado12)</f>
        <v>0</v>
      </c>
      <c r="X63" s="1">
        <f>SUMIFS(super1[Qtde],super1[Item],tab_alimentos[[#This Row],[Item]],super1[Bairro],mercado13)+SUMIFS(supercb[Qtde],supercb[Item],tab_alimentos[[#This Row],[Item]],supercb[Bairro],mercado13)</f>
        <v>0</v>
      </c>
      <c r="Y63" s="1">
        <f>SUMIFS(super1[Qtde],super1[Item],tab_alimentos[[#This Row],[Item]],super1[Bairro],mercado14)+SUMIFS(supercb[Qtde],supercb[Item],tab_alimentos[[#This Row],[Item]],supercb[Bairro],mercado14)</f>
        <v>0</v>
      </c>
      <c r="Z63" s="1">
        <f>SUMIFS(super1[Qtde],super1[Item],tab_alimentos[[#This Row],[Item]],super1[Bairro],mercado15)+SUMIFS(supercb[Qtde],supercb[Item],tab_alimentos[[#This Row],[Item]],supercb[Bairro],mercado15)</f>
        <v>0</v>
      </c>
      <c r="AA63" s="1">
        <f>SUMIFS(super1[Qtde],super1[Item],tab_alimentos[[#This Row],[Item]],super1[Bairro],mercado16)+SUMIFS(supercb[Qtde],supercb[Item],tab_alimentos[[#This Row],[Item]],supercb[Bairro],mercado16)</f>
        <v>0</v>
      </c>
      <c r="AB63" s="1">
        <f>SUMIFS(super1[Qtde],super1[Item],tab_alimentos[[#This Row],[Item]],super1[Bairro],mercado17)+SUMIFS(supercb[Qtde],supercb[Item],tab_alimentos[[#This Row],[Item]],supercb[Bairro],mercado17)</f>
        <v>0</v>
      </c>
      <c r="AC63" s="1">
        <f>SUMIFS(super1[Qtde],super1[Item],tab_alimentos[[#This Row],[Item]],super1[Bairro],mercado18)+SUMIFS(supercb[Qtde],supercb[Item],tab_alimentos[[#This Row],[Item]],supercb[Bairro],mercado18)</f>
        <v>0</v>
      </c>
      <c r="AD63" s="1">
        <f>SUMIFS(super1[Qtde],super1[Item],tab_alimentos[[#This Row],[Item]],super1[Bairro],extras)+SUMIFS(supercb[Qtde],supercb[Item],tab_alimentos[[#This Row],[Item]],supercb[Bairro],extras)</f>
        <v>0</v>
      </c>
      <c r="AE63" s="1">
        <f t="shared" si="18"/>
        <v>24</v>
      </c>
      <c r="AF63" s="1">
        <f t="shared" si="19"/>
        <v>90.960000000000008</v>
      </c>
      <c r="AG63" s="3">
        <f t="shared" si="20"/>
        <v>9</v>
      </c>
      <c r="AH63" s="25" t="str">
        <f>higiene[[#This Row],[Item]]</f>
        <v>Detergente (5L)</v>
      </c>
      <c r="AI63" s="1">
        <f>IFERROR(higiene[[#This Row],[Kg equivalente]],0)</f>
        <v>3.6182089729815248</v>
      </c>
      <c r="AJ63" s="1">
        <f>IFERROR(higiene[[#This Row],[Preço por produto]],0)</f>
        <v>11.984999999999999</v>
      </c>
      <c r="AK63" s="1">
        <f>SUMIFS(super1[Qtde],super1[Item],tab_higiene[[#This Row],[Item]],super1[Bairro],mercado1)+SUMIFS(supercb[Qtde],supercb[Item],tab_higiene[[#This Row],[Item]],supercb[Bairro],mercado1)</f>
        <v>0</v>
      </c>
      <c r="AL63" s="1">
        <f>SUMIFS(super1[Qtde],super1[Item],tab_higiene[[#This Row],[Item]],super1[Bairro],mercado2)+SUMIFS(supercb[Qtde],supercb[Item],tab_higiene[[#This Row],[Item]],supercb[Bairro],mercado2)</f>
        <v>0</v>
      </c>
      <c r="AM63" s="1">
        <f>SUMIFS(super1[Qtde],super1[Item],tab_higiene[[#This Row],[Item]],super1[Bairro],mercado3)+SUMIFS(supercb[Qtde],supercb[Item],tab_higiene[[#This Row],[Item]],supercb[Bairro],mercado3)</f>
        <v>0</v>
      </c>
      <c r="AN63" s="1">
        <f>SUMIFS(super1[Qtde],super1[Item],tab_higiene[[#This Row],[Item]],super1[Bairro],mercado4)+SUMIFS(supercb[Qtde],supercb[Item],tab_higiene[[#This Row],[Item]],supercb[Bairro],mercado4)</f>
        <v>0</v>
      </c>
      <c r="AO63" s="1">
        <f>SUMIFS(super1[Qtde],super1[Item],tab_higiene[[#This Row],[Item]],super1[Bairro],mercado5)+SUMIFS(supercb[Qtde],supercb[Item],tab_higiene[[#This Row],[Item]],supercb[Bairro],mercado5)</f>
        <v>0</v>
      </c>
      <c r="AP63" s="1">
        <f>SUMIFS(super1[Qtde],super1[Item],tab_higiene[[#This Row],[Item]],super1[Bairro],mercado6)+SUMIFS(supercb[Qtde],supercb[Item],tab_higiene[[#This Row],[Item]],supercb[Bairro],mercado6)</f>
        <v>0</v>
      </c>
      <c r="AQ63" s="1">
        <f>SUMIFS(super1[Qtde],super1[Item],tab_higiene[[#This Row],[Item]],super1[Bairro],mercado7)+SUMIFS(supercb[Qtde],supercb[Item],tab_higiene[[#This Row],[Item]],supercb[Bairro],mercado7)</f>
        <v>0</v>
      </c>
      <c r="AR63" s="1">
        <f>SUMIFS(super1[Qtde],super1[Item],tab_higiene[[#This Row],[Item]],super1[Bairro],mercado8)+SUMIFS(supercb[Qtde],supercb[Item],tab_higiene[[#This Row],[Item]],supercb[Bairro],mercado8)</f>
        <v>0</v>
      </c>
      <c r="AS63" s="1">
        <f>SUMIFS(super1[Qtde],super1[Item],tab_higiene[[#This Row],[Item]],super1[Bairro],mercado9)+SUMIFS(supercb[Qtde],supercb[Item],tab_higiene[[#This Row],[Item]],supercb[Bairro],mercado9)</f>
        <v>0</v>
      </c>
      <c r="AT63" s="1">
        <f>SUMIFS(super1[Qtde],super1[Item],tab_higiene[[#This Row],[Item]],super1[Bairro],mercado10)+SUMIFS(supercb[Qtde],supercb[Item],tab_higiene[[#This Row],[Item]],supercb[Bairro],mercado10)</f>
        <v>0</v>
      </c>
      <c r="AU63" s="1">
        <f>SUMIFS(super1[Qtde],super1[Item],tab_higiene[[#This Row],[Item]],super1[Bairro],mercado11)+SUMIFS(supercb[Qtde],supercb[Item],tab_higiene[[#This Row],[Item]],supercb[Bairro],mercado11)</f>
        <v>0</v>
      </c>
      <c r="AV63" s="1">
        <f>SUMIFS(super1[Qtde],super1[Item],tab_higiene[[#This Row],[Item]],super1[Bairro],mercado12)+SUMIFS(supercb[Qtde],supercb[Item],tab_higiene[[#This Row],[Item]],supercb[Bairro],mercado12)</f>
        <v>0</v>
      </c>
      <c r="AW63" s="1">
        <f>SUMIFS(super1[Qtde],super1[Item],tab_higiene[[#This Row],[Item]],super1[Bairro],mercado13)+SUMIFS(supercb[Qtde],supercb[Item],tab_higiene[[#This Row],[Item]],supercb[Bairro],mercado13)</f>
        <v>0</v>
      </c>
      <c r="AX63" s="1">
        <f>SUMIFS(super1[Qtde],super1[Item],tab_higiene[[#This Row],[Item]],super1[Bairro],mercado14)+SUMIFS(supercb[Qtde],supercb[Item],tab_higiene[[#This Row],[Item]],supercb[Bairro],mercado14)</f>
        <v>0</v>
      </c>
      <c r="AY63" s="1">
        <f>SUMIFS(super1[Qtde],super1[Item],tab_higiene[[#This Row],[Item]],super1[Bairro],mercado15)+SUMIFS(supercb[Qtde],supercb[Item],tab_higiene[[#This Row],[Item]],supercb[Bairro],mercado15)</f>
        <v>0</v>
      </c>
      <c r="AZ63" s="1">
        <f>SUMIFS(super1[Qtde],super1[Item],tab_higiene[[#This Row],[Item]],super1[Bairro],mercado16)+SUMIFS(supercb[Qtde],supercb[Item],tab_higiene[[#This Row],[Item]],supercb[Bairro],mercado16)</f>
        <v>0</v>
      </c>
      <c r="BA63" s="1">
        <f>SUMIFS(super1[Qtde],super1[Item],tab_higiene[[#This Row],[Item]],super1[Bairro],mercado17)+SUMIFS(supercb[Qtde],supercb[Item],tab_higiene[[#This Row],[Item]],supercb[Bairro],mercado17)</f>
        <v>0</v>
      </c>
      <c r="BB63" s="1">
        <f>SUMIFS(super1[Qtde],super1[Item],tab_higiene[[#This Row],[Item]],super1[Bairro],mercado18)+SUMIFS(supercb[Qtde],supercb[Item],tab_higiene[[#This Row],[Item]],supercb[Bairro],mercado18)</f>
        <v>0</v>
      </c>
      <c r="BC63" s="1">
        <f>SUMIFS(super1[Qtde],super1[Item],tab_higiene[[#This Row],[Item]],super1[Bairro],extras)+SUMIFS(supercb[Qtde],supercb[Item],tab_higiene[[#This Row],[Item]],supercb[Bairro],extras)</f>
        <v>0</v>
      </c>
      <c r="BD63" s="1">
        <f t="shared" si="21"/>
        <v>0</v>
      </c>
      <c r="BE63" s="1">
        <f t="shared" si="22"/>
        <v>0</v>
      </c>
      <c r="BF63" s="26">
        <f t="shared" si="23"/>
        <v>0</v>
      </c>
      <c r="BI63" s="33" t="str">
        <f>tab_alimentos[[#This Row],[Item]]</f>
        <v>Bolacha (375g)</v>
      </c>
      <c r="BJ63" s="33">
        <f t="shared" si="6"/>
        <v>8</v>
      </c>
      <c r="BK63" s="33" t="str">
        <f t="shared" si="7"/>
        <v>Bolacha</v>
      </c>
      <c r="BL63" s="33">
        <f>tab_alimentos[[#This Row],[kg]]</f>
        <v>9</v>
      </c>
      <c r="BM63" s="37" t="s">
        <v>88</v>
      </c>
      <c r="BN63" s="35">
        <f t="shared" si="11"/>
        <v>0</v>
      </c>
      <c r="BP63" s="33" t="str">
        <f>tab_higiene[[#This Row],[Item]]</f>
        <v>Detergente (5L)</v>
      </c>
      <c r="BQ63" s="33">
        <f t="shared" si="8"/>
        <v>11</v>
      </c>
      <c r="BR63" s="33" t="str">
        <f t="shared" si="9"/>
        <v>Detergente</v>
      </c>
      <c r="BS63" s="33">
        <f>higiene[[#This Row],[Quantidade]]</f>
        <v>0.2</v>
      </c>
      <c r="BT63" s="33">
        <f>tab_higiene[Qtde (tot)]</f>
        <v>0</v>
      </c>
      <c r="BU63" s="33">
        <f t="shared" si="12"/>
        <v>0</v>
      </c>
      <c r="BV63" s="37" t="s">
        <v>94</v>
      </c>
      <c r="BW63" s="33">
        <f t="shared" si="24"/>
        <v>0</v>
      </c>
    </row>
    <row r="64" spans="9:75" x14ac:dyDescent="0.25">
      <c r="I64" s="25" t="str">
        <f>alimentos[[#This Row],[Item]]</f>
        <v>Bolacha (400g)</v>
      </c>
      <c r="J64" s="1">
        <f>IFERROR(alimentos[[#This Row],[kg/embalagem]],0)</f>
        <v>0.4</v>
      </c>
      <c r="K64" s="1">
        <f>IFERROR(alimentos[[#This Row],[Preço]],0)</f>
        <v>4.0883333333333338</v>
      </c>
      <c r="L64" s="1">
        <f>SUMIFS(super1[Qtde],super1[Item],tab_alimentos[[#This Row],[Item]],super1[Bairro],mercado1)+SUMIFS(supercb[Qtde],supercb[Item],tab_alimentos[[#This Row],[Item]],supercb[Bairro],mercado1)</f>
        <v>1</v>
      </c>
      <c r="M64" s="1">
        <f>SUMIFS(super1[Qtde],super1[Item],tab_alimentos[[#This Row],[Item]],super1[Bairro],mercado2)+SUMIFS(supercb[Qtde],supercb[Item],tab_alimentos[[#This Row],[Item]],supercb[Bairro],mercado2)</f>
        <v>5</v>
      </c>
      <c r="N64" s="1">
        <f>SUMIFS(super1[Qtde],super1[Item],tab_alimentos[[#This Row],[Item]],super1[Bairro],mercado3)+SUMIFS(supercb[Qtde],supercb[Item],tab_alimentos[[#This Row],[Item]],supercb[Bairro],mercado3)</f>
        <v>0</v>
      </c>
      <c r="O64" s="1">
        <f>SUMIFS(super1[Qtde],super1[Item],tab_alimentos[[#This Row],[Item]],super1[Bairro],mercado4)+SUMIFS(supercb[Qtde],supercb[Item],tab_alimentos[[#This Row],[Item]],supercb[Bairro],mercado4)</f>
        <v>3</v>
      </c>
      <c r="P64" s="1">
        <f>SUMIFS(super1[Qtde],super1[Item],tab_alimentos[[#This Row],[Item]],super1[Bairro],mercado5)+SUMIFS(supercb[Qtde],supercb[Item],tab_alimentos[[#This Row],[Item]],supercb[Bairro],mercado5)</f>
        <v>15</v>
      </c>
      <c r="Q64" s="1">
        <f>SUMIFS(super1[Qtde],super1[Item],tab_alimentos[[#This Row],[Item]],super1[Bairro],mercado6)+SUMIFS(supercb[Qtde],supercb[Item],tab_alimentos[[#This Row],[Item]],supercb[Bairro],mercado6)</f>
        <v>13</v>
      </c>
      <c r="R64" s="1">
        <f>SUMIFS(super1[Qtde],super1[Item],tab_alimentos[[#This Row],[Item]],super1[Bairro],mercado7)+SUMIFS(supercb[Qtde],supercb[Item],tab_alimentos[[#This Row],[Item]],supercb[Bairro],mercado7)</f>
        <v>8</v>
      </c>
      <c r="S64" s="1">
        <f>SUMIFS(super1[Qtde],super1[Item],tab_alimentos[[#This Row],[Item]],super1[Bairro],mercado8)+SUMIFS(supercb[Qtde],supercb[Item],tab_alimentos[[#This Row],[Item]],supercb[Bairro],mercado8)</f>
        <v>14</v>
      </c>
      <c r="T64" s="1">
        <f>SUMIFS(super1[Qtde],super1[Item],tab_alimentos[[#This Row],[Item]],super1[Bairro],mercado9)+SUMIFS(supercb[Qtde],supercb[Item],tab_alimentos[[#This Row],[Item]],supercb[Bairro],mercado9)</f>
        <v>4</v>
      </c>
      <c r="U64" s="1">
        <f>SUMIFS(super1[Qtde],super1[Item],tab_alimentos[[#This Row],[Item]],super1[Bairro],mercado10)+SUMIFS(supercb[Qtde],supercb[Item],tab_alimentos[[#This Row],[Item]],supercb[Bairro],mercado10)</f>
        <v>12</v>
      </c>
      <c r="V64" s="1">
        <f>SUMIFS(super1[Qtde],super1[Item],tab_alimentos[[#This Row],[Item]],super1[Bairro],mercado11)+SUMIFS(supercb[Qtde],supercb[Item],tab_alimentos[[#This Row],[Item]],supercb[Bairro],mercado11)</f>
        <v>7</v>
      </c>
      <c r="W64" s="1">
        <f>SUMIFS(super1[Qtde],super1[Item],tab_alimentos[[#This Row],[Item]],super1[Bairro],mercado12)+SUMIFS(supercb[Qtde],supercb[Item],tab_alimentos[[#This Row],[Item]],supercb[Bairro],mercado12)</f>
        <v>0</v>
      </c>
      <c r="X64" s="1">
        <f>SUMIFS(super1[Qtde],super1[Item],tab_alimentos[[#This Row],[Item]],super1[Bairro],mercado13)+SUMIFS(supercb[Qtde],supercb[Item],tab_alimentos[[#This Row],[Item]],supercb[Bairro],mercado13)</f>
        <v>5</v>
      </c>
      <c r="Y64" s="1">
        <f>SUMIFS(super1[Qtde],super1[Item],tab_alimentos[[#This Row],[Item]],super1[Bairro],mercado14)+SUMIFS(supercb[Qtde],supercb[Item],tab_alimentos[[#This Row],[Item]],supercb[Bairro],mercado14)</f>
        <v>0</v>
      </c>
      <c r="Z64" s="1">
        <f>SUMIFS(super1[Qtde],super1[Item],tab_alimentos[[#This Row],[Item]],super1[Bairro],mercado15)+SUMIFS(supercb[Qtde],supercb[Item],tab_alimentos[[#This Row],[Item]],supercb[Bairro],mercado15)</f>
        <v>0</v>
      </c>
      <c r="AA64" s="1">
        <f>SUMIFS(super1[Qtde],super1[Item],tab_alimentos[[#This Row],[Item]],super1[Bairro],mercado16)+SUMIFS(supercb[Qtde],supercb[Item],tab_alimentos[[#This Row],[Item]],supercb[Bairro],mercado16)</f>
        <v>0</v>
      </c>
      <c r="AB64" s="1">
        <f>SUMIFS(super1[Qtde],super1[Item],tab_alimentos[[#This Row],[Item]],super1[Bairro],mercado17)+SUMIFS(supercb[Qtde],supercb[Item],tab_alimentos[[#This Row],[Item]],supercb[Bairro],mercado17)</f>
        <v>0</v>
      </c>
      <c r="AC64" s="1">
        <f>SUMIFS(super1[Qtde],super1[Item],tab_alimentos[[#This Row],[Item]],super1[Bairro],mercado18)+SUMIFS(supercb[Qtde],supercb[Item],tab_alimentos[[#This Row],[Item]],supercb[Bairro],mercado18)</f>
        <v>0</v>
      </c>
      <c r="AD64" s="1">
        <f>SUMIFS(super1[Qtde],super1[Item],tab_alimentos[[#This Row],[Item]],super1[Bairro],extras)+SUMIFS(supercb[Qtde],supercb[Item],tab_alimentos[[#This Row],[Item]],supercb[Bairro],extras)</f>
        <v>0</v>
      </c>
      <c r="AE64" s="1">
        <f t="shared" si="18"/>
        <v>87</v>
      </c>
      <c r="AF64" s="1">
        <f t="shared" si="19"/>
        <v>355.68500000000006</v>
      </c>
      <c r="AG64" s="3">
        <f t="shared" si="20"/>
        <v>34.800000000000004</v>
      </c>
      <c r="AH64" s="25" t="str">
        <f>higiene[[#This Row],[Item]]</f>
        <v>Detergente (6un)</v>
      </c>
      <c r="AI64" s="1">
        <f>IFERROR(higiene[[#This Row],[Kg equivalente]],0)</f>
        <v>2.4159130001071882</v>
      </c>
      <c r="AJ64" s="1">
        <f>IFERROR(higiene[[#This Row],[Preço por produto]],0)</f>
        <v>8.0024999999999995</v>
      </c>
      <c r="AK64" s="1">
        <f>SUMIFS(super1[Qtde],super1[Item],tab_higiene[[#This Row],[Item]],super1[Bairro],mercado1)+SUMIFS(supercb[Qtde],supercb[Item],tab_higiene[[#This Row],[Item]],supercb[Bairro],mercado1)</f>
        <v>0</v>
      </c>
      <c r="AL64" s="1">
        <f>SUMIFS(super1[Qtde],super1[Item],tab_higiene[[#This Row],[Item]],super1[Bairro],mercado2)+SUMIFS(supercb[Qtde],supercb[Item],tab_higiene[[#This Row],[Item]],supercb[Bairro],mercado2)</f>
        <v>0</v>
      </c>
      <c r="AM64" s="1">
        <f>SUMIFS(super1[Qtde],super1[Item],tab_higiene[[#This Row],[Item]],super1[Bairro],mercado3)+SUMIFS(supercb[Qtde],supercb[Item],tab_higiene[[#This Row],[Item]],supercb[Bairro],mercado3)</f>
        <v>0</v>
      </c>
      <c r="AN64" s="1">
        <f>SUMIFS(super1[Qtde],super1[Item],tab_higiene[[#This Row],[Item]],super1[Bairro],mercado4)+SUMIFS(supercb[Qtde],supercb[Item],tab_higiene[[#This Row],[Item]],supercb[Bairro],mercado4)</f>
        <v>0</v>
      </c>
      <c r="AO64" s="1">
        <f>SUMIFS(super1[Qtde],super1[Item],tab_higiene[[#This Row],[Item]],super1[Bairro],mercado5)+SUMIFS(supercb[Qtde],supercb[Item],tab_higiene[[#This Row],[Item]],supercb[Bairro],mercado5)</f>
        <v>0</v>
      </c>
      <c r="AP64" s="1">
        <f>SUMIFS(super1[Qtde],super1[Item],tab_higiene[[#This Row],[Item]],super1[Bairro],mercado6)+SUMIFS(supercb[Qtde],supercb[Item],tab_higiene[[#This Row],[Item]],supercb[Bairro],mercado6)</f>
        <v>0</v>
      </c>
      <c r="AQ64" s="1">
        <f>SUMIFS(super1[Qtde],super1[Item],tab_higiene[[#This Row],[Item]],super1[Bairro],mercado7)+SUMIFS(supercb[Qtde],supercb[Item],tab_higiene[[#This Row],[Item]],supercb[Bairro],mercado7)</f>
        <v>0</v>
      </c>
      <c r="AR64" s="1">
        <f>SUMIFS(super1[Qtde],super1[Item],tab_higiene[[#This Row],[Item]],super1[Bairro],mercado8)+SUMIFS(supercb[Qtde],supercb[Item],tab_higiene[[#This Row],[Item]],supercb[Bairro],mercado8)</f>
        <v>0</v>
      </c>
      <c r="AS64" s="1">
        <f>SUMIFS(super1[Qtde],super1[Item],tab_higiene[[#This Row],[Item]],super1[Bairro],mercado9)+SUMIFS(supercb[Qtde],supercb[Item],tab_higiene[[#This Row],[Item]],supercb[Bairro],mercado9)</f>
        <v>0</v>
      </c>
      <c r="AT64" s="1">
        <f>SUMIFS(super1[Qtde],super1[Item],tab_higiene[[#This Row],[Item]],super1[Bairro],mercado10)+SUMIFS(supercb[Qtde],supercb[Item],tab_higiene[[#This Row],[Item]],supercb[Bairro],mercado10)</f>
        <v>0</v>
      </c>
      <c r="AU64" s="1">
        <f>SUMIFS(super1[Qtde],super1[Item],tab_higiene[[#This Row],[Item]],super1[Bairro],mercado11)+SUMIFS(supercb[Qtde],supercb[Item],tab_higiene[[#This Row],[Item]],supercb[Bairro],mercado11)</f>
        <v>0</v>
      </c>
      <c r="AV64" s="1">
        <f>SUMIFS(super1[Qtde],super1[Item],tab_higiene[[#This Row],[Item]],super1[Bairro],mercado12)+SUMIFS(supercb[Qtde],supercb[Item],tab_higiene[[#This Row],[Item]],supercb[Bairro],mercado12)</f>
        <v>0</v>
      </c>
      <c r="AW64" s="1">
        <f>SUMIFS(super1[Qtde],super1[Item],tab_higiene[[#This Row],[Item]],super1[Bairro],mercado13)+SUMIFS(supercb[Qtde],supercb[Item],tab_higiene[[#This Row],[Item]],supercb[Bairro],mercado13)</f>
        <v>0</v>
      </c>
      <c r="AX64" s="1">
        <f>SUMIFS(super1[Qtde],super1[Item],tab_higiene[[#This Row],[Item]],super1[Bairro],mercado14)+SUMIFS(supercb[Qtde],supercb[Item],tab_higiene[[#This Row],[Item]],supercb[Bairro],mercado14)</f>
        <v>0</v>
      </c>
      <c r="AY64" s="1">
        <f>SUMIFS(super1[Qtde],super1[Item],tab_higiene[[#This Row],[Item]],super1[Bairro],mercado15)+SUMIFS(supercb[Qtde],supercb[Item],tab_higiene[[#This Row],[Item]],supercb[Bairro],mercado15)</f>
        <v>0</v>
      </c>
      <c r="AZ64" s="1">
        <f>SUMIFS(super1[Qtde],super1[Item],tab_higiene[[#This Row],[Item]],super1[Bairro],mercado16)+SUMIFS(supercb[Qtde],supercb[Item],tab_higiene[[#This Row],[Item]],supercb[Bairro],mercado16)</f>
        <v>0</v>
      </c>
      <c r="BA64" s="1">
        <f>SUMIFS(super1[Qtde],super1[Item],tab_higiene[[#This Row],[Item]],super1[Bairro],mercado17)+SUMIFS(supercb[Qtde],supercb[Item],tab_higiene[[#This Row],[Item]],supercb[Bairro],mercado17)</f>
        <v>0</v>
      </c>
      <c r="BB64" s="1">
        <f>SUMIFS(super1[Qtde],super1[Item],tab_higiene[[#This Row],[Item]],super1[Bairro],mercado18)+SUMIFS(supercb[Qtde],supercb[Item],tab_higiene[[#This Row],[Item]],supercb[Bairro],mercado18)</f>
        <v>0</v>
      </c>
      <c r="BC64" s="1">
        <f>SUMIFS(super1[Qtde],super1[Item],tab_higiene[[#This Row],[Item]],super1[Bairro],extras)+SUMIFS(supercb[Qtde],supercb[Item],tab_higiene[[#This Row],[Item]],supercb[Bairro],extras)</f>
        <v>0</v>
      </c>
      <c r="BD64" s="1">
        <f t="shared" si="21"/>
        <v>0</v>
      </c>
      <c r="BE64" s="1">
        <f t="shared" si="22"/>
        <v>0</v>
      </c>
      <c r="BF64" s="26">
        <f t="shared" si="23"/>
        <v>0</v>
      </c>
      <c r="BI64" s="33" t="str">
        <f>tab_alimentos[[#This Row],[Item]]</f>
        <v>Bolacha (400g)</v>
      </c>
      <c r="BJ64" s="33">
        <f t="shared" si="6"/>
        <v>8</v>
      </c>
      <c r="BK64" s="33" t="str">
        <f t="shared" si="7"/>
        <v>Bolacha</v>
      </c>
      <c r="BL64" s="33">
        <f>tab_alimentos[[#This Row],[kg]]</f>
        <v>34.800000000000004</v>
      </c>
      <c r="BM64" s="37" t="s">
        <v>89</v>
      </c>
      <c r="BN64" s="35">
        <f t="shared" si="11"/>
        <v>0</v>
      </c>
      <c r="BP64" s="33" t="str">
        <f>tab_higiene[[#This Row],[Item]]</f>
        <v>Detergente (6un)</v>
      </c>
      <c r="BQ64" s="33">
        <f t="shared" si="8"/>
        <v>11</v>
      </c>
      <c r="BR64" s="33" t="str">
        <f t="shared" si="9"/>
        <v>Detergente</v>
      </c>
      <c r="BS64" s="33">
        <f>higiene[[#This Row],[Quantidade]]</f>
        <v>40</v>
      </c>
      <c r="BT64" s="33">
        <f>tab_higiene[Qtde (tot)]</f>
        <v>0</v>
      </c>
      <c r="BU64" s="33">
        <f t="shared" si="12"/>
        <v>0</v>
      </c>
      <c r="BV64" s="37" t="s">
        <v>335</v>
      </c>
      <c r="BW64" s="33">
        <f t="shared" si="24"/>
        <v>0</v>
      </c>
    </row>
    <row r="65" spans="9:75" x14ac:dyDescent="0.25">
      <c r="I65" s="25" t="str">
        <f>alimentos[[#This Row],[Item]]</f>
        <v>Bolacha (420g)</v>
      </c>
      <c r="J65" s="1">
        <f>IFERROR(alimentos[[#This Row],[kg/embalagem]],0)</f>
        <v>0.42</v>
      </c>
      <c r="K65" s="1">
        <f>IFERROR(alimentos[[#This Row],[Preço]],0)</f>
        <v>5.29</v>
      </c>
      <c r="L65" s="1">
        <f>SUMIFS(super1[Qtde],super1[Item],tab_alimentos[[#This Row],[Item]],super1[Bairro],mercado1)+SUMIFS(supercb[Qtde],supercb[Item],tab_alimentos[[#This Row],[Item]],supercb[Bairro],mercado1)</f>
        <v>0</v>
      </c>
      <c r="M65" s="1">
        <f>SUMIFS(super1[Qtde],super1[Item],tab_alimentos[[#This Row],[Item]],super1[Bairro],mercado2)+SUMIFS(supercb[Qtde],supercb[Item],tab_alimentos[[#This Row],[Item]],supercb[Bairro],mercado2)</f>
        <v>0</v>
      </c>
      <c r="N65" s="1">
        <f>SUMIFS(super1[Qtde],super1[Item],tab_alimentos[[#This Row],[Item]],super1[Bairro],mercado3)+SUMIFS(supercb[Qtde],supercb[Item],tab_alimentos[[#This Row],[Item]],supercb[Bairro],mercado3)</f>
        <v>0</v>
      </c>
      <c r="O65" s="1">
        <f>SUMIFS(super1[Qtde],super1[Item],tab_alimentos[[#This Row],[Item]],super1[Bairro],mercado4)+SUMIFS(supercb[Qtde],supercb[Item],tab_alimentos[[#This Row],[Item]],supercb[Bairro],mercado4)</f>
        <v>0</v>
      </c>
      <c r="P65" s="1">
        <f>SUMIFS(super1[Qtde],super1[Item],tab_alimentos[[#This Row],[Item]],super1[Bairro],mercado5)+SUMIFS(supercb[Qtde],supercb[Item],tab_alimentos[[#This Row],[Item]],supercb[Bairro],mercado5)</f>
        <v>0</v>
      </c>
      <c r="Q65" s="1">
        <f>SUMIFS(super1[Qtde],super1[Item],tab_alimentos[[#This Row],[Item]],super1[Bairro],mercado6)+SUMIFS(supercb[Qtde],supercb[Item],tab_alimentos[[#This Row],[Item]],supercb[Bairro],mercado6)</f>
        <v>0</v>
      </c>
      <c r="R65" s="1">
        <f>SUMIFS(super1[Qtde],super1[Item],tab_alimentos[[#This Row],[Item]],super1[Bairro],mercado7)+SUMIFS(supercb[Qtde],supercb[Item],tab_alimentos[[#This Row],[Item]],supercb[Bairro],mercado7)</f>
        <v>0</v>
      </c>
      <c r="S65" s="1">
        <f>SUMIFS(super1[Qtde],super1[Item],tab_alimentos[[#This Row],[Item]],super1[Bairro],mercado8)+SUMIFS(supercb[Qtde],supercb[Item],tab_alimentos[[#This Row],[Item]],supercb[Bairro],mercado8)</f>
        <v>0</v>
      </c>
      <c r="T65" s="1">
        <f>SUMIFS(super1[Qtde],super1[Item],tab_alimentos[[#This Row],[Item]],super1[Bairro],mercado9)+SUMIFS(supercb[Qtde],supercb[Item],tab_alimentos[[#This Row],[Item]],supercb[Bairro],mercado9)</f>
        <v>0</v>
      </c>
      <c r="U65" s="1">
        <f>SUMIFS(super1[Qtde],super1[Item],tab_alimentos[[#This Row],[Item]],super1[Bairro],mercado10)+SUMIFS(supercb[Qtde],supercb[Item],tab_alimentos[[#This Row],[Item]],supercb[Bairro],mercado10)</f>
        <v>0</v>
      </c>
      <c r="V65" s="1">
        <f>SUMIFS(super1[Qtde],super1[Item],tab_alimentos[[#This Row],[Item]],super1[Bairro],mercado11)+SUMIFS(supercb[Qtde],supercb[Item],tab_alimentos[[#This Row],[Item]],supercb[Bairro],mercado11)</f>
        <v>0</v>
      </c>
      <c r="W65" s="1">
        <f>SUMIFS(super1[Qtde],super1[Item],tab_alimentos[[#This Row],[Item]],super1[Bairro],mercado12)+SUMIFS(supercb[Qtde],supercb[Item],tab_alimentos[[#This Row],[Item]],supercb[Bairro],mercado12)</f>
        <v>0</v>
      </c>
      <c r="X65" s="1">
        <f>SUMIFS(super1[Qtde],super1[Item],tab_alimentos[[#This Row],[Item]],super1[Bairro],mercado13)+SUMIFS(supercb[Qtde],supercb[Item],tab_alimentos[[#This Row],[Item]],supercb[Bairro],mercado13)</f>
        <v>0</v>
      </c>
      <c r="Y65" s="1">
        <f>SUMIFS(super1[Qtde],super1[Item],tab_alimentos[[#This Row],[Item]],super1[Bairro],mercado14)+SUMIFS(supercb[Qtde],supercb[Item],tab_alimentos[[#This Row],[Item]],supercb[Bairro],mercado14)</f>
        <v>0</v>
      </c>
      <c r="Z65" s="1">
        <f>SUMIFS(super1[Qtde],super1[Item],tab_alimentos[[#This Row],[Item]],super1[Bairro],mercado15)+SUMIFS(supercb[Qtde],supercb[Item],tab_alimentos[[#This Row],[Item]],supercb[Bairro],mercado15)</f>
        <v>0</v>
      </c>
      <c r="AA65" s="1">
        <f>SUMIFS(super1[Qtde],super1[Item],tab_alimentos[[#This Row],[Item]],super1[Bairro],mercado16)+SUMIFS(supercb[Qtde],supercb[Item],tab_alimentos[[#This Row],[Item]],supercb[Bairro],mercado16)</f>
        <v>0</v>
      </c>
      <c r="AB65" s="1">
        <f>SUMIFS(super1[Qtde],super1[Item],tab_alimentos[[#This Row],[Item]],super1[Bairro],mercado17)+SUMIFS(supercb[Qtde],supercb[Item],tab_alimentos[[#This Row],[Item]],supercb[Bairro],mercado17)</f>
        <v>0</v>
      </c>
      <c r="AC65" s="1">
        <f>SUMIFS(super1[Qtde],super1[Item],tab_alimentos[[#This Row],[Item]],super1[Bairro],mercado18)+SUMIFS(supercb[Qtde],supercb[Item],tab_alimentos[[#This Row],[Item]],supercb[Bairro],mercado18)</f>
        <v>0</v>
      </c>
      <c r="AD65" s="1">
        <f>SUMIFS(super1[Qtde],super1[Item],tab_alimentos[[#This Row],[Item]],super1[Bairro],extras)+SUMIFS(supercb[Qtde],supercb[Item],tab_alimentos[[#This Row],[Item]],supercb[Bairro],extras)</f>
        <v>0</v>
      </c>
      <c r="AE65" s="1">
        <f t="shared" si="18"/>
        <v>0</v>
      </c>
      <c r="AF65" s="1">
        <f t="shared" si="19"/>
        <v>0</v>
      </c>
      <c r="AG65" s="3">
        <f t="shared" si="20"/>
        <v>0</v>
      </c>
      <c r="AH65" s="25" t="str">
        <f>higiene[[#This Row],[Item]]</f>
        <v>Detergente(500ml)</v>
      </c>
      <c r="AI65" s="1">
        <f>IFERROR(higiene[[#This Row],[Kg equivalente]],0)</f>
        <v>0.34717900032780585</v>
      </c>
      <c r="AJ65" s="1">
        <f>IFERROR(higiene[[#This Row],[Preço por produto]],0)</f>
        <v>1.1499999999999999</v>
      </c>
      <c r="AK65" s="1">
        <f>SUMIFS(super1[Qtde],super1[Item],tab_higiene[[#This Row],[Item]],super1[Bairro],mercado1)+SUMIFS(supercb[Qtde],supercb[Item],tab_higiene[[#This Row],[Item]],supercb[Bairro],mercado1)</f>
        <v>0</v>
      </c>
      <c r="AL65" s="1">
        <f>SUMIFS(super1[Qtde],super1[Item],tab_higiene[[#This Row],[Item]],super1[Bairro],mercado2)+SUMIFS(supercb[Qtde],supercb[Item],tab_higiene[[#This Row],[Item]],supercb[Bairro],mercado2)</f>
        <v>0</v>
      </c>
      <c r="AM65" s="1">
        <f>SUMIFS(super1[Qtde],super1[Item],tab_higiene[[#This Row],[Item]],super1[Bairro],mercado3)+SUMIFS(supercb[Qtde],supercb[Item],tab_higiene[[#This Row],[Item]],supercb[Bairro],mercado3)</f>
        <v>0</v>
      </c>
      <c r="AN65" s="1">
        <f>SUMIFS(super1[Qtde],super1[Item],tab_higiene[[#This Row],[Item]],super1[Bairro],mercado4)+SUMIFS(supercb[Qtde],supercb[Item],tab_higiene[[#This Row],[Item]],supercb[Bairro],mercado4)</f>
        <v>0</v>
      </c>
      <c r="AO65" s="1">
        <f>SUMIFS(super1[Qtde],super1[Item],tab_higiene[[#This Row],[Item]],super1[Bairro],mercado5)+SUMIFS(supercb[Qtde],supercb[Item],tab_higiene[[#This Row],[Item]],supercb[Bairro],mercado5)</f>
        <v>0</v>
      </c>
      <c r="AP65" s="1">
        <f>SUMIFS(super1[Qtde],super1[Item],tab_higiene[[#This Row],[Item]],super1[Bairro],mercado6)+SUMIFS(supercb[Qtde],supercb[Item],tab_higiene[[#This Row],[Item]],supercb[Bairro],mercado6)</f>
        <v>0</v>
      </c>
      <c r="AQ65" s="1">
        <f>SUMIFS(super1[Qtde],super1[Item],tab_higiene[[#This Row],[Item]],super1[Bairro],mercado7)+SUMIFS(supercb[Qtde],supercb[Item],tab_higiene[[#This Row],[Item]],supercb[Bairro],mercado7)</f>
        <v>0</v>
      </c>
      <c r="AR65" s="1">
        <f>SUMIFS(super1[Qtde],super1[Item],tab_higiene[[#This Row],[Item]],super1[Bairro],mercado8)+SUMIFS(supercb[Qtde],supercb[Item],tab_higiene[[#This Row],[Item]],supercb[Bairro],mercado8)</f>
        <v>0</v>
      </c>
      <c r="AS65" s="1">
        <f>SUMIFS(super1[Qtde],super1[Item],tab_higiene[[#This Row],[Item]],super1[Bairro],mercado9)+SUMIFS(supercb[Qtde],supercb[Item],tab_higiene[[#This Row],[Item]],supercb[Bairro],mercado9)</f>
        <v>6</v>
      </c>
      <c r="AT65" s="1">
        <f>SUMIFS(super1[Qtde],super1[Item],tab_higiene[[#This Row],[Item]],super1[Bairro],mercado10)+SUMIFS(supercb[Qtde],supercb[Item],tab_higiene[[#This Row],[Item]],supercb[Bairro],mercado10)</f>
        <v>0</v>
      </c>
      <c r="AU65" s="1">
        <f>SUMIFS(super1[Qtde],super1[Item],tab_higiene[[#This Row],[Item]],super1[Bairro],mercado11)+SUMIFS(supercb[Qtde],supercb[Item],tab_higiene[[#This Row],[Item]],supercb[Bairro],mercado11)</f>
        <v>7</v>
      </c>
      <c r="AV65" s="1">
        <f>SUMIFS(super1[Qtde],super1[Item],tab_higiene[[#This Row],[Item]],super1[Bairro],mercado12)+SUMIFS(supercb[Qtde],supercb[Item],tab_higiene[[#This Row],[Item]],supercb[Bairro],mercado12)</f>
        <v>0</v>
      </c>
      <c r="AW65" s="1">
        <f>SUMIFS(super1[Qtde],super1[Item],tab_higiene[[#This Row],[Item]],super1[Bairro],mercado13)+SUMIFS(supercb[Qtde],supercb[Item],tab_higiene[[#This Row],[Item]],supercb[Bairro],mercado13)</f>
        <v>0</v>
      </c>
      <c r="AX65" s="1">
        <f>SUMIFS(super1[Qtde],super1[Item],tab_higiene[[#This Row],[Item]],super1[Bairro],mercado14)+SUMIFS(supercb[Qtde],supercb[Item],tab_higiene[[#This Row],[Item]],supercb[Bairro],mercado14)</f>
        <v>0</v>
      </c>
      <c r="AY65" s="1">
        <f>SUMIFS(super1[Qtde],super1[Item],tab_higiene[[#This Row],[Item]],super1[Bairro],mercado15)+SUMIFS(supercb[Qtde],supercb[Item],tab_higiene[[#This Row],[Item]],supercb[Bairro],mercado15)</f>
        <v>0</v>
      </c>
      <c r="AZ65" s="1">
        <f>SUMIFS(super1[Qtde],super1[Item],tab_higiene[[#This Row],[Item]],super1[Bairro],mercado16)+SUMIFS(supercb[Qtde],supercb[Item],tab_higiene[[#This Row],[Item]],supercb[Bairro],mercado16)</f>
        <v>0</v>
      </c>
      <c r="BA65" s="1">
        <f>SUMIFS(super1[Qtde],super1[Item],tab_higiene[[#This Row],[Item]],super1[Bairro],mercado17)+SUMIFS(supercb[Qtde],supercb[Item],tab_higiene[[#This Row],[Item]],supercb[Bairro],mercado17)</f>
        <v>0</v>
      </c>
      <c r="BB65" s="1">
        <f>SUMIFS(super1[Qtde],super1[Item],tab_higiene[[#This Row],[Item]],super1[Bairro],mercado18)+SUMIFS(supercb[Qtde],supercb[Item],tab_higiene[[#This Row],[Item]],supercb[Bairro],mercado18)</f>
        <v>0</v>
      </c>
      <c r="BC65" s="1">
        <f>SUMIFS(super1[Qtde],super1[Item],tab_higiene[[#This Row],[Item]],super1[Bairro],extras)+SUMIFS(supercb[Qtde],supercb[Item],tab_higiene[[#This Row],[Item]],supercb[Bairro],extras)</f>
        <v>0</v>
      </c>
      <c r="BD65" s="1">
        <f t="shared" si="21"/>
        <v>13</v>
      </c>
      <c r="BE65" s="1">
        <f t="shared" si="22"/>
        <v>14.95</v>
      </c>
      <c r="BF65" s="26">
        <f t="shared" si="23"/>
        <v>4.5133270042614759</v>
      </c>
      <c r="BI65" s="33" t="str">
        <f>tab_alimentos[[#This Row],[Item]]</f>
        <v>Bolacha (420g)</v>
      </c>
      <c r="BJ65" s="33">
        <f t="shared" si="6"/>
        <v>8</v>
      </c>
      <c r="BK65" s="33" t="str">
        <f t="shared" si="7"/>
        <v>Bolacha</v>
      </c>
      <c r="BL65" s="33">
        <f>tab_alimentos[[#This Row],[kg]]</f>
        <v>0</v>
      </c>
      <c r="BM65" s="37" t="s">
        <v>21</v>
      </c>
      <c r="BN65" s="35">
        <f t="shared" si="11"/>
        <v>0</v>
      </c>
      <c r="BP65" s="33" t="str">
        <f>tab_higiene[[#This Row],[Item]]</f>
        <v>Detergente(500ml)</v>
      </c>
      <c r="BQ65" s="33">
        <f t="shared" si="8"/>
        <v>0</v>
      </c>
      <c r="BR65" s="33" t="str">
        <f t="shared" si="9"/>
        <v>Detergente(500ml)</v>
      </c>
      <c r="BS65" s="33">
        <f>higiene[[#This Row],[Quantidade]]</f>
        <v>7</v>
      </c>
      <c r="BT65" s="33">
        <f>tab_higiene[Qtde (tot)]</f>
        <v>13</v>
      </c>
      <c r="BU65" s="33">
        <f t="shared" si="12"/>
        <v>91</v>
      </c>
      <c r="BV65" s="37" t="s">
        <v>384</v>
      </c>
      <c r="BW65" s="33">
        <f t="shared" si="24"/>
        <v>0</v>
      </c>
    </row>
    <row r="66" spans="9:75" x14ac:dyDescent="0.25">
      <c r="I66" s="25" t="str">
        <f>alimentos[[#This Row],[Item]]</f>
        <v>Bolacha (500g)</v>
      </c>
      <c r="J66" s="1">
        <f>IFERROR(alimentos[[#This Row],[kg/embalagem]],0)</f>
        <v>0.5</v>
      </c>
      <c r="K66" s="1">
        <f>IFERROR(alimentos[[#This Row],[Preço]],0)</f>
        <v>6.6420000000000003</v>
      </c>
      <c r="L66" s="1">
        <f>SUMIFS(super1[Qtde],super1[Item],tab_alimentos[[#This Row],[Item]],super1[Bairro],mercado1)+SUMIFS(supercb[Qtde],supercb[Item],tab_alimentos[[#This Row],[Item]],supercb[Bairro],mercado1)</f>
        <v>0</v>
      </c>
      <c r="M66" s="1">
        <f>SUMIFS(super1[Qtde],super1[Item],tab_alimentos[[#This Row],[Item]],super1[Bairro],mercado2)+SUMIFS(supercb[Qtde],supercb[Item],tab_alimentos[[#This Row],[Item]],supercb[Bairro],mercado2)</f>
        <v>0</v>
      </c>
      <c r="N66" s="1">
        <f>SUMIFS(super1[Qtde],super1[Item],tab_alimentos[[#This Row],[Item]],super1[Bairro],mercado3)+SUMIFS(supercb[Qtde],supercb[Item],tab_alimentos[[#This Row],[Item]],supercb[Bairro],mercado3)</f>
        <v>0</v>
      </c>
      <c r="O66" s="1">
        <f>SUMIFS(super1[Qtde],super1[Item],tab_alimentos[[#This Row],[Item]],super1[Bairro],mercado4)+SUMIFS(supercb[Qtde],supercb[Item],tab_alimentos[[#This Row],[Item]],supercb[Bairro],mercado4)</f>
        <v>0</v>
      </c>
      <c r="P66" s="1">
        <f>SUMIFS(super1[Qtde],super1[Item],tab_alimentos[[#This Row],[Item]],super1[Bairro],mercado5)+SUMIFS(supercb[Qtde],supercb[Item],tab_alimentos[[#This Row],[Item]],supercb[Bairro],mercado5)</f>
        <v>0</v>
      </c>
      <c r="Q66" s="1">
        <f>SUMIFS(super1[Qtde],super1[Item],tab_alimentos[[#This Row],[Item]],super1[Bairro],mercado6)+SUMIFS(supercb[Qtde],supercb[Item],tab_alimentos[[#This Row],[Item]],supercb[Bairro],mercado6)</f>
        <v>1</v>
      </c>
      <c r="R66" s="1">
        <f>SUMIFS(super1[Qtde],super1[Item],tab_alimentos[[#This Row],[Item]],super1[Bairro],mercado7)+SUMIFS(supercb[Qtde],supercb[Item],tab_alimentos[[#This Row],[Item]],supercb[Bairro],mercado7)</f>
        <v>0</v>
      </c>
      <c r="S66" s="1">
        <f>SUMIFS(super1[Qtde],super1[Item],tab_alimentos[[#This Row],[Item]],super1[Bairro],mercado8)+SUMIFS(supercb[Qtde],supercb[Item],tab_alimentos[[#This Row],[Item]],supercb[Bairro],mercado8)</f>
        <v>1</v>
      </c>
      <c r="T66" s="1">
        <f>SUMIFS(super1[Qtde],super1[Item],tab_alimentos[[#This Row],[Item]],super1[Bairro],mercado9)+SUMIFS(supercb[Qtde],supercb[Item],tab_alimentos[[#This Row],[Item]],supercb[Bairro],mercado9)</f>
        <v>0</v>
      </c>
      <c r="U66" s="1">
        <f>SUMIFS(super1[Qtde],super1[Item],tab_alimentos[[#This Row],[Item]],super1[Bairro],mercado10)+SUMIFS(supercb[Qtde],supercb[Item],tab_alimentos[[#This Row],[Item]],supercb[Bairro],mercado10)</f>
        <v>0</v>
      </c>
      <c r="V66" s="1">
        <f>SUMIFS(super1[Qtde],super1[Item],tab_alimentos[[#This Row],[Item]],super1[Bairro],mercado11)+SUMIFS(supercb[Qtde],supercb[Item],tab_alimentos[[#This Row],[Item]],supercb[Bairro],mercado11)</f>
        <v>0</v>
      </c>
      <c r="W66" s="1">
        <f>SUMIFS(super1[Qtde],super1[Item],tab_alimentos[[#This Row],[Item]],super1[Bairro],mercado12)+SUMIFS(supercb[Qtde],supercb[Item],tab_alimentos[[#This Row],[Item]],supercb[Bairro],mercado12)</f>
        <v>0</v>
      </c>
      <c r="X66" s="1">
        <f>SUMIFS(super1[Qtde],super1[Item],tab_alimentos[[#This Row],[Item]],super1[Bairro],mercado13)+SUMIFS(supercb[Qtde],supercb[Item],tab_alimentos[[#This Row],[Item]],supercb[Bairro],mercado13)</f>
        <v>0</v>
      </c>
      <c r="Y66" s="1">
        <f>SUMIFS(super1[Qtde],super1[Item],tab_alimentos[[#This Row],[Item]],super1[Bairro],mercado14)+SUMIFS(supercb[Qtde],supercb[Item],tab_alimentos[[#This Row],[Item]],supercb[Bairro],mercado14)</f>
        <v>0</v>
      </c>
      <c r="Z66" s="1">
        <f>SUMIFS(super1[Qtde],super1[Item],tab_alimentos[[#This Row],[Item]],super1[Bairro],mercado15)+SUMIFS(supercb[Qtde],supercb[Item],tab_alimentos[[#This Row],[Item]],supercb[Bairro],mercado15)</f>
        <v>0</v>
      </c>
      <c r="AA66" s="1">
        <f>SUMIFS(super1[Qtde],super1[Item],tab_alimentos[[#This Row],[Item]],super1[Bairro],mercado16)+SUMIFS(supercb[Qtde],supercb[Item],tab_alimentos[[#This Row],[Item]],supercb[Bairro],mercado16)</f>
        <v>0</v>
      </c>
      <c r="AB66" s="1">
        <f>SUMIFS(super1[Qtde],super1[Item],tab_alimentos[[#This Row],[Item]],super1[Bairro],mercado17)+SUMIFS(supercb[Qtde],supercb[Item],tab_alimentos[[#This Row],[Item]],supercb[Bairro],mercado17)</f>
        <v>0</v>
      </c>
      <c r="AC66" s="1">
        <f>SUMIFS(super1[Qtde],super1[Item],tab_alimentos[[#This Row],[Item]],super1[Bairro],mercado18)+SUMIFS(supercb[Qtde],supercb[Item],tab_alimentos[[#This Row],[Item]],supercb[Bairro],mercado18)</f>
        <v>0</v>
      </c>
      <c r="AD66" s="1">
        <f>SUMIFS(super1[Qtde],super1[Item],tab_alimentos[[#This Row],[Item]],super1[Bairro],extras)+SUMIFS(supercb[Qtde],supercb[Item],tab_alimentos[[#This Row],[Item]],supercb[Bairro],extras)</f>
        <v>0</v>
      </c>
      <c r="AE66" s="1">
        <f t="shared" si="18"/>
        <v>2</v>
      </c>
      <c r="AF66" s="1">
        <f t="shared" si="19"/>
        <v>13.284000000000001</v>
      </c>
      <c r="AG66" s="3">
        <f t="shared" si="20"/>
        <v>1</v>
      </c>
      <c r="AH66" s="25" t="str">
        <f>higiene[[#This Row],[Item]]</f>
        <v>E</v>
      </c>
      <c r="AI66" s="1">
        <f>IFERROR(higiene[[#This Row],[Kg equivalente]],0)</f>
        <v>0</v>
      </c>
      <c r="AJ66" s="1" t="str">
        <f>IFERROR(higiene[[#This Row],[Preço por produto]],0)</f>
        <v/>
      </c>
      <c r="AK66" s="1">
        <f>SUMIFS(super1[Qtde],super1[Item],tab_higiene[[#This Row],[Item]],super1[Bairro],mercado1)+SUMIFS(supercb[Qtde],supercb[Item],tab_higiene[[#This Row],[Item]],supercb[Bairro],mercado1)</f>
        <v>0</v>
      </c>
      <c r="AL66" s="1">
        <f>SUMIFS(super1[Qtde],super1[Item],tab_higiene[[#This Row],[Item]],super1[Bairro],mercado2)+SUMIFS(supercb[Qtde],supercb[Item],tab_higiene[[#This Row],[Item]],supercb[Bairro],mercado2)</f>
        <v>0</v>
      </c>
      <c r="AM66" s="1">
        <f>SUMIFS(super1[Qtde],super1[Item],tab_higiene[[#This Row],[Item]],super1[Bairro],mercado3)+SUMIFS(supercb[Qtde],supercb[Item],tab_higiene[[#This Row],[Item]],supercb[Bairro],mercado3)</f>
        <v>0</v>
      </c>
      <c r="AN66" s="1">
        <f>SUMIFS(super1[Qtde],super1[Item],tab_higiene[[#This Row],[Item]],super1[Bairro],mercado4)+SUMIFS(supercb[Qtde],supercb[Item],tab_higiene[[#This Row],[Item]],supercb[Bairro],mercado4)</f>
        <v>0</v>
      </c>
      <c r="AO66" s="1">
        <f>SUMIFS(super1[Qtde],super1[Item],tab_higiene[[#This Row],[Item]],super1[Bairro],mercado5)+SUMIFS(supercb[Qtde],supercb[Item],tab_higiene[[#This Row],[Item]],supercb[Bairro],mercado5)</f>
        <v>0</v>
      </c>
      <c r="AP66" s="1">
        <f>SUMIFS(super1[Qtde],super1[Item],tab_higiene[[#This Row],[Item]],super1[Bairro],mercado6)+SUMIFS(supercb[Qtde],supercb[Item],tab_higiene[[#This Row],[Item]],supercb[Bairro],mercado6)</f>
        <v>0</v>
      </c>
      <c r="AQ66" s="1">
        <f>SUMIFS(super1[Qtde],super1[Item],tab_higiene[[#This Row],[Item]],super1[Bairro],mercado7)+SUMIFS(supercb[Qtde],supercb[Item],tab_higiene[[#This Row],[Item]],supercb[Bairro],mercado7)</f>
        <v>0</v>
      </c>
      <c r="AR66" s="1">
        <f>SUMIFS(super1[Qtde],super1[Item],tab_higiene[[#This Row],[Item]],super1[Bairro],mercado8)+SUMIFS(supercb[Qtde],supercb[Item],tab_higiene[[#This Row],[Item]],supercb[Bairro],mercado8)</f>
        <v>0</v>
      </c>
      <c r="AS66" s="1">
        <f>SUMIFS(super1[Qtde],super1[Item],tab_higiene[[#This Row],[Item]],super1[Bairro],mercado9)+SUMIFS(supercb[Qtde],supercb[Item],tab_higiene[[#This Row],[Item]],supercb[Bairro],mercado9)</f>
        <v>0</v>
      </c>
      <c r="AT66" s="1">
        <f>SUMIFS(super1[Qtde],super1[Item],tab_higiene[[#This Row],[Item]],super1[Bairro],mercado10)+SUMIFS(supercb[Qtde],supercb[Item],tab_higiene[[#This Row],[Item]],supercb[Bairro],mercado10)</f>
        <v>0</v>
      </c>
      <c r="AU66" s="1">
        <f>SUMIFS(super1[Qtde],super1[Item],tab_higiene[[#This Row],[Item]],super1[Bairro],mercado11)+SUMIFS(supercb[Qtde],supercb[Item],tab_higiene[[#This Row],[Item]],supercb[Bairro],mercado11)</f>
        <v>0</v>
      </c>
      <c r="AV66" s="1">
        <f>SUMIFS(super1[Qtde],super1[Item],tab_higiene[[#This Row],[Item]],super1[Bairro],mercado12)+SUMIFS(supercb[Qtde],supercb[Item],tab_higiene[[#This Row],[Item]],supercb[Bairro],mercado12)</f>
        <v>0</v>
      </c>
      <c r="AW66" s="1">
        <f>SUMIFS(super1[Qtde],super1[Item],tab_higiene[[#This Row],[Item]],super1[Bairro],mercado13)+SUMIFS(supercb[Qtde],supercb[Item],tab_higiene[[#This Row],[Item]],supercb[Bairro],mercado13)</f>
        <v>0</v>
      </c>
      <c r="AX66" s="1">
        <f>SUMIFS(super1[Qtde],super1[Item],tab_higiene[[#This Row],[Item]],super1[Bairro],mercado14)+SUMIFS(supercb[Qtde],supercb[Item],tab_higiene[[#This Row],[Item]],supercb[Bairro],mercado14)</f>
        <v>0</v>
      </c>
      <c r="AY66" s="1">
        <f>SUMIFS(super1[Qtde],super1[Item],tab_higiene[[#This Row],[Item]],super1[Bairro],mercado15)+SUMIFS(supercb[Qtde],supercb[Item],tab_higiene[[#This Row],[Item]],supercb[Bairro],mercado15)</f>
        <v>0</v>
      </c>
      <c r="AZ66" s="1">
        <f>SUMIFS(super1[Qtde],super1[Item],tab_higiene[[#This Row],[Item]],super1[Bairro],mercado16)+SUMIFS(supercb[Qtde],supercb[Item],tab_higiene[[#This Row],[Item]],supercb[Bairro],mercado16)</f>
        <v>0</v>
      </c>
      <c r="BA66" s="1">
        <f>SUMIFS(super1[Qtde],super1[Item],tab_higiene[[#This Row],[Item]],super1[Bairro],mercado17)+SUMIFS(supercb[Qtde],supercb[Item],tab_higiene[[#This Row],[Item]],supercb[Bairro],mercado17)</f>
        <v>0</v>
      </c>
      <c r="BB66" s="1">
        <f>SUMIFS(super1[Qtde],super1[Item],tab_higiene[[#This Row],[Item]],super1[Bairro],mercado18)+SUMIFS(supercb[Qtde],supercb[Item],tab_higiene[[#This Row],[Item]],supercb[Bairro],mercado18)</f>
        <v>0</v>
      </c>
      <c r="BC66" s="1">
        <f>SUMIFS(super1[Qtde],super1[Item],tab_higiene[[#This Row],[Item]],super1[Bairro],extras)+SUMIFS(supercb[Qtde],supercb[Item],tab_higiene[[#This Row],[Item]],supercb[Bairro],extras)</f>
        <v>0</v>
      </c>
      <c r="BD66" s="1">
        <f t="shared" si="21"/>
        <v>0</v>
      </c>
      <c r="BE66" s="1">
        <f t="shared" si="22"/>
        <v>0</v>
      </c>
      <c r="BF66" s="26">
        <f t="shared" si="23"/>
        <v>0</v>
      </c>
      <c r="BI66" s="33" t="str">
        <f>tab_alimentos[[#This Row],[Item]]</f>
        <v>Bolacha (500g)</v>
      </c>
      <c r="BJ66" s="33">
        <f t="shared" si="6"/>
        <v>8</v>
      </c>
      <c r="BK66" s="33" t="str">
        <f t="shared" si="7"/>
        <v>Bolacha</v>
      </c>
      <c r="BL66" s="33">
        <f>tab_alimentos[[#This Row],[kg]]</f>
        <v>1</v>
      </c>
      <c r="BM66" s="37" t="s">
        <v>90</v>
      </c>
      <c r="BN66" s="35">
        <f t="shared" si="11"/>
        <v>0</v>
      </c>
      <c r="BP66" s="33" t="str">
        <f>tab_higiene[[#This Row],[Item]]</f>
        <v>E</v>
      </c>
      <c r="BQ66" s="33">
        <f t="shared" si="8"/>
        <v>0</v>
      </c>
      <c r="BR66" s="33" t="str">
        <f t="shared" si="9"/>
        <v>E</v>
      </c>
      <c r="BS66" s="33">
        <f>higiene[[#This Row],[Quantidade]]</f>
        <v>8</v>
      </c>
      <c r="BT66" s="33">
        <f>tab_higiene[Qtde (tot)]</f>
        <v>0</v>
      </c>
      <c r="BU66" s="33">
        <f t="shared" si="12"/>
        <v>0</v>
      </c>
      <c r="BV66" s="37" t="s">
        <v>95</v>
      </c>
      <c r="BW66" s="33">
        <f t="shared" si="24"/>
        <v>0</v>
      </c>
    </row>
    <row r="67" spans="9:75" x14ac:dyDescent="0.25">
      <c r="I67" s="25" t="str">
        <f>alimentos[[#This Row],[Item]]</f>
        <v>bolo</v>
      </c>
      <c r="J67" s="1">
        <f>IFERROR(alimentos[[#This Row],[kg/embalagem]],0)</f>
        <v>0.4</v>
      </c>
      <c r="K67" s="1">
        <f>IFERROR(alimentos[[#This Row],[Preço]],0)</f>
        <v>6.98</v>
      </c>
      <c r="L67" s="1">
        <f>SUMIFS(super1[Qtde],super1[Item],tab_alimentos[[#This Row],[Item]],super1[Bairro],mercado1)+SUMIFS(supercb[Qtde],supercb[Item],tab_alimentos[[#This Row],[Item]],supercb[Bairro],mercado1)</f>
        <v>0</v>
      </c>
      <c r="M67" s="1">
        <f>SUMIFS(super1[Qtde],super1[Item],tab_alimentos[[#This Row],[Item]],super1[Bairro],mercado2)+SUMIFS(supercb[Qtde],supercb[Item],tab_alimentos[[#This Row],[Item]],supercb[Bairro],mercado2)</f>
        <v>0</v>
      </c>
      <c r="N67" s="1">
        <f>SUMIFS(super1[Qtde],super1[Item],tab_alimentos[[#This Row],[Item]],super1[Bairro],mercado3)+SUMIFS(supercb[Qtde],supercb[Item],tab_alimentos[[#This Row],[Item]],supercb[Bairro],mercado3)</f>
        <v>0</v>
      </c>
      <c r="O67" s="1">
        <f>SUMIFS(super1[Qtde],super1[Item],tab_alimentos[[#This Row],[Item]],super1[Bairro],mercado4)+SUMIFS(supercb[Qtde],supercb[Item],tab_alimentos[[#This Row],[Item]],supercb[Bairro],mercado4)</f>
        <v>0</v>
      </c>
      <c r="P67" s="1">
        <f>SUMIFS(super1[Qtde],super1[Item],tab_alimentos[[#This Row],[Item]],super1[Bairro],mercado5)+SUMIFS(supercb[Qtde],supercb[Item],tab_alimentos[[#This Row],[Item]],supercb[Bairro],mercado5)</f>
        <v>0</v>
      </c>
      <c r="Q67" s="1">
        <f>SUMIFS(super1[Qtde],super1[Item],tab_alimentos[[#This Row],[Item]],super1[Bairro],mercado6)+SUMIFS(supercb[Qtde],supercb[Item],tab_alimentos[[#This Row],[Item]],supercb[Bairro],mercado6)</f>
        <v>0</v>
      </c>
      <c r="R67" s="1">
        <f>SUMIFS(super1[Qtde],super1[Item],tab_alimentos[[#This Row],[Item]],super1[Bairro],mercado7)+SUMIFS(supercb[Qtde],supercb[Item],tab_alimentos[[#This Row],[Item]],supercb[Bairro],mercado7)</f>
        <v>0</v>
      </c>
      <c r="S67" s="1">
        <f>SUMIFS(super1[Qtde],super1[Item],tab_alimentos[[#This Row],[Item]],super1[Bairro],mercado8)+SUMIFS(supercb[Qtde],supercb[Item],tab_alimentos[[#This Row],[Item]],supercb[Bairro],mercado8)</f>
        <v>0</v>
      </c>
      <c r="T67" s="1">
        <f>SUMIFS(super1[Qtde],super1[Item],tab_alimentos[[#This Row],[Item]],super1[Bairro],mercado9)+SUMIFS(supercb[Qtde],supercb[Item],tab_alimentos[[#This Row],[Item]],supercb[Bairro],mercado9)</f>
        <v>0</v>
      </c>
      <c r="U67" s="1">
        <f>SUMIFS(super1[Qtde],super1[Item],tab_alimentos[[#This Row],[Item]],super1[Bairro],mercado10)+SUMIFS(supercb[Qtde],supercb[Item],tab_alimentos[[#This Row],[Item]],supercb[Bairro],mercado10)</f>
        <v>0</v>
      </c>
      <c r="V67" s="1">
        <f>SUMIFS(super1[Qtde],super1[Item],tab_alimentos[[#This Row],[Item]],super1[Bairro],mercado11)+SUMIFS(supercb[Qtde],supercb[Item],tab_alimentos[[#This Row],[Item]],supercb[Bairro],mercado11)</f>
        <v>1</v>
      </c>
      <c r="W67" s="1">
        <f>SUMIFS(super1[Qtde],super1[Item],tab_alimentos[[#This Row],[Item]],super1[Bairro],mercado12)+SUMIFS(supercb[Qtde],supercb[Item],tab_alimentos[[#This Row],[Item]],supercb[Bairro],mercado12)</f>
        <v>0</v>
      </c>
      <c r="X67" s="1">
        <f>SUMIFS(super1[Qtde],super1[Item],tab_alimentos[[#This Row],[Item]],super1[Bairro],mercado13)+SUMIFS(supercb[Qtde],supercb[Item],tab_alimentos[[#This Row],[Item]],supercb[Bairro],mercado13)</f>
        <v>0</v>
      </c>
      <c r="Y67" s="1">
        <f>SUMIFS(super1[Qtde],super1[Item],tab_alimentos[[#This Row],[Item]],super1[Bairro],mercado14)+SUMIFS(supercb[Qtde],supercb[Item],tab_alimentos[[#This Row],[Item]],supercb[Bairro],mercado14)</f>
        <v>0</v>
      </c>
      <c r="Z67" s="1">
        <f>SUMIFS(super1[Qtde],super1[Item],tab_alimentos[[#This Row],[Item]],super1[Bairro],mercado15)+SUMIFS(supercb[Qtde],supercb[Item],tab_alimentos[[#This Row],[Item]],supercb[Bairro],mercado15)</f>
        <v>0</v>
      </c>
      <c r="AA67" s="1">
        <f>SUMIFS(super1[Qtde],super1[Item],tab_alimentos[[#This Row],[Item]],super1[Bairro],mercado16)+SUMIFS(supercb[Qtde],supercb[Item],tab_alimentos[[#This Row],[Item]],supercb[Bairro],mercado16)</f>
        <v>0</v>
      </c>
      <c r="AB67" s="1">
        <f>SUMIFS(super1[Qtde],super1[Item],tab_alimentos[[#This Row],[Item]],super1[Bairro],mercado17)+SUMIFS(supercb[Qtde],supercb[Item],tab_alimentos[[#This Row],[Item]],supercb[Bairro],mercado17)</f>
        <v>0</v>
      </c>
      <c r="AC67" s="1">
        <f>SUMIFS(super1[Qtde],super1[Item],tab_alimentos[[#This Row],[Item]],super1[Bairro],mercado18)+SUMIFS(supercb[Qtde],supercb[Item],tab_alimentos[[#This Row],[Item]],supercb[Bairro],mercado18)</f>
        <v>0</v>
      </c>
      <c r="AD67" s="1">
        <f>SUMIFS(super1[Qtde],super1[Item],tab_alimentos[[#This Row],[Item]],super1[Bairro],extras)+SUMIFS(supercb[Qtde],supercb[Item],tab_alimentos[[#This Row],[Item]],supercb[Bairro],extras)</f>
        <v>0</v>
      </c>
      <c r="AE67" s="1">
        <f t="shared" si="18"/>
        <v>1</v>
      </c>
      <c r="AF67" s="1">
        <f t="shared" si="19"/>
        <v>6.98</v>
      </c>
      <c r="AG67" s="3">
        <f t="shared" si="20"/>
        <v>0.4</v>
      </c>
      <c r="AH67" s="25" t="str">
        <f>higiene[[#This Row],[Item]]</f>
        <v>Enxaguante bucal (250mL)</v>
      </c>
      <c r="AI67" s="1">
        <f>IFERROR(higiene[[#This Row],[Kg equivalente]],0)</f>
        <v>3.7756974180577614</v>
      </c>
      <c r="AJ67" s="1">
        <f>IFERROR(higiene[[#This Row],[Preço por produto]],0)</f>
        <v>12.506666666666666</v>
      </c>
      <c r="AK67" s="1">
        <f>SUMIFS(super1[Qtde],super1[Item],tab_higiene[[#This Row],[Item]],super1[Bairro],mercado1)+SUMIFS(supercb[Qtde],supercb[Item],tab_higiene[[#This Row],[Item]],supercb[Bairro],mercado1)</f>
        <v>0</v>
      </c>
      <c r="AL67" s="1">
        <f>SUMIFS(super1[Qtde],super1[Item],tab_higiene[[#This Row],[Item]],super1[Bairro],mercado2)+SUMIFS(supercb[Qtde],supercb[Item],tab_higiene[[#This Row],[Item]],supercb[Bairro],mercado2)</f>
        <v>0</v>
      </c>
      <c r="AM67" s="1">
        <f>SUMIFS(super1[Qtde],super1[Item],tab_higiene[[#This Row],[Item]],super1[Bairro],mercado3)+SUMIFS(supercb[Qtde],supercb[Item],tab_higiene[[#This Row],[Item]],supercb[Bairro],mercado3)</f>
        <v>0</v>
      </c>
      <c r="AN67" s="1">
        <f>SUMIFS(super1[Qtde],super1[Item],tab_higiene[[#This Row],[Item]],super1[Bairro],mercado4)+SUMIFS(supercb[Qtde],supercb[Item],tab_higiene[[#This Row],[Item]],supercb[Bairro],mercado4)</f>
        <v>0</v>
      </c>
      <c r="AO67" s="1">
        <f>SUMIFS(super1[Qtde],super1[Item],tab_higiene[[#This Row],[Item]],super1[Bairro],mercado5)+SUMIFS(supercb[Qtde],supercb[Item],tab_higiene[[#This Row],[Item]],supercb[Bairro],mercado5)</f>
        <v>0</v>
      </c>
      <c r="AP67" s="1">
        <f>SUMIFS(super1[Qtde],super1[Item],tab_higiene[[#This Row],[Item]],super1[Bairro],mercado6)+SUMIFS(supercb[Qtde],supercb[Item],tab_higiene[[#This Row],[Item]],supercb[Bairro],mercado6)</f>
        <v>0</v>
      </c>
      <c r="AQ67" s="1">
        <f>SUMIFS(super1[Qtde],super1[Item],tab_higiene[[#This Row],[Item]],super1[Bairro],mercado7)+SUMIFS(supercb[Qtde],supercb[Item],tab_higiene[[#This Row],[Item]],supercb[Bairro],mercado7)</f>
        <v>0</v>
      </c>
      <c r="AR67" s="1">
        <f>SUMIFS(super1[Qtde],super1[Item],tab_higiene[[#This Row],[Item]],super1[Bairro],mercado8)+SUMIFS(supercb[Qtde],supercb[Item],tab_higiene[[#This Row],[Item]],supercb[Bairro],mercado8)</f>
        <v>0</v>
      </c>
      <c r="AS67" s="1">
        <f>SUMIFS(super1[Qtde],super1[Item],tab_higiene[[#This Row],[Item]],super1[Bairro],mercado9)+SUMIFS(supercb[Qtde],supercb[Item],tab_higiene[[#This Row],[Item]],supercb[Bairro],mercado9)</f>
        <v>0</v>
      </c>
      <c r="AT67" s="1">
        <f>SUMIFS(super1[Qtde],super1[Item],tab_higiene[[#This Row],[Item]],super1[Bairro],mercado10)+SUMIFS(supercb[Qtde],supercb[Item],tab_higiene[[#This Row],[Item]],supercb[Bairro],mercado10)</f>
        <v>0</v>
      </c>
      <c r="AU67" s="1">
        <f>SUMIFS(super1[Qtde],super1[Item],tab_higiene[[#This Row],[Item]],super1[Bairro],mercado11)+SUMIFS(supercb[Qtde],supercb[Item],tab_higiene[[#This Row],[Item]],supercb[Bairro],mercado11)</f>
        <v>0</v>
      </c>
      <c r="AV67" s="1">
        <f>SUMIFS(super1[Qtde],super1[Item],tab_higiene[[#This Row],[Item]],super1[Bairro],mercado12)+SUMIFS(supercb[Qtde],supercb[Item],tab_higiene[[#This Row],[Item]],supercb[Bairro],mercado12)</f>
        <v>0</v>
      </c>
      <c r="AW67" s="1">
        <f>SUMIFS(super1[Qtde],super1[Item],tab_higiene[[#This Row],[Item]],super1[Bairro],mercado13)+SUMIFS(supercb[Qtde],supercb[Item],tab_higiene[[#This Row],[Item]],supercb[Bairro],mercado13)</f>
        <v>0</v>
      </c>
      <c r="AX67" s="1">
        <f>SUMIFS(super1[Qtde],super1[Item],tab_higiene[[#This Row],[Item]],super1[Bairro],mercado14)+SUMIFS(supercb[Qtde],supercb[Item],tab_higiene[[#This Row],[Item]],supercb[Bairro],mercado14)</f>
        <v>0</v>
      </c>
      <c r="AY67" s="1">
        <f>SUMIFS(super1[Qtde],super1[Item],tab_higiene[[#This Row],[Item]],super1[Bairro],mercado15)+SUMIFS(supercb[Qtde],supercb[Item],tab_higiene[[#This Row],[Item]],supercb[Bairro],mercado15)</f>
        <v>0</v>
      </c>
      <c r="AZ67" s="1">
        <f>SUMIFS(super1[Qtde],super1[Item],tab_higiene[[#This Row],[Item]],super1[Bairro],mercado16)+SUMIFS(supercb[Qtde],supercb[Item],tab_higiene[[#This Row],[Item]],supercb[Bairro],mercado16)</f>
        <v>0</v>
      </c>
      <c r="BA67" s="1">
        <f>SUMIFS(super1[Qtde],super1[Item],tab_higiene[[#This Row],[Item]],super1[Bairro],mercado17)+SUMIFS(supercb[Qtde],supercb[Item],tab_higiene[[#This Row],[Item]],supercb[Bairro],mercado17)</f>
        <v>0</v>
      </c>
      <c r="BB67" s="1">
        <f>SUMIFS(super1[Qtde],super1[Item],tab_higiene[[#This Row],[Item]],super1[Bairro],mercado18)+SUMIFS(supercb[Qtde],supercb[Item],tab_higiene[[#This Row],[Item]],supercb[Bairro],mercado18)</f>
        <v>0</v>
      </c>
      <c r="BC67" s="1">
        <f>SUMIFS(super1[Qtde],super1[Item],tab_higiene[[#This Row],[Item]],super1[Bairro],extras)+SUMIFS(supercb[Qtde],supercb[Item],tab_higiene[[#This Row],[Item]],supercb[Bairro],extras)</f>
        <v>0</v>
      </c>
      <c r="BD67" s="1">
        <f t="shared" si="21"/>
        <v>0</v>
      </c>
      <c r="BE67" s="1">
        <f t="shared" si="22"/>
        <v>0</v>
      </c>
      <c r="BF67" s="26">
        <f t="shared" si="23"/>
        <v>0</v>
      </c>
      <c r="BI67" s="33" t="str">
        <f>tab_alimentos[[#This Row],[Item]]</f>
        <v>bolo</v>
      </c>
      <c r="BJ67" s="33">
        <f t="shared" si="6"/>
        <v>0</v>
      </c>
      <c r="BK67" s="33" t="str">
        <f t="shared" si="7"/>
        <v>bolo</v>
      </c>
      <c r="BL67" s="33">
        <f>tab_alimentos[[#This Row],[kg]]</f>
        <v>0.4</v>
      </c>
      <c r="BM67" s="37" t="s">
        <v>156</v>
      </c>
      <c r="BN67" s="35">
        <f t="shared" si="11"/>
        <v>0</v>
      </c>
      <c r="BP67" s="33" t="str">
        <f>tab_higiene[[#This Row],[Item]]</f>
        <v>Enxaguante bucal (250mL)</v>
      </c>
      <c r="BQ67" s="33">
        <f t="shared" si="8"/>
        <v>17</v>
      </c>
      <c r="BR67" s="33" t="str">
        <f t="shared" si="9"/>
        <v>Enxaguante bucal</v>
      </c>
      <c r="BS67" s="33">
        <f>higiene[[#This Row],[Quantidade]]</f>
        <v>9</v>
      </c>
      <c r="BT67" s="33">
        <f>tab_higiene[Qtde (tot)]</f>
        <v>0</v>
      </c>
      <c r="BU67" s="33">
        <f t="shared" si="12"/>
        <v>0</v>
      </c>
      <c r="BV67" s="37" t="s">
        <v>96</v>
      </c>
      <c r="BW67" s="33">
        <f t="shared" si="24"/>
        <v>0</v>
      </c>
    </row>
    <row r="68" spans="9:75" x14ac:dyDescent="0.25">
      <c r="I68" s="25" t="str">
        <f>alimentos[[#This Row],[Item]]</f>
        <v>Bombom de Cereja (94g)</v>
      </c>
      <c r="J68" s="1">
        <f>IFERROR(alimentos[[#This Row],[kg/embalagem]],0)</f>
        <v>9.4E-2</v>
      </c>
      <c r="K68" s="1">
        <f>IFERROR(alimentos[[#This Row],[Preço]],0)</f>
        <v>7.2566666666666668</v>
      </c>
      <c r="L68" s="1">
        <f>SUMIFS(super1[Qtde],super1[Item],tab_alimentos[[#This Row],[Item]],super1[Bairro],mercado1)+SUMIFS(supercb[Qtde],supercb[Item],tab_alimentos[[#This Row],[Item]],supercb[Bairro],mercado1)</f>
        <v>0</v>
      </c>
      <c r="M68" s="1">
        <f>SUMIFS(super1[Qtde],super1[Item],tab_alimentos[[#This Row],[Item]],super1[Bairro],mercado2)+SUMIFS(supercb[Qtde],supercb[Item],tab_alimentos[[#This Row],[Item]],supercb[Bairro],mercado2)</f>
        <v>0</v>
      </c>
      <c r="N68" s="1">
        <f>SUMIFS(super1[Qtde],super1[Item],tab_alimentos[[#This Row],[Item]],super1[Bairro],mercado3)+SUMIFS(supercb[Qtde],supercb[Item],tab_alimentos[[#This Row],[Item]],supercb[Bairro],mercado3)</f>
        <v>0</v>
      </c>
      <c r="O68" s="1">
        <f>SUMIFS(super1[Qtde],super1[Item],tab_alimentos[[#This Row],[Item]],super1[Bairro],mercado4)+SUMIFS(supercb[Qtde],supercb[Item],tab_alimentos[[#This Row],[Item]],supercb[Bairro],mercado4)</f>
        <v>0</v>
      </c>
      <c r="P68" s="1">
        <f>SUMIFS(super1[Qtde],super1[Item],tab_alimentos[[#This Row],[Item]],super1[Bairro],mercado5)+SUMIFS(supercb[Qtde],supercb[Item],tab_alimentos[[#This Row],[Item]],supercb[Bairro],mercado5)</f>
        <v>0</v>
      </c>
      <c r="Q68" s="1">
        <f>SUMIFS(super1[Qtde],super1[Item],tab_alimentos[[#This Row],[Item]],super1[Bairro],mercado6)+SUMIFS(supercb[Qtde],supercb[Item],tab_alimentos[[#This Row],[Item]],supercb[Bairro],mercado6)</f>
        <v>0</v>
      </c>
      <c r="R68" s="1">
        <f>SUMIFS(super1[Qtde],super1[Item],tab_alimentos[[#This Row],[Item]],super1[Bairro],mercado7)+SUMIFS(supercb[Qtde],supercb[Item],tab_alimentos[[#This Row],[Item]],supercb[Bairro],mercado7)</f>
        <v>0</v>
      </c>
      <c r="S68" s="1">
        <f>SUMIFS(super1[Qtde],super1[Item],tab_alimentos[[#This Row],[Item]],super1[Bairro],mercado8)+SUMIFS(supercb[Qtde],supercb[Item],tab_alimentos[[#This Row],[Item]],supercb[Bairro],mercado8)</f>
        <v>0</v>
      </c>
      <c r="T68" s="1">
        <f>SUMIFS(super1[Qtde],super1[Item],tab_alimentos[[#This Row],[Item]],super1[Bairro],mercado9)+SUMIFS(supercb[Qtde],supercb[Item],tab_alimentos[[#This Row],[Item]],supercb[Bairro],mercado9)</f>
        <v>0</v>
      </c>
      <c r="U68" s="1">
        <f>SUMIFS(super1[Qtde],super1[Item],tab_alimentos[[#This Row],[Item]],super1[Bairro],mercado10)+SUMIFS(supercb[Qtde],supercb[Item],tab_alimentos[[#This Row],[Item]],supercb[Bairro],mercado10)</f>
        <v>0</v>
      </c>
      <c r="V68" s="1">
        <f>SUMIFS(super1[Qtde],super1[Item],tab_alimentos[[#This Row],[Item]],super1[Bairro],mercado11)+SUMIFS(supercb[Qtde],supercb[Item],tab_alimentos[[#This Row],[Item]],supercb[Bairro],mercado11)</f>
        <v>0</v>
      </c>
      <c r="W68" s="1">
        <f>SUMIFS(super1[Qtde],super1[Item],tab_alimentos[[#This Row],[Item]],super1[Bairro],mercado12)+SUMIFS(supercb[Qtde],supercb[Item],tab_alimentos[[#This Row],[Item]],supercb[Bairro],mercado12)</f>
        <v>0</v>
      </c>
      <c r="X68" s="1">
        <f>SUMIFS(super1[Qtde],super1[Item],tab_alimentos[[#This Row],[Item]],super1[Bairro],mercado13)+SUMIFS(supercb[Qtde],supercb[Item],tab_alimentos[[#This Row],[Item]],supercb[Bairro],mercado13)</f>
        <v>0</v>
      </c>
      <c r="Y68" s="1">
        <f>SUMIFS(super1[Qtde],super1[Item],tab_alimentos[[#This Row],[Item]],super1[Bairro],mercado14)+SUMIFS(supercb[Qtde],supercb[Item],tab_alimentos[[#This Row],[Item]],supercb[Bairro],mercado14)</f>
        <v>0</v>
      </c>
      <c r="Z68" s="1">
        <f>SUMIFS(super1[Qtde],super1[Item],tab_alimentos[[#This Row],[Item]],super1[Bairro],mercado15)+SUMIFS(supercb[Qtde],supercb[Item],tab_alimentos[[#This Row],[Item]],supercb[Bairro],mercado15)</f>
        <v>0</v>
      </c>
      <c r="AA68" s="1">
        <f>SUMIFS(super1[Qtde],super1[Item],tab_alimentos[[#This Row],[Item]],super1[Bairro],mercado16)+SUMIFS(supercb[Qtde],supercb[Item],tab_alimentos[[#This Row],[Item]],supercb[Bairro],mercado16)</f>
        <v>0</v>
      </c>
      <c r="AB68" s="1">
        <f>SUMIFS(super1[Qtde],super1[Item],tab_alimentos[[#This Row],[Item]],super1[Bairro],mercado17)+SUMIFS(supercb[Qtde],supercb[Item],tab_alimentos[[#This Row],[Item]],supercb[Bairro],mercado17)</f>
        <v>0</v>
      </c>
      <c r="AC68" s="1">
        <f>SUMIFS(super1[Qtde],super1[Item],tab_alimentos[[#This Row],[Item]],super1[Bairro],mercado18)+SUMIFS(supercb[Qtde],supercb[Item],tab_alimentos[[#This Row],[Item]],supercb[Bairro],mercado18)</f>
        <v>0</v>
      </c>
      <c r="AD68" s="1">
        <f>SUMIFS(super1[Qtde],super1[Item],tab_alimentos[[#This Row],[Item]],super1[Bairro],extras)+SUMIFS(supercb[Qtde],supercb[Item],tab_alimentos[[#This Row],[Item]],supercb[Bairro],extras)</f>
        <v>0</v>
      </c>
      <c r="AE68" s="1">
        <f t="shared" si="18"/>
        <v>0</v>
      </c>
      <c r="AF68" s="1">
        <f t="shared" si="19"/>
        <v>0</v>
      </c>
      <c r="AG68" s="3">
        <f t="shared" si="20"/>
        <v>0</v>
      </c>
      <c r="AH68" s="25" t="str">
        <f>higiene[[#This Row],[Item]]</f>
        <v>Enxaguante bucal (350mL)</v>
      </c>
      <c r="AI68" s="1">
        <f>IFERROR(higiene[[#This Row],[Kg equivalente]],0)</f>
        <v>4.7367291436028474</v>
      </c>
      <c r="AJ68" s="1">
        <f>IFERROR(higiene[[#This Row],[Preço por produto]],0)</f>
        <v>15.69</v>
      </c>
      <c r="AK68" s="1">
        <f>SUMIFS(super1[Qtde],super1[Item],tab_higiene[[#This Row],[Item]],super1[Bairro],mercado1)+SUMIFS(supercb[Qtde],supercb[Item],tab_higiene[[#This Row],[Item]],supercb[Bairro],mercado1)</f>
        <v>0</v>
      </c>
      <c r="AL68" s="1">
        <f>SUMIFS(super1[Qtde],super1[Item],tab_higiene[[#This Row],[Item]],super1[Bairro],mercado2)+SUMIFS(supercb[Qtde],supercb[Item],tab_higiene[[#This Row],[Item]],supercb[Bairro],mercado2)</f>
        <v>0</v>
      </c>
      <c r="AM68" s="1">
        <f>SUMIFS(super1[Qtde],super1[Item],tab_higiene[[#This Row],[Item]],super1[Bairro],mercado3)+SUMIFS(supercb[Qtde],supercb[Item],tab_higiene[[#This Row],[Item]],supercb[Bairro],mercado3)</f>
        <v>0</v>
      </c>
      <c r="AN68" s="1">
        <f>SUMIFS(super1[Qtde],super1[Item],tab_higiene[[#This Row],[Item]],super1[Bairro],mercado4)+SUMIFS(supercb[Qtde],supercb[Item],tab_higiene[[#This Row],[Item]],supercb[Bairro],mercado4)</f>
        <v>0</v>
      </c>
      <c r="AO68" s="1">
        <f>SUMIFS(super1[Qtde],super1[Item],tab_higiene[[#This Row],[Item]],super1[Bairro],mercado5)+SUMIFS(supercb[Qtde],supercb[Item],tab_higiene[[#This Row],[Item]],supercb[Bairro],mercado5)</f>
        <v>0</v>
      </c>
      <c r="AP68" s="1">
        <f>SUMIFS(super1[Qtde],super1[Item],tab_higiene[[#This Row],[Item]],super1[Bairro],mercado6)+SUMIFS(supercb[Qtde],supercb[Item],tab_higiene[[#This Row],[Item]],supercb[Bairro],mercado6)</f>
        <v>0</v>
      </c>
      <c r="AQ68" s="1">
        <f>SUMIFS(super1[Qtde],super1[Item],tab_higiene[[#This Row],[Item]],super1[Bairro],mercado7)+SUMIFS(supercb[Qtde],supercb[Item],tab_higiene[[#This Row],[Item]],supercb[Bairro],mercado7)</f>
        <v>0</v>
      </c>
      <c r="AR68" s="1">
        <f>SUMIFS(super1[Qtde],super1[Item],tab_higiene[[#This Row],[Item]],super1[Bairro],mercado8)+SUMIFS(supercb[Qtde],supercb[Item],tab_higiene[[#This Row],[Item]],supercb[Bairro],mercado8)</f>
        <v>0</v>
      </c>
      <c r="AS68" s="1">
        <f>SUMIFS(super1[Qtde],super1[Item],tab_higiene[[#This Row],[Item]],super1[Bairro],mercado9)+SUMIFS(supercb[Qtde],supercb[Item],tab_higiene[[#This Row],[Item]],supercb[Bairro],mercado9)</f>
        <v>0</v>
      </c>
      <c r="AT68" s="1">
        <f>SUMIFS(super1[Qtde],super1[Item],tab_higiene[[#This Row],[Item]],super1[Bairro],mercado10)+SUMIFS(supercb[Qtde],supercb[Item],tab_higiene[[#This Row],[Item]],supercb[Bairro],mercado10)</f>
        <v>0</v>
      </c>
      <c r="AU68" s="1">
        <f>SUMIFS(super1[Qtde],super1[Item],tab_higiene[[#This Row],[Item]],super1[Bairro],mercado11)+SUMIFS(supercb[Qtde],supercb[Item],tab_higiene[[#This Row],[Item]],supercb[Bairro],mercado11)</f>
        <v>0</v>
      </c>
      <c r="AV68" s="1">
        <f>SUMIFS(super1[Qtde],super1[Item],tab_higiene[[#This Row],[Item]],super1[Bairro],mercado12)+SUMIFS(supercb[Qtde],supercb[Item],tab_higiene[[#This Row],[Item]],supercb[Bairro],mercado12)</f>
        <v>0</v>
      </c>
      <c r="AW68" s="1">
        <f>SUMIFS(super1[Qtde],super1[Item],tab_higiene[[#This Row],[Item]],super1[Bairro],mercado13)+SUMIFS(supercb[Qtde],supercb[Item],tab_higiene[[#This Row],[Item]],supercb[Bairro],mercado13)</f>
        <v>0</v>
      </c>
      <c r="AX68" s="1">
        <f>SUMIFS(super1[Qtde],super1[Item],tab_higiene[[#This Row],[Item]],super1[Bairro],mercado14)+SUMIFS(supercb[Qtde],supercb[Item],tab_higiene[[#This Row],[Item]],supercb[Bairro],mercado14)</f>
        <v>0</v>
      </c>
      <c r="AY68" s="1">
        <f>SUMIFS(super1[Qtde],super1[Item],tab_higiene[[#This Row],[Item]],super1[Bairro],mercado15)+SUMIFS(supercb[Qtde],supercb[Item],tab_higiene[[#This Row],[Item]],supercb[Bairro],mercado15)</f>
        <v>0</v>
      </c>
      <c r="AZ68" s="1">
        <f>SUMIFS(super1[Qtde],super1[Item],tab_higiene[[#This Row],[Item]],super1[Bairro],mercado16)+SUMIFS(supercb[Qtde],supercb[Item],tab_higiene[[#This Row],[Item]],supercb[Bairro],mercado16)</f>
        <v>0</v>
      </c>
      <c r="BA68" s="1">
        <f>SUMIFS(super1[Qtde],super1[Item],tab_higiene[[#This Row],[Item]],super1[Bairro],mercado17)+SUMIFS(supercb[Qtde],supercb[Item],tab_higiene[[#This Row],[Item]],supercb[Bairro],mercado17)</f>
        <v>0</v>
      </c>
      <c r="BB68" s="1">
        <f>SUMIFS(super1[Qtde],super1[Item],tab_higiene[[#This Row],[Item]],super1[Bairro],mercado18)+SUMIFS(supercb[Qtde],supercb[Item],tab_higiene[[#This Row],[Item]],supercb[Bairro],mercado18)</f>
        <v>0</v>
      </c>
      <c r="BC68" s="1">
        <f>SUMIFS(super1[Qtde],super1[Item],tab_higiene[[#This Row],[Item]],super1[Bairro],extras)+SUMIFS(supercb[Qtde],supercb[Item],tab_higiene[[#This Row],[Item]],supercb[Bairro],extras)</f>
        <v>0</v>
      </c>
      <c r="BD68" s="1">
        <f t="shared" si="21"/>
        <v>0</v>
      </c>
      <c r="BE68" s="1">
        <f t="shared" si="22"/>
        <v>0</v>
      </c>
      <c r="BF68" s="26">
        <f t="shared" si="23"/>
        <v>0</v>
      </c>
      <c r="BI68" s="33" t="str">
        <f>tab_alimentos[[#This Row],[Item]]</f>
        <v>Bombom de Cereja (94g)</v>
      </c>
      <c r="BJ68" s="33">
        <f t="shared" ref="BJ68:BJ131" si="25">IFERROR(FIND(" (",BI68),0)</f>
        <v>17</v>
      </c>
      <c r="BK68" s="33" t="str">
        <f t="shared" ref="BK68:BK131" si="26">IF(BJ68=0,BI68,LEFT(BI68,BJ68-1))</f>
        <v>Bombom de Cereja</v>
      </c>
      <c r="BL68" s="33">
        <f>tab_alimentos[[#This Row],[kg]]</f>
        <v>0</v>
      </c>
      <c r="BM68" s="37" t="s">
        <v>297</v>
      </c>
      <c r="BN68" s="35">
        <f t="shared" si="11"/>
        <v>0</v>
      </c>
      <c r="BP68" s="33" t="str">
        <f>tab_higiene[[#This Row],[Item]]</f>
        <v>Enxaguante bucal (350mL)</v>
      </c>
      <c r="BQ68" s="33">
        <f t="shared" si="8"/>
        <v>17</v>
      </c>
      <c r="BR68" s="33" t="str">
        <f t="shared" si="9"/>
        <v>Enxaguante bucal</v>
      </c>
      <c r="BS68" s="33">
        <f>higiene[[#This Row],[Quantidade]]</f>
        <v>10</v>
      </c>
      <c r="BT68" s="33">
        <f>tab_higiene[Qtde (tot)]</f>
        <v>0</v>
      </c>
      <c r="BU68" s="33">
        <f t="shared" si="12"/>
        <v>0</v>
      </c>
      <c r="BV68" s="37" t="s">
        <v>97</v>
      </c>
      <c r="BW68" s="33">
        <f t="shared" si="24"/>
        <v>0</v>
      </c>
    </row>
    <row r="69" spans="9:75" x14ac:dyDescent="0.25">
      <c r="I69" s="25" t="str">
        <f>alimentos[[#This Row],[Item]]</f>
        <v>C</v>
      </c>
      <c r="J69" s="1">
        <f>IFERROR(alimentos[[#This Row],[kg/embalagem]],0)</f>
        <v>0</v>
      </c>
      <c r="K69" s="1">
        <f>IFERROR(alimentos[[#This Row],[Preço]],0)</f>
        <v>0</v>
      </c>
      <c r="L69" s="1">
        <f>SUMIFS(super1[Qtde],super1[Item],tab_alimentos[[#This Row],[Item]],super1[Bairro],mercado1)+SUMIFS(supercb[Qtde],supercb[Item],tab_alimentos[[#This Row],[Item]],supercb[Bairro],mercado1)</f>
        <v>0</v>
      </c>
      <c r="M69" s="1">
        <f>SUMIFS(super1[Qtde],super1[Item],tab_alimentos[[#This Row],[Item]],super1[Bairro],mercado2)+SUMIFS(supercb[Qtde],supercb[Item],tab_alimentos[[#This Row],[Item]],supercb[Bairro],mercado2)</f>
        <v>0</v>
      </c>
      <c r="N69" s="1">
        <f>SUMIFS(super1[Qtde],super1[Item],tab_alimentos[[#This Row],[Item]],super1[Bairro],mercado3)+SUMIFS(supercb[Qtde],supercb[Item],tab_alimentos[[#This Row],[Item]],supercb[Bairro],mercado3)</f>
        <v>0</v>
      </c>
      <c r="O69" s="1">
        <f>SUMIFS(super1[Qtde],super1[Item],tab_alimentos[[#This Row],[Item]],super1[Bairro],mercado4)+SUMIFS(supercb[Qtde],supercb[Item],tab_alimentos[[#This Row],[Item]],supercb[Bairro],mercado4)</f>
        <v>0</v>
      </c>
      <c r="P69" s="1">
        <f>SUMIFS(super1[Qtde],super1[Item],tab_alimentos[[#This Row],[Item]],super1[Bairro],mercado5)+SUMIFS(supercb[Qtde],supercb[Item],tab_alimentos[[#This Row],[Item]],supercb[Bairro],mercado5)</f>
        <v>0</v>
      </c>
      <c r="Q69" s="1">
        <f>SUMIFS(super1[Qtde],super1[Item],tab_alimentos[[#This Row],[Item]],super1[Bairro],mercado6)+SUMIFS(supercb[Qtde],supercb[Item],tab_alimentos[[#This Row],[Item]],supercb[Bairro],mercado6)</f>
        <v>0</v>
      </c>
      <c r="R69" s="1">
        <f>SUMIFS(super1[Qtde],super1[Item],tab_alimentos[[#This Row],[Item]],super1[Bairro],mercado7)+SUMIFS(supercb[Qtde],supercb[Item],tab_alimentos[[#This Row],[Item]],supercb[Bairro],mercado7)</f>
        <v>0</v>
      </c>
      <c r="S69" s="1">
        <f>SUMIFS(super1[Qtde],super1[Item],tab_alimentos[[#This Row],[Item]],super1[Bairro],mercado8)+SUMIFS(supercb[Qtde],supercb[Item],tab_alimentos[[#This Row],[Item]],supercb[Bairro],mercado8)</f>
        <v>0</v>
      </c>
      <c r="T69" s="1">
        <f>SUMIFS(super1[Qtde],super1[Item],tab_alimentos[[#This Row],[Item]],super1[Bairro],mercado9)+SUMIFS(supercb[Qtde],supercb[Item],tab_alimentos[[#This Row],[Item]],supercb[Bairro],mercado9)</f>
        <v>0</v>
      </c>
      <c r="U69" s="1">
        <f>SUMIFS(super1[Qtde],super1[Item],tab_alimentos[[#This Row],[Item]],super1[Bairro],mercado10)+SUMIFS(supercb[Qtde],supercb[Item],tab_alimentos[[#This Row],[Item]],supercb[Bairro],mercado10)</f>
        <v>0</v>
      </c>
      <c r="V69" s="1">
        <f>SUMIFS(super1[Qtde],super1[Item],tab_alimentos[[#This Row],[Item]],super1[Bairro],mercado11)+SUMIFS(supercb[Qtde],supercb[Item],tab_alimentos[[#This Row],[Item]],supercb[Bairro],mercado11)</f>
        <v>0</v>
      </c>
      <c r="W69" s="1">
        <f>SUMIFS(super1[Qtde],super1[Item],tab_alimentos[[#This Row],[Item]],super1[Bairro],mercado12)+SUMIFS(supercb[Qtde],supercb[Item],tab_alimentos[[#This Row],[Item]],supercb[Bairro],mercado12)</f>
        <v>0</v>
      </c>
      <c r="X69" s="1">
        <f>SUMIFS(super1[Qtde],super1[Item],tab_alimentos[[#This Row],[Item]],super1[Bairro],mercado13)+SUMIFS(supercb[Qtde],supercb[Item],tab_alimentos[[#This Row],[Item]],supercb[Bairro],mercado13)</f>
        <v>0</v>
      </c>
      <c r="Y69" s="1">
        <f>SUMIFS(super1[Qtde],super1[Item],tab_alimentos[[#This Row],[Item]],super1[Bairro],mercado14)+SUMIFS(supercb[Qtde],supercb[Item],tab_alimentos[[#This Row],[Item]],supercb[Bairro],mercado14)</f>
        <v>0</v>
      </c>
      <c r="Z69" s="1">
        <f>SUMIFS(super1[Qtde],super1[Item],tab_alimentos[[#This Row],[Item]],super1[Bairro],mercado15)+SUMIFS(supercb[Qtde],supercb[Item],tab_alimentos[[#This Row],[Item]],supercb[Bairro],mercado15)</f>
        <v>0</v>
      </c>
      <c r="AA69" s="1">
        <f>SUMIFS(super1[Qtde],super1[Item],tab_alimentos[[#This Row],[Item]],super1[Bairro],mercado16)+SUMIFS(supercb[Qtde],supercb[Item],tab_alimentos[[#This Row],[Item]],supercb[Bairro],mercado16)</f>
        <v>0</v>
      </c>
      <c r="AB69" s="1">
        <f>SUMIFS(super1[Qtde],super1[Item],tab_alimentos[[#This Row],[Item]],super1[Bairro],mercado17)+SUMIFS(supercb[Qtde],supercb[Item],tab_alimentos[[#This Row],[Item]],supercb[Bairro],mercado17)</f>
        <v>0</v>
      </c>
      <c r="AC69" s="1">
        <f>SUMIFS(super1[Qtde],super1[Item],tab_alimentos[[#This Row],[Item]],super1[Bairro],mercado18)+SUMIFS(supercb[Qtde],supercb[Item],tab_alimentos[[#This Row],[Item]],supercb[Bairro],mercado18)</f>
        <v>0</v>
      </c>
      <c r="AD69" s="1">
        <f>SUMIFS(super1[Qtde],super1[Item],tab_alimentos[[#This Row],[Item]],super1[Bairro],extras)+SUMIFS(supercb[Qtde],supercb[Item],tab_alimentos[[#This Row],[Item]],supercb[Bairro],extras)</f>
        <v>0</v>
      </c>
      <c r="AE69" s="1">
        <f t="shared" ref="AE69:AE100" si="27">SUM(L69:AC69)</f>
        <v>0</v>
      </c>
      <c r="AF69" s="1">
        <f t="shared" ref="AF69:AF100" si="28">IFERROR(AE69*K69,0)</f>
        <v>0</v>
      </c>
      <c r="AG69" s="3">
        <f t="shared" ref="AG69:AG100" si="29">IFERROR(J69*AE69,0)</f>
        <v>0</v>
      </c>
      <c r="AH69" s="25" t="str">
        <f>higiene[[#This Row],[Item]]</f>
        <v>Enxaguante bucal (500mL)</v>
      </c>
      <c r="AI69" s="1">
        <f>IFERROR(higiene[[#This Row],[Kg equivalente]],0)</f>
        <v>5.1820239483711195</v>
      </c>
      <c r="AJ69" s="1">
        <f>IFERROR(higiene[[#This Row],[Preço por produto]],0)</f>
        <v>17.164999999999999</v>
      </c>
      <c r="AK69" s="1">
        <f>SUMIFS(super1[Qtde],super1[Item],tab_higiene[[#This Row],[Item]],super1[Bairro],mercado1)+SUMIFS(supercb[Qtde],supercb[Item],tab_higiene[[#This Row],[Item]],supercb[Bairro],mercado1)</f>
        <v>0</v>
      </c>
      <c r="AL69" s="1">
        <f>SUMIFS(super1[Qtde],super1[Item],tab_higiene[[#This Row],[Item]],super1[Bairro],mercado2)+SUMIFS(supercb[Qtde],supercb[Item],tab_higiene[[#This Row],[Item]],supercb[Bairro],mercado2)</f>
        <v>0</v>
      </c>
      <c r="AM69" s="1">
        <f>SUMIFS(super1[Qtde],super1[Item],tab_higiene[[#This Row],[Item]],super1[Bairro],mercado3)+SUMIFS(supercb[Qtde],supercb[Item],tab_higiene[[#This Row],[Item]],supercb[Bairro],mercado3)</f>
        <v>0</v>
      </c>
      <c r="AN69" s="1">
        <f>SUMIFS(super1[Qtde],super1[Item],tab_higiene[[#This Row],[Item]],super1[Bairro],mercado4)+SUMIFS(supercb[Qtde],supercb[Item],tab_higiene[[#This Row],[Item]],supercb[Bairro],mercado4)</f>
        <v>0</v>
      </c>
      <c r="AO69" s="1">
        <f>SUMIFS(super1[Qtde],super1[Item],tab_higiene[[#This Row],[Item]],super1[Bairro],mercado5)+SUMIFS(supercb[Qtde],supercb[Item],tab_higiene[[#This Row],[Item]],supercb[Bairro],mercado5)</f>
        <v>0</v>
      </c>
      <c r="AP69" s="1">
        <f>SUMIFS(super1[Qtde],super1[Item],tab_higiene[[#This Row],[Item]],super1[Bairro],mercado6)+SUMIFS(supercb[Qtde],supercb[Item],tab_higiene[[#This Row],[Item]],supercb[Bairro],mercado6)</f>
        <v>0</v>
      </c>
      <c r="AQ69" s="1">
        <f>SUMIFS(super1[Qtde],super1[Item],tab_higiene[[#This Row],[Item]],super1[Bairro],mercado7)+SUMIFS(supercb[Qtde],supercb[Item],tab_higiene[[#This Row],[Item]],supercb[Bairro],mercado7)</f>
        <v>0</v>
      </c>
      <c r="AR69" s="1">
        <f>SUMIFS(super1[Qtde],super1[Item],tab_higiene[[#This Row],[Item]],super1[Bairro],mercado8)+SUMIFS(supercb[Qtde],supercb[Item],tab_higiene[[#This Row],[Item]],supercb[Bairro],mercado8)</f>
        <v>0</v>
      </c>
      <c r="AS69" s="1">
        <f>SUMIFS(super1[Qtde],super1[Item],tab_higiene[[#This Row],[Item]],super1[Bairro],mercado9)+SUMIFS(supercb[Qtde],supercb[Item],tab_higiene[[#This Row],[Item]],supercb[Bairro],mercado9)</f>
        <v>0</v>
      </c>
      <c r="AT69" s="1">
        <f>SUMIFS(super1[Qtde],super1[Item],tab_higiene[[#This Row],[Item]],super1[Bairro],mercado10)+SUMIFS(supercb[Qtde],supercb[Item],tab_higiene[[#This Row],[Item]],supercb[Bairro],mercado10)</f>
        <v>0</v>
      </c>
      <c r="AU69" s="1">
        <f>SUMIFS(super1[Qtde],super1[Item],tab_higiene[[#This Row],[Item]],super1[Bairro],mercado11)+SUMIFS(supercb[Qtde],supercb[Item],tab_higiene[[#This Row],[Item]],supercb[Bairro],mercado11)</f>
        <v>0</v>
      </c>
      <c r="AV69" s="1">
        <f>SUMIFS(super1[Qtde],super1[Item],tab_higiene[[#This Row],[Item]],super1[Bairro],mercado12)+SUMIFS(supercb[Qtde],supercb[Item],tab_higiene[[#This Row],[Item]],supercb[Bairro],mercado12)</f>
        <v>0</v>
      </c>
      <c r="AW69" s="1">
        <f>SUMIFS(super1[Qtde],super1[Item],tab_higiene[[#This Row],[Item]],super1[Bairro],mercado13)+SUMIFS(supercb[Qtde],supercb[Item],tab_higiene[[#This Row],[Item]],supercb[Bairro],mercado13)</f>
        <v>0</v>
      </c>
      <c r="AX69" s="1">
        <f>SUMIFS(super1[Qtde],super1[Item],tab_higiene[[#This Row],[Item]],super1[Bairro],mercado14)+SUMIFS(supercb[Qtde],supercb[Item],tab_higiene[[#This Row],[Item]],supercb[Bairro],mercado14)</f>
        <v>0</v>
      </c>
      <c r="AY69" s="1">
        <f>SUMIFS(super1[Qtde],super1[Item],tab_higiene[[#This Row],[Item]],super1[Bairro],mercado15)+SUMIFS(supercb[Qtde],supercb[Item],tab_higiene[[#This Row],[Item]],supercb[Bairro],mercado15)</f>
        <v>0</v>
      </c>
      <c r="AZ69" s="1">
        <f>SUMIFS(super1[Qtde],super1[Item],tab_higiene[[#This Row],[Item]],super1[Bairro],mercado16)+SUMIFS(supercb[Qtde],supercb[Item],tab_higiene[[#This Row],[Item]],supercb[Bairro],mercado16)</f>
        <v>0</v>
      </c>
      <c r="BA69" s="1">
        <f>SUMIFS(super1[Qtde],super1[Item],tab_higiene[[#This Row],[Item]],super1[Bairro],mercado17)+SUMIFS(supercb[Qtde],supercb[Item],tab_higiene[[#This Row],[Item]],supercb[Bairro],mercado17)</f>
        <v>0</v>
      </c>
      <c r="BB69" s="1">
        <f>SUMIFS(super1[Qtde],super1[Item],tab_higiene[[#This Row],[Item]],super1[Bairro],mercado18)+SUMIFS(supercb[Qtde],supercb[Item],tab_higiene[[#This Row],[Item]],supercb[Bairro],mercado18)</f>
        <v>0</v>
      </c>
      <c r="BC69" s="1">
        <f>SUMIFS(super1[Qtde],super1[Item],tab_higiene[[#This Row],[Item]],super1[Bairro],extras)+SUMIFS(supercb[Qtde],supercb[Item],tab_higiene[[#This Row],[Item]],supercb[Bairro],extras)</f>
        <v>0</v>
      </c>
      <c r="BD69" s="1">
        <f t="shared" ref="BD69:BD100" si="30">SUM(AK69:BB69)</f>
        <v>0</v>
      </c>
      <c r="BE69" s="1">
        <f t="shared" ref="BE69:BE100" si="31">IFERROR(BD69*AJ69,0)</f>
        <v>0</v>
      </c>
      <c r="BF69" s="26">
        <f t="shared" ref="BF69:BF100" si="32">IFERROR(AI69*BD69,0)</f>
        <v>0</v>
      </c>
      <c r="BI69" s="33" t="str">
        <f>tab_alimentos[[#This Row],[Item]]</f>
        <v>C</v>
      </c>
      <c r="BJ69" s="33">
        <f t="shared" si="25"/>
        <v>0</v>
      </c>
      <c r="BK69" s="33" t="str">
        <f t="shared" si="26"/>
        <v>C</v>
      </c>
      <c r="BL69" s="33">
        <f>tab_alimentos[[#This Row],[kg]]</f>
        <v>0</v>
      </c>
      <c r="BM69" s="37" t="s">
        <v>158</v>
      </c>
      <c r="BN69" s="35">
        <f t="shared" si="11"/>
        <v>0</v>
      </c>
      <c r="BP69" s="33" t="str">
        <f>tab_higiene[[#This Row],[Item]]</f>
        <v>Enxaguante bucal (500mL)</v>
      </c>
      <c r="BQ69" s="33">
        <f t="shared" ref="BQ69:BQ132" si="33">IFERROR(FIND(" (",BP69),0)</f>
        <v>17</v>
      </c>
      <c r="BR69" s="33" t="str">
        <f t="shared" ref="BR69:BR132" si="34">IF(BQ69=0,BP69,LEFT(BP69,BQ69-1))</f>
        <v>Enxaguante bucal</v>
      </c>
      <c r="BS69" s="33">
        <f>higiene[[#This Row],[Quantidade]]</f>
        <v>18</v>
      </c>
      <c r="BT69" s="33">
        <f>tab_higiene[Qtde (tot)]</f>
        <v>0</v>
      </c>
      <c r="BU69" s="33">
        <f t="shared" si="12"/>
        <v>0</v>
      </c>
      <c r="BV69" s="37" t="s">
        <v>98</v>
      </c>
      <c r="BW69" s="33">
        <f t="shared" ref="BW69:BW100" si="35">SUMIF($BR$5:$BR$142,BV69,$BU$5:$BU$142)</f>
        <v>0</v>
      </c>
    </row>
    <row r="70" spans="9:75" x14ac:dyDescent="0.25">
      <c r="I70" s="25" t="str">
        <f>alimentos[[#This Row],[Item]]</f>
        <v>Café (1kg)</v>
      </c>
      <c r="J70" s="1">
        <f>IFERROR(alimentos[[#This Row],[kg/embalagem]],0)</f>
        <v>1</v>
      </c>
      <c r="K70" s="1">
        <f>IFERROR(alimentos[[#This Row],[Preço]],0)</f>
        <v>27.263333333333332</v>
      </c>
      <c r="L70" s="1">
        <f>SUMIFS(super1[Qtde],super1[Item],tab_alimentos[[#This Row],[Item]],super1[Bairro],mercado1)+SUMIFS(supercb[Qtde],supercb[Item],tab_alimentos[[#This Row],[Item]],supercb[Bairro],mercado1)</f>
        <v>0</v>
      </c>
      <c r="M70" s="1">
        <f>SUMIFS(super1[Qtde],super1[Item],tab_alimentos[[#This Row],[Item]],super1[Bairro],mercado2)+SUMIFS(supercb[Qtde],supercb[Item],tab_alimentos[[#This Row],[Item]],supercb[Bairro],mercado2)</f>
        <v>0</v>
      </c>
      <c r="N70" s="1">
        <f>SUMIFS(super1[Qtde],super1[Item],tab_alimentos[[#This Row],[Item]],super1[Bairro],mercado3)+SUMIFS(supercb[Qtde],supercb[Item],tab_alimentos[[#This Row],[Item]],supercb[Bairro],mercado3)</f>
        <v>0</v>
      </c>
      <c r="O70" s="1">
        <f>SUMIFS(super1[Qtde],super1[Item],tab_alimentos[[#This Row],[Item]],super1[Bairro],mercado4)+SUMIFS(supercb[Qtde],supercb[Item],tab_alimentos[[#This Row],[Item]],supercb[Bairro],mercado4)</f>
        <v>0</v>
      </c>
      <c r="P70" s="1">
        <f>SUMIFS(super1[Qtde],super1[Item],tab_alimentos[[#This Row],[Item]],super1[Bairro],mercado5)+SUMIFS(supercb[Qtde],supercb[Item],tab_alimentos[[#This Row],[Item]],supercb[Bairro],mercado5)</f>
        <v>0</v>
      </c>
      <c r="Q70" s="1">
        <f>SUMIFS(super1[Qtde],super1[Item],tab_alimentos[[#This Row],[Item]],super1[Bairro],mercado6)+SUMIFS(supercb[Qtde],supercb[Item],tab_alimentos[[#This Row],[Item]],supercb[Bairro],mercado6)</f>
        <v>0</v>
      </c>
      <c r="R70" s="1">
        <f>SUMIFS(super1[Qtde],super1[Item],tab_alimentos[[#This Row],[Item]],super1[Bairro],mercado7)+SUMIFS(supercb[Qtde],supercb[Item],tab_alimentos[[#This Row],[Item]],supercb[Bairro],mercado7)</f>
        <v>0</v>
      </c>
      <c r="S70" s="1">
        <f>SUMIFS(super1[Qtde],super1[Item],tab_alimentos[[#This Row],[Item]],super1[Bairro],mercado8)+SUMIFS(supercb[Qtde],supercb[Item],tab_alimentos[[#This Row],[Item]],supercb[Bairro],mercado8)</f>
        <v>0</v>
      </c>
      <c r="T70" s="1">
        <f>SUMIFS(super1[Qtde],super1[Item],tab_alimentos[[#This Row],[Item]],super1[Bairro],mercado9)+SUMIFS(supercb[Qtde],supercb[Item],tab_alimentos[[#This Row],[Item]],supercb[Bairro],mercado9)</f>
        <v>0</v>
      </c>
      <c r="U70" s="1">
        <f>SUMIFS(super1[Qtde],super1[Item],tab_alimentos[[#This Row],[Item]],super1[Bairro],mercado10)+SUMIFS(supercb[Qtde],supercb[Item],tab_alimentos[[#This Row],[Item]],supercb[Bairro],mercado10)</f>
        <v>0</v>
      </c>
      <c r="V70" s="1">
        <f>SUMIFS(super1[Qtde],super1[Item],tab_alimentos[[#This Row],[Item]],super1[Bairro],mercado11)+SUMIFS(supercb[Qtde],supercb[Item],tab_alimentos[[#This Row],[Item]],supercb[Bairro],mercado11)</f>
        <v>0</v>
      </c>
      <c r="W70" s="1">
        <f>SUMIFS(super1[Qtde],super1[Item],tab_alimentos[[#This Row],[Item]],super1[Bairro],mercado12)+SUMIFS(supercb[Qtde],supercb[Item],tab_alimentos[[#This Row],[Item]],supercb[Bairro],mercado12)</f>
        <v>0</v>
      </c>
      <c r="X70" s="1">
        <f>SUMIFS(super1[Qtde],super1[Item],tab_alimentos[[#This Row],[Item]],super1[Bairro],mercado13)+SUMIFS(supercb[Qtde],supercb[Item],tab_alimentos[[#This Row],[Item]],supercb[Bairro],mercado13)</f>
        <v>0</v>
      </c>
      <c r="Y70" s="1">
        <f>SUMIFS(super1[Qtde],super1[Item],tab_alimentos[[#This Row],[Item]],super1[Bairro],mercado14)+SUMIFS(supercb[Qtde],supercb[Item],tab_alimentos[[#This Row],[Item]],supercb[Bairro],mercado14)</f>
        <v>0</v>
      </c>
      <c r="Z70" s="1">
        <f>SUMIFS(super1[Qtde],super1[Item],tab_alimentos[[#This Row],[Item]],super1[Bairro],mercado15)+SUMIFS(supercb[Qtde],supercb[Item],tab_alimentos[[#This Row],[Item]],supercb[Bairro],mercado15)</f>
        <v>0</v>
      </c>
      <c r="AA70" s="1">
        <f>SUMIFS(super1[Qtde],super1[Item],tab_alimentos[[#This Row],[Item]],super1[Bairro],mercado16)+SUMIFS(supercb[Qtde],supercb[Item],tab_alimentos[[#This Row],[Item]],supercb[Bairro],mercado16)</f>
        <v>0</v>
      </c>
      <c r="AB70" s="1">
        <f>SUMIFS(super1[Qtde],super1[Item],tab_alimentos[[#This Row],[Item]],super1[Bairro],mercado17)+SUMIFS(supercb[Qtde],supercb[Item],tab_alimentos[[#This Row],[Item]],supercb[Bairro],mercado17)</f>
        <v>0</v>
      </c>
      <c r="AC70" s="1">
        <f>SUMIFS(super1[Qtde],super1[Item],tab_alimentos[[#This Row],[Item]],super1[Bairro],mercado18)+SUMIFS(supercb[Qtde],supercb[Item],tab_alimentos[[#This Row],[Item]],supercb[Bairro],mercado18)</f>
        <v>0</v>
      </c>
      <c r="AD70" s="1">
        <f>SUMIFS(super1[Qtde],super1[Item],tab_alimentos[[#This Row],[Item]],super1[Bairro],extras)+SUMIFS(supercb[Qtde],supercb[Item],tab_alimentos[[#This Row],[Item]],supercb[Bairro],extras)</f>
        <v>0</v>
      </c>
      <c r="AE70" s="1">
        <f t="shared" si="27"/>
        <v>0</v>
      </c>
      <c r="AF70" s="1">
        <f t="shared" si="28"/>
        <v>0</v>
      </c>
      <c r="AG70" s="3">
        <f t="shared" si="29"/>
        <v>0</v>
      </c>
      <c r="AH70" s="25" t="str">
        <f>higiene[[#This Row],[Item]]</f>
        <v>Escova de dente (1un)</v>
      </c>
      <c r="AI70" s="1">
        <f>IFERROR(higiene[[#This Row],[Kg equivalente]],0)</f>
        <v>0.99625278354935609</v>
      </c>
      <c r="AJ70" s="1">
        <f>IFERROR(higiene[[#This Row],[Preço por produto]],0)</f>
        <v>3.3000000000000003</v>
      </c>
      <c r="AK70" s="1">
        <f>SUMIFS(super1[Qtde],super1[Item],tab_higiene[[#This Row],[Item]],super1[Bairro],mercado1)+SUMIFS(supercb[Qtde],supercb[Item],tab_higiene[[#This Row],[Item]],supercb[Bairro],mercado1)</f>
        <v>0</v>
      </c>
      <c r="AL70" s="1">
        <f>SUMIFS(super1[Qtde],super1[Item],tab_higiene[[#This Row],[Item]],super1[Bairro],mercado2)+SUMIFS(supercb[Qtde],supercb[Item],tab_higiene[[#This Row],[Item]],supercb[Bairro],mercado2)</f>
        <v>1</v>
      </c>
      <c r="AM70" s="1">
        <f>SUMIFS(super1[Qtde],super1[Item],tab_higiene[[#This Row],[Item]],super1[Bairro],mercado3)+SUMIFS(supercb[Qtde],supercb[Item],tab_higiene[[#This Row],[Item]],supercb[Bairro],mercado3)</f>
        <v>1</v>
      </c>
      <c r="AN70" s="1">
        <f>SUMIFS(super1[Qtde],super1[Item],tab_higiene[[#This Row],[Item]],super1[Bairro],mercado4)+SUMIFS(supercb[Qtde],supercb[Item],tab_higiene[[#This Row],[Item]],supercb[Bairro],mercado4)</f>
        <v>1</v>
      </c>
      <c r="AO70" s="1">
        <f>SUMIFS(super1[Qtde],super1[Item],tab_higiene[[#This Row],[Item]],super1[Bairro],mercado5)+SUMIFS(supercb[Qtde],supercb[Item],tab_higiene[[#This Row],[Item]],supercb[Bairro],mercado5)</f>
        <v>10</v>
      </c>
      <c r="AP70" s="1">
        <f>SUMIFS(super1[Qtde],super1[Item],tab_higiene[[#This Row],[Item]],super1[Bairro],mercado6)+SUMIFS(supercb[Qtde],supercb[Item],tab_higiene[[#This Row],[Item]],supercb[Bairro],mercado6)</f>
        <v>15</v>
      </c>
      <c r="AQ70" s="1">
        <f>SUMIFS(super1[Qtde],super1[Item],tab_higiene[[#This Row],[Item]],super1[Bairro],mercado7)+SUMIFS(supercb[Qtde],supercb[Item],tab_higiene[[#This Row],[Item]],supercb[Bairro],mercado7)</f>
        <v>0</v>
      </c>
      <c r="AR70" s="1">
        <f>SUMIFS(super1[Qtde],super1[Item],tab_higiene[[#This Row],[Item]],super1[Bairro],mercado8)+SUMIFS(supercb[Qtde],supercb[Item],tab_higiene[[#This Row],[Item]],supercb[Bairro],mercado8)</f>
        <v>8</v>
      </c>
      <c r="AS70" s="1">
        <f>SUMIFS(super1[Qtde],super1[Item],tab_higiene[[#This Row],[Item]],super1[Bairro],mercado9)+SUMIFS(supercb[Qtde],supercb[Item],tab_higiene[[#This Row],[Item]],supercb[Bairro],mercado9)</f>
        <v>0</v>
      </c>
      <c r="AT70" s="1">
        <f>SUMIFS(super1[Qtde],super1[Item],tab_higiene[[#This Row],[Item]],super1[Bairro],mercado10)+SUMIFS(supercb[Qtde],supercb[Item],tab_higiene[[#This Row],[Item]],supercb[Bairro],mercado10)</f>
        <v>22</v>
      </c>
      <c r="AU70" s="1">
        <f>SUMIFS(super1[Qtde],super1[Item],tab_higiene[[#This Row],[Item]],super1[Bairro],mercado11)+SUMIFS(supercb[Qtde],supercb[Item],tab_higiene[[#This Row],[Item]],supercb[Bairro],mercado11)</f>
        <v>0</v>
      </c>
      <c r="AV70" s="1">
        <f>SUMIFS(super1[Qtde],super1[Item],tab_higiene[[#This Row],[Item]],super1[Bairro],mercado12)+SUMIFS(supercb[Qtde],supercb[Item],tab_higiene[[#This Row],[Item]],supercb[Bairro],mercado12)</f>
        <v>0</v>
      </c>
      <c r="AW70" s="1">
        <f>SUMIFS(super1[Qtde],super1[Item],tab_higiene[[#This Row],[Item]],super1[Bairro],mercado13)+SUMIFS(supercb[Qtde],supercb[Item],tab_higiene[[#This Row],[Item]],supercb[Bairro],mercado13)</f>
        <v>0</v>
      </c>
      <c r="AX70" s="1">
        <f>SUMIFS(super1[Qtde],super1[Item],tab_higiene[[#This Row],[Item]],super1[Bairro],mercado14)+SUMIFS(supercb[Qtde],supercb[Item],tab_higiene[[#This Row],[Item]],supercb[Bairro],mercado14)</f>
        <v>0</v>
      </c>
      <c r="AY70" s="1">
        <f>SUMIFS(super1[Qtde],super1[Item],tab_higiene[[#This Row],[Item]],super1[Bairro],mercado15)+SUMIFS(supercb[Qtde],supercb[Item],tab_higiene[[#This Row],[Item]],supercb[Bairro],mercado15)</f>
        <v>0</v>
      </c>
      <c r="AZ70" s="1">
        <f>SUMIFS(super1[Qtde],super1[Item],tab_higiene[[#This Row],[Item]],super1[Bairro],mercado16)+SUMIFS(supercb[Qtde],supercb[Item],tab_higiene[[#This Row],[Item]],supercb[Bairro],mercado16)</f>
        <v>0</v>
      </c>
      <c r="BA70" s="1">
        <f>SUMIFS(super1[Qtde],super1[Item],tab_higiene[[#This Row],[Item]],super1[Bairro],mercado17)+SUMIFS(supercb[Qtde],supercb[Item],tab_higiene[[#This Row],[Item]],supercb[Bairro],mercado17)</f>
        <v>0</v>
      </c>
      <c r="BB70" s="1">
        <f>SUMIFS(super1[Qtde],super1[Item],tab_higiene[[#This Row],[Item]],super1[Bairro],mercado18)+SUMIFS(supercb[Qtde],supercb[Item],tab_higiene[[#This Row],[Item]],supercb[Bairro],mercado18)</f>
        <v>0</v>
      </c>
      <c r="BC70" s="1">
        <f>SUMIFS(super1[Qtde],super1[Item],tab_higiene[[#This Row],[Item]],super1[Bairro],extras)+SUMIFS(supercb[Qtde],supercb[Item],tab_higiene[[#This Row],[Item]],supercb[Bairro],extras)</f>
        <v>0</v>
      </c>
      <c r="BD70" s="1">
        <f t="shared" si="30"/>
        <v>58</v>
      </c>
      <c r="BE70" s="1">
        <f t="shared" si="31"/>
        <v>191.4</v>
      </c>
      <c r="BF70" s="26">
        <f t="shared" si="32"/>
        <v>57.782661445862651</v>
      </c>
      <c r="BI70" s="33" t="str">
        <f>tab_alimentos[[#This Row],[Item]]</f>
        <v>Café (1kg)</v>
      </c>
      <c r="BJ70" s="33">
        <f t="shared" si="25"/>
        <v>5</v>
      </c>
      <c r="BK70" s="33" t="str">
        <f t="shared" si="26"/>
        <v>Café</v>
      </c>
      <c r="BL70" s="33">
        <f>tab_alimentos[[#This Row],[kg]]</f>
        <v>0</v>
      </c>
      <c r="BM70" s="37" t="s">
        <v>91</v>
      </c>
      <c r="BN70" s="35">
        <f t="shared" ref="BN70:BN133" si="36">SUMIF($BJ$5:$BJ$158,BM70,$BK$5:$BK$158)</f>
        <v>0</v>
      </c>
      <c r="BP70" s="33" t="str">
        <f>tab_higiene[[#This Row],[Item]]</f>
        <v>Escova de dente (1un)</v>
      </c>
      <c r="BQ70" s="33">
        <f t="shared" si="33"/>
        <v>16</v>
      </c>
      <c r="BR70" s="33" t="str">
        <f t="shared" si="34"/>
        <v>Escova de dente</v>
      </c>
      <c r="BS70" s="33">
        <f>higiene[[#This Row],[Quantidade]]</f>
        <v>20</v>
      </c>
      <c r="BT70" s="33">
        <f>tab_higiene[Qtde (tot)]</f>
        <v>58</v>
      </c>
      <c r="BU70" s="33">
        <f t="shared" ref="BU70:BU133" si="37">BS70*BT70</f>
        <v>1160</v>
      </c>
      <c r="BV70" s="37" t="s">
        <v>99</v>
      </c>
      <c r="BW70" s="33">
        <f t="shared" si="35"/>
        <v>0</v>
      </c>
    </row>
    <row r="71" spans="9:75" x14ac:dyDescent="0.25">
      <c r="I71" s="25" t="str">
        <f>alimentos[[#This Row],[Item]]</f>
        <v>Café (250g)</v>
      </c>
      <c r="J71" s="1">
        <f>IFERROR(alimentos[[#This Row],[kg/embalagem]],0)</f>
        <v>0.25</v>
      </c>
      <c r="K71" s="1">
        <f>IFERROR(alimentos[[#This Row],[Preço]],0)</f>
        <v>5.5733333333333333</v>
      </c>
      <c r="L71" s="1">
        <f>SUMIFS(super1[Qtde],super1[Item],tab_alimentos[[#This Row],[Item]],super1[Bairro],mercado1)+SUMIFS(supercb[Qtde],supercb[Item],tab_alimentos[[#This Row],[Item]],supercb[Bairro],mercado1)</f>
        <v>0</v>
      </c>
      <c r="M71" s="1">
        <f>SUMIFS(super1[Qtde],super1[Item],tab_alimentos[[#This Row],[Item]],super1[Bairro],mercado2)+SUMIFS(supercb[Qtde],supercb[Item],tab_alimentos[[#This Row],[Item]],supercb[Bairro],mercado2)</f>
        <v>0</v>
      </c>
      <c r="N71" s="1">
        <f>SUMIFS(super1[Qtde],super1[Item],tab_alimentos[[#This Row],[Item]],super1[Bairro],mercado3)+SUMIFS(supercb[Qtde],supercb[Item],tab_alimentos[[#This Row],[Item]],supercb[Bairro],mercado3)</f>
        <v>0</v>
      </c>
      <c r="O71" s="1">
        <f>SUMIFS(super1[Qtde],super1[Item],tab_alimentos[[#This Row],[Item]],super1[Bairro],mercado4)+SUMIFS(supercb[Qtde],supercb[Item],tab_alimentos[[#This Row],[Item]],supercb[Bairro],mercado4)</f>
        <v>0</v>
      </c>
      <c r="P71" s="1">
        <f>SUMIFS(super1[Qtde],super1[Item],tab_alimentos[[#This Row],[Item]],super1[Bairro],mercado5)+SUMIFS(supercb[Qtde],supercb[Item],tab_alimentos[[#This Row],[Item]],supercb[Bairro],mercado5)</f>
        <v>0</v>
      </c>
      <c r="Q71" s="1">
        <f>SUMIFS(super1[Qtde],super1[Item],tab_alimentos[[#This Row],[Item]],super1[Bairro],mercado6)+SUMIFS(supercb[Qtde],supercb[Item],tab_alimentos[[#This Row],[Item]],supercb[Bairro],mercado6)</f>
        <v>0</v>
      </c>
      <c r="R71" s="1">
        <f>SUMIFS(super1[Qtde],super1[Item],tab_alimentos[[#This Row],[Item]],super1[Bairro],mercado7)+SUMIFS(supercb[Qtde],supercb[Item],tab_alimentos[[#This Row],[Item]],supercb[Bairro],mercado7)</f>
        <v>0</v>
      </c>
      <c r="S71" s="1">
        <f>SUMIFS(super1[Qtde],super1[Item],tab_alimentos[[#This Row],[Item]],super1[Bairro],mercado8)+SUMIFS(supercb[Qtde],supercb[Item],tab_alimentos[[#This Row],[Item]],supercb[Bairro],mercado8)</f>
        <v>0</v>
      </c>
      <c r="T71" s="1">
        <f>SUMIFS(super1[Qtde],super1[Item],tab_alimentos[[#This Row],[Item]],super1[Bairro],mercado9)+SUMIFS(supercb[Qtde],supercb[Item],tab_alimentos[[#This Row],[Item]],supercb[Bairro],mercado9)</f>
        <v>0</v>
      </c>
      <c r="U71" s="1">
        <f>SUMIFS(super1[Qtde],super1[Item],tab_alimentos[[#This Row],[Item]],super1[Bairro],mercado10)+SUMIFS(supercb[Qtde],supercb[Item],tab_alimentos[[#This Row],[Item]],supercb[Bairro],mercado10)</f>
        <v>0</v>
      </c>
      <c r="V71" s="1">
        <f>SUMIFS(super1[Qtde],super1[Item],tab_alimentos[[#This Row],[Item]],super1[Bairro],mercado11)+SUMIFS(supercb[Qtde],supercb[Item],tab_alimentos[[#This Row],[Item]],supercb[Bairro],mercado11)</f>
        <v>0</v>
      </c>
      <c r="W71" s="1">
        <f>SUMIFS(super1[Qtde],super1[Item],tab_alimentos[[#This Row],[Item]],super1[Bairro],mercado12)+SUMIFS(supercb[Qtde],supercb[Item],tab_alimentos[[#This Row],[Item]],supercb[Bairro],mercado12)</f>
        <v>0</v>
      </c>
      <c r="X71" s="1">
        <f>SUMIFS(super1[Qtde],super1[Item],tab_alimentos[[#This Row],[Item]],super1[Bairro],mercado13)+SUMIFS(supercb[Qtde],supercb[Item],tab_alimentos[[#This Row],[Item]],supercb[Bairro],mercado13)</f>
        <v>0</v>
      </c>
      <c r="Y71" s="1">
        <f>SUMIFS(super1[Qtde],super1[Item],tab_alimentos[[#This Row],[Item]],super1[Bairro],mercado14)+SUMIFS(supercb[Qtde],supercb[Item],tab_alimentos[[#This Row],[Item]],supercb[Bairro],mercado14)</f>
        <v>0</v>
      </c>
      <c r="Z71" s="1">
        <f>SUMIFS(super1[Qtde],super1[Item],tab_alimentos[[#This Row],[Item]],super1[Bairro],mercado15)+SUMIFS(supercb[Qtde],supercb[Item],tab_alimentos[[#This Row],[Item]],supercb[Bairro],mercado15)</f>
        <v>0</v>
      </c>
      <c r="AA71" s="1">
        <f>SUMIFS(super1[Qtde],super1[Item],tab_alimentos[[#This Row],[Item]],super1[Bairro],mercado16)+SUMIFS(supercb[Qtde],supercb[Item],tab_alimentos[[#This Row],[Item]],supercb[Bairro],mercado16)</f>
        <v>0</v>
      </c>
      <c r="AB71" s="1">
        <f>SUMIFS(super1[Qtde],super1[Item],tab_alimentos[[#This Row],[Item]],super1[Bairro],mercado17)+SUMIFS(supercb[Qtde],supercb[Item],tab_alimentos[[#This Row],[Item]],supercb[Bairro],mercado17)</f>
        <v>0</v>
      </c>
      <c r="AC71" s="1">
        <f>SUMIFS(super1[Qtde],super1[Item],tab_alimentos[[#This Row],[Item]],super1[Bairro],mercado18)+SUMIFS(supercb[Qtde],supercb[Item],tab_alimentos[[#This Row],[Item]],supercb[Bairro],mercado18)</f>
        <v>0</v>
      </c>
      <c r="AD71" s="1">
        <f>SUMIFS(super1[Qtde],super1[Item],tab_alimentos[[#This Row],[Item]],super1[Bairro],extras)+SUMIFS(supercb[Qtde],supercb[Item],tab_alimentos[[#This Row],[Item]],supercb[Bairro],extras)</f>
        <v>0</v>
      </c>
      <c r="AE71" s="1">
        <f t="shared" si="27"/>
        <v>0</v>
      </c>
      <c r="AF71" s="1">
        <f t="shared" si="28"/>
        <v>0</v>
      </c>
      <c r="AG71" s="3">
        <f t="shared" si="29"/>
        <v>0</v>
      </c>
      <c r="AH71" s="25" t="str">
        <f>higiene[[#This Row],[Item]]</f>
        <v>Escova de dente (2un)</v>
      </c>
      <c r="AI71" s="1">
        <f>IFERROR(higiene[[#This Row],[Kg equivalente]],0)</f>
        <v>2.1263455875149386</v>
      </c>
      <c r="AJ71" s="1">
        <f>IFERROR(higiene[[#This Row],[Preço por produto]],0)</f>
        <v>7.043333333333333</v>
      </c>
      <c r="AK71" s="1">
        <f>SUMIFS(super1[Qtde],super1[Item],tab_higiene[[#This Row],[Item]],super1[Bairro],mercado1)+SUMIFS(supercb[Qtde],supercb[Item],tab_higiene[[#This Row],[Item]],supercb[Bairro],mercado1)</f>
        <v>0</v>
      </c>
      <c r="AL71" s="1">
        <f>SUMIFS(super1[Qtde],super1[Item],tab_higiene[[#This Row],[Item]],super1[Bairro],mercado2)+SUMIFS(supercb[Qtde],supercb[Item],tab_higiene[[#This Row],[Item]],supercb[Bairro],mercado2)</f>
        <v>0</v>
      </c>
      <c r="AM71" s="1">
        <f>SUMIFS(super1[Qtde],super1[Item],tab_higiene[[#This Row],[Item]],super1[Bairro],mercado3)+SUMIFS(supercb[Qtde],supercb[Item],tab_higiene[[#This Row],[Item]],supercb[Bairro],mercado3)</f>
        <v>0</v>
      </c>
      <c r="AN71" s="1">
        <f>SUMIFS(super1[Qtde],super1[Item],tab_higiene[[#This Row],[Item]],super1[Bairro],mercado4)+SUMIFS(supercb[Qtde],supercb[Item],tab_higiene[[#This Row],[Item]],supercb[Bairro],mercado4)</f>
        <v>0</v>
      </c>
      <c r="AO71" s="1">
        <f>SUMIFS(super1[Qtde],super1[Item],tab_higiene[[#This Row],[Item]],super1[Bairro],mercado5)+SUMIFS(supercb[Qtde],supercb[Item],tab_higiene[[#This Row],[Item]],supercb[Bairro],mercado5)</f>
        <v>13</v>
      </c>
      <c r="AP71" s="1">
        <f>SUMIFS(super1[Qtde],super1[Item],tab_higiene[[#This Row],[Item]],super1[Bairro],mercado6)+SUMIFS(supercb[Qtde],supercb[Item],tab_higiene[[#This Row],[Item]],supercb[Bairro],mercado6)</f>
        <v>2</v>
      </c>
      <c r="AQ71" s="1">
        <f>SUMIFS(super1[Qtde],super1[Item],tab_higiene[[#This Row],[Item]],super1[Bairro],mercado7)+SUMIFS(supercb[Qtde],supercb[Item],tab_higiene[[#This Row],[Item]],supercb[Bairro],mercado7)</f>
        <v>0</v>
      </c>
      <c r="AR71" s="1">
        <f>SUMIFS(super1[Qtde],super1[Item],tab_higiene[[#This Row],[Item]],super1[Bairro],mercado8)+SUMIFS(supercb[Qtde],supercb[Item],tab_higiene[[#This Row],[Item]],supercb[Bairro],mercado8)</f>
        <v>0</v>
      </c>
      <c r="AS71" s="1">
        <f>SUMIFS(super1[Qtde],super1[Item],tab_higiene[[#This Row],[Item]],super1[Bairro],mercado9)+SUMIFS(supercb[Qtde],supercb[Item],tab_higiene[[#This Row],[Item]],supercb[Bairro],mercado9)</f>
        <v>0</v>
      </c>
      <c r="AT71" s="1">
        <f>SUMIFS(super1[Qtde],super1[Item],tab_higiene[[#This Row],[Item]],super1[Bairro],mercado10)+SUMIFS(supercb[Qtde],supercb[Item],tab_higiene[[#This Row],[Item]],supercb[Bairro],mercado10)</f>
        <v>16</v>
      </c>
      <c r="AU71" s="1">
        <f>SUMIFS(super1[Qtde],super1[Item],tab_higiene[[#This Row],[Item]],super1[Bairro],mercado11)+SUMIFS(supercb[Qtde],supercb[Item],tab_higiene[[#This Row],[Item]],supercb[Bairro],mercado11)</f>
        <v>0</v>
      </c>
      <c r="AV71" s="1">
        <f>SUMIFS(super1[Qtde],super1[Item],tab_higiene[[#This Row],[Item]],super1[Bairro],mercado12)+SUMIFS(supercb[Qtde],supercb[Item],tab_higiene[[#This Row],[Item]],supercb[Bairro],mercado12)</f>
        <v>0</v>
      </c>
      <c r="AW71" s="1">
        <f>SUMIFS(super1[Qtde],super1[Item],tab_higiene[[#This Row],[Item]],super1[Bairro],mercado13)+SUMIFS(supercb[Qtde],supercb[Item],tab_higiene[[#This Row],[Item]],supercb[Bairro],mercado13)</f>
        <v>4</v>
      </c>
      <c r="AX71" s="1">
        <f>SUMIFS(super1[Qtde],super1[Item],tab_higiene[[#This Row],[Item]],super1[Bairro],mercado14)+SUMIFS(supercb[Qtde],supercb[Item],tab_higiene[[#This Row],[Item]],supercb[Bairro],mercado14)</f>
        <v>0</v>
      </c>
      <c r="AY71" s="1">
        <f>SUMIFS(super1[Qtde],super1[Item],tab_higiene[[#This Row],[Item]],super1[Bairro],mercado15)+SUMIFS(supercb[Qtde],supercb[Item],tab_higiene[[#This Row],[Item]],supercb[Bairro],mercado15)</f>
        <v>0</v>
      </c>
      <c r="AZ71" s="1">
        <f>SUMIFS(super1[Qtde],super1[Item],tab_higiene[[#This Row],[Item]],super1[Bairro],mercado16)+SUMIFS(supercb[Qtde],supercb[Item],tab_higiene[[#This Row],[Item]],supercb[Bairro],mercado16)</f>
        <v>0</v>
      </c>
      <c r="BA71" s="1">
        <f>SUMIFS(super1[Qtde],super1[Item],tab_higiene[[#This Row],[Item]],super1[Bairro],mercado17)+SUMIFS(supercb[Qtde],supercb[Item],tab_higiene[[#This Row],[Item]],supercb[Bairro],mercado17)</f>
        <v>0</v>
      </c>
      <c r="BB71" s="1">
        <f>SUMIFS(super1[Qtde],super1[Item],tab_higiene[[#This Row],[Item]],super1[Bairro],mercado18)+SUMIFS(supercb[Qtde],supercb[Item],tab_higiene[[#This Row],[Item]],supercb[Bairro],mercado18)</f>
        <v>0</v>
      </c>
      <c r="BC71" s="1">
        <f>SUMIFS(super1[Qtde],super1[Item],tab_higiene[[#This Row],[Item]],super1[Bairro],extras)+SUMIFS(supercb[Qtde],supercb[Item],tab_higiene[[#This Row],[Item]],supercb[Bairro],extras)</f>
        <v>0</v>
      </c>
      <c r="BD71" s="1">
        <f t="shared" si="30"/>
        <v>35</v>
      </c>
      <c r="BE71" s="1">
        <f t="shared" si="31"/>
        <v>246.51666666666665</v>
      </c>
      <c r="BF71" s="26">
        <f t="shared" si="32"/>
        <v>74.42209556302285</v>
      </c>
      <c r="BI71" s="33" t="str">
        <f>tab_alimentos[[#This Row],[Item]]</f>
        <v>Café (250g)</v>
      </c>
      <c r="BJ71" s="33">
        <f t="shared" si="25"/>
        <v>5</v>
      </c>
      <c r="BK71" s="33" t="str">
        <f t="shared" si="26"/>
        <v>Café</v>
      </c>
      <c r="BL71" s="33">
        <f>tab_alimentos[[#This Row],[kg]]</f>
        <v>0</v>
      </c>
      <c r="BM71" s="37" t="s">
        <v>347</v>
      </c>
      <c r="BN71" s="35">
        <f t="shared" si="36"/>
        <v>0</v>
      </c>
      <c r="BP71" s="33" t="str">
        <f>tab_higiene[[#This Row],[Item]]</f>
        <v>Escova de dente (2un)</v>
      </c>
      <c r="BQ71" s="33">
        <f t="shared" si="33"/>
        <v>16</v>
      </c>
      <c r="BR71" s="33" t="str">
        <f t="shared" si="34"/>
        <v>Escova de dente</v>
      </c>
      <c r="BS71" s="33">
        <f>higiene[[#This Row],[Quantidade]]</f>
        <v>24</v>
      </c>
      <c r="BT71" s="33">
        <f>tab_higiene[Qtde (tot)]</f>
        <v>35</v>
      </c>
      <c r="BU71" s="33">
        <f t="shared" si="37"/>
        <v>840</v>
      </c>
      <c r="BV71" s="37" t="s">
        <v>100</v>
      </c>
      <c r="BW71" s="33">
        <f t="shared" si="35"/>
        <v>0</v>
      </c>
    </row>
    <row r="72" spans="9:75" x14ac:dyDescent="0.25">
      <c r="I72" s="25" t="str">
        <f>alimentos[[#This Row],[Item]]</f>
        <v>Café (500g)</v>
      </c>
      <c r="J72" s="1">
        <f>IFERROR(alimentos[[#This Row],[kg/embalagem]],0)</f>
        <v>0.5</v>
      </c>
      <c r="K72" s="1">
        <f>IFERROR(alimentos[[#This Row],[Preço]],0)</f>
        <v>7.0066666666666677</v>
      </c>
      <c r="L72" s="1">
        <f>SUMIFS(super1[Qtde],super1[Item],tab_alimentos[[#This Row],[Item]],super1[Bairro],mercado1)+SUMIFS(supercb[Qtde],supercb[Item],tab_alimentos[[#This Row],[Item]],supercb[Bairro],mercado1)</f>
        <v>6</v>
      </c>
      <c r="M72" s="1">
        <f>SUMIFS(super1[Qtde],super1[Item],tab_alimentos[[#This Row],[Item]],super1[Bairro],mercado2)+SUMIFS(supercb[Qtde],supercb[Item],tab_alimentos[[#This Row],[Item]],supercb[Bairro],mercado2)</f>
        <v>2</v>
      </c>
      <c r="N72" s="1">
        <f>SUMIFS(super1[Qtde],super1[Item],tab_alimentos[[#This Row],[Item]],super1[Bairro],mercado3)+SUMIFS(supercb[Qtde],supercb[Item],tab_alimentos[[#This Row],[Item]],supercb[Bairro],mercado3)</f>
        <v>1</v>
      </c>
      <c r="O72" s="1">
        <f>SUMIFS(super1[Qtde],super1[Item],tab_alimentos[[#This Row],[Item]],super1[Bairro],mercado4)+SUMIFS(supercb[Qtde],supercb[Item],tab_alimentos[[#This Row],[Item]],supercb[Bairro],mercado4)</f>
        <v>1</v>
      </c>
      <c r="P72" s="1">
        <f>SUMIFS(super1[Qtde],super1[Item],tab_alimentos[[#This Row],[Item]],super1[Bairro],mercado5)+SUMIFS(supercb[Qtde],supercb[Item],tab_alimentos[[#This Row],[Item]],supercb[Bairro],mercado5)</f>
        <v>0</v>
      </c>
      <c r="Q72" s="1">
        <f>SUMIFS(super1[Qtde],super1[Item],tab_alimentos[[#This Row],[Item]],super1[Bairro],mercado6)+SUMIFS(supercb[Qtde],supercb[Item],tab_alimentos[[#This Row],[Item]],supercb[Bairro],mercado6)</f>
        <v>2</v>
      </c>
      <c r="R72" s="1">
        <f>SUMIFS(super1[Qtde],super1[Item],tab_alimentos[[#This Row],[Item]],super1[Bairro],mercado7)+SUMIFS(supercb[Qtde],supercb[Item],tab_alimentos[[#This Row],[Item]],supercb[Bairro],mercado7)</f>
        <v>1</v>
      </c>
      <c r="S72" s="1">
        <f>SUMIFS(super1[Qtde],super1[Item],tab_alimentos[[#This Row],[Item]],super1[Bairro],mercado8)+SUMIFS(supercb[Qtde],supercb[Item],tab_alimentos[[#This Row],[Item]],supercb[Bairro],mercado8)</f>
        <v>0</v>
      </c>
      <c r="T72" s="1">
        <f>SUMIFS(super1[Qtde],super1[Item],tab_alimentos[[#This Row],[Item]],super1[Bairro],mercado9)+SUMIFS(supercb[Qtde],supercb[Item],tab_alimentos[[#This Row],[Item]],supercb[Bairro],mercado9)</f>
        <v>2</v>
      </c>
      <c r="U72" s="1">
        <f>SUMIFS(super1[Qtde],super1[Item],tab_alimentos[[#This Row],[Item]],super1[Bairro],mercado10)+SUMIFS(supercb[Qtde],supercb[Item],tab_alimentos[[#This Row],[Item]],supercb[Bairro],mercado10)</f>
        <v>4</v>
      </c>
      <c r="V72" s="1">
        <f>SUMIFS(super1[Qtde],super1[Item],tab_alimentos[[#This Row],[Item]],super1[Bairro],mercado11)+SUMIFS(supercb[Qtde],supercb[Item],tab_alimentos[[#This Row],[Item]],supercb[Bairro],mercado11)</f>
        <v>2</v>
      </c>
      <c r="W72" s="1">
        <f>SUMIFS(super1[Qtde],super1[Item],tab_alimentos[[#This Row],[Item]],super1[Bairro],mercado12)+SUMIFS(supercb[Qtde],supercb[Item],tab_alimentos[[#This Row],[Item]],supercb[Bairro],mercado12)</f>
        <v>0</v>
      </c>
      <c r="X72" s="1">
        <f>SUMIFS(super1[Qtde],super1[Item],tab_alimentos[[#This Row],[Item]],super1[Bairro],mercado13)+SUMIFS(supercb[Qtde],supercb[Item],tab_alimentos[[#This Row],[Item]],supercb[Bairro],mercado13)</f>
        <v>3</v>
      </c>
      <c r="Y72" s="1">
        <f>SUMIFS(super1[Qtde],super1[Item],tab_alimentos[[#This Row],[Item]],super1[Bairro],mercado14)+SUMIFS(supercb[Qtde],supercb[Item],tab_alimentos[[#This Row],[Item]],supercb[Bairro],mercado14)</f>
        <v>0</v>
      </c>
      <c r="Z72" s="1">
        <f>SUMIFS(super1[Qtde],super1[Item],tab_alimentos[[#This Row],[Item]],super1[Bairro],mercado15)+SUMIFS(supercb[Qtde],supercb[Item],tab_alimentos[[#This Row],[Item]],supercb[Bairro],mercado15)</f>
        <v>0</v>
      </c>
      <c r="AA72" s="1">
        <f>SUMIFS(super1[Qtde],super1[Item],tab_alimentos[[#This Row],[Item]],super1[Bairro],mercado16)+SUMIFS(supercb[Qtde],supercb[Item],tab_alimentos[[#This Row],[Item]],supercb[Bairro],mercado16)</f>
        <v>0</v>
      </c>
      <c r="AB72" s="1">
        <f>SUMIFS(super1[Qtde],super1[Item],tab_alimentos[[#This Row],[Item]],super1[Bairro],mercado17)+SUMIFS(supercb[Qtde],supercb[Item],tab_alimentos[[#This Row],[Item]],supercb[Bairro],mercado17)</f>
        <v>0</v>
      </c>
      <c r="AC72" s="1">
        <f>SUMIFS(super1[Qtde],super1[Item],tab_alimentos[[#This Row],[Item]],super1[Bairro],mercado18)+SUMIFS(supercb[Qtde],supercb[Item],tab_alimentos[[#This Row],[Item]],supercb[Bairro],mercado18)</f>
        <v>0</v>
      </c>
      <c r="AD72" s="1">
        <f>SUMIFS(super1[Qtde],super1[Item],tab_alimentos[[#This Row],[Item]],super1[Bairro],extras)+SUMIFS(supercb[Qtde],supercb[Item],tab_alimentos[[#This Row],[Item]],supercb[Bairro],extras)</f>
        <v>0</v>
      </c>
      <c r="AE72" s="1">
        <f t="shared" si="27"/>
        <v>24</v>
      </c>
      <c r="AF72" s="1">
        <f t="shared" si="28"/>
        <v>168.16000000000003</v>
      </c>
      <c r="AG72" s="3">
        <f t="shared" si="29"/>
        <v>12</v>
      </c>
      <c r="AH72" s="25" t="str">
        <f>higiene[[#This Row],[Item]]</f>
        <v>Escova de dente (3 un)</v>
      </c>
      <c r="AI72" s="1">
        <f>IFERROR(higiene[[#This Row],[Kg equivalente]],0)</f>
        <v>2.4171708950359121</v>
      </c>
      <c r="AJ72" s="1">
        <f>IFERROR(higiene[[#This Row],[Preço por produto]],0)</f>
        <v>8.0066666666666659</v>
      </c>
      <c r="AK72" s="1">
        <f>SUMIFS(super1[Qtde],super1[Item],tab_higiene[[#This Row],[Item]],super1[Bairro],mercado1)+SUMIFS(supercb[Qtde],supercb[Item],tab_higiene[[#This Row],[Item]],supercb[Bairro],mercado1)</f>
        <v>2</v>
      </c>
      <c r="AL72" s="1">
        <f>SUMIFS(super1[Qtde],super1[Item],tab_higiene[[#This Row],[Item]],super1[Bairro],mercado2)+SUMIFS(supercb[Qtde],supercb[Item],tab_higiene[[#This Row],[Item]],supercb[Bairro],mercado2)</f>
        <v>0</v>
      </c>
      <c r="AM72" s="1">
        <f>SUMIFS(super1[Qtde],super1[Item],tab_higiene[[#This Row],[Item]],super1[Bairro],mercado3)+SUMIFS(supercb[Qtde],supercb[Item],tab_higiene[[#This Row],[Item]],supercb[Bairro],mercado3)</f>
        <v>1</v>
      </c>
      <c r="AN72" s="1">
        <f>SUMIFS(super1[Qtde],super1[Item],tab_higiene[[#This Row],[Item]],super1[Bairro],mercado4)+SUMIFS(supercb[Qtde],supercb[Item],tab_higiene[[#This Row],[Item]],supercb[Bairro],mercado4)</f>
        <v>0</v>
      </c>
      <c r="AO72" s="1">
        <f>SUMIFS(super1[Qtde],super1[Item],tab_higiene[[#This Row],[Item]],super1[Bairro],mercado5)+SUMIFS(supercb[Qtde],supercb[Item],tab_higiene[[#This Row],[Item]],supercb[Bairro],mercado5)</f>
        <v>6</v>
      </c>
      <c r="AP72" s="1">
        <f>SUMIFS(super1[Qtde],super1[Item],tab_higiene[[#This Row],[Item]],super1[Bairro],mercado6)+SUMIFS(supercb[Qtde],supercb[Item],tab_higiene[[#This Row],[Item]],supercb[Bairro],mercado6)</f>
        <v>0</v>
      </c>
      <c r="AQ72" s="1">
        <f>SUMIFS(super1[Qtde],super1[Item],tab_higiene[[#This Row],[Item]],super1[Bairro],mercado7)+SUMIFS(supercb[Qtde],supercb[Item],tab_higiene[[#This Row],[Item]],supercb[Bairro],mercado7)</f>
        <v>3</v>
      </c>
      <c r="AR72" s="1">
        <f>SUMIFS(super1[Qtde],super1[Item],tab_higiene[[#This Row],[Item]],super1[Bairro],mercado8)+SUMIFS(supercb[Qtde],supercb[Item],tab_higiene[[#This Row],[Item]],supercb[Bairro],mercado8)</f>
        <v>6</v>
      </c>
      <c r="AS72" s="1">
        <f>SUMIFS(super1[Qtde],super1[Item],tab_higiene[[#This Row],[Item]],super1[Bairro],mercado9)+SUMIFS(supercb[Qtde],supercb[Item],tab_higiene[[#This Row],[Item]],supercb[Bairro],mercado9)</f>
        <v>6</v>
      </c>
      <c r="AT72" s="1">
        <f>SUMIFS(super1[Qtde],super1[Item],tab_higiene[[#This Row],[Item]],super1[Bairro],mercado10)+SUMIFS(supercb[Qtde],supercb[Item],tab_higiene[[#This Row],[Item]],supercb[Bairro],mercado10)</f>
        <v>22</v>
      </c>
      <c r="AU72" s="1">
        <f>SUMIFS(super1[Qtde],super1[Item],tab_higiene[[#This Row],[Item]],super1[Bairro],mercado11)+SUMIFS(supercb[Qtde],supercb[Item],tab_higiene[[#This Row],[Item]],supercb[Bairro],mercado11)</f>
        <v>1</v>
      </c>
      <c r="AV72" s="1">
        <f>SUMIFS(super1[Qtde],super1[Item],tab_higiene[[#This Row],[Item]],super1[Bairro],mercado12)+SUMIFS(supercb[Qtde],supercb[Item],tab_higiene[[#This Row],[Item]],supercb[Bairro],mercado12)</f>
        <v>0</v>
      </c>
      <c r="AW72" s="1">
        <f>SUMIFS(super1[Qtde],super1[Item],tab_higiene[[#This Row],[Item]],super1[Bairro],mercado13)+SUMIFS(supercb[Qtde],supercb[Item],tab_higiene[[#This Row],[Item]],supercb[Bairro],mercado13)</f>
        <v>0</v>
      </c>
      <c r="AX72" s="1">
        <f>SUMIFS(super1[Qtde],super1[Item],tab_higiene[[#This Row],[Item]],super1[Bairro],mercado14)+SUMIFS(supercb[Qtde],supercb[Item],tab_higiene[[#This Row],[Item]],supercb[Bairro],mercado14)</f>
        <v>0</v>
      </c>
      <c r="AY72" s="1">
        <f>SUMIFS(super1[Qtde],super1[Item],tab_higiene[[#This Row],[Item]],super1[Bairro],mercado15)+SUMIFS(supercb[Qtde],supercb[Item],tab_higiene[[#This Row],[Item]],supercb[Bairro],mercado15)</f>
        <v>0</v>
      </c>
      <c r="AZ72" s="1">
        <f>SUMIFS(super1[Qtde],super1[Item],tab_higiene[[#This Row],[Item]],super1[Bairro],mercado16)+SUMIFS(supercb[Qtde],supercb[Item],tab_higiene[[#This Row],[Item]],supercb[Bairro],mercado16)</f>
        <v>0</v>
      </c>
      <c r="BA72" s="1">
        <f>SUMIFS(super1[Qtde],super1[Item],tab_higiene[[#This Row],[Item]],super1[Bairro],mercado17)+SUMIFS(supercb[Qtde],supercb[Item],tab_higiene[[#This Row],[Item]],supercb[Bairro],mercado17)</f>
        <v>0</v>
      </c>
      <c r="BB72" s="1">
        <f>SUMIFS(super1[Qtde],super1[Item],tab_higiene[[#This Row],[Item]],super1[Bairro],mercado18)+SUMIFS(supercb[Qtde],supercb[Item],tab_higiene[[#This Row],[Item]],supercb[Bairro],mercado18)</f>
        <v>0</v>
      </c>
      <c r="BC72" s="1">
        <f>SUMIFS(super1[Qtde],super1[Item],tab_higiene[[#This Row],[Item]],super1[Bairro],extras)+SUMIFS(supercb[Qtde],supercb[Item],tab_higiene[[#This Row],[Item]],supercb[Bairro],extras)</f>
        <v>0</v>
      </c>
      <c r="BD72" s="1">
        <f t="shared" si="30"/>
        <v>47</v>
      </c>
      <c r="BE72" s="1">
        <f t="shared" si="31"/>
        <v>376.31333333333328</v>
      </c>
      <c r="BF72" s="26">
        <f t="shared" si="32"/>
        <v>113.60703206668786</v>
      </c>
      <c r="BI72" s="33" t="str">
        <f>tab_alimentos[[#This Row],[Item]]</f>
        <v>Café (500g)</v>
      </c>
      <c r="BJ72" s="33">
        <f t="shared" si="25"/>
        <v>5</v>
      </c>
      <c r="BK72" s="33" t="str">
        <f t="shared" si="26"/>
        <v>Café</v>
      </c>
      <c r="BL72" s="33">
        <f>tab_alimentos[[#This Row],[kg]]</f>
        <v>12</v>
      </c>
      <c r="BM72" s="37" t="s">
        <v>92</v>
      </c>
      <c r="BN72" s="35">
        <f t="shared" si="36"/>
        <v>0</v>
      </c>
      <c r="BP72" s="33" t="str">
        <f>tab_higiene[[#This Row],[Item]]</f>
        <v>Escova de dente (3 un)</v>
      </c>
      <c r="BQ72" s="33">
        <f t="shared" si="33"/>
        <v>16</v>
      </c>
      <c r="BR72" s="33" t="str">
        <f t="shared" si="34"/>
        <v>Escova de dente</v>
      </c>
      <c r="BS72" s="33">
        <f>higiene[[#This Row],[Quantidade]]</f>
        <v>30</v>
      </c>
      <c r="BT72" s="33">
        <f>tab_higiene[Qtde (tot)]</f>
        <v>47</v>
      </c>
      <c r="BU72" s="33">
        <f t="shared" si="37"/>
        <v>1410</v>
      </c>
      <c r="BV72" s="37">
        <v>0</v>
      </c>
      <c r="BW72" s="33">
        <f t="shared" si="35"/>
        <v>0</v>
      </c>
    </row>
    <row r="73" spans="9:75" x14ac:dyDescent="0.25">
      <c r="I73" s="25" t="str">
        <f>alimentos[[#This Row],[Item]]</f>
        <v>Café solúvel (50g)</v>
      </c>
      <c r="J73" s="1">
        <f>IFERROR(alimentos[[#This Row],[kg/embalagem]],0)</f>
        <v>0.05</v>
      </c>
      <c r="K73" s="1">
        <f>IFERROR(alimentos[[#This Row],[Preço]],0)</f>
        <v>3.4550000000000005</v>
      </c>
      <c r="L73" s="1">
        <f>SUMIFS(super1[Qtde],super1[Item],tab_alimentos[[#This Row],[Item]],super1[Bairro],mercado1)+SUMIFS(supercb[Qtde],supercb[Item],tab_alimentos[[#This Row],[Item]],supercb[Bairro],mercado1)</f>
        <v>0</v>
      </c>
      <c r="M73" s="1">
        <f>SUMIFS(super1[Qtde],super1[Item],tab_alimentos[[#This Row],[Item]],super1[Bairro],mercado2)+SUMIFS(supercb[Qtde],supercb[Item],tab_alimentos[[#This Row],[Item]],supercb[Bairro],mercado2)</f>
        <v>0</v>
      </c>
      <c r="N73" s="1">
        <f>SUMIFS(super1[Qtde],super1[Item],tab_alimentos[[#This Row],[Item]],super1[Bairro],mercado3)+SUMIFS(supercb[Qtde],supercb[Item],tab_alimentos[[#This Row],[Item]],supercb[Bairro],mercado3)</f>
        <v>0</v>
      </c>
      <c r="O73" s="1">
        <f>SUMIFS(super1[Qtde],super1[Item],tab_alimentos[[#This Row],[Item]],super1[Bairro],mercado4)+SUMIFS(supercb[Qtde],supercb[Item],tab_alimentos[[#This Row],[Item]],supercb[Bairro],mercado4)</f>
        <v>0</v>
      </c>
      <c r="P73" s="1">
        <f>SUMIFS(super1[Qtde],super1[Item],tab_alimentos[[#This Row],[Item]],super1[Bairro],mercado5)+SUMIFS(supercb[Qtde],supercb[Item],tab_alimentos[[#This Row],[Item]],supercb[Bairro],mercado5)</f>
        <v>0</v>
      </c>
      <c r="Q73" s="1">
        <f>SUMIFS(super1[Qtde],super1[Item],tab_alimentos[[#This Row],[Item]],super1[Bairro],mercado6)+SUMIFS(supercb[Qtde],supercb[Item],tab_alimentos[[#This Row],[Item]],supercb[Bairro],mercado6)</f>
        <v>0</v>
      </c>
      <c r="R73" s="1">
        <f>SUMIFS(super1[Qtde],super1[Item],tab_alimentos[[#This Row],[Item]],super1[Bairro],mercado7)+SUMIFS(supercb[Qtde],supercb[Item],tab_alimentos[[#This Row],[Item]],supercb[Bairro],mercado7)</f>
        <v>0</v>
      </c>
      <c r="S73" s="1">
        <f>SUMIFS(super1[Qtde],super1[Item],tab_alimentos[[#This Row],[Item]],super1[Bairro],mercado8)+SUMIFS(supercb[Qtde],supercb[Item],tab_alimentos[[#This Row],[Item]],supercb[Bairro],mercado8)</f>
        <v>0</v>
      </c>
      <c r="T73" s="1">
        <f>SUMIFS(super1[Qtde],super1[Item],tab_alimentos[[#This Row],[Item]],super1[Bairro],mercado9)+SUMIFS(supercb[Qtde],supercb[Item],tab_alimentos[[#This Row],[Item]],supercb[Bairro],mercado9)</f>
        <v>0</v>
      </c>
      <c r="U73" s="1">
        <f>SUMIFS(super1[Qtde],super1[Item],tab_alimentos[[#This Row],[Item]],super1[Bairro],mercado10)+SUMIFS(supercb[Qtde],supercb[Item],tab_alimentos[[#This Row],[Item]],supercb[Bairro],mercado10)</f>
        <v>0</v>
      </c>
      <c r="V73" s="1">
        <f>SUMIFS(super1[Qtde],super1[Item],tab_alimentos[[#This Row],[Item]],super1[Bairro],mercado11)+SUMIFS(supercb[Qtde],supercb[Item],tab_alimentos[[#This Row],[Item]],supercb[Bairro],mercado11)</f>
        <v>0</v>
      </c>
      <c r="W73" s="1">
        <f>SUMIFS(super1[Qtde],super1[Item],tab_alimentos[[#This Row],[Item]],super1[Bairro],mercado12)+SUMIFS(supercb[Qtde],supercb[Item],tab_alimentos[[#This Row],[Item]],supercb[Bairro],mercado12)</f>
        <v>0</v>
      </c>
      <c r="X73" s="1">
        <f>SUMIFS(super1[Qtde],super1[Item],tab_alimentos[[#This Row],[Item]],super1[Bairro],mercado13)+SUMIFS(supercb[Qtde],supercb[Item],tab_alimentos[[#This Row],[Item]],supercb[Bairro],mercado13)</f>
        <v>0</v>
      </c>
      <c r="Y73" s="1">
        <f>SUMIFS(super1[Qtde],super1[Item],tab_alimentos[[#This Row],[Item]],super1[Bairro],mercado14)+SUMIFS(supercb[Qtde],supercb[Item],tab_alimentos[[#This Row],[Item]],supercb[Bairro],mercado14)</f>
        <v>0</v>
      </c>
      <c r="Z73" s="1">
        <f>SUMIFS(super1[Qtde],super1[Item],tab_alimentos[[#This Row],[Item]],super1[Bairro],mercado15)+SUMIFS(supercb[Qtde],supercb[Item],tab_alimentos[[#This Row],[Item]],supercb[Bairro],mercado15)</f>
        <v>0</v>
      </c>
      <c r="AA73" s="1">
        <f>SUMIFS(super1[Qtde],super1[Item],tab_alimentos[[#This Row],[Item]],super1[Bairro],mercado16)+SUMIFS(supercb[Qtde],supercb[Item],tab_alimentos[[#This Row],[Item]],supercb[Bairro],mercado16)</f>
        <v>0</v>
      </c>
      <c r="AB73" s="1">
        <f>SUMIFS(super1[Qtde],super1[Item],tab_alimentos[[#This Row],[Item]],super1[Bairro],mercado17)+SUMIFS(supercb[Qtde],supercb[Item],tab_alimentos[[#This Row],[Item]],supercb[Bairro],mercado17)</f>
        <v>0</v>
      </c>
      <c r="AC73" s="1">
        <f>SUMIFS(super1[Qtde],super1[Item],tab_alimentos[[#This Row],[Item]],super1[Bairro],mercado18)+SUMIFS(supercb[Qtde],supercb[Item],tab_alimentos[[#This Row],[Item]],supercb[Bairro],mercado18)</f>
        <v>0</v>
      </c>
      <c r="AD73" s="1">
        <f>SUMIFS(super1[Qtde],super1[Item],tab_alimentos[[#This Row],[Item]],super1[Bairro],extras)+SUMIFS(supercb[Qtde],supercb[Item],tab_alimentos[[#This Row],[Item]],supercb[Bairro],extras)</f>
        <v>0</v>
      </c>
      <c r="AE73" s="1">
        <f t="shared" si="27"/>
        <v>0</v>
      </c>
      <c r="AF73" s="1">
        <f t="shared" si="28"/>
        <v>0</v>
      </c>
      <c r="AG73" s="3">
        <f t="shared" si="29"/>
        <v>0</v>
      </c>
      <c r="AH73" s="25" t="str">
        <f>higiene[[#This Row],[Item]]</f>
        <v>Escova de Dentes (4un)</v>
      </c>
      <c r="AI73" s="1">
        <f>IFERROR(higiene[[#This Row],[Kg equivalente]],0)</f>
        <v>3.1880089073579394</v>
      </c>
      <c r="AJ73" s="1">
        <f>IFERROR(higiene[[#This Row],[Preço por produto]],0)</f>
        <v>10.56</v>
      </c>
      <c r="AK73" s="1">
        <f>SUMIFS(super1[Qtde],super1[Item],tab_higiene[[#This Row],[Item]],super1[Bairro],mercado1)+SUMIFS(supercb[Qtde],supercb[Item],tab_higiene[[#This Row],[Item]],supercb[Bairro],mercado1)</f>
        <v>0</v>
      </c>
      <c r="AL73" s="1">
        <f>SUMIFS(super1[Qtde],super1[Item],tab_higiene[[#This Row],[Item]],super1[Bairro],mercado2)+SUMIFS(supercb[Qtde],supercb[Item],tab_higiene[[#This Row],[Item]],supercb[Bairro],mercado2)</f>
        <v>0</v>
      </c>
      <c r="AM73" s="1">
        <f>SUMIFS(super1[Qtde],super1[Item],tab_higiene[[#This Row],[Item]],super1[Bairro],mercado3)+SUMIFS(supercb[Qtde],supercb[Item],tab_higiene[[#This Row],[Item]],supercb[Bairro],mercado3)</f>
        <v>0</v>
      </c>
      <c r="AN73" s="1">
        <f>SUMIFS(super1[Qtde],super1[Item],tab_higiene[[#This Row],[Item]],super1[Bairro],mercado4)+SUMIFS(supercb[Qtde],supercb[Item],tab_higiene[[#This Row],[Item]],supercb[Bairro],mercado4)</f>
        <v>0</v>
      </c>
      <c r="AO73" s="1">
        <f>SUMIFS(super1[Qtde],super1[Item],tab_higiene[[#This Row],[Item]],super1[Bairro],mercado5)+SUMIFS(supercb[Qtde],supercb[Item],tab_higiene[[#This Row],[Item]],supercb[Bairro],mercado5)</f>
        <v>0</v>
      </c>
      <c r="AP73" s="1">
        <f>SUMIFS(super1[Qtde],super1[Item],tab_higiene[[#This Row],[Item]],super1[Bairro],mercado6)+SUMIFS(supercb[Qtde],supercb[Item],tab_higiene[[#This Row],[Item]],supercb[Bairro],mercado6)</f>
        <v>0</v>
      </c>
      <c r="AQ73" s="1">
        <f>SUMIFS(super1[Qtde],super1[Item],tab_higiene[[#This Row],[Item]],super1[Bairro],mercado7)+SUMIFS(supercb[Qtde],supercb[Item],tab_higiene[[#This Row],[Item]],supercb[Bairro],mercado7)</f>
        <v>0</v>
      </c>
      <c r="AR73" s="1">
        <f>SUMIFS(super1[Qtde],super1[Item],tab_higiene[[#This Row],[Item]],super1[Bairro],mercado8)+SUMIFS(supercb[Qtde],supercb[Item],tab_higiene[[#This Row],[Item]],supercb[Bairro],mercado8)</f>
        <v>0</v>
      </c>
      <c r="AS73" s="1">
        <f>SUMIFS(super1[Qtde],super1[Item],tab_higiene[[#This Row],[Item]],super1[Bairro],mercado9)+SUMIFS(supercb[Qtde],supercb[Item],tab_higiene[[#This Row],[Item]],supercb[Bairro],mercado9)</f>
        <v>0</v>
      </c>
      <c r="AT73" s="1">
        <f>SUMIFS(super1[Qtde],super1[Item],tab_higiene[[#This Row],[Item]],super1[Bairro],mercado10)+SUMIFS(supercb[Qtde],supercb[Item],tab_higiene[[#This Row],[Item]],supercb[Bairro],mercado10)</f>
        <v>6</v>
      </c>
      <c r="AU73" s="1">
        <f>SUMIFS(super1[Qtde],super1[Item],tab_higiene[[#This Row],[Item]],super1[Bairro],mercado11)+SUMIFS(supercb[Qtde],supercb[Item],tab_higiene[[#This Row],[Item]],supercb[Bairro],mercado11)</f>
        <v>0</v>
      </c>
      <c r="AV73" s="1">
        <f>SUMIFS(super1[Qtde],super1[Item],tab_higiene[[#This Row],[Item]],super1[Bairro],mercado12)+SUMIFS(supercb[Qtde],supercb[Item],tab_higiene[[#This Row],[Item]],supercb[Bairro],mercado12)</f>
        <v>0</v>
      </c>
      <c r="AW73" s="1">
        <f>SUMIFS(super1[Qtde],super1[Item],tab_higiene[[#This Row],[Item]],super1[Bairro],mercado13)+SUMIFS(supercb[Qtde],supercb[Item],tab_higiene[[#This Row],[Item]],supercb[Bairro],mercado13)</f>
        <v>0</v>
      </c>
      <c r="AX73" s="1">
        <f>SUMIFS(super1[Qtde],super1[Item],tab_higiene[[#This Row],[Item]],super1[Bairro],mercado14)+SUMIFS(supercb[Qtde],supercb[Item],tab_higiene[[#This Row],[Item]],supercb[Bairro],mercado14)</f>
        <v>0</v>
      </c>
      <c r="AY73" s="1">
        <f>SUMIFS(super1[Qtde],super1[Item],tab_higiene[[#This Row],[Item]],super1[Bairro],mercado15)+SUMIFS(supercb[Qtde],supercb[Item],tab_higiene[[#This Row],[Item]],supercb[Bairro],mercado15)</f>
        <v>0</v>
      </c>
      <c r="AZ73" s="1">
        <f>SUMIFS(super1[Qtde],super1[Item],tab_higiene[[#This Row],[Item]],super1[Bairro],mercado16)+SUMIFS(supercb[Qtde],supercb[Item],tab_higiene[[#This Row],[Item]],supercb[Bairro],mercado16)</f>
        <v>0</v>
      </c>
      <c r="BA73" s="1">
        <f>SUMIFS(super1[Qtde],super1[Item],tab_higiene[[#This Row],[Item]],super1[Bairro],mercado17)+SUMIFS(supercb[Qtde],supercb[Item],tab_higiene[[#This Row],[Item]],supercb[Bairro],mercado17)</f>
        <v>0</v>
      </c>
      <c r="BB73" s="1">
        <f>SUMIFS(super1[Qtde],super1[Item],tab_higiene[[#This Row],[Item]],super1[Bairro],mercado18)+SUMIFS(supercb[Qtde],supercb[Item],tab_higiene[[#This Row],[Item]],supercb[Bairro],mercado18)</f>
        <v>0</v>
      </c>
      <c r="BC73" s="1">
        <f>SUMIFS(super1[Qtde],super1[Item],tab_higiene[[#This Row],[Item]],super1[Bairro],extras)+SUMIFS(supercb[Qtde],supercb[Item],tab_higiene[[#This Row],[Item]],supercb[Bairro],extras)</f>
        <v>0</v>
      </c>
      <c r="BD73" s="1">
        <f t="shared" si="30"/>
        <v>6</v>
      </c>
      <c r="BE73" s="1">
        <f t="shared" si="31"/>
        <v>63.36</v>
      </c>
      <c r="BF73" s="26">
        <f t="shared" si="32"/>
        <v>19.128053444147636</v>
      </c>
      <c r="BI73" s="33" t="str">
        <f>tab_alimentos[[#This Row],[Item]]</f>
        <v>Café solúvel (50g)</v>
      </c>
      <c r="BJ73" s="33">
        <f t="shared" si="25"/>
        <v>13</v>
      </c>
      <c r="BK73" s="33" t="str">
        <f t="shared" si="26"/>
        <v>Café solúvel</v>
      </c>
      <c r="BL73" s="33">
        <f>tab_alimentos[[#This Row],[kg]]</f>
        <v>0</v>
      </c>
      <c r="BM73" s="37" t="s">
        <v>379</v>
      </c>
      <c r="BN73" s="35">
        <f t="shared" si="36"/>
        <v>0</v>
      </c>
      <c r="BP73" s="33" t="str">
        <f>tab_higiene[[#This Row],[Item]]</f>
        <v>Escova de Dentes (4un)</v>
      </c>
      <c r="BQ73" s="33">
        <f t="shared" si="33"/>
        <v>17</v>
      </c>
      <c r="BR73" s="33" t="str">
        <f t="shared" si="34"/>
        <v>Escova de Dentes</v>
      </c>
      <c r="BS73" s="33">
        <f>higiene[[#This Row],[Quantidade]]</f>
        <v>4</v>
      </c>
      <c r="BT73" s="33">
        <f>tab_higiene[Qtde (tot)]</f>
        <v>6</v>
      </c>
      <c r="BU73" s="33">
        <f t="shared" si="37"/>
        <v>24</v>
      </c>
      <c r="BV73" s="37" t="e">
        <v>#VALUE!</v>
      </c>
      <c r="BW73" s="33">
        <f t="shared" si="35"/>
        <v>0</v>
      </c>
    </row>
    <row r="74" spans="9:75" x14ac:dyDescent="0.25">
      <c r="I74" s="25" t="str">
        <f>alimentos[[#This Row],[Item]]</f>
        <v>Caixa de Bombons</v>
      </c>
      <c r="J74" s="1">
        <f>IFERROR(alimentos[[#This Row],[kg/embalagem]],0)</f>
        <v>0.3</v>
      </c>
      <c r="K74" s="1">
        <f>IFERROR(alimentos[[#This Row],[Preço]],0)</f>
        <v>8.99</v>
      </c>
      <c r="L74" s="1">
        <f>SUMIFS(super1[Qtde],super1[Item],tab_alimentos[[#This Row],[Item]],super1[Bairro],mercado1)+SUMIFS(supercb[Qtde],supercb[Item],tab_alimentos[[#This Row],[Item]],supercb[Bairro],mercado1)</f>
        <v>0</v>
      </c>
      <c r="M74" s="1">
        <f>SUMIFS(super1[Qtde],super1[Item],tab_alimentos[[#This Row],[Item]],super1[Bairro],mercado2)+SUMIFS(supercb[Qtde],supercb[Item],tab_alimentos[[#This Row],[Item]],supercb[Bairro],mercado2)</f>
        <v>0</v>
      </c>
      <c r="N74" s="1">
        <f>SUMIFS(super1[Qtde],super1[Item],tab_alimentos[[#This Row],[Item]],super1[Bairro],mercado3)+SUMIFS(supercb[Qtde],supercb[Item],tab_alimentos[[#This Row],[Item]],supercb[Bairro],mercado3)</f>
        <v>0</v>
      </c>
      <c r="O74" s="1">
        <f>SUMIFS(super1[Qtde],super1[Item],tab_alimentos[[#This Row],[Item]],super1[Bairro],mercado4)+SUMIFS(supercb[Qtde],supercb[Item],tab_alimentos[[#This Row],[Item]],supercb[Bairro],mercado4)</f>
        <v>0</v>
      </c>
      <c r="P74" s="1">
        <f>SUMIFS(super1[Qtde],super1[Item],tab_alimentos[[#This Row],[Item]],super1[Bairro],mercado5)+SUMIFS(supercb[Qtde],supercb[Item],tab_alimentos[[#This Row],[Item]],supercb[Bairro],mercado5)</f>
        <v>0</v>
      </c>
      <c r="Q74" s="1">
        <f>SUMIFS(super1[Qtde],super1[Item],tab_alimentos[[#This Row],[Item]],super1[Bairro],mercado6)+SUMIFS(supercb[Qtde],supercb[Item],tab_alimentos[[#This Row],[Item]],supercb[Bairro],mercado6)</f>
        <v>0</v>
      </c>
      <c r="R74" s="1">
        <f>SUMIFS(super1[Qtde],super1[Item],tab_alimentos[[#This Row],[Item]],super1[Bairro],mercado7)+SUMIFS(supercb[Qtde],supercb[Item],tab_alimentos[[#This Row],[Item]],supercb[Bairro],mercado7)</f>
        <v>0</v>
      </c>
      <c r="S74" s="1">
        <f>SUMIFS(super1[Qtde],super1[Item],tab_alimentos[[#This Row],[Item]],super1[Bairro],mercado8)+SUMIFS(supercb[Qtde],supercb[Item],tab_alimentos[[#This Row],[Item]],supercb[Bairro],mercado8)</f>
        <v>0</v>
      </c>
      <c r="T74" s="1">
        <f>SUMIFS(super1[Qtde],super1[Item],tab_alimentos[[#This Row],[Item]],super1[Bairro],mercado9)+SUMIFS(supercb[Qtde],supercb[Item],tab_alimentos[[#This Row],[Item]],supercb[Bairro],mercado9)</f>
        <v>0</v>
      </c>
      <c r="U74" s="1">
        <f>SUMIFS(super1[Qtde],super1[Item],tab_alimentos[[#This Row],[Item]],super1[Bairro],mercado10)+SUMIFS(supercb[Qtde],supercb[Item],tab_alimentos[[#This Row],[Item]],supercb[Bairro],mercado10)</f>
        <v>1</v>
      </c>
      <c r="V74" s="1">
        <f>SUMIFS(super1[Qtde],super1[Item],tab_alimentos[[#This Row],[Item]],super1[Bairro],mercado11)+SUMIFS(supercb[Qtde],supercb[Item],tab_alimentos[[#This Row],[Item]],supercb[Bairro],mercado11)</f>
        <v>0</v>
      </c>
      <c r="W74" s="1">
        <f>SUMIFS(super1[Qtde],super1[Item],tab_alimentos[[#This Row],[Item]],super1[Bairro],mercado12)+SUMIFS(supercb[Qtde],supercb[Item],tab_alimentos[[#This Row],[Item]],supercb[Bairro],mercado12)</f>
        <v>0</v>
      </c>
      <c r="X74" s="1">
        <f>SUMIFS(super1[Qtde],super1[Item],tab_alimentos[[#This Row],[Item]],super1[Bairro],mercado13)+SUMIFS(supercb[Qtde],supercb[Item],tab_alimentos[[#This Row],[Item]],supercb[Bairro],mercado13)</f>
        <v>0</v>
      </c>
      <c r="Y74" s="1">
        <f>SUMIFS(super1[Qtde],super1[Item],tab_alimentos[[#This Row],[Item]],super1[Bairro],mercado14)+SUMIFS(supercb[Qtde],supercb[Item],tab_alimentos[[#This Row],[Item]],supercb[Bairro],mercado14)</f>
        <v>0</v>
      </c>
      <c r="Z74" s="1">
        <f>SUMIFS(super1[Qtde],super1[Item],tab_alimentos[[#This Row],[Item]],super1[Bairro],mercado15)+SUMIFS(supercb[Qtde],supercb[Item],tab_alimentos[[#This Row],[Item]],supercb[Bairro],mercado15)</f>
        <v>0</v>
      </c>
      <c r="AA74" s="1">
        <f>SUMIFS(super1[Qtde],super1[Item],tab_alimentos[[#This Row],[Item]],super1[Bairro],mercado16)+SUMIFS(supercb[Qtde],supercb[Item],tab_alimentos[[#This Row],[Item]],supercb[Bairro],mercado16)</f>
        <v>0</v>
      </c>
      <c r="AB74" s="1">
        <f>SUMIFS(super1[Qtde],super1[Item],tab_alimentos[[#This Row],[Item]],super1[Bairro],mercado17)+SUMIFS(supercb[Qtde],supercb[Item],tab_alimentos[[#This Row],[Item]],supercb[Bairro],mercado17)</f>
        <v>0</v>
      </c>
      <c r="AC74" s="1">
        <f>SUMIFS(super1[Qtde],super1[Item],tab_alimentos[[#This Row],[Item]],super1[Bairro],mercado18)+SUMIFS(supercb[Qtde],supercb[Item],tab_alimentos[[#This Row],[Item]],supercb[Bairro],mercado18)</f>
        <v>0</v>
      </c>
      <c r="AD74" s="1">
        <f>SUMIFS(super1[Qtde],super1[Item],tab_alimentos[[#This Row],[Item]],super1[Bairro],extras)+SUMIFS(supercb[Qtde],supercb[Item],tab_alimentos[[#This Row],[Item]],supercb[Bairro],extras)</f>
        <v>0</v>
      </c>
      <c r="AE74" s="1">
        <f t="shared" si="27"/>
        <v>1</v>
      </c>
      <c r="AF74" s="1">
        <f t="shared" si="28"/>
        <v>8.99</v>
      </c>
      <c r="AG74" s="3">
        <f t="shared" si="29"/>
        <v>0.3</v>
      </c>
      <c r="AH74" s="25" t="str">
        <f>higiene[[#This Row],[Item]]</f>
        <v>Esponja (1un)</v>
      </c>
      <c r="AI74" s="1">
        <f>IFERROR(higiene[[#This Row],[Kg equivalente]],0)</f>
        <v>0.417822379524942</v>
      </c>
      <c r="AJ74" s="1">
        <f>IFERROR(higiene[[#This Row],[Preço por produto]],0)</f>
        <v>1.3839999999999999</v>
      </c>
      <c r="AK74" s="1">
        <f>SUMIFS(super1[Qtde],super1[Item],tab_higiene[[#This Row],[Item]],super1[Bairro],mercado1)+SUMIFS(supercb[Qtde],supercb[Item],tab_higiene[[#This Row],[Item]],supercb[Bairro],mercado1)</f>
        <v>0</v>
      </c>
      <c r="AL74" s="1">
        <f>SUMIFS(super1[Qtde],super1[Item],tab_higiene[[#This Row],[Item]],super1[Bairro],mercado2)+SUMIFS(supercb[Qtde],supercb[Item],tab_higiene[[#This Row],[Item]],supercb[Bairro],mercado2)</f>
        <v>0</v>
      </c>
      <c r="AM74" s="1">
        <f>SUMIFS(super1[Qtde],super1[Item],tab_higiene[[#This Row],[Item]],super1[Bairro],mercado3)+SUMIFS(supercb[Qtde],supercb[Item],tab_higiene[[#This Row],[Item]],supercb[Bairro],mercado3)</f>
        <v>0</v>
      </c>
      <c r="AN74" s="1">
        <f>SUMIFS(super1[Qtde],super1[Item],tab_higiene[[#This Row],[Item]],super1[Bairro],mercado4)+SUMIFS(supercb[Qtde],supercb[Item],tab_higiene[[#This Row],[Item]],supercb[Bairro],mercado4)</f>
        <v>0</v>
      </c>
      <c r="AO74" s="1">
        <f>SUMIFS(super1[Qtde],super1[Item],tab_higiene[[#This Row],[Item]],super1[Bairro],mercado5)+SUMIFS(supercb[Qtde],supercb[Item],tab_higiene[[#This Row],[Item]],supercb[Bairro],mercado5)</f>
        <v>1</v>
      </c>
      <c r="AP74" s="1">
        <f>SUMIFS(super1[Qtde],super1[Item],tab_higiene[[#This Row],[Item]],super1[Bairro],mercado6)+SUMIFS(supercb[Qtde],supercb[Item],tab_higiene[[#This Row],[Item]],supercb[Bairro],mercado6)</f>
        <v>0</v>
      </c>
      <c r="AQ74" s="1">
        <f>SUMIFS(super1[Qtde],super1[Item],tab_higiene[[#This Row],[Item]],super1[Bairro],mercado7)+SUMIFS(supercb[Qtde],supercb[Item],tab_higiene[[#This Row],[Item]],supercb[Bairro],mercado7)</f>
        <v>0</v>
      </c>
      <c r="AR74" s="1">
        <f>SUMIFS(super1[Qtde],super1[Item],tab_higiene[[#This Row],[Item]],super1[Bairro],mercado8)+SUMIFS(supercb[Qtde],supercb[Item],tab_higiene[[#This Row],[Item]],supercb[Bairro],mercado8)</f>
        <v>6</v>
      </c>
      <c r="AS74" s="1">
        <f>SUMIFS(super1[Qtde],super1[Item],tab_higiene[[#This Row],[Item]],super1[Bairro],mercado9)+SUMIFS(supercb[Qtde],supercb[Item],tab_higiene[[#This Row],[Item]],supercb[Bairro],mercado9)</f>
        <v>0</v>
      </c>
      <c r="AT74" s="1">
        <f>SUMIFS(super1[Qtde],super1[Item],tab_higiene[[#This Row],[Item]],super1[Bairro],mercado10)+SUMIFS(supercb[Qtde],supercb[Item],tab_higiene[[#This Row],[Item]],supercb[Bairro],mercado10)</f>
        <v>0</v>
      </c>
      <c r="AU74" s="1">
        <f>SUMIFS(super1[Qtde],super1[Item],tab_higiene[[#This Row],[Item]],super1[Bairro],mercado11)+SUMIFS(supercb[Qtde],supercb[Item],tab_higiene[[#This Row],[Item]],supercb[Bairro],mercado11)</f>
        <v>0</v>
      </c>
      <c r="AV74" s="1">
        <f>SUMIFS(super1[Qtde],super1[Item],tab_higiene[[#This Row],[Item]],super1[Bairro],mercado12)+SUMIFS(supercb[Qtde],supercb[Item],tab_higiene[[#This Row],[Item]],supercb[Bairro],mercado12)</f>
        <v>0</v>
      </c>
      <c r="AW74" s="1">
        <f>SUMIFS(super1[Qtde],super1[Item],tab_higiene[[#This Row],[Item]],super1[Bairro],mercado13)+SUMIFS(supercb[Qtde],supercb[Item],tab_higiene[[#This Row],[Item]],supercb[Bairro],mercado13)</f>
        <v>0</v>
      </c>
      <c r="AX74" s="1">
        <f>SUMIFS(super1[Qtde],super1[Item],tab_higiene[[#This Row],[Item]],super1[Bairro],mercado14)+SUMIFS(supercb[Qtde],supercb[Item],tab_higiene[[#This Row],[Item]],supercb[Bairro],mercado14)</f>
        <v>0</v>
      </c>
      <c r="AY74" s="1">
        <f>SUMIFS(super1[Qtde],super1[Item],tab_higiene[[#This Row],[Item]],super1[Bairro],mercado15)+SUMIFS(supercb[Qtde],supercb[Item],tab_higiene[[#This Row],[Item]],supercb[Bairro],mercado15)</f>
        <v>0</v>
      </c>
      <c r="AZ74" s="1">
        <f>SUMIFS(super1[Qtde],super1[Item],tab_higiene[[#This Row],[Item]],super1[Bairro],mercado16)+SUMIFS(supercb[Qtde],supercb[Item],tab_higiene[[#This Row],[Item]],supercb[Bairro],mercado16)</f>
        <v>0</v>
      </c>
      <c r="BA74" s="1">
        <f>SUMIFS(super1[Qtde],super1[Item],tab_higiene[[#This Row],[Item]],super1[Bairro],mercado17)+SUMIFS(supercb[Qtde],supercb[Item],tab_higiene[[#This Row],[Item]],supercb[Bairro],mercado17)</f>
        <v>0</v>
      </c>
      <c r="BB74" s="1">
        <f>SUMIFS(super1[Qtde],super1[Item],tab_higiene[[#This Row],[Item]],super1[Bairro],mercado18)+SUMIFS(supercb[Qtde],supercb[Item],tab_higiene[[#This Row],[Item]],supercb[Bairro],mercado18)</f>
        <v>0</v>
      </c>
      <c r="BC74" s="1">
        <f>SUMIFS(super1[Qtde],super1[Item],tab_higiene[[#This Row],[Item]],super1[Bairro],extras)+SUMIFS(supercb[Qtde],supercb[Item],tab_higiene[[#This Row],[Item]],supercb[Bairro],extras)</f>
        <v>0</v>
      </c>
      <c r="BD74" s="1">
        <f t="shared" si="30"/>
        <v>7</v>
      </c>
      <c r="BE74" s="1">
        <f t="shared" si="31"/>
        <v>9.6879999999999988</v>
      </c>
      <c r="BF74" s="26">
        <f t="shared" si="32"/>
        <v>2.9247566566745942</v>
      </c>
      <c r="BI74" s="33" t="str">
        <f>tab_alimentos[[#This Row],[Item]]</f>
        <v>Caixa de Bombons</v>
      </c>
      <c r="BJ74" s="33">
        <f t="shared" si="25"/>
        <v>0</v>
      </c>
      <c r="BK74" s="33" t="str">
        <f t="shared" si="26"/>
        <v>Caixa de Bombons</v>
      </c>
      <c r="BL74" s="33">
        <f>tab_alimentos[[#This Row],[kg]]</f>
        <v>0.3</v>
      </c>
      <c r="BM74" s="37" t="s">
        <v>93</v>
      </c>
      <c r="BN74" s="35">
        <f t="shared" si="36"/>
        <v>0</v>
      </c>
      <c r="BP74" s="33" t="str">
        <f>tab_higiene[[#This Row],[Item]]</f>
        <v>Esponja (1un)</v>
      </c>
      <c r="BQ74" s="33">
        <f t="shared" si="33"/>
        <v>8</v>
      </c>
      <c r="BR74" s="33" t="str">
        <f t="shared" si="34"/>
        <v>Esponja</v>
      </c>
      <c r="BS74" s="33">
        <f>higiene[[#This Row],[Quantidade]]</f>
        <v>14</v>
      </c>
      <c r="BT74" s="33">
        <f>tab_higiene[Qtde (tot)]</f>
        <v>7</v>
      </c>
      <c r="BU74" s="33">
        <f t="shared" si="37"/>
        <v>98</v>
      </c>
      <c r="BW74" s="33">
        <f t="shared" si="35"/>
        <v>0</v>
      </c>
    </row>
    <row r="75" spans="9:75" x14ac:dyDescent="0.25">
      <c r="I75" s="25" t="str">
        <f>alimentos[[#This Row],[Item]]</f>
        <v>Caldo Knor</v>
      </c>
      <c r="J75" s="1">
        <f>IFERROR(alimentos[[#This Row],[kg/embalagem]],0)</f>
        <v>1</v>
      </c>
      <c r="K75" s="1">
        <f>IFERROR(alimentos[[#This Row],[Preço]],0)</f>
        <v>1.2360000000000002</v>
      </c>
      <c r="L75" s="1">
        <f>SUMIFS(super1[Qtde],super1[Item],tab_alimentos[[#This Row],[Item]],super1[Bairro],mercado1)+SUMIFS(supercb[Qtde],supercb[Item],tab_alimentos[[#This Row],[Item]],supercb[Bairro],mercado1)</f>
        <v>0</v>
      </c>
      <c r="M75" s="1">
        <f>SUMIFS(super1[Qtde],super1[Item],tab_alimentos[[#This Row],[Item]],super1[Bairro],mercado2)+SUMIFS(supercb[Qtde],supercb[Item],tab_alimentos[[#This Row],[Item]],supercb[Bairro],mercado2)</f>
        <v>0</v>
      </c>
      <c r="N75" s="1">
        <f>SUMIFS(super1[Qtde],super1[Item],tab_alimentos[[#This Row],[Item]],super1[Bairro],mercado3)+SUMIFS(supercb[Qtde],supercb[Item],tab_alimentos[[#This Row],[Item]],supercb[Bairro],mercado3)</f>
        <v>0</v>
      </c>
      <c r="O75" s="1">
        <f>SUMIFS(super1[Qtde],super1[Item],tab_alimentos[[#This Row],[Item]],super1[Bairro],mercado4)+SUMIFS(supercb[Qtde],supercb[Item],tab_alimentos[[#This Row],[Item]],supercb[Bairro],mercado4)</f>
        <v>0</v>
      </c>
      <c r="P75" s="1">
        <f>SUMIFS(super1[Qtde],super1[Item],tab_alimentos[[#This Row],[Item]],super1[Bairro],mercado5)+SUMIFS(supercb[Qtde],supercb[Item],tab_alimentos[[#This Row],[Item]],supercb[Bairro],mercado5)</f>
        <v>0</v>
      </c>
      <c r="Q75" s="1">
        <f>SUMIFS(super1[Qtde],super1[Item],tab_alimentos[[#This Row],[Item]],super1[Bairro],mercado6)+SUMIFS(supercb[Qtde],supercb[Item],tab_alimentos[[#This Row],[Item]],supercb[Bairro],mercado6)</f>
        <v>0</v>
      </c>
      <c r="R75" s="1">
        <f>SUMIFS(super1[Qtde],super1[Item],tab_alimentos[[#This Row],[Item]],super1[Bairro],mercado7)+SUMIFS(supercb[Qtde],supercb[Item],tab_alimentos[[#This Row],[Item]],supercb[Bairro],mercado7)</f>
        <v>0</v>
      </c>
      <c r="S75" s="1">
        <f>SUMIFS(super1[Qtde],super1[Item],tab_alimentos[[#This Row],[Item]],super1[Bairro],mercado8)+SUMIFS(supercb[Qtde],supercb[Item],tab_alimentos[[#This Row],[Item]],supercb[Bairro],mercado8)</f>
        <v>0</v>
      </c>
      <c r="T75" s="1">
        <f>SUMIFS(super1[Qtde],super1[Item],tab_alimentos[[#This Row],[Item]],super1[Bairro],mercado9)+SUMIFS(supercb[Qtde],supercb[Item],tab_alimentos[[#This Row],[Item]],supercb[Bairro],mercado9)</f>
        <v>0</v>
      </c>
      <c r="U75" s="1">
        <f>SUMIFS(super1[Qtde],super1[Item],tab_alimentos[[#This Row],[Item]],super1[Bairro],mercado10)+SUMIFS(supercb[Qtde],supercb[Item],tab_alimentos[[#This Row],[Item]],supercb[Bairro],mercado10)</f>
        <v>0</v>
      </c>
      <c r="V75" s="1">
        <f>SUMIFS(super1[Qtde],super1[Item],tab_alimentos[[#This Row],[Item]],super1[Bairro],mercado11)+SUMIFS(supercb[Qtde],supercb[Item],tab_alimentos[[#This Row],[Item]],supercb[Bairro],mercado11)</f>
        <v>0</v>
      </c>
      <c r="W75" s="1">
        <f>SUMIFS(super1[Qtde],super1[Item],tab_alimentos[[#This Row],[Item]],super1[Bairro],mercado12)+SUMIFS(supercb[Qtde],supercb[Item],tab_alimentos[[#This Row],[Item]],supercb[Bairro],mercado12)</f>
        <v>0</v>
      </c>
      <c r="X75" s="1">
        <f>SUMIFS(super1[Qtde],super1[Item],tab_alimentos[[#This Row],[Item]],super1[Bairro],mercado13)+SUMIFS(supercb[Qtde],supercb[Item],tab_alimentos[[#This Row],[Item]],supercb[Bairro],mercado13)</f>
        <v>0</v>
      </c>
      <c r="Y75" s="1">
        <f>SUMIFS(super1[Qtde],super1[Item],tab_alimentos[[#This Row],[Item]],super1[Bairro],mercado14)+SUMIFS(supercb[Qtde],supercb[Item],tab_alimentos[[#This Row],[Item]],supercb[Bairro],mercado14)</f>
        <v>0</v>
      </c>
      <c r="Z75" s="1">
        <f>SUMIFS(super1[Qtde],super1[Item],tab_alimentos[[#This Row],[Item]],super1[Bairro],mercado15)+SUMIFS(supercb[Qtde],supercb[Item],tab_alimentos[[#This Row],[Item]],supercb[Bairro],mercado15)</f>
        <v>0</v>
      </c>
      <c r="AA75" s="1">
        <f>SUMIFS(super1[Qtde],super1[Item],tab_alimentos[[#This Row],[Item]],super1[Bairro],mercado16)+SUMIFS(supercb[Qtde],supercb[Item],tab_alimentos[[#This Row],[Item]],supercb[Bairro],mercado16)</f>
        <v>0</v>
      </c>
      <c r="AB75" s="1">
        <f>SUMIFS(super1[Qtde],super1[Item],tab_alimentos[[#This Row],[Item]],super1[Bairro],mercado17)+SUMIFS(supercb[Qtde],supercb[Item],tab_alimentos[[#This Row],[Item]],supercb[Bairro],mercado17)</f>
        <v>0</v>
      </c>
      <c r="AC75" s="1">
        <f>SUMIFS(super1[Qtde],super1[Item],tab_alimentos[[#This Row],[Item]],super1[Bairro],mercado18)+SUMIFS(supercb[Qtde],supercb[Item],tab_alimentos[[#This Row],[Item]],supercb[Bairro],mercado18)</f>
        <v>0</v>
      </c>
      <c r="AD75" s="1">
        <f>SUMIFS(super1[Qtde],super1[Item],tab_alimentos[[#This Row],[Item]],super1[Bairro],extras)+SUMIFS(supercb[Qtde],supercb[Item],tab_alimentos[[#This Row],[Item]],supercb[Bairro],extras)</f>
        <v>0</v>
      </c>
      <c r="AE75" s="1">
        <f t="shared" si="27"/>
        <v>0</v>
      </c>
      <c r="AF75" s="1">
        <f t="shared" si="28"/>
        <v>0</v>
      </c>
      <c r="AG75" s="3">
        <f t="shared" si="29"/>
        <v>0</v>
      </c>
      <c r="AH75" s="25" t="str">
        <f>higiene[[#This Row],[Item]]</f>
        <v>Esponja (3un)</v>
      </c>
      <c r="AI75" s="1">
        <f>IFERROR(higiene[[#This Row],[Kg equivalente]],0)</f>
        <v>1.0167816287861309</v>
      </c>
      <c r="AJ75" s="1">
        <f>IFERROR(higiene[[#This Row],[Preço por produto]],0)</f>
        <v>3.3680000000000008</v>
      </c>
      <c r="AK75" s="1">
        <f>SUMIFS(super1[Qtde],super1[Item],tab_higiene[[#This Row],[Item]],super1[Bairro],mercado1)+SUMIFS(supercb[Qtde],supercb[Item],tab_higiene[[#This Row],[Item]],supercb[Bairro],mercado1)</f>
        <v>0</v>
      </c>
      <c r="AL75" s="1">
        <f>SUMIFS(super1[Qtde],super1[Item],tab_higiene[[#This Row],[Item]],super1[Bairro],mercado2)+SUMIFS(supercb[Qtde],supercb[Item],tab_higiene[[#This Row],[Item]],supercb[Bairro],mercado2)</f>
        <v>0</v>
      </c>
      <c r="AM75" s="1">
        <f>SUMIFS(super1[Qtde],super1[Item],tab_higiene[[#This Row],[Item]],super1[Bairro],mercado3)+SUMIFS(supercb[Qtde],supercb[Item],tab_higiene[[#This Row],[Item]],supercb[Bairro],mercado3)</f>
        <v>0</v>
      </c>
      <c r="AN75" s="1">
        <f>SUMIFS(super1[Qtde],super1[Item],tab_higiene[[#This Row],[Item]],super1[Bairro],mercado4)+SUMIFS(supercb[Qtde],supercb[Item],tab_higiene[[#This Row],[Item]],supercb[Bairro],mercado4)</f>
        <v>0</v>
      </c>
      <c r="AO75" s="1">
        <f>SUMIFS(super1[Qtde],super1[Item],tab_higiene[[#This Row],[Item]],super1[Bairro],mercado5)+SUMIFS(supercb[Qtde],supercb[Item],tab_higiene[[#This Row],[Item]],supercb[Bairro],mercado5)</f>
        <v>0</v>
      </c>
      <c r="AP75" s="1">
        <f>SUMIFS(super1[Qtde],super1[Item],tab_higiene[[#This Row],[Item]],super1[Bairro],mercado6)+SUMIFS(supercb[Qtde],supercb[Item],tab_higiene[[#This Row],[Item]],supercb[Bairro],mercado6)</f>
        <v>2</v>
      </c>
      <c r="AQ75" s="1">
        <f>SUMIFS(super1[Qtde],super1[Item],tab_higiene[[#This Row],[Item]],super1[Bairro],mercado7)+SUMIFS(supercb[Qtde],supercb[Item],tab_higiene[[#This Row],[Item]],supercb[Bairro],mercado7)</f>
        <v>0</v>
      </c>
      <c r="AR75" s="1">
        <f>SUMIFS(super1[Qtde],super1[Item],tab_higiene[[#This Row],[Item]],super1[Bairro],mercado8)+SUMIFS(supercb[Qtde],supercb[Item],tab_higiene[[#This Row],[Item]],supercb[Bairro],mercado8)</f>
        <v>0</v>
      </c>
      <c r="AS75" s="1">
        <f>SUMIFS(super1[Qtde],super1[Item],tab_higiene[[#This Row],[Item]],super1[Bairro],mercado9)+SUMIFS(supercb[Qtde],supercb[Item],tab_higiene[[#This Row],[Item]],supercb[Bairro],mercado9)</f>
        <v>1</v>
      </c>
      <c r="AT75" s="1">
        <f>SUMIFS(super1[Qtde],super1[Item],tab_higiene[[#This Row],[Item]],super1[Bairro],mercado10)+SUMIFS(supercb[Qtde],supercb[Item],tab_higiene[[#This Row],[Item]],supercb[Bairro],mercado10)</f>
        <v>0</v>
      </c>
      <c r="AU75" s="1">
        <f>SUMIFS(super1[Qtde],super1[Item],tab_higiene[[#This Row],[Item]],super1[Bairro],mercado11)+SUMIFS(supercb[Qtde],supercb[Item],tab_higiene[[#This Row],[Item]],supercb[Bairro],mercado11)</f>
        <v>2</v>
      </c>
      <c r="AV75" s="1">
        <f>SUMIFS(super1[Qtde],super1[Item],tab_higiene[[#This Row],[Item]],super1[Bairro],mercado12)+SUMIFS(supercb[Qtde],supercb[Item],tab_higiene[[#This Row],[Item]],supercb[Bairro],mercado12)</f>
        <v>0</v>
      </c>
      <c r="AW75" s="1">
        <f>SUMIFS(super1[Qtde],super1[Item],tab_higiene[[#This Row],[Item]],super1[Bairro],mercado13)+SUMIFS(supercb[Qtde],supercb[Item],tab_higiene[[#This Row],[Item]],supercb[Bairro],mercado13)</f>
        <v>0</v>
      </c>
      <c r="AX75" s="1">
        <f>SUMIFS(super1[Qtde],super1[Item],tab_higiene[[#This Row],[Item]],super1[Bairro],mercado14)+SUMIFS(supercb[Qtde],supercb[Item],tab_higiene[[#This Row],[Item]],supercb[Bairro],mercado14)</f>
        <v>0</v>
      </c>
      <c r="AY75" s="1">
        <f>SUMIFS(super1[Qtde],super1[Item],tab_higiene[[#This Row],[Item]],super1[Bairro],mercado15)+SUMIFS(supercb[Qtde],supercb[Item],tab_higiene[[#This Row],[Item]],supercb[Bairro],mercado15)</f>
        <v>0</v>
      </c>
      <c r="AZ75" s="1">
        <f>SUMIFS(super1[Qtde],super1[Item],tab_higiene[[#This Row],[Item]],super1[Bairro],mercado16)+SUMIFS(supercb[Qtde],supercb[Item],tab_higiene[[#This Row],[Item]],supercb[Bairro],mercado16)</f>
        <v>0</v>
      </c>
      <c r="BA75" s="1">
        <f>SUMIFS(super1[Qtde],super1[Item],tab_higiene[[#This Row],[Item]],super1[Bairro],mercado17)+SUMIFS(supercb[Qtde],supercb[Item],tab_higiene[[#This Row],[Item]],supercb[Bairro],mercado17)</f>
        <v>0</v>
      </c>
      <c r="BB75" s="1">
        <f>SUMIFS(super1[Qtde],super1[Item],tab_higiene[[#This Row],[Item]],super1[Bairro],mercado18)+SUMIFS(supercb[Qtde],supercb[Item],tab_higiene[[#This Row],[Item]],supercb[Bairro],mercado18)</f>
        <v>0</v>
      </c>
      <c r="BC75" s="1">
        <f>SUMIFS(super1[Qtde],super1[Item],tab_higiene[[#This Row],[Item]],super1[Bairro],extras)+SUMIFS(supercb[Qtde],supercb[Item],tab_higiene[[#This Row],[Item]],supercb[Bairro],extras)</f>
        <v>0</v>
      </c>
      <c r="BD75" s="1">
        <f t="shared" si="30"/>
        <v>5</v>
      </c>
      <c r="BE75" s="1">
        <f t="shared" si="31"/>
        <v>16.840000000000003</v>
      </c>
      <c r="BF75" s="26">
        <f t="shared" si="32"/>
        <v>5.0839081439306542</v>
      </c>
      <c r="BI75" s="33" t="str">
        <f>tab_alimentos[[#This Row],[Item]]</f>
        <v>Caldo Knor</v>
      </c>
      <c r="BJ75" s="33">
        <f t="shared" si="25"/>
        <v>0</v>
      </c>
      <c r="BK75" s="33" t="str">
        <f t="shared" si="26"/>
        <v>Caldo Knor</v>
      </c>
      <c r="BL75" s="33">
        <f>tab_alimentos[[#This Row],[kg]]</f>
        <v>0</v>
      </c>
      <c r="BM75" s="37" t="s">
        <v>298</v>
      </c>
      <c r="BN75" s="35">
        <f t="shared" si="36"/>
        <v>0</v>
      </c>
      <c r="BP75" s="33" t="str">
        <f>tab_higiene[[#This Row],[Item]]</f>
        <v>Esponja (3un)</v>
      </c>
      <c r="BQ75" s="33">
        <f t="shared" si="33"/>
        <v>8</v>
      </c>
      <c r="BR75" s="33" t="str">
        <f t="shared" si="34"/>
        <v>Esponja</v>
      </c>
      <c r="BS75" s="33">
        <f>higiene[[#This Row],[Quantidade]]</f>
        <v>16</v>
      </c>
      <c r="BT75" s="33">
        <f>tab_higiene[Qtde (tot)]</f>
        <v>5</v>
      </c>
      <c r="BU75" s="33">
        <f t="shared" si="37"/>
        <v>80</v>
      </c>
      <c r="BW75" s="33">
        <f t="shared" si="35"/>
        <v>0</v>
      </c>
    </row>
    <row r="76" spans="9:75" x14ac:dyDescent="0.25">
      <c r="I76" s="25" t="str">
        <f>alimentos[[#This Row],[Item]]</f>
        <v>Canjica (500g)</v>
      </c>
      <c r="J76" s="1">
        <f>IFERROR(alimentos[[#This Row],[kg/embalagem]],0)</f>
        <v>0.5</v>
      </c>
      <c r="K76" s="1">
        <f>IFERROR(alimentos[[#This Row],[Preço]],0)</f>
        <v>3.0733333333333328</v>
      </c>
      <c r="L76" s="1">
        <f>SUMIFS(super1[Qtde],super1[Item],tab_alimentos[[#This Row],[Item]],super1[Bairro],mercado1)+SUMIFS(supercb[Qtde],supercb[Item],tab_alimentos[[#This Row],[Item]],supercb[Bairro],mercado1)</f>
        <v>0</v>
      </c>
      <c r="M76" s="1">
        <f>SUMIFS(super1[Qtde],super1[Item],tab_alimentos[[#This Row],[Item]],super1[Bairro],mercado2)+SUMIFS(supercb[Qtde],supercb[Item],tab_alimentos[[#This Row],[Item]],supercb[Bairro],mercado2)</f>
        <v>0</v>
      </c>
      <c r="N76" s="1">
        <f>SUMIFS(super1[Qtde],super1[Item],tab_alimentos[[#This Row],[Item]],super1[Bairro],mercado3)+SUMIFS(supercb[Qtde],supercb[Item],tab_alimentos[[#This Row],[Item]],supercb[Bairro],mercado3)</f>
        <v>0</v>
      </c>
      <c r="O76" s="1">
        <f>SUMIFS(super1[Qtde],super1[Item],tab_alimentos[[#This Row],[Item]],super1[Bairro],mercado4)+SUMIFS(supercb[Qtde],supercb[Item],tab_alimentos[[#This Row],[Item]],supercb[Bairro],mercado4)</f>
        <v>0</v>
      </c>
      <c r="P76" s="1">
        <f>SUMIFS(super1[Qtde],super1[Item],tab_alimentos[[#This Row],[Item]],super1[Bairro],mercado5)+SUMIFS(supercb[Qtde],supercb[Item],tab_alimentos[[#This Row],[Item]],supercb[Bairro],mercado5)</f>
        <v>0</v>
      </c>
      <c r="Q76" s="1">
        <f>SUMIFS(super1[Qtde],super1[Item],tab_alimentos[[#This Row],[Item]],super1[Bairro],mercado6)+SUMIFS(supercb[Qtde],supercb[Item],tab_alimentos[[#This Row],[Item]],supercb[Bairro],mercado6)</f>
        <v>0</v>
      </c>
      <c r="R76" s="1">
        <f>SUMIFS(super1[Qtde],super1[Item],tab_alimentos[[#This Row],[Item]],super1[Bairro],mercado7)+SUMIFS(supercb[Qtde],supercb[Item],tab_alimentos[[#This Row],[Item]],supercb[Bairro],mercado7)</f>
        <v>0</v>
      </c>
      <c r="S76" s="1">
        <f>SUMIFS(super1[Qtde],super1[Item],tab_alimentos[[#This Row],[Item]],super1[Bairro],mercado8)+SUMIFS(supercb[Qtde],supercb[Item],tab_alimentos[[#This Row],[Item]],supercb[Bairro],mercado8)</f>
        <v>0</v>
      </c>
      <c r="T76" s="1">
        <f>SUMIFS(super1[Qtde],super1[Item],tab_alimentos[[#This Row],[Item]],super1[Bairro],mercado9)+SUMIFS(supercb[Qtde],supercb[Item],tab_alimentos[[#This Row],[Item]],supercb[Bairro],mercado9)</f>
        <v>0</v>
      </c>
      <c r="U76" s="1">
        <f>SUMIFS(super1[Qtde],super1[Item],tab_alimentos[[#This Row],[Item]],super1[Bairro],mercado10)+SUMIFS(supercb[Qtde],supercb[Item],tab_alimentos[[#This Row],[Item]],supercb[Bairro],mercado10)</f>
        <v>0</v>
      </c>
      <c r="V76" s="1">
        <f>SUMIFS(super1[Qtde],super1[Item],tab_alimentos[[#This Row],[Item]],super1[Bairro],mercado11)+SUMIFS(supercb[Qtde],supercb[Item],tab_alimentos[[#This Row],[Item]],supercb[Bairro],mercado11)</f>
        <v>0</v>
      </c>
      <c r="W76" s="1">
        <f>SUMIFS(super1[Qtde],super1[Item],tab_alimentos[[#This Row],[Item]],super1[Bairro],mercado12)+SUMIFS(supercb[Qtde],supercb[Item],tab_alimentos[[#This Row],[Item]],supercb[Bairro],mercado12)</f>
        <v>0</v>
      </c>
      <c r="X76" s="1">
        <f>SUMIFS(super1[Qtde],super1[Item],tab_alimentos[[#This Row],[Item]],super1[Bairro],mercado13)+SUMIFS(supercb[Qtde],supercb[Item],tab_alimentos[[#This Row],[Item]],supercb[Bairro],mercado13)</f>
        <v>0</v>
      </c>
      <c r="Y76" s="1">
        <f>SUMIFS(super1[Qtde],super1[Item],tab_alimentos[[#This Row],[Item]],super1[Bairro],mercado14)+SUMIFS(supercb[Qtde],supercb[Item],tab_alimentos[[#This Row],[Item]],supercb[Bairro],mercado14)</f>
        <v>0</v>
      </c>
      <c r="Z76" s="1">
        <f>SUMIFS(super1[Qtde],super1[Item],tab_alimentos[[#This Row],[Item]],super1[Bairro],mercado15)+SUMIFS(supercb[Qtde],supercb[Item],tab_alimentos[[#This Row],[Item]],supercb[Bairro],mercado15)</f>
        <v>0</v>
      </c>
      <c r="AA76" s="1">
        <f>SUMIFS(super1[Qtde],super1[Item],tab_alimentos[[#This Row],[Item]],super1[Bairro],mercado16)+SUMIFS(supercb[Qtde],supercb[Item],tab_alimentos[[#This Row],[Item]],supercb[Bairro],mercado16)</f>
        <v>0</v>
      </c>
      <c r="AB76" s="1">
        <f>SUMIFS(super1[Qtde],super1[Item],tab_alimentos[[#This Row],[Item]],super1[Bairro],mercado17)+SUMIFS(supercb[Qtde],supercb[Item],tab_alimentos[[#This Row],[Item]],supercb[Bairro],mercado17)</f>
        <v>0</v>
      </c>
      <c r="AC76" s="1">
        <f>SUMIFS(super1[Qtde],super1[Item],tab_alimentos[[#This Row],[Item]],super1[Bairro],mercado18)+SUMIFS(supercb[Qtde],supercb[Item],tab_alimentos[[#This Row],[Item]],supercb[Bairro],mercado18)</f>
        <v>0</v>
      </c>
      <c r="AD76" s="1">
        <f>SUMIFS(super1[Qtde],super1[Item],tab_alimentos[[#This Row],[Item]],super1[Bairro],extras)+SUMIFS(supercb[Qtde],supercb[Item],tab_alimentos[[#This Row],[Item]],supercb[Bairro],extras)</f>
        <v>0</v>
      </c>
      <c r="AE76" s="1">
        <f t="shared" si="27"/>
        <v>0</v>
      </c>
      <c r="AF76" s="1">
        <f t="shared" si="28"/>
        <v>0</v>
      </c>
      <c r="AG76" s="3">
        <f t="shared" si="29"/>
        <v>0</v>
      </c>
      <c r="AH76" s="25" t="str">
        <f>higiene[[#This Row],[Item]]</f>
        <v>Esponja (4un)</v>
      </c>
      <c r="AI76" s="1">
        <f>IFERROR(higiene[[#This Row],[Kg equivalente]],0)</f>
        <v>0.88274034518130828</v>
      </c>
      <c r="AJ76" s="1">
        <f>IFERROR(higiene[[#This Row],[Preço por produto]],0)</f>
        <v>2.9240000000000004</v>
      </c>
      <c r="AK76" s="1">
        <f>SUMIFS(super1[Qtde],super1[Item],tab_higiene[[#This Row],[Item]],super1[Bairro],mercado1)+SUMIFS(supercb[Qtde],supercb[Item],tab_higiene[[#This Row],[Item]],supercb[Bairro],mercado1)</f>
        <v>0</v>
      </c>
      <c r="AL76" s="1">
        <f>SUMIFS(super1[Qtde],super1[Item],tab_higiene[[#This Row],[Item]],super1[Bairro],mercado2)+SUMIFS(supercb[Qtde],supercb[Item],tab_higiene[[#This Row],[Item]],supercb[Bairro],mercado2)</f>
        <v>1</v>
      </c>
      <c r="AM76" s="1">
        <f>SUMIFS(super1[Qtde],super1[Item],tab_higiene[[#This Row],[Item]],super1[Bairro],mercado3)+SUMIFS(supercb[Qtde],supercb[Item],tab_higiene[[#This Row],[Item]],supercb[Bairro],mercado3)</f>
        <v>0</v>
      </c>
      <c r="AN76" s="1">
        <f>SUMIFS(super1[Qtde],super1[Item],tab_higiene[[#This Row],[Item]],super1[Bairro],mercado4)+SUMIFS(supercb[Qtde],supercb[Item],tab_higiene[[#This Row],[Item]],supercb[Bairro],mercado4)</f>
        <v>0</v>
      </c>
      <c r="AO76" s="1">
        <f>SUMIFS(super1[Qtde],super1[Item],tab_higiene[[#This Row],[Item]],super1[Bairro],mercado5)+SUMIFS(supercb[Qtde],supercb[Item],tab_higiene[[#This Row],[Item]],supercb[Bairro],mercado5)</f>
        <v>1</v>
      </c>
      <c r="AP76" s="1">
        <f>SUMIFS(super1[Qtde],super1[Item],tab_higiene[[#This Row],[Item]],super1[Bairro],mercado6)+SUMIFS(supercb[Qtde],supercb[Item],tab_higiene[[#This Row],[Item]],supercb[Bairro],mercado6)</f>
        <v>4</v>
      </c>
      <c r="AQ76" s="1">
        <f>SUMIFS(super1[Qtde],super1[Item],tab_higiene[[#This Row],[Item]],super1[Bairro],mercado7)+SUMIFS(supercb[Qtde],supercb[Item],tab_higiene[[#This Row],[Item]],supercb[Bairro],mercado7)</f>
        <v>0</v>
      </c>
      <c r="AR76" s="1">
        <f>SUMIFS(super1[Qtde],super1[Item],tab_higiene[[#This Row],[Item]],super1[Bairro],mercado8)+SUMIFS(supercb[Qtde],supercb[Item],tab_higiene[[#This Row],[Item]],supercb[Bairro],mercado8)</f>
        <v>0</v>
      </c>
      <c r="AS76" s="1">
        <f>SUMIFS(super1[Qtde],super1[Item],tab_higiene[[#This Row],[Item]],super1[Bairro],mercado9)+SUMIFS(supercb[Qtde],supercb[Item],tab_higiene[[#This Row],[Item]],supercb[Bairro],mercado9)</f>
        <v>0</v>
      </c>
      <c r="AT76" s="1">
        <f>SUMIFS(super1[Qtde],super1[Item],tab_higiene[[#This Row],[Item]],super1[Bairro],mercado10)+SUMIFS(supercb[Qtde],supercb[Item],tab_higiene[[#This Row],[Item]],supercb[Bairro],mercado10)</f>
        <v>4</v>
      </c>
      <c r="AU76" s="1">
        <f>SUMIFS(super1[Qtde],super1[Item],tab_higiene[[#This Row],[Item]],super1[Bairro],mercado11)+SUMIFS(supercb[Qtde],supercb[Item],tab_higiene[[#This Row],[Item]],supercb[Bairro],mercado11)</f>
        <v>0</v>
      </c>
      <c r="AV76" s="1">
        <f>SUMIFS(super1[Qtde],super1[Item],tab_higiene[[#This Row],[Item]],super1[Bairro],mercado12)+SUMIFS(supercb[Qtde],supercb[Item],tab_higiene[[#This Row],[Item]],supercb[Bairro],mercado12)</f>
        <v>0</v>
      </c>
      <c r="AW76" s="1">
        <f>SUMIFS(super1[Qtde],super1[Item],tab_higiene[[#This Row],[Item]],super1[Bairro],mercado13)+SUMIFS(supercb[Qtde],supercb[Item],tab_higiene[[#This Row],[Item]],supercb[Bairro],mercado13)</f>
        <v>0</v>
      </c>
      <c r="AX76" s="1">
        <f>SUMIFS(super1[Qtde],super1[Item],tab_higiene[[#This Row],[Item]],super1[Bairro],mercado14)+SUMIFS(supercb[Qtde],supercb[Item],tab_higiene[[#This Row],[Item]],supercb[Bairro],mercado14)</f>
        <v>0</v>
      </c>
      <c r="AY76" s="1">
        <f>SUMIFS(super1[Qtde],super1[Item],tab_higiene[[#This Row],[Item]],super1[Bairro],mercado15)+SUMIFS(supercb[Qtde],supercb[Item],tab_higiene[[#This Row],[Item]],supercb[Bairro],mercado15)</f>
        <v>0</v>
      </c>
      <c r="AZ76" s="1">
        <f>SUMIFS(super1[Qtde],super1[Item],tab_higiene[[#This Row],[Item]],super1[Bairro],mercado16)+SUMIFS(supercb[Qtde],supercb[Item],tab_higiene[[#This Row],[Item]],supercb[Bairro],mercado16)</f>
        <v>0</v>
      </c>
      <c r="BA76" s="1">
        <f>SUMIFS(super1[Qtde],super1[Item],tab_higiene[[#This Row],[Item]],super1[Bairro],mercado17)+SUMIFS(supercb[Qtde],supercb[Item],tab_higiene[[#This Row],[Item]],supercb[Bairro],mercado17)</f>
        <v>0</v>
      </c>
      <c r="BB76" s="1">
        <f>SUMIFS(super1[Qtde],super1[Item],tab_higiene[[#This Row],[Item]],super1[Bairro],mercado18)+SUMIFS(supercb[Qtde],supercb[Item],tab_higiene[[#This Row],[Item]],supercb[Bairro],mercado18)</f>
        <v>0</v>
      </c>
      <c r="BC76" s="1">
        <f>SUMIFS(super1[Qtde],super1[Item],tab_higiene[[#This Row],[Item]],super1[Bairro],extras)+SUMIFS(supercb[Qtde],supercb[Item],tab_higiene[[#This Row],[Item]],supercb[Bairro],extras)</f>
        <v>0</v>
      </c>
      <c r="BD76" s="1">
        <f t="shared" si="30"/>
        <v>10</v>
      </c>
      <c r="BE76" s="1">
        <f t="shared" si="31"/>
        <v>29.240000000000002</v>
      </c>
      <c r="BF76" s="26">
        <f t="shared" si="32"/>
        <v>8.8274034518130833</v>
      </c>
      <c r="BI76" s="33" t="str">
        <f>tab_alimentos[[#This Row],[Item]]</f>
        <v>Canjica (500g)</v>
      </c>
      <c r="BJ76" s="33">
        <f t="shared" si="25"/>
        <v>8</v>
      </c>
      <c r="BK76" s="33" t="str">
        <f t="shared" si="26"/>
        <v>Canjica</v>
      </c>
      <c r="BL76" s="33">
        <f>tab_alimentos[[#This Row],[kg]]</f>
        <v>0</v>
      </c>
      <c r="BM76" s="37" t="s">
        <v>161</v>
      </c>
      <c r="BN76" s="35">
        <f t="shared" si="36"/>
        <v>0</v>
      </c>
      <c r="BP76" s="33" t="str">
        <f>tab_higiene[[#This Row],[Item]]</f>
        <v>Esponja (4un)</v>
      </c>
      <c r="BQ76" s="33">
        <f t="shared" si="33"/>
        <v>8</v>
      </c>
      <c r="BR76" s="33" t="str">
        <f t="shared" si="34"/>
        <v>Esponja</v>
      </c>
      <c r="BS76" s="33">
        <f>higiene[[#This Row],[Quantidade]]</f>
        <v>18</v>
      </c>
      <c r="BT76" s="33">
        <f>tab_higiene[Qtde (tot)]</f>
        <v>10</v>
      </c>
      <c r="BU76" s="33">
        <f t="shared" si="37"/>
        <v>180</v>
      </c>
      <c r="BW76" s="33">
        <f t="shared" si="35"/>
        <v>0</v>
      </c>
    </row>
    <row r="77" spans="9:75" x14ac:dyDescent="0.25">
      <c r="I77" s="25" t="str">
        <f>alimentos[[#This Row],[Item]]</f>
        <v>Cappuccino (200g)</v>
      </c>
      <c r="J77" s="1">
        <f>IFERROR(alimentos[[#This Row],[kg/embalagem]],0)</f>
        <v>0.2</v>
      </c>
      <c r="K77" s="1">
        <f>IFERROR(alimentos[[#This Row],[Preço]],0)</f>
        <v>8.1433333333333326</v>
      </c>
      <c r="L77" s="1">
        <f>SUMIFS(super1[Qtde],super1[Item],tab_alimentos[[#This Row],[Item]],super1[Bairro],mercado1)+SUMIFS(supercb[Qtde],supercb[Item],tab_alimentos[[#This Row],[Item]],supercb[Bairro],mercado1)</f>
        <v>0</v>
      </c>
      <c r="M77" s="1">
        <f>SUMIFS(super1[Qtde],super1[Item],tab_alimentos[[#This Row],[Item]],super1[Bairro],mercado2)+SUMIFS(supercb[Qtde],supercb[Item],tab_alimentos[[#This Row],[Item]],supercb[Bairro],mercado2)</f>
        <v>0</v>
      </c>
      <c r="N77" s="1">
        <f>SUMIFS(super1[Qtde],super1[Item],tab_alimentos[[#This Row],[Item]],super1[Bairro],mercado3)+SUMIFS(supercb[Qtde],supercb[Item],tab_alimentos[[#This Row],[Item]],supercb[Bairro],mercado3)</f>
        <v>0</v>
      </c>
      <c r="O77" s="1">
        <f>SUMIFS(super1[Qtde],super1[Item],tab_alimentos[[#This Row],[Item]],super1[Bairro],mercado4)+SUMIFS(supercb[Qtde],supercb[Item],tab_alimentos[[#This Row],[Item]],supercb[Bairro],mercado4)</f>
        <v>0</v>
      </c>
      <c r="P77" s="1">
        <f>SUMIFS(super1[Qtde],super1[Item],tab_alimentos[[#This Row],[Item]],super1[Bairro],mercado5)+SUMIFS(supercb[Qtde],supercb[Item],tab_alimentos[[#This Row],[Item]],supercb[Bairro],mercado5)</f>
        <v>0</v>
      </c>
      <c r="Q77" s="1">
        <f>SUMIFS(super1[Qtde],super1[Item],tab_alimentos[[#This Row],[Item]],super1[Bairro],mercado6)+SUMIFS(supercb[Qtde],supercb[Item],tab_alimentos[[#This Row],[Item]],supercb[Bairro],mercado6)</f>
        <v>0</v>
      </c>
      <c r="R77" s="1">
        <f>SUMIFS(super1[Qtde],super1[Item],tab_alimentos[[#This Row],[Item]],super1[Bairro],mercado7)+SUMIFS(supercb[Qtde],supercb[Item],tab_alimentos[[#This Row],[Item]],supercb[Bairro],mercado7)</f>
        <v>0</v>
      </c>
      <c r="S77" s="1">
        <f>SUMIFS(super1[Qtde],super1[Item],tab_alimentos[[#This Row],[Item]],super1[Bairro],mercado8)+SUMIFS(supercb[Qtde],supercb[Item],tab_alimentos[[#This Row],[Item]],supercb[Bairro],mercado8)</f>
        <v>0</v>
      </c>
      <c r="T77" s="1">
        <f>SUMIFS(super1[Qtde],super1[Item],tab_alimentos[[#This Row],[Item]],super1[Bairro],mercado9)+SUMIFS(supercb[Qtde],supercb[Item],tab_alimentos[[#This Row],[Item]],supercb[Bairro],mercado9)</f>
        <v>0</v>
      </c>
      <c r="U77" s="1">
        <f>SUMIFS(super1[Qtde],super1[Item],tab_alimentos[[#This Row],[Item]],super1[Bairro],mercado10)+SUMIFS(supercb[Qtde],supercb[Item],tab_alimentos[[#This Row],[Item]],supercb[Bairro],mercado10)</f>
        <v>0</v>
      </c>
      <c r="V77" s="1">
        <f>SUMIFS(super1[Qtde],super1[Item],tab_alimentos[[#This Row],[Item]],super1[Bairro],mercado11)+SUMIFS(supercb[Qtde],supercb[Item],tab_alimentos[[#This Row],[Item]],supercb[Bairro],mercado11)</f>
        <v>0</v>
      </c>
      <c r="W77" s="1">
        <f>SUMIFS(super1[Qtde],super1[Item],tab_alimentos[[#This Row],[Item]],super1[Bairro],mercado12)+SUMIFS(supercb[Qtde],supercb[Item],tab_alimentos[[#This Row],[Item]],supercb[Bairro],mercado12)</f>
        <v>0</v>
      </c>
      <c r="X77" s="1">
        <f>SUMIFS(super1[Qtde],super1[Item],tab_alimentos[[#This Row],[Item]],super1[Bairro],mercado13)+SUMIFS(supercb[Qtde],supercb[Item],tab_alimentos[[#This Row],[Item]],supercb[Bairro],mercado13)</f>
        <v>0</v>
      </c>
      <c r="Y77" s="1">
        <f>SUMIFS(super1[Qtde],super1[Item],tab_alimentos[[#This Row],[Item]],super1[Bairro],mercado14)+SUMIFS(supercb[Qtde],supercb[Item],tab_alimentos[[#This Row],[Item]],supercb[Bairro],mercado14)</f>
        <v>0</v>
      </c>
      <c r="Z77" s="1">
        <f>SUMIFS(super1[Qtde],super1[Item],tab_alimentos[[#This Row],[Item]],super1[Bairro],mercado15)+SUMIFS(supercb[Qtde],supercb[Item],tab_alimentos[[#This Row],[Item]],supercb[Bairro],mercado15)</f>
        <v>0</v>
      </c>
      <c r="AA77" s="1">
        <f>SUMIFS(super1[Qtde],super1[Item],tab_alimentos[[#This Row],[Item]],super1[Bairro],mercado16)+SUMIFS(supercb[Qtde],supercb[Item],tab_alimentos[[#This Row],[Item]],supercb[Bairro],mercado16)</f>
        <v>0</v>
      </c>
      <c r="AB77" s="1">
        <f>SUMIFS(super1[Qtde],super1[Item],tab_alimentos[[#This Row],[Item]],super1[Bairro],mercado17)+SUMIFS(supercb[Qtde],supercb[Item],tab_alimentos[[#This Row],[Item]],supercb[Bairro],mercado17)</f>
        <v>0</v>
      </c>
      <c r="AC77" s="1">
        <f>SUMIFS(super1[Qtde],super1[Item],tab_alimentos[[#This Row],[Item]],super1[Bairro],mercado18)+SUMIFS(supercb[Qtde],supercb[Item],tab_alimentos[[#This Row],[Item]],supercb[Bairro],mercado18)</f>
        <v>0</v>
      </c>
      <c r="AD77" s="1">
        <f>SUMIFS(super1[Qtde],super1[Item],tab_alimentos[[#This Row],[Item]],super1[Bairro],extras)+SUMIFS(supercb[Qtde],supercb[Item],tab_alimentos[[#This Row],[Item]],supercb[Bairro],extras)</f>
        <v>0</v>
      </c>
      <c r="AE77" s="1">
        <f t="shared" si="27"/>
        <v>0</v>
      </c>
      <c r="AF77" s="1">
        <f t="shared" si="28"/>
        <v>0</v>
      </c>
      <c r="AG77" s="3">
        <f t="shared" si="29"/>
        <v>0</v>
      </c>
      <c r="AH77" s="25" t="str">
        <f>higiene[[#This Row],[Item]]</f>
        <v>Esponja de aço</v>
      </c>
      <c r="AI77" s="1">
        <f>IFERROR(higiene[[#This Row],[Kg equivalente]],0)</f>
        <v>0.44921943694589145</v>
      </c>
      <c r="AJ77" s="1">
        <f>IFERROR(higiene[[#This Row],[Preço por produto]],0)</f>
        <v>1.488</v>
      </c>
      <c r="AK77" s="1">
        <f>SUMIFS(super1[Qtde],super1[Item],tab_higiene[[#This Row],[Item]],super1[Bairro],mercado1)+SUMIFS(supercb[Qtde],supercb[Item],tab_higiene[[#This Row],[Item]],supercb[Bairro],mercado1)</f>
        <v>0</v>
      </c>
      <c r="AL77" s="1">
        <f>SUMIFS(super1[Qtde],super1[Item],tab_higiene[[#This Row],[Item]],super1[Bairro],mercado2)+SUMIFS(supercb[Qtde],supercb[Item],tab_higiene[[#This Row],[Item]],supercb[Bairro],mercado2)</f>
        <v>0</v>
      </c>
      <c r="AM77" s="1">
        <f>SUMIFS(super1[Qtde],super1[Item],tab_higiene[[#This Row],[Item]],super1[Bairro],mercado3)+SUMIFS(supercb[Qtde],supercb[Item],tab_higiene[[#This Row],[Item]],supercb[Bairro],mercado3)</f>
        <v>0</v>
      </c>
      <c r="AN77" s="1">
        <f>SUMIFS(super1[Qtde],super1[Item],tab_higiene[[#This Row],[Item]],super1[Bairro],mercado4)+SUMIFS(supercb[Qtde],supercb[Item],tab_higiene[[#This Row],[Item]],supercb[Bairro],mercado4)</f>
        <v>0</v>
      </c>
      <c r="AO77" s="1">
        <f>SUMIFS(super1[Qtde],super1[Item],tab_higiene[[#This Row],[Item]],super1[Bairro],mercado5)+SUMIFS(supercb[Qtde],supercb[Item],tab_higiene[[#This Row],[Item]],supercb[Bairro],mercado5)</f>
        <v>0</v>
      </c>
      <c r="AP77" s="1">
        <f>SUMIFS(super1[Qtde],super1[Item],tab_higiene[[#This Row],[Item]],super1[Bairro],mercado6)+SUMIFS(supercb[Qtde],supercb[Item],tab_higiene[[#This Row],[Item]],supercb[Bairro],mercado6)</f>
        <v>0</v>
      </c>
      <c r="AQ77" s="1">
        <f>SUMIFS(super1[Qtde],super1[Item],tab_higiene[[#This Row],[Item]],super1[Bairro],mercado7)+SUMIFS(supercb[Qtde],supercb[Item],tab_higiene[[#This Row],[Item]],supercb[Bairro],mercado7)</f>
        <v>0</v>
      </c>
      <c r="AR77" s="1">
        <f>SUMIFS(super1[Qtde],super1[Item],tab_higiene[[#This Row],[Item]],super1[Bairro],mercado8)+SUMIFS(supercb[Qtde],supercb[Item],tab_higiene[[#This Row],[Item]],supercb[Bairro],mercado8)</f>
        <v>1</v>
      </c>
      <c r="AS77" s="1">
        <f>SUMIFS(super1[Qtde],super1[Item],tab_higiene[[#This Row],[Item]],super1[Bairro],mercado9)+SUMIFS(supercb[Qtde],supercb[Item],tab_higiene[[#This Row],[Item]],supercb[Bairro],mercado9)</f>
        <v>1</v>
      </c>
      <c r="AT77" s="1">
        <f>SUMIFS(super1[Qtde],super1[Item],tab_higiene[[#This Row],[Item]],super1[Bairro],mercado10)+SUMIFS(supercb[Qtde],supercb[Item],tab_higiene[[#This Row],[Item]],supercb[Bairro],mercado10)</f>
        <v>1</v>
      </c>
      <c r="AU77" s="1">
        <f>SUMIFS(super1[Qtde],super1[Item],tab_higiene[[#This Row],[Item]],super1[Bairro],mercado11)+SUMIFS(supercb[Qtde],supercb[Item],tab_higiene[[#This Row],[Item]],supercb[Bairro],mercado11)</f>
        <v>2</v>
      </c>
      <c r="AV77" s="1">
        <f>SUMIFS(super1[Qtde],super1[Item],tab_higiene[[#This Row],[Item]],super1[Bairro],mercado12)+SUMIFS(supercb[Qtde],supercb[Item],tab_higiene[[#This Row],[Item]],supercb[Bairro],mercado12)</f>
        <v>0</v>
      </c>
      <c r="AW77" s="1">
        <f>SUMIFS(super1[Qtde],super1[Item],tab_higiene[[#This Row],[Item]],super1[Bairro],mercado13)+SUMIFS(supercb[Qtde],supercb[Item],tab_higiene[[#This Row],[Item]],supercb[Bairro],mercado13)</f>
        <v>1</v>
      </c>
      <c r="AX77" s="1">
        <f>SUMIFS(super1[Qtde],super1[Item],tab_higiene[[#This Row],[Item]],super1[Bairro],mercado14)+SUMIFS(supercb[Qtde],supercb[Item],tab_higiene[[#This Row],[Item]],supercb[Bairro],mercado14)</f>
        <v>0</v>
      </c>
      <c r="AY77" s="1">
        <f>SUMIFS(super1[Qtde],super1[Item],tab_higiene[[#This Row],[Item]],super1[Bairro],mercado15)+SUMIFS(supercb[Qtde],supercb[Item],tab_higiene[[#This Row],[Item]],supercb[Bairro],mercado15)</f>
        <v>0</v>
      </c>
      <c r="AZ77" s="1">
        <f>SUMIFS(super1[Qtde],super1[Item],tab_higiene[[#This Row],[Item]],super1[Bairro],mercado16)+SUMIFS(supercb[Qtde],supercb[Item],tab_higiene[[#This Row],[Item]],supercb[Bairro],mercado16)</f>
        <v>0</v>
      </c>
      <c r="BA77" s="1">
        <f>SUMIFS(super1[Qtde],super1[Item],tab_higiene[[#This Row],[Item]],super1[Bairro],mercado17)+SUMIFS(supercb[Qtde],supercb[Item],tab_higiene[[#This Row],[Item]],supercb[Bairro],mercado17)</f>
        <v>0</v>
      </c>
      <c r="BB77" s="1">
        <f>SUMIFS(super1[Qtde],super1[Item],tab_higiene[[#This Row],[Item]],super1[Bairro],mercado18)+SUMIFS(supercb[Qtde],supercb[Item],tab_higiene[[#This Row],[Item]],supercb[Bairro],mercado18)</f>
        <v>0</v>
      </c>
      <c r="BC77" s="1">
        <f>SUMIFS(super1[Qtde],super1[Item],tab_higiene[[#This Row],[Item]],super1[Bairro],extras)+SUMIFS(supercb[Qtde],supercb[Item],tab_higiene[[#This Row],[Item]],supercb[Bairro],extras)</f>
        <v>0</v>
      </c>
      <c r="BD77" s="1">
        <f t="shared" si="30"/>
        <v>6</v>
      </c>
      <c r="BE77" s="1">
        <f t="shared" si="31"/>
        <v>8.9280000000000008</v>
      </c>
      <c r="BF77" s="26">
        <f t="shared" si="32"/>
        <v>2.6953166216753486</v>
      </c>
      <c r="BI77" s="33" t="str">
        <f>tab_alimentos[[#This Row],[Item]]</f>
        <v>Cappuccino (200g)</v>
      </c>
      <c r="BJ77" s="33">
        <f t="shared" si="25"/>
        <v>11</v>
      </c>
      <c r="BK77" s="33" t="str">
        <f t="shared" si="26"/>
        <v>Cappuccino</v>
      </c>
      <c r="BL77" s="33">
        <f>tab_alimentos[[#This Row],[kg]]</f>
        <v>0</v>
      </c>
      <c r="BM77" s="37" t="s">
        <v>162</v>
      </c>
      <c r="BN77" s="35">
        <f t="shared" si="36"/>
        <v>0</v>
      </c>
      <c r="BP77" s="33" t="str">
        <f>tab_higiene[[#This Row],[Item]]</f>
        <v>Esponja de aço</v>
      </c>
      <c r="BQ77" s="33">
        <f t="shared" si="33"/>
        <v>0</v>
      </c>
      <c r="BR77" s="33" t="str">
        <f t="shared" si="34"/>
        <v>Esponja de aço</v>
      </c>
      <c r="BS77" s="33">
        <f>higiene[[#This Row],[Quantidade]]</f>
        <v>20</v>
      </c>
      <c r="BT77" s="33">
        <f>tab_higiene[Qtde (tot)]</f>
        <v>6</v>
      </c>
      <c r="BU77" s="33">
        <f t="shared" si="37"/>
        <v>120</v>
      </c>
      <c r="BW77" s="33">
        <f t="shared" si="35"/>
        <v>0</v>
      </c>
    </row>
    <row r="78" spans="9:75" x14ac:dyDescent="0.25">
      <c r="I78" s="25" t="str">
        <f>alimentos[[#This Row],[Item]]</f>
        <v>Cappuccino (20g)</v>
      </c>
      <c r="J78" s="1">
        <f>IFERROR(alimentos[[#This Row],[kg/embalagem]],0)</f>
        <v>0.02</v>
      </c>
      <c r="K78" s="1">
        <f>IFERROR(alimentos[[#This Row],[Preço]],0)</f>
        <v>1.69</v>
      </c>
      <c r="L78" s="1">
        <f>SUMIFS(super1[Qtde],super1[Item],tab_alimentos[[#This Row],[Item]],super1[Bairro],mercado1)+SUMIFS(supercb[Qtde],supercb[Item],tab_alimentos[[#This Row],[Item]],supercb[Bairro],mercado1)</f>
        <v>0</v>
      </c>
      <c r="M78" s="1">
        <f>SUMIFS(super1[Qtde],super1[Item],tab_alimentos[[#This Row],[Item]],super1[Bairro],mercado2)+SUMIFS(supercb[Qtde],supercb[Item],tab_alimentos[[#This Row],[Item]],supercb[Bairro],mercado2)</f>
        <v>0</v>
      </c>
      <c r="N78" s="1">
        <f>SUMIFS(super1[Qtde],super1[Item],tab_alimentos[[#This Row],[Item]],super1[Bairro],mercado3)+SUMIFS(supercb[Qtde],supercb[Item],tab_alimentos[[#This Row],[Item]],supercb[Bairro],mercado3)</f>
        <v>0</v>
      </c>
      <c r="O78" s="1">
        <f>SUMIFS(super1[Qtde],super1[Item],tab_alimentos[[#This Row],[Item]],super1[Bairro],mercado4)+SUMIFS(supercb[Qtde],supercb[Item],tab_alimentos[[#This Row],[Item]],supercb[Bairro],mercado4)</f>
        <v>0</v>
      </c>
      <c r="P78" s="1">
        <f>SUMIFS(super1[Qtde],super1[Item],tab_alimentos[[#This Row],[Item]],super1[Bairro],mercado5)+SUMIFS(supercb[Qtde],supercb[Item],tab_alimentos[[#This Row],[Item]],supercb[Bairro],mercado5)</f>
        <v>0</v>
      </c>
      <c r="Q78" s="1">
        <f>SUMIFS(super1[Qtde],super1[Item],tab_alimentos[[#This Row],[Item]],super1[Bairro],mercado6)+SUMIFS(supercb[Qtde],supercb[Item],tab_alimentos[[#This Row],[Item]],supercb[Bairro],mercado6)</f>
        <v>0</v>
      </c>
      <c r="R78" s="1">
        <f>SUMIFS(super1[Qtde],super1[Item],tab_alimentos[[#This Row],[Item]],super1[Bairro],mercado7)+SUMIFS(supercb[Qtde],supercb[Item],tab_alimentos[[#This Row],[Item]],supercb[Bairro],mercado7)</f>
        <v>0</v>
      </c>
      <c r="S78" s="1">
        <f>SUMIFS(super1[Qtde],super1[Item],tab_alimentos[[#This Row],[Item]],super1[Bairro],mercado8)+SUMIFS(supercb[Qtde],supercb[Item],tab_alimentos[[#This Row],[Item]],supercb[Bairro],mercado8)</f>
        <v>0</v>
      </c>
      <c r="T78" s="1">
        <f>SUMIFS(super1[Qtde],super1[Item],tab_alimentos[[#This Row],[Item]],super1[Bairro],mercado9)+SUMIFS(supercb[Qtde],supercb[Item],tab_alimentos[[#This Row],[Item]],supercb[Bairro],mercado9)</f>
        <v>0</v>
      </c>
      <c r="U78" s="1">
        <f>SUMIFS(super1[Qtde],super1[Item],tab_alimentos[[#This Row],[Item]],super1[Bairro],mercado10)+SUMIFS(supercb[Qtde],supercb[Item],tab_alimentos[[#This Row],[Item]],supercb[Bairro],mercado10)</f>
        <v>0</v>
      </c>
      <c r="V78" s="1">
        <f>SUMIFS(super1[Qtde],super1[Item],tab_alimentos[[#This Row],[Item]],super1[Bairro],mercado11)+SUMIFS(supercb[Qtde],supercb[Item],tab_alimentos[[#This Row],[Item]],supercb[Bairro],mercado11)</f>
        <v>0</v>
      </c>
      <c r="W78" s="1">
        <f>SUMIFS(super1[Qtde],super1[Item],tab_alimentos[[#This Row],[Item]],super1[Bairro],mercado12)+SUMIFS(supercb[Qtde],supercb[Item],tab_alimentos[[#This Row],[Item]],supercb[Bairro],mercado12)</f>
        <v>0</v>
      </c>
      <c r="X78" s="1">
        <f>SUMIFS(super1[Qtde],super1[Item],tab_alimentos[[#This Row],[Item]],super1[Bairro],mercado13)+SUMIFS(supercb[Qtde],supercb[Item],tab_alimentos[[#This Row],[Item]],supercb[Bairro],mercado13)</f>
        <v>0</v>
      </c>
      <c r="Y78" s="1">
        <f>SUMIFS(super1[Qtde],super1[Item],tab_alimentos[[#This Row],[Item]],super1[Bairro],mercado14)+SUMIFS(supercb[Qtde],supercb[Item],tab_alimentos[[#This Row],[Item]],supercb[Bairro],mercado14)</f>
        <v>0</v>
      </c>
      <c r="Z78" s="1">
        <f>SUMIFS(super1[Qtde],super1[Item],tab_alimentos[[#This Row],[Item]],super1[Bairro],mercado15)+SUMIFS(supercb[Qtde],supercb[Item],tab_alimentos[[#This Row],[Item]],supercb[Bairro],mercado15)</f>
        <v>0</v>
      </c>
      <c r="AA78" s="1">
        <f>SUMIFS(super1[Qtde],super1[Item],tab_alimentos[[#This Row],[Item]],super1[Bairro],mercado16)+SUMIFS(supercb[Qtde],supercb[Item],tab_alimentos[[#This Row],[Item]],supercb[Bairro],mercado16)</f>
        <v>0</v>
      </c>
      <c r="AB78" s="1">
        <f>SUMIFS(super1[Qtde],super1[Item],tab_alimentos[[#This Row],[Item]],super1[Bairro],mercado17)+SUMIFS(supercb[Qtde],supercb[Item],tab_alimentos[[#This Row],[Item]],supercb[Bairro],mercado17)</f>
        <v>0</v>
      </c>
      <c r="AC78" s="1">
        <f>SUMIFS(super1[Qtde],super1[Item],tab_alimentos[[#This Row],[Item]],super1[Bairro],mercado18)+SUMIFS(supercb[Qtde],supercb[Item],tab_alimentos[[#This Row],[Item]],supercb[Bairro],mercado18)</f>
        <v>0</v>
      </c>
      <c r="AD78" s="1">
        <f>SUMIFS(super1[Qtde],super1[Item],tab_alimentos[[#This Row],[Item]],super1[Bairro],extras)+SUMIFS(supercb[Qtde],supercb[Item],tab_alimentos[[#This Row],[Item]],supercb[Bairro],extras)</f>
        <v>0</v>
      </c>
      <c r="AE78" s="1">
        <f t="shared" si="27"/>
        <v>0</v>
      </c>
      <c r="AF78" s="1">
        <f t="shared" si="28"/>
        <v>0</v>
      </c>
      <c r="AG78" s="3">
        <f t="shared" si="29"/>
        <v>0</v>
      </c>
      <c r="AH78" s="25" t="str">
        <f>higiene[[#This Row],[Item]]</f>
        <v>F</v>
      </c>
      <c r="AI78" s="1">
        <f>IFERROR(higiene[[#This Row],[Kg equivalente]],0)</f>
        <v>0</v>
      </c>
      <c r="AJ78" s="1" t="str">
        <f>IFERROR(higiene[[#This Row],[Preço por produto]],0)</f>
        <v/>
      </c>
      <c r="AK78" s="1">
        <f>SUMIFS(super1[Qtde],super1[Item],tab_higiene[[#This Row],[Item]],super1[Bairro],mercado1)+SUMIFS(supercb[Qtde],supercb[Item],tab_higiene[[#This Row],[Item]],supercb[Bairro],mercado1)</f>
        <v>0</v>
      </c>
      <c r="AL78" s="1">
        <f>SUMIFS(super1[Qtde],super1[Item],tab_higiene[[#This Row],[Item]],super1[Bairro],mercado2)+SUMIFS(supercb[Qtde],supercb[Item],tab_higiene[[#This Row],[Item]],supercb[Bairro],mercado2)</f>
        <v>0</v>
      </c>
      <c r="AM78" s="1">
        <f>SUMIFS(super1[Qtde],super1[Item],tab_higiene[[#This Row],[Item]],super1[Bairro],mercado3)+SUMIFS(supercb[Qtde],supercb[Item],tab_higiene[[#This Row],[Item]],supercb[Bairro],mercado3)</f>
        <v>0</v>
      </c>
      <c r="AN78" s="1">
        <f>SUMIFS(super1[Qtde],super1[Item],tab_higiene[[#This Row],[Item]],super1[Bairro],mercado4)+SUMIFS(supercb[Qtde],supercb[Item],tab_higiene[[#This Row],[Item]],supercb[Bairro],mercado4)</f>
        <v>0</v>
      </c>
      <c r="AO78" s="1">
        <f>SUMIFS(super1[Qtde],super1[Item],tab_higiene[[#This Row],[Item]],super1[Bairro],mercado5)+SUMIFS(supercb[Qtde],supercb[Item],tab_higiene[[#This Row],[Item]],supercb[Bairro],mercado5)</f>
        <v>0</v>
      </c>
      <c r="AP78" s="1">
        <f>SUMIFS(super1[Qtde],super1[Item],tab_higiene[[#This Row],[Item]],super1[Bairro],mercado6)+SUMIFS(supercb[Qtde],supercb[Item],tab_higiene[[#This Row],[Item]],supercb[Bairro],mercado6)</f>
        <v>0</v>
      </c>
      <c r="AQ78" s="1">
        <f>SUMIFS(super1[Qtde],super1[Item],tab_higiene[[#This Row],[Item]],super1[Bairro],mercado7)+SUMIFS(supercb[Qtde],supercb[Item],tab_higiene[[#This Row],[Item]],supercb[Bairro],mercado7)</f>
        <v>0</v>
      </c>
      <c r="AR78" s="1">
        <f>SUMIFS(super1[Qtde],super1[Item],tab_higiene[[#This Row],[Item]],super1[Bairro],mercado8)+SUMIFS(supercb[Qtde],supercb[Item],tab_higiene[[#This Row],[Item]],supercb[Bairro],mercado8)</f>
        <v>0</v>
      </c>
      <c r="AS78" s="1">
        <f>SUMIFS(super1[Qtde],super1[Item],tab_higiene[[#This Row],[Item]],super1[Bairro],mercado9)+SUMIFS(supercb[Qtde],supercb[Item],tab_higiene[[#This Row],[Item]],supercb[Bairro],mercado9)</f>
        <v>0</v>
      </c>
      <c r="AT78" s="1">
        <f>SUMIFS(super1[Qtde],super1[Item],tab_higiene[[#This Row],[Item]],super1[Bairro],mercado10)+SUMIFS(supercb[Qtde],supercb[Item],tab_higiene[[#This Row],[Item]],supercb[Bairro],mercado10)</f>
        <v>0</v>
      </c>
      <c r="AU78" s="1">
        <f>SUMIFS(super1[Qtde],super1[Item],tab_higiene[[#This Row],[Item]],super1[Bairro],mercado11)+SUMIFS(supercb[Qtde],supercb[Item],tab_higiene[[#This Row],[Item]],supercb[Bairro],mercado11)</f>
        <v>0</v>
      </c>
      <c r="AV78" s="1">
        <f>SUMIFS(super1[Qtde],super1[Item],tab_higiene[[#This Row],[Item]],super1[Bairro],mercado12)+SUMIFS(supercb[Qtde],supercb[Item],tab_higiene[[#This Row],[Item]],supercb[Bairro],mercado12)</f>
        <v>0</v>
      </c>
      <c r="AW78" s="1">
        <f>SUMIFS(super1[Qtde],super1[Item],tab_higiene[[#This Row],[Item]],super1[Bairro],mercado13)+SUMIFS(supercb[Qtde],supercb[Item],tab_higiene[[#This Row],[Item]],supercb[Bairro],mercado13)</f>
        <v>0</v>
      </c>
      <c r="AX78" s="1">
        <f>SUMIFS(super1[Qtde],super1[Item],tab_higiene[[#This Row],[Item]],super1[Bairro],mercado14)+SUMIFS(supercb[Qtde],supercb[Item],tab_higiene[[#This Row],[Item]],supercb[Bairro],mercado14)</f>
        <v>0</v>
      </c>
      <c r="AY78" s="1">
        <f>SUMIFS(super1[Qtde],super1[Item],tab_higiene[[#This Row],[Item]],super1[Bairro],mercado15)+SUMIFS(supercb[Qtde],supercb[Item],tab_higiene[[#This Row],[Item]],supercb[Bairro],mercado15)</f>
        <v>0</v>
      </c>
      <c r="AZ78" s="1">
        <f>SUMIFS(super1[Qtde],super1[Item],tab_higiene[[#This Row],[Item]],super1[Bairro],mercado16)+SUMIFS(supercb[Qtde],supercb[Item],tab_higiene[[#This Row],[Item]],supercb[Bairro],mercado16)</f>
        <v>0</v>
      </c>
      <c r="BA78" s="1">
        <f>SUMIFS(super1[Qtde],super1[Item],tab_higiene[[#This Row],[Item]],super1[Bairro],mercado17)+SUMIFS(supercb[Qtde],supercb[Item],tab_higiene[[#This Row],[Item]],supercb[Bairro],mercado17)</f>
        <v>0</v>
      </c>
      <c r="BB78" s="1">
        <f>SUMIFS(super1[Qtde],super1[Item],tab_higiene[[#This Row],[Item]],super1[Bairro],mercado18)+SUMIFS(supercb[Qtde],supercb[Item],tab_higiene[[#This Row],[Item]],supercb[Bairro],mercado18)</f>
        <v>0</v>
      </c>
      <c r="BC78" s="1">
        <f>SUMIFS(super1[Qtde],super1[Item],tab_higiene[[#This Row],[Item]],super1[Bairro],extras)+SUMIFS(supercb[Qtde],supercb[Item],tab_higiene[[#This Row],[Item]],supercb[Bairro],extras)</f>
        <v>0</v>
      </c>
      <c r="BD78" s="1">
        <f t="shared" si="30"/>
        <v>0</v>
      </c>
      <c r="BE78" s="1">
        <f t="shared" si="31"/>
        <v>0</v>
      </c>
      <c r="BF78" s="26">
        <f t="shared" si="32"/>
        <v>0</v>
      </c>
      <c r="BI78" s="33" t="str">
        <f>tab_alimentos[[#This Row],[Item]]</f>
        <v>Cappuccino (20g)</v>
      </c>
      <c r="BJ78" s="33">
        <f t="shared" si="25"/>
        <v>11</v>
      </c>
      <c r="BK78" s="33" t="str">
        <f t="shared" si="26"/>
        <v>Cappuccino</v>
      </c>
      <c r="BL78" s="33">
        <f>tab_alimentos[[#This Row],[kg]]</f>
        <v>0</v>
      </c>
      <c r="BM78" s="37" t="s">
        <v>380</v>
      </c>
      <c r="BN78" s="35">
        <f t="shared" si="36"/>
        <v>0</v>
      </c>
      <c r="BP78" s="33" t="str">
        <f>tab_higiene[[#This Row],[Item]]</f>
        <v>F</v>
      </c>
      <c r="BQ78" s="33">
        <f t="shared" si="33"/>
        <v>0</v>
      </c>
      <c r="BR78" s="33" t="str">
        <f t="shared" si="34"/>
        <v>F</v>
      </c>
      <c r="BS78" s="33">
        <f>higiene[[#This Row],[Quantidade]]</f>
        <v>22</v>
      </c>
      <c r="BT78" s="33">
        <f>tab_higiene[Qtde (tot)]</f>
        <v>0</v>
      </c>
      <c r="BU78" s="33">
        <f t="shared" si="37"/>
        <v>0</v>
      </c>
      <c r="BW78" s="33">
        <f t="shared" si="35"/>
        <v>0</v>
      </c>
    </row>
    <row r="79" spans="9:75" x14ac:dyDescent="0.25">
      <c r="I79" s="25" t="str">
        <f>alimentos[[#This Row],[Item]]</f>
        <v>Cereal (120g)</v>
      </c>
      <c r="J79" s="1">
        <f>IFERROR(alimentos[[#This Row],[kg/embalagem]],0)</f>
        <v>0.12</v>
      </c>
      <c r="K79" s="1">
        <f>IFERROR(alimentos[[#This Row],[Preço]],0)</f>
        <v>3.99</v>
      </c>
      <c r="L79" s="1">
        <f>SUMIFS(super1[Qtde],super1[Item],tab_alimentos[[#This Row],[Item]],super1[Bairro],mercado1)+SUMIFS(supercb[Qtde],supercb[Item],tab_alimentos[[#This Row],[Item]],supercb[Bairro],mercado1)</f>
        <v>0</v>
      </c>
      <c r="M79" s="1">
        <f>SUMIFS(super1[Qtde],super1[Item],tab_alimentos[[#This Row],[Item]],super1[Bairro],mercado2)+SUMIFS(supercb[Qtde],supercb[Item],tab_alimentos[[#This Row],[Item]],supercb[Bairro],mercado2)</f>
        <v>0</v>
      </c>
      <c r="N79" s="1">
        <f>SUMIFS(super1[Qtde],super1[Item],tab_alimentos[[#This Row],[Item]],super1[Bairro],mercado3)+SUMIFS(supercb[Qtde],supercb[Item],tab_alimentos[[#This Row],[Item]],supercb[Bairro],mercado3)</f>
        <v>0</v>
      </c>
      <c r="O79" s="1">
        <f>SUMIFS(super1[Qtde],super1[Item],tab_alimentos[[#This Row],[Item]],super1[Bairro],mercado4)+SUMIFS(supercb[Qtde],supercb[Item],tab_alimentos[[#This Row],[Item]],supercb[Bairro],mercado4)</f>
        <v>0</v>
      </c>
      <c r="P79" s="1">
        <f>SUMIFS(super1[Qtde],super1[Item],tab_alimentos[[#This Row],[Item]],super1[Bairro],mercado5)+SUMIFS(supercb[Qtde],supercb[Item],tab_alimentos[[#This Row],[Item]],supercb[Bairro],mercado5)</f>
        <v>0</v>
      </c>
      <c r="Q79" s="1">
        <f>SUMIFS(super1[Qtde],super1[Item],tab_alimentos[[#This Row],[Item]],super1[Bairro],mercado6)+SUMIFS(supercb[Qtde],supercb[Item],tab_alimentos[[#This Row],[Item]],supercb[Bairro],mercado6)</f>
        <v>0</v>
      </c>
      <c r="R79" s="1">
        <f>SUMIFS(super1[Qtde],super1[Item],tab_alimentos[[#This Row],[Item]],super1[Bairro],mercado7)+SUMIFS(supercb[Qtde],supercb[Item],tab_alimentos[[#This Row],[Item]],supercb[Bairro],mercado7)</f>
        <v>0</v>
      </c>
      <c r="S79" s="1">
        <f>SUMIFS(super1[Qtde],super1[Item],tab_alimentos[[#This Row],[Item]],super1[Bairro],mercado8)+SUMIFS(supercb[Qtde],supercb[Item],tab_alimentos[[#This Row],[Item]],supercb[Bairro],mercado8)</f>
        <v>0</v>
      </c>
      <c r="T79" s="1">
        <f>SUMIFS(super1[Qtde],super1[Item],tab_alimentos[[#This Row],[Item]],super1[Bairro],mercado9)+SUMIFS(supercb[Qtde],supercb[Item],tab_alimentos[[#This Row],[Item]],supercb[Bairro],mercado9)</f>
        <v>1</v>
      </c>
      <c r="U79" s="1">
        <f>SUMIFS(super1[Qtde],super1[Item],tab_alimentos[[#This Row],[Item]],super1[Bairro],mercado10)+SUMIFS(supercb[Qtde],supercb[Item],tab_alimentos[[#This Row],[Item]],supercb[Bairro],mercado10)</f>
        <v>0</v>
      </c>
      <c r="V79" s="1">
        <f>SUMIFS(super1[Qtde],super1[Item],tab_alimentos[[#This Row],[Item]],super1[Bairro],mercado11)+SUMIFS(supercb[Qtde],supercb[Item],tab_alimentos[[#This Row],[Item]],supercb[Bairro],mercado11)</f>
        <v>0</v>
      </c>
      <c r="W79" s="1">
        <f>SUMIFS(super1[Qtde],super1[Item],tab_alimentos[[#This Row],[Item]],super1[Bairro],mercado12)+SUMIFS(supercb[Qtde],supercb[Item],tab_alimentos[[#This Row],[Item]],supercb[Bairro],mercado12)</f>
        <v>0</v>
      </c>
      <c r="X79" s="1">
        <f>SUMIFS(super1[Qtde],super1[Item],tab_alimentos[[#This Row],[Item]],super1[Bairro],mercado13)+SUMIFS(supercb[Qtde],supercb[Item],tab_alimentos[[#This Row],[Item]],supercb[Bairro],mercado13)</f>
        <v>0</v>
      </c>
      <c r="Y79" s="1">
        <f>SUMIFS(super1[Qtde],super1[Item],tab_alimentos[[#This Row],[Item]],super1[Bairro],mercado14)+SUMIFS(supercb[Qtde],supercb[Item],tab_alimentos[[#This Row],[Item]],supercb[Bairro],mercado14)</f>
        <v>0</v>
      </c>
      <c r="Z79" s="1">
        <f>SUMIFS(super1[Qtde],super1[Item],tab_alimentos[[#This Row],[Item]],super1[Bairro],mercado15)+SUMIFS(supercb[Qtde],supercb[Item],tab_alimentos[[#This Row],[Item]],supercb[Bairro],mercado15)</f>
        <v>0</v>
      </c>
      <c r="AA79" s="1">
        <f>SUMIFS(super1[Qtde],super1[Item],tab_alimentos[[#This Row],[Item]],super1[Bairro],mercado16)+SUMIFS(supercb[Qtde],supercb[Item],tab_alimentos[[#This Row],[Item]],supercb[Bairro],mercado16)</f>
        <v>0</v>
      </c>
      <c r="AB79" s="1">
        <f>SUMIFS(super1[Qtde],super1[Item],tab_alimentos[[#This Row],[Item]],super1[Bairro],mercado17)+SUMIFS(supercb[Qtde],supercb[Item],tab_alimentos[[#This Row],[Item]],supercb[Bairro],mercado17)</f>
        <v>0</v>
      </c>
      <c r="AC79" s="1">
        <f>SUMIFS(super1[Qtde],super1[Item],tab_alimentos[[#This Row],[Item]],super1[Bairro],mercado18)+SUMIFS(supercb[Qtde],supercb[Item],tab_alimentos[[#This Row],[Item]],supercb[Bairro],mercado18)</f>
        <v>0</v>
      </c>
      <c r="AD79" s="1">
        <f>SUMIFS(super1[Qtde],super1[Item],tab_alimentos[[#This Row],[Item]],super1[Bairro],extras)+SUMIFS(supercb[Qtde],supercb[Item],tab_alimentos[[#This Row],[Item]],supercb[Bairro],extras)</f>
        <v>0</v>
      </c>
      <c r="AE79" s="1">
        <f t="shared" si="27"/>
        <v>1</v>
      </c>
      <c r="AF79" s="1">
        <f t="shared" si="28"/>
        <v>3.99</v>
      </c>
      <c r="AG79" s="3">
        <f t="shared" si="29"/>
        <v>0.12</v>
      </c>
      <c r="AH79" s="25" t="str">
        <f>higiene[[#This Row],[Item]]</f>
        <v>Filtro de Café</v>
      </c>
      <c r="AI79" s="1">
        <f>IFERROR(higiene[[#This Row],[Kg equivalente]],0)</f>
        <v>0.84228644427354649</v>
      </c>
      <c r="AJ79" s="1">
        <f>IFERROR(higiene[[#This Row],[Preço por produto]],0)</f>
        <v>2.79</v>
      </c>
      <c r="AK79" s="1">
        <f>SUMIFS(super1[Qtde],super1[Item],tab_higiene[[#This Row],[Item]],super1[Bairro],mercado1)+SUMIFS(supercb[Qtde],supercb[Item],tab_higiene[[#This Row],[Item]],supercb[Bairro],mercado1)</f>
        <v>0</v>
      </c>
      <c r="AL79" s="1">
        <f>SUMIFS(super1[Qtde],super1[Item],tab_higiene[[#This Row],[Item]],super1[Bairro],mercado2)+SUMIFS(supercb[Qtde],supercb[Item],tab_higiene[[#This Row],[Item]],supercb[Bairro],mercado2)</f>
        <v>0</v>
      </c>
      <c r="AM79" s="1">
        <f>SUMIFS(super1[Qtde],super1[Item],tab_higiene[[#This Row],[Item]],super1[Bairro],mercado3)+SUMIFS(supercb[Qtde],supercb[Item],tab_higiene[[#This Row],[Item]],supercb[Bairro],mercado3)</f>
        <v>0</v>
      </c>
      <c r="AN79" s="1">
        <f>SUMIFS(super1[Qtde],super1[Item],tab_higiene[[#This Row],[Item]],super1[Bairro],mercado4)+SUMIFS(supercb[Qtde],supercb[Item],tab_higiene[[#This Row],[Item]],supercb[Bairro],mercado4)</f>
        <v>0</v>
      </c>
      <c r="AO79" s="1">
        <f>SUMIFS(super1[Qtde],super1[Item],tab_higiene[[#This Row],[Item]],super1[Bairro],mercado5)+SUMIFS(supercb[Qtde],supercb[Item],tab_higiene[[#This Row],[Item]],supercb[Bairro],mercado5)</f>
        <v>0</v>
      </c>
      <c r="AP79" s="1">
        <f>SUMIFS(super1[Qtde],super1[Item],tab_higiene[[#This Row],[Item]],super1[Bairro],mercado6)+SUMIFS(supercb[Qtde],supercb[Item],tab_higiene[[#This Row],[Item]],supercb[Bairro],mercado6)</f>
        <v>0</v>
      </c>
      <c r="AQ79" s="1">
        <f>SUMIFS(super1[Qtde],super1[Item],tab_higiene[[#This Row],[Item]],super1[Bairro],mercado7)+SUMIFS(supercb[Qtde],supercb[Item],tab_higiene[[#This Row],[Item]],supercb[Bairro],mercado7)</f>
        <v>0</v>
      </c>
      <c r="AR79" s="1">
        <f>SUMIFS(super1[Qtde],super1[Item],tab_higiene[[#This Row],[Item]],super1[Bairro],mercado8)+SUMIFS(supercb[Qtde],supercb[Item],tab_higiene[[#This Row],[Item]],supercb[Bairro],mercado8)</f>
        <v>0</v>
      </c>
      <c r="AS79" s="1">
        <f>SUMIFS(super1[Qtde],super1[Item],tab_higiene[[#This Row],[Item]],super1[Bairro],mercado9)+SUMIFS(supercb[Qtde],supercb[Item],tab_higiene[[#This Row],[Item]],supercb[Bairro],mercado9)</f>
        <v>0</v>
      </c>
      <c r="AT79" s="1">
        <f>SUMIFS(super1[Qtde],super1[Item],tab_higiene[[#This Row],[Item]],super1[Bairro],mercado10)+SUMIFS(supercb[Qtde],supercb[Item],tab_higiene[[#This Row],[Item]],supercb[Bairro],mercado10)</f>
        <v>0</v>
      </c>
      <c r="AU79" s="1">
        <f>SUMIFS(super1[Qtde],super1[Item],tab_higiene[[#This Row],[Item]],super1[Bairro],mercado11)+SUMIFS(supercb[Qtde],supercb[Item],tab_higiene[[#This Row],[Item]],supercb[Bairro],mercado11)</f>
        <v>0</v>
      </c>
      <c r="AV79" s="1">
        <f>SUMIFS(super1[Qtde],super1[Item],tab_higiene[[#This Row],[Item]],super1[Bairro],mercado12)+SUMIFS(supercb[Qtde],supercb[Item],tab_higiene[[#This Row],[Item]],supercb[Bairro],mercado12)</f>
        <v>0</v>
      </c>
      <c r="AW79" s="1">
        <f>SUMIFS(super1[Qtde],super1[Item],tab_higiene[[#This Row],[Item]],super1[Bairro],mercado13)+SUMIFS(supercb[Qtde],supercb[Item],tab_higiene[[#This Row],[Item]],supercb[Bairro],mercado13)</f>
        <v>0</v>
      </c>
      <c r="AX79" s="1">
        <f>SUMIFS(super1[Qtde],super1[Item],tab_higiene[[#This Row],[Item]],super1[Bairro],mercado14)+SUMIFS(supercb[Qtde],supercb[Item],tab_higiene[[#This Row],[Item]],supercb[Bairro],mercado14)</f>
        <v>0</v>
      </c>
      <c r="AY79" s="1">
        <f>SUMIFS(super1[Qtde],super1[Item],tab_higiene[[#This Row],[Item]],super1[Bairro],mercado15)+SUMIFS(supercb[Qtde],supercb[Item],tab_higiene[[#This Row],[Item]],supercb[Bairro],mercado15)</f>
        <v>0</v>
      </c>
      <c r="AZ79" s="1">
        <f>SUMIFS(super1[Qtde],super1[Item],tab_higiene[[#This Row],[Item]],super1[Bairro],mercado16)+SUMIFS(supercb[Qtde],supercb[Item],tab_higiene[[#This Row],[Item]],supercb[Bairro],mercado16)</f>
        <v>0</v>
      </c>
      <c r="BA79" s="1">
        <f>SUMIFS(super1[Qtde],super1[Item],tab_higiene[[#This Row],[Item]],super1[Bairro],mercado17)+SUMIFS(supercb[Qtde],supercb[Item],tab_higiene[[#This Row],[Item]],supercb[Bairro],mercado17)</f>
        <v>0</v>
      </c>
      <c r="BB79" s="1">
        <f>SUMIFS(super1[Qtde],super1[Item],tab_higiene[[#This Row],[Item]],super1[Bairro],mercado18)+SUMIFS(supercb[Qtde],supercb[Item],tab_higiene[[#This Row],[Item]],supercb[Bairro],mercado18)</f>
        <v>0</v>
      </c>
      <c r="BC79" s="1">
        <f>SUMIFS(super1[Qtde],super1[Item],tab_higiene[[#This Row],[Item]],super1[Bairro],extras)+SUMIFS(supercb[Qtde],supercb[Item],tab_higiene[[#This Row],[Item]],supercb[Bairro],extras)</f>
        <v>0</v>
      </c>
      <c r="BD79" s="1">
        <f t="shared" si="30"/>
        <v>0</v>
      </c>
      <c r="BE79" s="1">
        <f t="shared" si="31"/>
        <v>0</v>
      </c>
      <c r="BF79" s="26">
        <f t="shared" si="32"/>
        <v>0</v>
      </c>
      <c r="BI79" s="33" t="str">
        <f>tab_alimentos[[#This Row],[Item]]</f>
        <v>Cereal (120g)</v>
      </c>
      <c r="BJ79" s="33">
        <f t="shared" si="25"/>
        <v>7</v>
      </c>
      <c r="BK79" s="33" t="str">
        <f t="shared" si="26"/>
        <v>Cereal</v>
      </c>
      <c r="BL79" s="33">
        <f>tab_alimentos[[#This Row],[kg]]</f>
        <v>0.12</v>
      </c>
      <c r="BM79" s="37" t="s">
        <v>299</v>
      </c>
      <c r="BN79" s="35">
        <f t="shared" si="36"/>
        <v>0</v>
      </c>
      <c r="BP79" s="33" t="str">
        <f>tab_higiene[[#This Row],[Item]]</f>
        <v>Filtro de Café</v>
      </c>
      <c r="BQ79" s="33">
        <f t="shared" si="33"/>
        <v>0</v>
      </c>
      <c r="BR79" s="33" t="str">
        <f t="shared" si="34"/>
        <v>Filtro de Café</v>
      </c>
      <c r="BS79" s="33">
        <f>higiene[[#This Row],[Quantidade]]</f>
        <v>24</v>
      </c>
      <c r="BT79" s="33">
        <f>tab_higiene[Qtde (tot)]</f>
        <v>0</v>
      </c>
      <c r="BU79" s="33">
        <f t="shared" si="37"/>
        <v>0</v>
      </c>
      <c r="BW79" s="33">
        <f t="shared" si="35"/>
        <v>0</v>
      </c>
    </row>
    <row r="80" spans="9:75" x14ac:dyDescent="0.25">
      <c r="I80" s="25" t="str">
        <f>alimentos[[#This Row],[Item]]</f>
        <v>Cereal infantil (230g)</v>
      </c>
      <c r="J80" s="1">
        <f>IFERROR(alimentos[[#This Row],[kg/embalagem]],0)</f>
        <v>0.23</v>
      </c>
      <c r="K80" s="1">
        <f>IFERROR(alimentos[[#This Row],[Preço]],0)</f>
        <v>7.65</v>
      </c>
      <c r="L80" s="1">
        <f>SUMIFS(super1[Qtde],super1[Item],tab_alimentos[[#This Row],[Item]],super1[Bairro],mercado1)+SUMIFS(supercb[Qtde],supercb[Item],tab_alimentos[[#This Row],[Item]],supercb[Bairro],mercado1)</f>
        <v>0</v>
      </c>
      <c r="M80" s="1">
        <f>SUMIFS(super1[Qtde],super1[Item],tab_alimentos[[#This Row],[Item]],super1[Bairro],mercado2)+SUMIFS(supercb[Qtde],supercb[Item],tab_alimentos[[#This Row],[Item]],supercb[Bairro],mercado2)</f>
        <v>0</v>
      </c>
      <c r="N80" s="1">
        <f>SUMIFS(super1[Qtde],super1[Item],tab_alimentos[[#This Row],[Item]],super1[Bairro],mercado3)+SUMIFS(supercb[Qtde],supercb[Item],tab_alimentos[[#This Row],[Item]],supercb[Bairro],mercado3)</f>
        <v>0</v>
      </c>
      <c r="O80" s="1">
        <f>SUMIFS(super1[Qtde],super1[Item],tab_alimentos[[#This Row],[Item]],super1[Bairro],mercado4)+SUMIFS(supercb[Qtde],supercb[Item],tab_alimentos[[#This Row],[Item]],supercb[Bairro],mercado4)</f>
        <v>0</v>
      </c>
      <c r="P80" s="1">
        <f>SUMIFS(super1[Qtde],super1[Item],tab_alimentos[[#This Row],[Item]],super1[Bairro],mercado5)+SUMIFS(supercb[Qtde],supercb[Item],tab_alimentos[[#This Row],[Item]],supercb[Bairro],mercado5)</f>
        <v>0</v>
      </c>
      <c r="Q80" s="1">
        <f>SUMIFS(super1[Qtde],super1[Item],tab_alimentos[[#This Row],[Item]],super1[Bairro],mercado6)+SUMIFS(supercb[Qtde],supercb[Item],tab_alimentos[[#This Row],[Item]],supercb[Bairro],mercado6)</f>
        <v>0</v>
      </c>
      <c r="R80" s="1">
        <f>SUMIFS(super1[Qtde],super1[Item],tab_alimentos[[#This Row],[Item]],super1[Bairro],mercado7)+SUMIFS(supercb[Qtde],supercb[Item],tab_alimentos[[#This Row],[Item]],supercb[Bairro],mercado7)</f>
        <v>0</v>
      </c>
      <c r="S80" s="1">
        <f>SUMIFS(super1[Qtde],super1[Item],tab_alimentos[[#This Row],[Item]],super1[Bairro],mercado8)+SUMIFS(supercb[Qtde],supercb[Item],tab_alimentos[[#This Row],[Item]],supercb[Bairro],mercado8)</f>
        <v>0</v>
      </c>
      <c r="T80" s="1">
        <f>SUMIFS(super1[Qtde],super1[Item],tab_alimentos[[#This Row],[Item]],super1[Bairro],mercado9)+SUMIFS(supercb[Qtde],supercb[Item],tab_alimentos[[#This Row],[Item]],supercb[Bairro],mercado9)</f>
        <v>0</v>
      </c>
      <c r="U80" s="1">
        <f>SUMIFS(super1[Qtde],super1[Item],tab_alimentos[[#This Row],[Item]],super1[Bairro],mercado10)+SUMIFS(supercb[Qtde],supercb[Item],tab_alimentos[[#This Row],[Item]],supercb[Bairro],mercado10)</f>
        <v>0</v>
      </c>
      <c r="V80" s="1">
        <f>SUMIFS(super1[Qtde],super1[Item],tab_alimentos[[#This Row],[Item]],super1[Bairro],mercado11)+SUMIFS(supercb[Qtde],supercb[Item],tab_alimentos[[#This Row],[Item]],supercb[Bairro],mercado11)</f>
        <v>0</v>
      </c>
      <c r="W80" s="1">
        <f>SUMIFS(super1[Qtde],super1[Item],tab_alimentos[[#This Row],[Item]],super1[Bairro],mercado12)+SUMIFS(supercb[Qtde],supercb[Item],tab_alimentos[[#This Row],[Item]],supercb[Bairro],mercado12)</f>
        <v>0</v>
      </c>
      <c r="X80" s="1">
        <f>SUMIFS(super1[Qtde],super1[Item],tab_alimentos[[#This Row],[Item]],super1[Bairro],mercado13)+SUMIFS(supercb[Qtde],supercb[Item],tab_alimentos[[#This Row],[Item]],supercb[Bairro],mercado13)</f>
        <v>0</v>
      </c>
      <c r="Y80" s="1">
        <f>SUMIFS(super1[Qtde],super1[Item],tab_alimentos[[#This Row],[Item]],super1[Bairro],mercado14)+SUMIFS(supercb[Qtde],supercb[Item],tab_alimentos[[#This Row],[Item]],supercb[Bairro],mercado14)</f>
        <v>0</v>
      </c>
      <c r="Z80" s="1">
        <f>SUMIFS(super1[Qtde],super1[Item],tab_alimentos[[#This Row],[Item]],super1[Bairro],mercado15)+SUMIFS(supercb[Qtde],supercb[Item],tab_alimentos[[#This Row],[Item]],supercb[Bairro],mercado15)</f>
        <v>0</v>
      </c>
      <c r="AA80" s="1">
        <f>SUMIFS(super1[Qtde],super1[Item],tab_alimentos[[#This Row],[Item]],super1[Bairro],mercado16)+SUMIFS(supercb[Qtde],supercb[Item],tab_alimentos[[#This Row],[Item]],supercb[Bairro],mercado16)</f>
        <v>0</v>
      </c>
      <c r="AB80" s="1">
        <f>SUMIFS(super1[Qtde],super1[Item],tab_alimentos[[#This Row],[Item]],super1[Bairro],mercado17)+SUMIFS(supercb[Qtde],supercb[Item],tab_alimentos[[#This Row],[Item]],supercb[Bairro],mercado17)</f>
        <v>0</v>
      </c>
      <c r="AC80" s="1">
        <f>SUMIFS(super1[Qtde],super1[Item],tab_alimentos[[#This Row],[Item]],super1[Bairro],mercado18)+SUMIFS(supercb[Qtde],supercb[Item],tab_alimentos[[#This Row],[Item]],supercb[Bairro],mercado18)</f>
        <v>0</v>
      </c>
      <c r="AD80" s="1">
        <f>SUMIFS(super1[Qtde],super1[Item],tab_alimentos[[#This Row],[Item]],super1[Bairro],extras)+SUMIFS(supercb[Qtde],supercb[Item],tab_alimentos[[#This Row],[Item]],supercb[Bairro],extras)</f>
        <v>0</v>
      </c>
      <c r="AE80" s="1">
        <f t="shared" si="27"/>
        <v>0</v>
      </c>
      <c r="AF80" s="1">
        <f t="shared" si="28"/>
        <v>0</v>
      </c>
      <c r="AG80" s="3">
        <f t="shared" si="29"/>
        <v>0</v>
      </c>
      <c r="AH80" s="25" t="str">
        <f>higiene[[#This Row],[Item]]</f>
        <v>Fio Dental</v>
      </c>
      <c r="AI80" s="1">
        <f>IFERROR(higiene[[#This Row],[Kg equivalente]],0)</f>
        <v>2.0800550541378979</v>
      </c>
      <c r="AJ80" s="1">
        <f>IFERROR(higiene[[#This Row],[Preço por produto]],0)</f>
        <v>6.8900000000000006</v>
      </c>
      <c r="AK80" s="1">
        <f>SUMIFS(super1[Qtde],super1[Item],tab_higiene[[#This Row],[Item]],super1[Bairro],mercado1)+SUMIFS(supercb[Qtde],supercb[Item],tab_higiene[[#This Row],[Item]],supercb[Bairro],mercado1)</f>
        <v>0</v>
      </c>
      <c r="AL80" s="1">
        <f>SUMIFS(super1[Qtde],super1[Item],tab_higiene[[#This Row],[Item]],super1[Bairro],mercado2)+SUMIFS(supercb[Qtde],supercb[Item],tab_higiene[[#This Row],[Item]],supercb[Bairro],mercado2)</f>
        <v>0</v>
      </c>
      <c r="AM80" s="1">
        <f>SUMIFS(super1[Qtde],super1[Item],tab_higiene[[#This Row],[Item]],super1[Bairro],mercado3)+SUMIFS(supercb[Qtde],supercb[Item],tab_higiene[[#This Row],[Item]],supercb[Bairro],mercado3)</f>
        <v>0</v>
      </c>
      <c r="AN80" s="1">
        <f>SUMIFS(super1[Qtde],super1[Item],tab_higiene[[#This Row],[Item]],super1[Bairro],mercado4)+SUMIFS(supercb[Qtde],supercb[Item],tab_higiene[[#This Row],[Item]],supercb[Bairro],mercado4)</f>
        <v>0</v>
      </c>
      <c r="AO80" s="1">
        <f>SUMIFS(super1[Qtde],super1[Item],tab_higiene[[#This Row],[Item]],super1[Bairro],mercado5)+SUMIFS(supercb[Qtde],supercb[Item],tab_higiene[[#This Row],[Item]],supercb[Bairro],mercado5)</f>
        <v>0</v>
      </c>
      <c r="AP80" s="1">
        <f>SUMIFS(super1[Qtde],super1[Item],tab_higiene[[#This Row],[Item]],super1[Bairro],mercado6)+SUMIFS(supercb[Qtde],supercb[Item],tab_higiene[[#This Row],[Item]],supercb[Bairro],mercado6)</f>
        <v>0</v>
      </c>
      <c r="AQ80" s="1">
        <f>SUMIFS(super1[Qtde],super1[Item],tab_higiene[[#This Row],[Item]],super1[Bairro],mercado7)+SUMIFS(supercb[Qtde],supercb[Item],tab_higiene[[#This Row],[Item]],supercb[Bairro],mercado7)</f>
        <v>0</v>
      </c>
      <c r="AR80" s="1">
        <f>SUMIFS(super1[Qtde],super1[Item],tab_higiene[[#This Row],[Item]],super1[Bairro],mercado8)+SUMIFS(supercb[Qtde],supercb[Item],tab_higiene[[#This Row],[Item]],supercb[Bairro],mercado8)</f>
        <v>0</v>
      </c>
      <c r="AS80" s="1">
        <f>SUMIFS(super1[Qtde],super1[Item],tab_higiene[[#This Row],[Item]],super1[Bairro],mercado9)+SUMIFS(supercb[Qtde],supercb[Item],tab_higiene[[#This Row],[Item]],supercb[Bairro],mercado9)</f>
        <v>0</v>
      </c>
      <c r="AT80" s="1">
        <f>SUMIFS(super1[Qtde],super1[Item],tab_higiene[[#This Row],[Item]],super1[Bairro],mercado10)+SUMIFS(supercb[Qtde],supercb[Item],tab_higiene[[#This Row],[Item]],supercb[Bairro],mercado10)</f>
        <v>0</v>
      </c>
      <c r="AU80" s="1">
        <f>SUMIFS(super1[Qtde],super1[Item],tab_higiene[[#This Row],[Item]],super1[Bairro],mercado11)+SUMIFS(supercb[Qtde],supercb[Item],tab_higiene[[#This Row],[Item]],supercb[Bairro],mercado11)</f>
        <v>0</v>
      </c>
      <c r="AV80" s="1">
        <f>SUMIFS(super1[Qtde],super1[Item],tab_higiene[[#This Row],[Item]],super1[Bairro],mercado12)+SUMIFS(supercb[Qtde],supercb[Item],tab_higiene[[#This Row],[Item]],supercb[Bairro],mercado12)</f>
        <v>0</v>
      </c>
      <c r="AW80" s="1">
        <f>SUMIFS(super1[Qtde],super1[Item],tab_higiene[[#This Row],[Item]],super1[Bairro],mercado13)+SUMIFS(supercb[Qtde],supercb[Item],tab_higiene[[#This Row],[Item]],supercb[Bairro],mercado13)</f>
        <v>0</v>
      </c>
      <c r="AX80" s="1">
        <f>SUMIFS(super1[Qtde],super1[Item],tab_higiene[[#This Row],[Item]],super1[Bairro],mercado14)+SUMIFS(supercb[Qtde],supercb[Item],tab_higiene[[#This Row],[Item]],supercb[Bairro],mercado14)</f>
        <v>0</v>
      </c>
      <c r="AY80" s="1">
        <f>SUMIFS(super1[Qtde],super1[Item],tab_higiene[[#This Row],[Item]],super1[Bairro],mercado15)+SUMIFS(supercb[Qtde],supercb[Item],tab_higiene[[#This Row],[Item]],supercb[Bairro],mercado15)</f>
        <v>0</v>
      </c>
      <c r="AZ80" s="1">
        <f>SUMIFS(super1[Qtde],super1[Item],tab_higiene[[#This Row],[Item]],super1[Bairro],mercado16)+SUMIFS(supercb[Qtde],supercb[Item],tab_higiene[[#This Row],[Item]],supercb[Bairro],mercado16)</f>
        <v>0</v>
      </c>
      <c r="BA80" s="1">
        <f>SUMIFS(super1[Qtde],super1[Item],tab_higiene[[#This Row],[Item]],super1[Bairro],mercado17)+SUMIFS(supercb[Qtde],supercb[Item],tab_higiene[[#This Row],[Item]],supercb[Bairro],mercado17)</f>
        <v>0</v>
      </c>
      <c r="BB80" s="1">
        <f>SUMIFS(super1[Qtde],super1[Item],tab_higiene[[#This Row],[Item]],super1[Bairro],mercado18)+SUMIFS(supercb[Qtde],supercb[Item],tab_higiene[[#This Row],[Item]],supercb[Bairro],mercado18)</f>
        <v>0</v>
      </c>
      <c r="BC80" s="1">
        <f>SUMIFS(super1[Qtde],super1[Item],tab_higiene[[#This Row],[Item]],super1[Bairro],extras)+SUMIFS(supercb[Qtde],supercb[Item],tab_higiene[[#This Row],[Item]],supercb[Bairro],extras)</f>
        <v>0</v>
      </c>
      <c r="BD80" s="1">
        <f t="shared" si="30"/>
        <v>0</v>
      </c>
      <c r="BE80" s="1">
        <f t="shared" si="31"/>
        <v>0</v>
      </c>
      <c r="BF80" s="26">
        <f t="shared" si="32"/>
        <v>0</v>
      </c>
      <c r="BI80" s="33" t="str">
        <f>tab_alimentos[[#This Row],[Item]]</f>
        <v>Cereal infantil (230g)</v>
      </c>
      <c r="BJ80" s="33">
        <f t="shared" si="25"/>
        <v>16</v>
      </c>
      <c r="BK80" s="33" t="str">
        <f t="shared" si="26"/>
        <v>Cereal infantil</v>
      </c>
      <c r="BL80" s="33">
        <f>tab_alimentos[[#This Row],[kg]]</f>
        <v>0</v>
      </c>
      <c r="BM80" s="37" t="s">
        <v>300</v>
      </c>
      <c r="BN80" s="35">
        <f t="shared" si="36"/>
        <v>0</v>
      </c>
      <c r="BP80" s="33" t="str">
        <f>tab_higiene[[#This Row],[Item]]</f>
        <v>Fio Dental</v>
      </c>
      <c r="BQ80" s="33">
        <f t="shared" si="33"/>
        <v>0</v>
      </c>
      <c r="BR80" s="33" t="str">
        <f t="shared" si="34"/>
        <v>Fio Dental</v>
      </c>
      <c r="BS80" s="33">
        <f>higiene[[#This Row],[Quantidade]]</f>
        <v>26</v>
      </c>
      <c r="BT80" s="33">
        <f>tab_higiene[Qtde (tot)]</f>
        <v>0</v>
      </c>
      <c r="BU80" s="33">
        <f t="shared" si="37"/>
        <v>0</v>
      </c>
      <c r="BW80" s="33">
        <f t="shared" si="35"/>
        <v>0</v>
      </c>
    </row>
    <row r="81" spans="9:75" x14ac:dyDescent="0.25">
      <c r="I81" s="25" t="str">
        <f>alimentos[[#This Row],[Item]]</f>
        <v>Cevada</v>
      </c>
      <c r="J81" s="1">
        <f>IFERROR(alimentos[[#This Row],[kg/embalagem]],0)</f>
        <v>0.5</v>
      </c>
      <c r="K81" s="1">
        <f>IFERROR(alimentos[[#This Row],[Preço]],0)</f>
        <v>6.9700000000000006</v>
      </c>
      <c r="L81" s="1">
        <f>SUMIFS(super1[Qtde],super1[Item],tab_alimentos[[#This Row],[Item]],super1[Bairro],mercado1)+SUMIFS(supercb[Qtde],supercb[Item],tab_alimentos[[#This Row],[Item]],supercb[Bairro],mercado1)</f>
        <v>0</v>
      </c>
      <c r="M81" s="1">
        <f>SUMIFS(super1[Qtde],super1[Item],tab_alimentos[[#This Row],[Item]],super1[Bairro],mercado2)+SUMIFS(supercb[Qtde],supercb[Item],tab_alimentos[[#This Row],[Item]],supercb[Bairro],mercado2)</f>
        <v>0</v>
      </c>
      <c r="N81" s="1">
        <f>SUMIFS(super1[Qtde],super1[Item],tab_alimentos[[#This Row],[Item]],super1[Bairro],mercado3)+SUMIFS(supercb[Qtde],supercb[Item],tab_alimentos[[#This Row],[Item]],supercb[Bairro],mercado3)</f>
        <v>0</v>
      </c>
      <c r="O81" s="1">
        <f>SUMIFS(super1[Qtde],super1[Item],tab_alimentos[[#This Row],[Item]],super1[Bairro],mercado4)+SUMIFS(supercb[Qtde],supercb[Item],tab_alimentos[[#This Row],[Item]],supercb[Bairro],mercado4)</f>
        <v>0</v>
      </c>
      <c r="P81" s="1">
        <f>SUMIFS(super1[Qtde],super1[Item],tab_alimentos[[#This Row],[Item]],super1[Bairro],mercado5)+SUMIFS(supercb[Qtde],supercb[Item],tab_alimentos[[#This Row],[Item]],supercb[Bairro],mercado5)</f>
        <v>0</v>
      </c>
      <c r="Q81" s="1">
        <f>SUMIFS(super1[Qtde],super1[Item],tab_alimentos[[#This Row],[Item]],super1[Bairro],mercado6)+SUMIFS(supercb[Qtde],supercb[Item],tab_alimentos[[#This Row],[Item]],supercb[Bairro],mercado6)</f>
        <v>0</v>
      </c>
      <c r="R81" s="1">
        <f>SUMIFS(super1[Qtde],super1[Item],tab_alimentos[[#This Row],[Item]],super1[Bairro],mercado7)+SUMIFS(supercb[Qtde],supercb[Item],tab_alimentos[[#This Row],[Item]],supercb[Bairro],mercado7)</f>
        <v>0</v>
      </c>
      <c r="S81" s="1">
        <f>SUMIFS(super1[Qtde],super1[Item],tab_alimentos[[#This Row],[Item]],super1[Bairro],mercado8)+SUMIFS(supercb[Qtde],supercb[Item],tab_alimentos[[#This Row],[Item]],supercb[Bairro],mercado8)</f>
        <v>0</v>
      </c>
      <c r="T81" s="1">
        <f>SUMIFS(super1[Qtde],super1[Item],tab_alimentos[[#This Row],[Item]],super1[Bairro],mercado9)+SUMIFS(supercb[Qtde],supercb[Item],tab_alimentos[[#This Row],[Item]],supercb[Bairro],mercado9)</f>
        <v>0</v>
      </c>
      <c r="U81" s="1">
        <f>SUMIFS(super1[Qtde],super1[Item],tab_alimentos[[#This Row],[Item]],super1[Bairro],mercado10)+SUMIFS(supercb[Qtde],supercb[Item],tab_alimentos[[#This Row],[Item]],supercb[Bairro],mercado10)</f>
        <v>0</v>
      </c>
      <c r="V81" s="1">
        <f>SUMIFS(super1[Qtde],super1[Item],tab_alimentos[[#This Row],[Item]],super1[Bairro],mercado11)+SUMIFS(supercb[Qtde],supercb[Item],tab_alimentos[[#This Row],[Item]],supercb[Bairro],mercado11)</f>
        <v>0</v>
      </c>
      <c r="W81" s="1">
        <f>SUMIFS(super1[Qtde],super1[Item],tab_alimentos[[#This Row],[Item]],super1[Bairro],mercado12)+SUMIFS(supercb[Qtde],supercb[Item],tab_alimentos[[#This Row],[Item]],supercb[Bairro],mercado12)</f>
        <v>0</v>
      </c>
      <c r="X81" s="1">
        <f>SUMIFS(super1[Qtde],super1[Item],tab_alimentos[[#This Row],[Item]],super1[Bairro],mercado13)+SUMIFS(supercb[Qtde],supercb[Item],tab_alimentos[[#This Row],[Item]],supercb[Bairro],mercado13)</f>
        <v>0</v>
      </c>
      <c r="Y81" s="1">
        <f>SUMIFS(super1[Qtde],super1[Item],tab_alimentos[[#This Row],[Item]],super1[Bairro],mercado14)+SUMIFS(supercb[Qtde],supercb[Item],tab_alimentos[[#This Row],[Item]],supercb[Bairro],mercado14)</f>
        <v>0</v>
      </c>
      <c r="Z81" s="1">
        <f>SUMIFS(super1[Qtde],super1[Item],tab_alimentos[[#This Row],[Item]],super1[Bairro],mercado15)+SUMIFS(supercb[Qtde],supercb[Item],tab_alimentos[[#This Row],[Item]],supercb[Bairro],mercado15)</f>
        <v>0</v>
      </c>
      <c r="AA81" s="1">
        <f>SUMIFS(super1[Qtde],super1[Item],tab_alimentos[[#This Row],[Item]],super1[Bairro],mercado16)+SUMIFS(supercb[Qtde],supercb[Item],tab_alimentos[[#This Row],[Item]],supercb[Bairro],mercado16)</f>
        <v>0</v>
      </c>
      <c r="AB81" s="1">
        <f>SUMIFS(super1[Qtde],super1[Item],tab_alimentos[[#This Row],[Item]],super1[Bairro],mercado17)+SUMIFS(supercb[Qtde],supercb[Item],tab_alimentos[[#This Row],[Item]],supercb[Bairro],mercado17)</f>
        <v>0</v>
      </c>
      <c r="AC81" s="1">
        <f>SUMIFS(super1[Qtde],super1[Item],tab_alimentos[[#This Row],[Item]],super1[Bairro],mercado18)+SUMIFS(supercb[Qtde],supercb[Item],tab_alimentos[[#This Row],[Item]],supercb[Bairro],mercado18)</f>
        <v>0</v>
      </c>
      <c r="AD81" s="1">
        <f>SUMIFS(super1[Qtde],super1[Item],tab_alimentos[[#This Row],[Item]],super1[Bairro],extras)+SUMIFS(supercb[Qtde],supercb[Item],tab_alimentos[[#This Row],[Item]],supercb[Bairro],extras)</f>
        <v>0</v>
      </c>
      <c r="AE81" s="1">
        <f t="shared" si="27"/>
        <v>0</v>
      </c>
      <c r="AF81" s="1">
        <f t="shared" si="28"/>
        <v>0</v>
      </c>
      <c r="AG81" s="3">
        <f t="shared" si="29"/>
        <v>0</v>
      </c>
      <c r="AH81" s="25" t="str">
        <f>higiene[[#This Row],[Item]]</f>
        <v>Fosforo</v>
      </c>
      <c r="AI81" s="1">
        <f>IFERROR(higiene[[#This Row],[Kg equivalente]],0)</f>
        <v>1.0838022705885417</v>
      </c>
      <c r="AJ81" s="1">
        <f>IFERROR(higiene[[#This Row],[Preço por produto]],0)</f>
        <v>3.59</v>
      </c>
      <c r="AK81" s="1">
        <f>SUMIFS(super1[Qtde],super1[Item],tab_higiene[[#This Row],[Item]],super1[Bairro],mercado1)+SUMIFS(supercb[Qtde],supercb[Item],tab_higiene[[#This Row],[Item]],supercb[Bairro],mercado1)</f>
        <v>0</v>
      </c>
      <c r="AL81" s="1">
        <f>SUMIFS(super1[Qtde],super1[Item],tab_higiene[[#This Row],[Item]],super1[Bairro],mercado2)+SUMIFS(supercb[Qtde],supercb[Item],tab_higiene[[#This Row],[Item]],supercb[Bairro],mercado2)</f>
        <v>0</v>
      </c>
      <c r="AM81" s="1">
        <f>SUMIFS(super1[Qtde],super1[Item],tab_higiene[[#This Row],[Item]],super1[Bairro],mercado3)+SUMIFS(supercb[Qtde],supercb[Item],tab_higiene[[#This Row],[Item]],supercb[Bairro],mercado3)</f>
        <v>0</v>
      </c>
      <c r="AN81" s="1">
        <f>SUMIFS(super1[Qtde],super1[Item],tab_higiene[[#This Row],[Item]],super1[Bairro],mercado4)+SUMIFS(supercb[Qtde],supercb[Item],tab_higiene[[#This Row],[Item]],supercb[Bairro],mercado4)</f>
        <v>0</v>
      </c>
      <c r="AO81" s="1">
        <f>SUMIFS(super1[Qtde],super1[Item],tab_higiene[[#This Row],[Item]],super1[Bairro],mercado5)+SUMIFS(supercb[Qtde],supercb[Item],tab_higiene[[#This Row],[Item]],supercb[Bairro],mercado5)</f>
        <v>0</v>
      </c>
      <c r="AP81" s="1">
        <f>SUMIFS(super1[Qtde],super1[Item],tab_higiene[[#This Row],[Item]],super1[Bairro],mercado6)+SUMIFS(supercb[Qtde],supercb[Item],tab_higiene[[#This Row],[Item]],supercb[Bairro],mercado6)</f>
        <v>0</v>
      </c>
      <c r="AQ81" s="1">
        <f>SUMIFS(super1[Qtde],super1[Item],tab_higiene[[#This Row],[Item]],super1[Bairro],mercado7)+SUMIFS(supercb[Qtde],supercb[Item],tab_higiene[[#This Row],[Item]],supercb[Bairro],mercado7)</f>
        <v>0</v>
      </c>
      <c r="AR81" s="1">
        <f>SUMIFS(super1[Qtde],super1[Item],tab_higiene[[#This Row],[Item]],super1[Bairro],mercado8)+SUMIFS(supercb[Qtde],supercb[Item],tab_higiene[[#This Row],[Item]],supercb[Bairro],mercado8)</f>
        <v>0</v>
      </c>
      <c r="AS81" s="1">
        <f>SUMIFS(super1[Qtde],super1[Item],tab_higiene[[#This Row],[Item]],super1[Bairro],mercado9)+SUMIFS(supercb[Qtde],supercb[Item],tab_higiene[[#This Row],[Item]],supercb[Bairro],mercado9)</f>
        <v>0</v>
      </c>
      <c r="AT81" s="1">
        <f>SUMIFS(super1[Qtde],super1[Item],tab_higiene[[#This Row],[Item]],super1[Bairro],mercado10)+SUMIFS(supercb[Qtde],supercb[Item],tab_higiene[[#This Row],[Item]],supercb[Bairro],mercado10)</f>
        <v>0</v>
      </c>
      <c r="AU81" s="1">
        <f>SUMIFS(super1[Qtde],super1[Item],tab_higiene[[#This Row],[Item]],super1[Bairro],mercado11)+SUMIFS(supercb[Qtde],supercb[Item],tab_higiene[[#This Row],[Item]],supercb[Bairro],mercado11)</f>
        <v>0</v>
      </c>
      <c r="AV81" s="1">
        <f>SUMIFS(super1[Qtde],super1[Item],tab_higiene[[#This Row],[Item]],super1[Bairro],mercado12)+SUMIFS(supercb[Qtde],supercb[Item],tab_higiene[[#This Row],[Item]],supercb[Bairro],mercado12)</f>
        <v>0</v>
      </c>
      <c r="AW81" s="1">
        <f>SUMIFS(super1[Qtde],super1[Item],tab_higiene[[#This Row],[Item]],super1[Bairro],mercado13)+SUMIFS(supercb[Qtde],supercb[Item],tab_higiene[[#This Row],[Item]],supercb[Bairro],mercado13)</f>
        <v>0</v>
      </c>
      <c r="AX81" s="1">
        <f>SUMIFS(super1[Qtde],super1[Item],tab_higiene[[#This Row],[Item]],super1[Bairro],mercado14)+SUMIFS(supercb[Qtde],supercb[Item],tab_higiene[[#This Row],[Item]],supercb[Bairro],mercado14)</f>
        <v>0</v>
      </c>
      <c r="AY81" s="1">
        <f>SUMIFS(super1[Qtde],super1[Item],tab_higiene[[#This Row],[Item]],super1[Bairro],mercado15)+SUMIFS(supercb[Qtde],supercb[Item],tab_higiene[[#This Row],[Item]],supercb[Bairro],mercado15)</f>
        <v>0</v>
      </c>
      <c r="AZ81" s="1">
        <f>SUMIFS(super1[Qtde],super1[Item],tab_higiene[[#This Row],[Item]],super1[Bairro],mercado16)+SUMIFS(supercb[Qtde],supercb[Item],tab_higiene[[#This Row],[Item]],supercb[Bairro],mercado16)</f>
        <v>0</v>
      </c>
      <c r="BA81" s="1">
        <f>SUMIFS(super1[Qtde],super1[Item],tab_higiene[[#This Row],[Item]],super1[Bairro],mercado17)+SUMIFS(supercb[Qtde],supercb[Item],tab_higiene[[#This Row],[Item]],supercb[Bairro],mercado17)</f>
        <v>0</v>
      </c>
      <c r="BB81" s="1">
        <f>SUMIFS(super1[Qtde],super1[Item],tab_higiene[[#This Row],[Item]],super1[Bairro],mercado18)+SUMIFS(supercb[Qtde],supercb[Item],tab_higiene[[#This Row],[Item]],supercb[Bairro],mercado18)</f>
        <v>0</v>
      </c>
      <c r="BC81" s="1">
        <f>SUMIFS(super1[Qtde],super1[Item],tab_higiene[[#This Row],[Item]],super1[Bairro],extras)+SUMIFS(supercb[Qtde],supercb[Item],tab_higiene[[#This Row],[Item]],supercb[Bairro],extras)</f>
        <v>0</v>
      </c>
      <c r="BD81" s="1">
        <f t="shared" si="30"/>
        <v>0</v>
      </c>
      <c r="BE81" s="1">
        <f t="shared" si="31"/>
        <v>0</v>
      </c>
      <c r="BF81" s="26">
        <f t="shared" si="32"/>
        <v>0</v>
      </c>
      <c r="BI81" s="33" t="str">
        <f>tab_alimentos[[#This Row],[Item]]</f>
        <v>Cevada</v>
      </c>
      <c r="BJ81" s="33">
        <f t="shared" si="25"/>
        <v>0</v>
      </c>
      <c r="BK81" s="33" t="str">
        <f t="shared" si="26"/>
        <v>Cevada</v>
      </c>
      <c r="BL81" s="33">
        <f>tab_alimentos[[#This Row],[kg]]</f>
        <v>0</v>
      </c>
      <c r="BM81" s="37" t="s">
        <v>301</v>
      </c>
      <c r="BN81" s="35">
        <f t="shared" si="36"/>
        <v>0</v>
      </c>
      <c r="BP81" s="33" t="str">
        <f>tab_higiene[[#This Row],[Item]]</f>
        <v>Fosforo</v>
      </c>
      <c r="BQ81" s="33">
        <f t="shared" si="33"/>
        <v>0</v>
      </c>
      <c r="BR81" s="33" t="str">
        <f t="shared" si="34"/>
        <v>Fosforo</v>
      </c>
      <c r="BS81" s="33">
        <f>higiene[[#This Row],[Quantidade]]</f>
        <v>30</v>
      </c>
      <c r="BT81" s="33">
        <f>tab_higiene[Qtde (tot)]</f>
        <v>0</v>
      </c>
      <c r="BU81" s="33">
        <f t="shared" si="37"/>
        <v>0</v>
      </c>
      <c r="BW81" s="33">
        <f t="shared" si="35"/>
        <v>0</v>
      </c>
    </row>
    <row r="82" spans="9:75" x14ac:dyDescent="0.25">
      <c r="I82" s="25" t="str">
        <f>alimentos[[#This Row],[Item]]</f>
        <v>Chá (100g)</v>
      </c>
      <c r="J82" s="1">
        <f>IFERROR(alimentos[[#This Row],[kg/embalagem]],0)</f>
        <v>0.1</v>
      </c>
      <c r="K82" s="1">
        <f>IFERROR(alimentos[[#This Row],[Preço]],0)</f>
        <v>7.99</v>
      </c>
      <c r="L82" s="1">
        <f>SUMIFS(super1[Qtde],super1[Item],tab_alimentos[[#This Row],[Item]],super1[Bairro],mercado1)+SUMIFS(supercb[Qtde],supercb[Item],tab_alimentos[[#This Row],[Item]],supercb[Bairro],mercado1)</f>
        <v>0</v>
      </c>
      <c r="M82" s="1">
        <f>SUMIFS(super1[Qtde],super1[Item],tab_alimentos[[#This Row],[Item]],super1[Bairro],mercado2)+SUMIFS(supercb[Qtde],supercb[Item],tab_alimentos[[#This Row],[Item]],supercb[Bairro],mercado2)</f>
        <v>0</v>
      </c>
      <c r="N82" s="1">
        <f>SUMIFS(super1[Qtde],super1[Item],tab_alimentos[[#This Row],[Item]],super1[Bairro],mercado3)+SUMIFS(supercb[Qtde],supercb[Item],tab_alimentos[[#This Row],[Item]],supercb[Bairro],mercado3)</f>
        <v>0</v>
      </c>
      <c r="O82" s="1">
        <f>SUMIFS(super1[Qtde],super1[Item],tab_alimentos[[#This Row],[Item]],super1[Bairro],mercado4)+SUMIFS(supercb[Qtde],supercb[Item],tab_alimentos[[#This Row],[Item]],supercb[Bairro],mercado4)</f>
        <v>0</v>
      </c>
      <c r="P82" s="1">
        <f>SUMIFS(super1[Qtde],super1[Item],tab_alimentos[[#This Row],[Item]],super1[Bairro],mercado5)+SUMIFS(supercb[Qtde],supercb[Item],tab_alimentos[[#This Row],[Item]],supercb[Bairro],mercado5)</f>
        <v>0</v>
      </c>
      <c r="Q82" s="1">
        <f>SUMIFS(super1[Qtde],super1[Item],tab_alimentos[[#This Row],[Item]],super1[Bairro],mercado6)+SUMIFS(supercb[Qtde],supercb[Item],tab_alimentos[[#This Row],[Item]],supercb[Bairro],mercado6)</f>
        <v>0</v>
      </c>
      <c r="R82" s="1">
        <f>SUMIFS(super1[Qtde],super1[Item],tab_alimentos[[#This Row],[Item]],super1[Bairro],mercado7)+SUMIFS(supercb[Qtde],supercb[Item],tab_alimentos[[#This Row],[Item]],supercb[Bairro],mercado7)</f>
        <v>0</v>
      </c>
      <c r="S82" s="1">
        <f>SUMIFS(super1[Qtde],super1[Item],tab_alimentos[[#This Row],[Item]],super1[Bairro],mercado8)+SUMIFS(supercb[Qtde],supercb[Item],tab_alimentos[[#This Row],[Item]],supercb[Bairro],mercado8)</f>
        <v>0</v>
      </c>
      <c r="T82" s="1">
        <f>SUMIFS(super1[Qtde],super1[Item],tab_alimentos[[#This Row],[Item]],super1[Bairro],mercado9)+SUMIFS(supercb[Qtde],supercb[Item],tab_alimentos[[#This Row],[Item]],supercb[Bairro],mercado9)</f>
        <v>0</v>
      </c>
      <c r="U82" s="1">
        <f>SUMIFS(super1[Qtde],super1[Item],tab_alimentos[[#This Row],[Item]],super1[Bairro],mercado10)+SUMIFS(supercb[Qtde],supercb[Item],tab_alimentos[[#This Row],[Item]],supercb[Bairro],mercado10)</f>
        <v>0</v>
      </c>
      <c r="V82" s="1">
        <f>SUMIFS(super1[Qtde],super1[Item],tab_alimentos[[#This Row],[Item]],super1[Bairro],mercado11)+SUMIFS(supercb[Qtde],supercb[Item],tab_alimentos[[#This Row],[Item]],supercb[Bairro],mercado11)</f>
        <v>0</v>
      </c>
      <c r="W82" s="1">
        <f>SUMIFS(super1[Qtde],super1[Item],tab_alimentos[[#This Row],[Item]],super1[Bairro],mercado12)+SUMIFS(supercb[Qtde],supercb[Item],tab_alimentos[[#This Row],[Item]],supercb[Bairro],mercado12)</f>
        <v>0</v>
      </c>
      <c r="X82" s="1">
        <f>SUMIFS(super1[Qtde],super1[Item],tab_alimentos[[#This Row],[Item]],super1[Bairro],mercado13)+SUMIFS(supercb[Qtde],supercb[Item],tab_alimentos[[#This Row],[Item]],supercb[Bairro],mercado13)</f>
        <v>0</v>
      </c>
      <c r="Y82" s="1">
        <f>SUMIFS(super1[Qtde],super1[Item],tab_alimentos[[#This Row],[Item]],super1[Bairro],mercado14)+SUMIFS(supercb[Qtde],supercb[Item],tab_alimentos[[#This Row],[Item]],supercb[Bairro],mercado14)</f>
        <v>0</v>
      </c>
      <c r="Z82" s="1">
        <f>SUMIFS(super1[Qtde],super1[Item],tab_alimentos[[#This Row],[Item]],super1[Bairro],mercado15)+SUMIFS(supercb[Qtde],supercb[Item],tab_alimentos[[#This Row],[Item]],supercb[Bairro],mercado15)</f>
        <v>0</v>
      </c>
      <c r="AA82" s="1">
        <f>SUMIFS(super1[Qtde],super1[Item],tab_alimentos[[#This Row],[Item]],super1[Bairro],mercado16)+SUMIFS(supercb[Qtde],supercb[Item],tab_alimentos[[#This Row],[Item]],supercb[Bairro],mercado16)</f>
        <v>0</v>
      </c>
      <c r="AB82" s="1">
        <f>SUMIFS(super1[Qtde],super1[Item],tab_alimentos[[#This Row],[Item]],super1[Bairro],mercado17)+SUMIFS(supercb[Qtde],supercb[Item],tab_alimentos[[#This Row],[Item]],supercb[Bairro],mercado17)</f>
        <v>0</v>
      </c>
      <c r="AC82" s="1">
        <f>SUMIFS(super1[Qtde],super1[Item],tab_alimentos[[#This Row],[Item]],super1[Bairro],mercado18)+SUMIFS(supercb[Qtde],supercb[Item],tab_alimentos[[#This Row],[Item]],supercb[Bairro],mercado18)</f>
        <v>0</v>
      </c>
      <c r="AD82" s="1">
        <f>SUMIFS(super1[Qtde],super1[Item],tab_alimentos[[#This Row],[Item]],super1[Bairro],extras)+SUMIFS(supercb[Qtde],supercb[Item],tab_alimentos[[#This Row],[Item]],supercb[Bairro],extras)</f>
        <v>0</v>
      </c>
      <c r="AE82" s="1">
        <f t="shared" si="27"/>
        <v>0</v>
      </c>
      <c r="AF82" s="1">
        <f t="shared" si="28"/>
        <v>0</v>
      </c>
      <c r="AG82" s="3">
        <f t="shared" si="29"/>
        <v>0</v>
      </c>
      <c r="AH82" s="25" t="str">
        <f>higiene[[#This Row],[Item]]</f>
        <v>Fósforo (10 caixas x 40 un)</v>
      </c>
      <c r="AI82" s="1">
        <f>IFERROR(higiene[[#This Row],[Kg equivalente]],0)</f>
        <v>1.1064443793055727</v>
      </c>
      <c r="AJ82" s="1">
        <f>IFERROR(higiene[[#This Row],[Preço por produto]],0)</f>
        <v>3.665</v>
      </c>
      <c r="AK82" s="1">
        <f>SUMIFS(super1[Qtde],super1[Item],tab_higiene[[#This Row],[Item]],super1[Bairro],mercado1)+SUMIFS(supercb[Qtde],supercb[Item],tab_higiene[[#This Row],[Item]],supercb[Bairro],mercado1)</f>
        <v>0</v>
      </c>
      <c r="AL82" s="1">
        <f>SUMIFS(super1[Qtde],super1[Item],tab_higiene[[#This Row],[Item]],super1[Bairro],mercado2)+SUMIFS(supercb[Qtde],supercb[Item],tab_higiene[[#This Row],[Item]],supercb[Bairro],mercado2)</f>
        <v>0</v>
      </c>
      <c r="AM82" s="1">
        <f>SUMIFS(super1[Qtde],super1[Item],tab_higiene[[#This Row],[Item]],super1[Bairro],mercado3)+SUMIFS(supercb[Qtde],supercb[Item],tab_higiene[[#This Row],[Item]],supercb[Bairro],mercado3)</f>
        <v>0</v>
      </c>
      <c r="AN82" s="1">
        <f>SUMIFS(super1[Qtde],super1[Item],tab_higiene[[#This Row],[Item]],super1[Bairro],mercado4)+SUMIFS(supercb[Qtde],supercb[Item],tab_higiene[[#This Row],[Item]],supercb[Bairro],mercado4)</f>
        <v>0</v>
      </c>
      <c r="AO82" s="1">
        <f>SUMIFS(super1[Qtde],super1[Item],tab_higiene[[#This Row],[Item]],super1[Bairro],mercado5)+SUMIFS(supercb[Qtde],supercb[Item],tab_higiene[[#This Row],[Item]],supercb[Bairro],mercado5)</f>
        <v>0</v>
      </c>
      <c r="AP82" s="1">
        <f>SUMIFS(super1[Qtde],super1[Item],tab_higiene[[#This Row],[Item]],super1[Bairro],mercado6)+SUMIFS(supercb[Qtde],supercb[Item],tab_higiene[[#This Row],[Item]],supercb[Bairro],mercado6)</f>
        <v>0</v>
      </c>
      <c r="AQ82" s="1">
        <f>SUMIFS(super1[Qtde],super1[Item],tab_higiene[[#This Row],[Item]],super1[Bairro],mercado7)+SUMIFS(supercb[Qtde],supercb[Item],tab_higiene[[#This Row],[Item]],supercb[Bairro],mercado7)</f>
        <v>0</v>
      </c>
      <c r="AR82" s="1">
        <f>SUMIFS(super1[Qtde],super1[Item],tab_higiene[[#This Row],[Item]],super1[Bairro],mercado8)+SUMIFS(supercb[Qtde],supercb[Item],tab_higiene[[#This Row],[Item]],supercb[Bairro],mercado8)</f>
        <v>0</v>
      </c>
      <c r="AS82" s="1">
        <f>SUMIFS(super1[Qtde],super1[Item],tab_higiene[[#This Row],[Item]],super1[Bairro],mercado9)+SUMIFS(supercb[Qtde],supercb[Item],tab_higiene[[#This Row],[Item]],supercb[Bairro],mercado9)</f>
        <v>1</v>
      </c>
      <c r="AT82" s="1">
        <f>SUMIFS(super1[Qtde],super1[Item],tab_higiene[[#This Row],[Item]],super1[Bairro],mercado10)+SUMIFS(supercb[Qtde],supercb[Item],tab_higiene[[#This Row],[Item]],supercb[Bairro],mercado10)</f>
        <v>0</v>
      </c>
      <c r="AU82" s="1">
        <f>SUMIFS(super1[Qtde],super1[Item],tab_higiene[[#This Row],[Item]],super1[Bairro],mercado11)+SUMIFS(supercb[Qtde],supercb[Item],tab_higiene[[#This Row],[Item]],supercb[Bairro],mercado11)</f>
        <v>0</v>
      </c>
      <c r="AV82" s="1">
        <f>SUMIFS(super1[Qtde],super1[Item],tab_higiene[[#This Row],[Item]],super1[Bairro],mercado12)+SUMIFS(supercb[Qtde],supercb[Item],tab_higiene[[#This Row],[Item]],supercb[Bairro],mercado12)</f>
        <v>0</v>
      </c>
      <c r="AW82" s="1">
        <f>SUMIFS(super1[Qtde],super1[Item],tab_higiene[[#This Row],[Item]],super1[Bairro],mercado13)+SUMIFS(supercb[Qtde],supercb[Item],tab_higiene[[#This Row],[Item]],supercb[Bairro],mercado13)</f>
        <v>1</v>
      </c>
      <c r="AX82" s="1">
        <f>SUMIFS(super1[Qtde],super1[Item],tab_higiene[[#This Row],[Item]],super1[Bairro],mercado14)+SUMIFS(supercb[Qtde],supercb[Item],tab_higiene[[#This Row],[Item]],supercb[Bairro],mercado14)</f>
        <v>0</v>
      </c>
      <c r="AY82" s="1">
        <f>SUMIFS(super1[Qtde],super1[Item],tab_higiene[[#This Row],[Item]],super1[Bairro],mercado15)+SUMIFS(supercb[Qtde],supercb[Item],tab_higiene[[#This Row],[Item]],supercb[Bairro],mercado15)</f>
        <v>0</v>
      </c>
      <c r="AZ82" s="1">
        <f>SUMIFS(super1[Qtde],super1[Item],tab_higiene[[#This Row],[Item]],super1[Bairro],mercado16)+SUMIFS(supercb[Qtde],supercb[Item],tab_higiene[[#This Row],[Item]],supercb[Bairro],mercado16)</f>
        <v>0</v>
      </c>
      <c r="BA82" s="1">
        <f>SUMIFS(super1[Qtde],super1[Item],tab_higiene[[#This Row],[Item]],super1[Bairro],mercado17)+SUMIFS(supercb[Qtde],supercb[Item],tab_higiene[[#This Row],[Item]],supercb[Bairro],mercado17)</f>
        <v>0</v>
      </c>
      <c r="BB82" s="1">
        <f>SUMIFS(super1[Qtde],super1[Item],tab_higiene[[#This Row],[Item]],super1[Bairro],mercado18)+SUMIFS(supercb[Qtde],supercb[Item],tab_higiene[[#This Row],[Item]],supercb[Bairro],mercado18)</f>
        <v>0</v>
      </c>
      <c r="BC82" s="1">
        <f>SUMIFS(super1[Qtde],super1[Item],tab_higiene[[#This Row],[Item]],super1[Bairro],extras)+SUMIFS(supercb[Qtde],supercb[Item],tab_higiene[[#This Row],[Item]],supercb[Bairro],extras)</f>
        <v>0</v>
      </c>
      <c r="BD82" s="1">
        <f t="shared" si="30"/>
        <v>2</v>
      </c>
      <c r="BE82" s="1">
        <f t="shared" si="31"/>
        <v>7.33</v>
      </c>
      <c r="BF82" s="26">
        <f t="shared" si="32"/>
        <v>2.2128887586111454</v>
      </c>
      <c r="BI82" s="33" t="str">
        <f>tab_alimentos[[#This Row],[Item]]</f>
        <v>Chá (100g)</v>
      </c>
      <c r="BJ82" s="33">
        <f t="shared" si="25"/>
        <v>4</v>
      </c>
      <c r="BK82" s="33" t="str">
        <f t="shared" si="26"/>
        <v>Chá</v>
      </c>
      <c r="BL82" s="33">
        <f>tab_alimentos[[#This Row],[kg]]</f>
        <v>0</v>
      </c>
      <c r="BM82" t="s">
        <v>350</v>
      </c>
      <c r="BN82" s="35">
        <f t="shared" si="36"/>
        <v>0</v>
      </c>
      <c r="BP82" s="33" t="str">
        <f>tab_higiene[[#This Row],[Item]]</f>
        <v>Fósforo (10 caixas x 40 un)</v>
      </c>
      <c r="BQ82" s="33">
        <f t="shared" si="33"/>
        <v>8</v>
      </c>
      <c r="BR82" s="33" t="str">
        <f t="shared" si="34"/>
        <v>Fósforo</v>
      </c>
      <c r="BS82" s="33">
        <f>higiene[[#This Row],[Quantidade]]</f>
        <v>32</v>
      </c>
      <c r="BT82" s="33">
        <f>tab_higiene[Qtde (tot)]</f>
        <v>2</v>
      </c>
      <c r="BU82" s="33">
        <f t="shared" si="37"/>
        <v>64</v>
      </c>
      <c r="BW82" s="33">
        <f t="shared" si="35"/>
        <v>0</v>
      </c>
    </row>
    <row r="83" spans="9:75" x14ac:dyDescent="0.25">
      <c r="I83" s="25" t="str">
        <f>alimentos[[#This Row],[Item]]</f>
        <v>Chá (10un)</v>
      </c>
      <c r="J83" s="1">
        <f>IFERROR(alimentos[[#This Row],[kg/embalagem]],0)</f>
        <v>0.1</v>
      </c>
      <c r="K83" s="1">
        <f>IFERROR(alimentos[[#This Row],[Preço]],0)</f>
        <v>4.041666666666667</v>
      </c>
      <c r="L83" s="1">
        <f>SUMIFS(super1[Qtde],super1[Item],tab_alimentos[[#This Row],[Item]],super1[Bairro],mercado1)+SUMIFS(supercb[Qtde],supercb[Item],tab_alimentos[[#This Row],[Item]],supercb[Bairro],mercado1)</f>
        <v>0</v>
      </c>
      <c r="M83" s="1">
        <f>SUMIFS(super1[Qtde],super1[Item],tab_alimentos[[#This Row],[Item]],super1[Bairro],mercado2)+SUMIFS(supercb[Qtde],supercb[Item],tab_alimentos[[#This Row],[Item]],supercb[Bairro],mercado2)</f>
        <v>0</v>
      </c>
      <c r="N83" s="1">
        <f>SUMIFS(super1[Qtde],super1[Item],tab_alimentos[[#This Row],[Item]],super1[Bairro],mercado3)+SUMIFS(supercb[Qtde],supercb[Item],tab_alimentos[[#This Row],[Item]],supercb[Bairro],mercado3)</f>
        <v>0</v>
      </c>
      <c r="O83" s="1">
        <f>SUMIFS(super1[Qtde],super1[Item],tab_alimentos[[#This Row],[Item]],super1[Bairro],mercado4)+SUMIFS(supercb[Qtde],supercb[Item],tab_alimentos[[#This Row],[Item]],supercb[Bairro],mercado4)</f>
        <v>0</v>
      </c>
      <c r="P83" s="1">
        <f>SUMIFS(super1[Qtde],super1[Item],tab_alimentos[[#This Row],[Item]],super1[Bairro],mercado5)+SUMIFS(supercb[Qtde],supercb[Item],tab_alimentos[[#This Row],[Item]],supercb[Bairro],mercado5)</f>
        <v>0</v>
      </c>
      <c r="Q83" s="1">
        <f>SUMIFS(super1[Qtde],super1[Item],tab_alimentos[[#This Row],[Item]],super1[Bairro],mercado6)+SUMIFS(supercb[Qtde],supercb[Item],tab_alimentos[[#This Row],[Item]],supercb[Bairro],mercado6)</f>
        <v>0</v>
      </c>
      <c r="R83" s="1">
        <f>SUMIFS(super1[Qtde],super1[Item],tab_alimentos[[#This Row],[Item]],super1[Bairro],mercado7)+SUMIFS(supercb[Qtde],supercb[Item],tab_alimentos[[#This Row],[Item]],supercb[Bairro],mercado7)</f>
        <v>0</v>
      </c>
      <c r="S83" s="1">
        <f>SUMIFS(super1[Qtde],super1[Item],tab_alimentos[[#This Row],[Item]],super1[Bairro],mercado8)+SUMIFS(supercb[Qtde],supercb[Item],tab_alimentos[[#This Row],[Item]],supercb[Bairro],mercado8)</f>
        <v>0</v>
      </c>
      <c r="T83" s="1">
        <f>SUMIFS(super1[Qtde],super1[Item],tab_alimentos[[#This Row],[Item]],super1[Bairro],mercado9)+SUMIFS(supercb[Qtde],supercb[Item],tab_alimentos[[#This Row],[Item]],supercb[Bairro],mercado9)</f>
        <v>0</v>
      </c>
      <c r="U83" s="1">
        <f>SUMIFS(super1[Qtde],super1[Item],tab_alimentos[[#This Row],[Item]],super1[Bairro],mercado10)+SUMIFS(supercb[Qtde],supercb[Item],tab_alimentos[[#This Row],[Item]],supercb[Bairro],mercado10)</f>
        <v>0</v>
      </c>
      <c r="V83" s="1">
        <f>SUMIFS(super1[Qtde],super1[Item],tab_alimentos[[#This Row],[Item]],super1[Bairro],mercado11)+SUMIFS(supercb[Qtde],supercb[Item],tab_alimentos[[#This Row],[Item]],supercb[Bairro],mercado11)</f>
        <v>0</v>
      </c>
      <c r="W83" s="1">
        <f>SUMIFS(super1[Qtde],super1[Item],tab_alimentos[[#This Row],[Item]],super1[Bairro],mercado12)+SUMIFS(supercb[Qtde],supercb[Item],tab_alimentos[[#This Row],[Item]],supercb[Bairro],mercado12)</f>
        <v>0</v>
      </c>
      <c r="X83" s="1">
        <f>SUMIFS(super1[Qtde],super1[Item],tab_alimentos[[#This Row],[Item]],super1[Bairro],mercado13)+SUMIFS(supercb[Qtde],supercb[Item],tab_alimentos[[#This Row],[Item]],supercb[Bairro],mercado13)</f>
        <v>0</v>
      </c>
      <c r="Y83" s="1">
        <f>SUMIFS(super1[Qtde],super1[Item],tab_alimentos[[#This Row],[Item]],super1[Bairro],mercado14)+SUMIFS(supercb[Qtde],supercb[Item],tab_alimentos[[#This Row],[Item]],supercb[Bairro],mercado14)</f>
        <v>0</v>
      </c>
      <c r="Z83" s="1">
        <f>SUMIFS(super1[Qtde],super1[Item],tab_alimentos[[#This Row],[Item]],super1[Bairro],mercado15)+SUMIFS(supercb[Qtde],supercb[Item],tab_alimentos[[#This Row],[Item]],supercb[Bairro],mercado15)</f>
        <v>0</v>
      </c>
      <c r="AA83" s="1">
        <f>SUMIFS(super1[Qtde],super1[Item],tab_alimentos[[#This Row],[Item]],super1[Bairro],mercado16)+SUMIFS(supercb[Qtde],supercb[Item],tab_alimentos[[#This Row],[Item]],supercb[Bairro],mercado16)</f>
        <v>0</v>
      </c>
      <c r="AB83" s="1">
        <f>SUMIFS(super1[Qtde],super1[Item],tab_alimentos[[#This Row],[Item]],super1[Bairro],mercado17)+SUMIFS(supercb[Qtde],supercb[Item],tab_alimentos[[#This Row],[Item]],supercb[Bairro],mercado17)</f>
        <v>0</v>
      </c>
      <c r="AC83" s="1">
        <f>SUMIFS(super1[Qtde],super1[Item],tab_alimentos[[#This Row],[Item]],super1[Bairro],mercado18)+SUMIFS(supercb[Qtde],supercb[Item],tab_alimentos[[#This Row],[Item]],supercb[Bairro],mercado18)</f>
        <v>0</v>
      </c>
      <c r="AD83" s="1">
        <f>SUMIFS(super1[Qtde],super1[Item],tab_alimentos[[#This Row],[Item]],super1[Bairro],extras)+SUMIFS(supercb[Qtde],supercb[Item],tab_alimentos[[#This Row],[Item]],supercb[Bairro],extras)</f>
        <v>0</v>
      </c>
      <c r="AE83" s="1">
        <f t="shared" si="27"/>
        <v>0</v>
      </c>
      <c r="AF83" s="1">
        <f t="shared" si="28"/>
        <v>0</v>
      </c>
      <c r="AG83" s="3">
        <f t="shared" si="29"/>
        <v>0</v>
      </c>
      <c r="AH83" s="25" t="str">
        <f>higiene[[#This Row],[Item]]</f>
        <v>Fosforo (200un)</v>
      </c>
      <c r="AI83" s="1">
        <f>IFERROR(higiene[[#This Row],[Kg equivalente]],0)</f>
        <v>1.1300928039655826</v>
      </c>
      <c r="AJ83" s="1">
        <f>IFERROR(higiene[[#This Row],[Preço por produto]],0)</f>
        <v>3.7433333333333336</v>
      </c>
      <c r="AK83" s="1">
        <f>SUMIFS(super1[Qtde],super1[Item],tab_higiene[[#This Row],[Item]],super1[Bairro],mercado1)+SUMIFS(supercb[Qtde],supercb[Item],tab_higiene[[#This Row],[Item]],supercb[Bairro],mercado1)</f>
        <v>0</v>
      </c>
      <c r="AL83" s="1">
        <f>SUMIFS(super1[Qtde],super1[Item],tab_higiene[[#This Row],[Item]],super1[Bairro],mercado2)+SUMIFS(supercb[Qtde],supercb[Item],tab_higiene[[#This Row],[Item]],supercb[Bairro],mercado2)</f>
        <v>0</v>
      </c>
      <c r="AM83" s="1">
        <f>SUMIFS(super1[Qtde],super1[Item],tab_higiene[[#This Row],[Item]],super1[Bairro],mercado3)+SUMIFS(supercb[Qtde],supercb[Item],tab_higiene[[#This Row],[Item]],supercb[Bairro],mercado3)</f>
        <v>0</v>
      </c>
      <c r="AN83" s="1">
        <f>SUMIFS(super1[Qtde],super1[Item],tab_higiene[[#This Row],[Item]],super1[Bairro],mercado4)+SUMIFS(supercb[Qtde],supercb[Item],tab_higiene[[#This Row],[Item]],supercb[Bairro],mercado4)</f>
        <v>0</v>
      </c>
      <c r="AO83" s="1">
        <f>SUMIFS(super1[Qtde],super1[Item],tab_higiene[[#This Row],[Item]],super1[Bairro],mercado5)+SUMIFS(supercb[Qtde],supercb[Item],tab_higiene[[#This Row],[Item]],supercb[Bairro],mercado5)</f>
        <v>0</v>
      </c>
      <c r="AP83" s="1">
        <f>SUMIFS(super1[Qtde],super1[Item],tab_higiene[[#This Row],[Item]],super1[Bairro],mercado6)+SUMIFS(supercb[Qtde],supercb[Item],tab_higiene[[#This Row],[Item]],supercb[Bairro],mercado6)</f>
        <v>0</v>
      </c>
      <c r="AQ83" s="1">
        <f>SUMIFS(super1[Qtde],super1[Item],tab_higiene[[#This Row],[Item]],super1[Bairro],mercado7)+SUMIFS(supercb[Qtde],supercb[Item],tab_higiene[[#This Row],[Item]],supercb[Bairro],mercado7)</f>
        <v>0</v>
      </c>
      <c r="AR83" s="1">
        <f>SUMIFS(super1[Qtde],super1[Item],tab_higiene[[#This Row],[Item]],super1[Bairro],mercado8)+SUMIFS(supercb[Qtde],supercb[Item],tab_higiene[[#This Row],[Item]],supercb[Bairro],mercado8)</f>
        <v>0</v>
      </c>
      <c r="AS83" s="1">
        <f>SUMIFS(super1[Qtde],super1[Item],tab_higiene[[#This Row],[Item]],super1[Bairro],mercado9)+SUMIFS(supercb[Qtde],supercb[Item],tab_higiene[[#This Row],[Item]],supercb[Bairro],mercado9)</f>
        <v>0</v>
      </c>
      <c r="AT83" s="1">
        <f>SUMIFS(super1[Qtde],super1[Item],tab_higiene[[#This Row],[Item]],super1[Bairro],mercado10)+SUMIFS(supercb[Qtde],supercb[Item],tab_higiene[[#This Row],[Item]],supercb[Bairro],mercado10)</f>
        <v>0</v>
      </c>
      <c r="AU83" s="1">
        <f>SUMIFS(super1[Qtde],super1[Item],tab_higiene[[#This Row],[Item]],super1[Bairro],mercado11)+SUMIFS(supercb[Qtde],supercb[Item],tab_higiene[[#This Row],[Item]],supercb[Bairro],mercado11)</f>
        <v>0</v>
      </c>
      <c r="AV83" s="1">
        <f>SUMIFS(super1[Qtde],super1[Item],tab_higiene[[#This Row],[Item]],super1[Bairro],mercado12)+SUMIFS(supercb[Qtde],supercb[Item],tab_higiene[[#This Row],[Item]],supercb[Bairro],mercado12)</f>
        <v>0</v>
      </c>
      <c r="AW83" s="1">
        <f>SUMIFS(super1[Qtde],super1[Item],tab_higiene[[#This Row],[Item]],super1[Bairro],mercado13)+SUMIFS(supercb[Qtde],supercb[Item],tab_higiene[[#This Row],[Item]],supercb[Bairro],mercado13)</f>
        <v>0</v>
      </c>
      <c r="AX83" s="1">
        <f>SUMIFS(super1[Qtde],super1[Item],tab_higiene[[#This Row],[Item]],super1[Bairro],mercado14)+SUMIFS(supercb[Qtde],supercb[Item],tab_higiene[[#This Row],[Item]],supercb[Bairro],mercado14)</f>
        <v>0</v>
      </c>
      <c r="AY83" s="1">
        <f>SUMIFS(super1[Qtde],super1[Item],tab_higiene[[#This Row],[Item]],super1[Bairro],mercado15)+SUMIFS(supercb[Qtde],supercb[Item],tab_higiene[[#This Row],[Item]],supercb[Bairro],mercado15)</f>
        <v>0</v>
      </c>
      <c r="AZ83" s="1">
        <f>SUMIFS(super1[Qtde],super1[Item],tab_higiene[[#This Row],[Item]],super1[Bairro],mercado16)+SUMIFS(supercb[Qtde],supercb[Item],tab_higiene[[#This Row],[Item]],supercb[Bairro],mercado16)</f>
        <v>0</v>
      </c>
      <c r="BA83" s="1">
        <f>SUMIFS(super1[Qtde],super1[Item],tab_higiene[[#This Row],[Item]],super1[Bairro],mercado17)+SUMIFS(supercb[Qtde],supercb[Item],tab_higiene[[#This Row],[Item]],supercb[Bairro],mercado17)</f>
        <v>0</v>
      </c>
      <c r="BB83" s="1">
        <f>SUMIFS(super1[Qtde],super1[Item],tab_higiene[[#This Row],[Item]],super1[Bairro],mercado18)+SUMIFS(supercb[Qtde],supercb[Item],tab_higiene[[#This Row],[Item]],supercb[Bairro],mercado18)</f>
        <v>0</v>
      </c>
      <c r="BC83" s="1">
        <f>SUMIFS(super1[Qtde],super1[Item],tab_higiene[[#This Row],[Item]],super1[Bairro],extras)+SUMIFS(supercb[Qtde],supercb[Item],tab_higiene[[#This Row],[Item]],supercb[Bairro],extras)</f>
        <v>0</v>
      </c>
      <c r="BD83" s="1">
        <f t="shared" si="30"/>
        <v>0</v>
      </c>
      <c r="BE83" s="1">
        <f t="shared" si="31"/>
        <v>0</v>
      </c>
      <c r="BF83" s="26">
        <f t="shared" si="32"/>
        <v>0</v>
      </c>
      <c r="BI83" s="33" t="str">
        <f>tab_alimentos[[#This Row],[Item]]</f>
        <v>Chá (10un)</v>
      </c>
      <c r="BJ83" s="33">
        <f t="shared" si="25"/>
        <v>4</v>
      </c>
      <c r="BK83" s="33" t="str">
        <f t="shared" si="26"/>
        <v>Chá</v>
      </c>
      <c r="BL83" s="33">
        <f>tab_alimentos[[#This Row],[kg]]</f>
        <v>0</v>
      </c>
      <c r="BM83" t="s">
        <v>94</v>
      </c>
      <c r="BN83" s="35">
        <f t="shared" si="36"/>
        <v>0</v>
      </c>
      <c r="BP83" s="33" t="str">
        <f>tab_higiene[[#This Row],[Item]]</f>
        <v>Fosforo (200un)</v>
      </c>
      <c r="BQ83" s="33">
        <f t="shared" si="33"/>
        <v>8</v>
      </c>
      <c r="BR83" s="33" t="str">
        <f t="shared" si="34"/>
        <v>Fosforo</v>
      </c>
      <c r="BS83" s="33">
        <f>higiene[[#This Row],[Quantidade]]</f>
        <v>34</v>
      </c>
      <c r="BT83" s="33">
        <f>tab_higiene[Qtde (tot)]</f>
        <v>0</v>
      </c>
      <c r="BU83" s="33">
        <f t="shared" si="37"/>
        <v>0</v>
      </c>
      <c r="BW83" s="33">
        <f t="shared" si="35"/>
        <v>0</v>
      </c>
    </row>
    <row r="84" spans="9:75" x14ac:dyDescent="0.25">
      <c r="I84" s="25" t="str">
        <f>alimentos[[#This Row],[Item]]</f>
        <v>Chá (12g)</v>
      </c>
      <c r="J84" s="1">
        <f>IFERROR(alimentos[[#This Row],[kg/embalagem]],0)</f>
        <v>1.2E-2</v>
      </c>
      <c r="K84" s="1">
        <f>IFERROR(alimentos[[#This Row],[Preço]],0)</f>
        <v>6.6</v>
      </c>
      <c r="L84" s="1">
        <f>SUMIFS(super1[Qtde],super1[Item],tab_alimentos[[#This Row],[Item]],super1[Bairro],mercado1)+SUMIFS(supercb[Qtde],supercb[Item],tab_alimentos[[#This Row],[Item]],supercb[Bairro],mercado1)</f>
        <v>0</v>
      </c>
      <c r="M84" s="1">
        <f>SUMIFS(super1[Qtde],super1[Item],tab_alimentos[[#This Row],[Item]],super1[Bairro],mercado2)+SUMIFS(supercb[Qtde],supercb[Item],tab_alimentos[[#This Row],[Item]],supercb[Bairro],mercado2)</f>
        <v>0</v>
      </c>
      <c r="N84" s="1">
        <f>SUMIFS(super1[Qtde],super1[Item],tab_alimentos[[#This Row],[Item]],super1[Bairro],mercado3)+SUMIFS(supercb[Qtde],supercb[Item],tab_alimentos[[#This Row],[Item]],supercb[Bairro],mercado3)</f>
        <v>0</v>
      </c>
      <c r="O84" s="1">
        <f>SUMIFS(super1[Qtde],super1[Item],tab_alimentos[[#This Row],[Item]],super1[Bairro],mercado4)+SUMIFS(supercb[Qtde],supercb[Item],tab_alimentos[[#This Row],[Item]],supercb[Bairro],mercado4)</f>
        <v>0</v>
      </c>
      <c r="P84" s="1">
        <f>SUMIFS(super1[Qtde],super1[Item],tab_alimentos[[#This Row],[Item]],super1[Bairro],mercado5)+SUMIFS(supercb[Qtde],supercb[Item],tab_alimentos[[#This Row],[Item]],supercb[Bairro],mercado5)</f>
        <v>0</v>
      </c>
      <c r="Q84" s="1">
        <f>SUMIFS(super1[Qtde],super1[Item],tab_alimentos[[#This Row],[Item]],super1[Bairro],mercado6)+SUMIFS(supercb[Qtde],supercb[Item],tab_alimentos[[#This Row],[Item]],supercb[Bairro],mercado6)</f>
        <v>0</v>
      </c>
      <c r="R84" s="1">
        <f>SUMIFS(super1[Qtde],super1[Item],tab_alimentos[[#This Row],[Item]],super1[Bairro],mercado7)+SUMIFS(supercb[Qtde],supercb[Item],tab_alimentos[[#This Row],[Item]],supercb[Bairro],mercado7)</f>
        <v>0</v>
      </c>
      <c r="S84" s="1">
        <f>SUMIFS(super1[Qtde],super1[Item],tab_alimentos[[#This Row],[Item]],super1[Bairro],mercado8)+SUMIFS(supercb[Qtde],supercb[Item],tab_alimentos[[#This Row],[Item]],supercb[Bairro],mercado8)</f>
        <v>0</v>
      </c>
      <c r="T84" s="1">
        <f>SUMIFS(super1[Qtde],super1[Item],tab_alimentos[[#This Row],[Item]],super1[Bairro],mercado9)+SUMIFS(supercb[Qtde],supercb[Item],tab_alimentos[[#This Row],[Item]],supercb[Bairro],mercado9)</f>
        <v>0</v>
      </c>
      <c r="U84" s="1">
        <f>SUMIFS(super1[Qtde],super1[Item],tab_alimentos[[#This Row],[Item]],super1[Bairro],mercado10)+SUMIFS(supercb[Qtde],supercb[Item],tab_alimentos[[#This Row],[Item]],supercb[Bairro],mercado10)</f>
        <v>0</v>
      </c>
      <c r="V84" s="1">
        <f>SUMIFS(super1[Qtde],super1[Item],tab_alimentos[[#This Row],[Item]],super1[Bairro],mercado11)+SUMIFS(supercb[Qtde],supercb[Item],tab_alimentos[[#This Row],[Item]],supercb[Bairro],mercado11)</f>
        <v>0</v>
      </c>
      <c r="W84" s="1">
        <f>SUMIFS(super1[Qtde],super1[Item],tab_alimentos[[#This Row],[Item]],super1[Bairro],mercado12)+SUMIFS(supercb[Qtde],supercb[Item],tab_alimentos[[#This Row],[Item]],supercb[Bairro],mercado12)</f>
        <v>0</v>
      </c>
      <c r="X84" s="1">
        <f>SUMIFS(super1[Qtde],super1[Item],tab_alimentos[[#This Row],[Item]],super1[Bairro],mercado13)+SUMIFS(supercb[Qtde],supercb[Item],tab_alimentos[[#This Row],[Item]],supercb[Bairro],mercado13)</f>
        <v>0</v>
      </c>
      <c r="Y84" s="1">
        <f>SUMIFS(super1[Qtde],super1[Item],tab_alimentos[[#This Row],[Item]],super1[Bairro],mercado14)+SUMIFS(supercb[Qtde],supercb[Item],tab_alimentos[[#This Row],[Item]],supercb[Bairro],mercado14)</f>
        <v>0</v>
      </c>
      <c r="Z84" s="1">
        <f>SUMIFS(super1[Qtde],super1[Item],tab_alimentos[[#This Row],[Item]],super1[Bairro],mercado15)+SUMIFS(supercb[Qtde],supercb[Item],tab_alimentos[[#This Row],[Item]],supercb[Bairro],mercado15)</f>
        <v>0</v>
      </c>
      <c r="AA84" s="1">
        <f>SUMIFS(super1[Qtde],super1[Item],tab_alimentos[[#This Row],[Item]],super1[Bairro],mercado16)+SUMIFS(supercb[Qtde],supercb[Item],tab_alimentos[[#This Row],[Item]],supercb[Bairro],mercado16)</f>
        <v>0</v>
      </c>
      <c r="AB84" s="1">
        <f>SUMIFS(super1[Qtde],super1[Item],tab_alimentos[[#This Row],[Item]],super1[Bairro],mercado17)+SUMIFS(supercb[Qtde],supercb[Item],tab_alimentos[[#This Row],[Item]],supercb[Bairro],mercado17)</f>
        <v>0</v>
      </c>
      <c r="AC84" s="1">
        <f>SUMIFS(super1[Qtde],super1[Item],tab_alimentos[[#This Row],[Item]],super1[Bairro],mercado18)+SUMIFS(supercb[Qtde],supercb[Item],tab_alimentos[[#This Row],[Item]],supercb[Bairro],mercado18)</f>
        <v>0</v>
      </c>
      <c r="AD84" s="1">
        <f>SUMIFS(super1[Qtde],super1[Item],tab_alimentos[[#This Row],[Item]],super1[Bairro],extras)+SUMIFS(supercb[Qtde],supercb[Item],tab_alimentos[[#This Row],[Item]],supercb[Bairro],extras)</f>
        <v>0</v>
      </c>
      <c r="AE84" s="1">
        <f t="shared" si="27"/>
        <v>0</v>
      </c>
      <c r="AF84" s="1">
        <f t="shared" si="28"/>
        <v>0</v>
      </c>
      <c r="AG84" s="3">
        <f t="shared" si="29"/>
        <v>0</v>
      </c>
      <c r="AH84" s="25" t="str">
        <f>higiene[[#This Row],[Item]]</f>
        <v>Fósforo (40un)</v>
      </c>
      <c r="AI84" s="1">
        <f>IFERROR(higiene[[#This Row],[Kg equivalente]],0)</f>
        <v>0.96304435743104411</v>
      </c>
      <c r="AJ84" s="1">
        <f>IFERROR(higiene[[#This Row],[Preço por produto]],0)</f>
        <v>3.19</v>
      </c>
      <c r="AK84" s="1">
        <f>SUMIFS(super1[Qtde],super1[Item],tab_higiene[[#This Row],[Item]],super1[Bairro],mercado1)+SUMIFS(supercb[Qtde],supercb[Item],tab_higiene[[#This Row],[Item]],supercb[Bairro],mercado1)</f>
        <v>0</v>
      </c>
      <c r="AL84" s="1">
        <f>SUMIFS(super1[Qtde],super1[Item],tab_higiene[[#This Row],[Item]],super1[Bairro],mercado2)+SUMIFS(supercb[Qtde],supercb[Item],tab_higiene[[#This Row],[Item]],supercb[Bairro],mercado2)</f>
        <v>0</v>
      </c>
      <c r="AM84" s="1">
        <f>SUMIFS(super1[Qtde],super1[Item],tab_higiene[[#This Row],[Item]],super1[Bairro],mercado3)+SUMIFS(supercb[Qtde],supercb[Item],tab_higiene[[#This Row],[Item]],supercb[Bairro],mercado3)</f>
        <v>0</v>
      </c>
      <c r="AN84" s="1">
        <f>SUMIFS(super1[Qtde],super1[Item],tab_higiene[[#This Row],[Item]],super1[Bairro],mercado4)+SUMIFS(supercb[Qtde],supercb[Item],tab_higiene[[#This Row],[Item]],supercb[Bairro],mercado4)</f>
        <v>0</v>
      </c>
      <c r="AO84" s="1">
        <f>SUMIFS(super1[Qtde],super1[Item],tab_higiene[[#This Row],[Item]],super1[Bairro],mercado5)+SUMIFS(supercb[Qtde],supercb[Item],tab_higiene[[#This Row],[Item]],supercb[Bairro],mercado5)</f>
        <v>0</v>
      </c>
      <c r="AP84" s="1">
        <f>SUMIFS(super1[Qtde],super1[Item],tab_higiene[[#This Row],[Item]],super1[Bairro],mercado6)+SUMIFS(supercb[Qtde],supercb[Item],tab_higiene[[#This Row],[Item]],supercb[Bairro],mercado6)</f>
        <v>0</v>
      </c>
      <c r="AQ84" s="1">
        <f>SUMIFS(super1[Qtde],super1[Item],tab_higiene[[#This Row],[Item]],super1[Bairro],mercado7)+SUMIFS(supercb[Qtde],supercb[Item],tab_higiene[[#This Row],[Item]],supercb[Bairro],mercado7)</f>
        <v>0</v>
      </c>
      <c r="AR84" s="1">
        <f>SUMIFS(super1[Qtde],super1[Item],tab_higiene[[#This Row],[Item]],super1[Bairro],mercado8)+SUMIFS(supercb[Qtde],supercb[Item],tab_higiene[[#This Row],[Item]],supercb[Bairro],mercado8)</f>
        <v>0</v>
      </c>
      <c r="AS84" s="1">
        <f>SUMIFS(super1[Qtde],super1[Item],tab_higiene[[#This Row],[Item]],super1[Bairro],mercado9)+SUMIFS(supercb[Qtde],supercb[Item],tab_higiene[[#This Row],[Item]],supercb[Bairro],mercado9)</f>
        <v>0</v>
      </c>
      <c r="AT84" s="1">
        <f>SUMIFS(super1[Qtde],super1[Item],tab_higiene[[#This Row],[Item]],super1[Bairro],mercado10)+SUMIFS(supercb[Qtde],supercb[Item],tab_higiene[[#This Row],[Item]],supercb[Bairro],mercado10)</f>
        <v>0</v>
      </c>
      <c r="AU84" s="1">
        <f>SUMIFS(super1[Qtde],super1[Item],tab_higiene[[#This Row],[Item]],super1[Bairro],mercado11)+SUMIFS(supercb[Qtde],supercb[Item],tab_higiene[[#This Row],[Item]],supercb[Bairro],mercado11)</f>
        <v>0</v>
      </c>
      <c r="AV84" s="1">
        <f>SUMIFS(super1[Qtde],super1[Item],tab_higiene[[#This Row],[Item]],super1[Bairro],mercado12)+SUMIFS(supercb[Qtde],supercb[Item],tab_higiene[[#This Row],[Item]],supercb[Bairro],mercado12)</f>
        <v>0</v>
      </c>
      <c r="AW84" s="1">
        <f>SUMIFS(super1[Qtde],super1[Item],tab_higiene[[#This Row],[Item]],super1[Bairro],mercado13)+SUMIFS(supercb[Qtde],supercb[Item],tab_higiene[[#This Row],[Item]],supercb[Bairro],mercado13)</f>
        <v>0</v>
      </c>
      <c r="AX84" s="1">
        <f>SUMIFS(super1[Qtde],super1[Item],tab_higiene[[#This Row],[Item]],super1[Bairro],mercado14)+SUMIFS(supercb[Qtde],supercb[Item],tab_higiene[[#This Row],[Item]],supercb[Bairro],mercado14)</f>
        <v>0</v>
      </c>
      <c r="AY84" s="1">
        <f>SUMIFS(super1[Qtde],super1[Item],tab_higiene[[#This Row],[Item]],super1[Bairro],mercado15)+SUMIFS(supercb[Qtde],supercb[Item],tab_higiene[[#This Row],[Item]],supercb[Bairro],mercado15)</f>
        <v>0</v>
      </c>
      <c r="AZ84" s="1">
        <f>SUMIFS(super1[Qtde],super1[Item],tab_higiene[[#This Row],[Item]],super1[Bairro],mercado16)+SUMIFS(supercb[Qtde],supercb[Item],tab_higiene[[#This Row],[Item]],supercb[Bairro],mercado16)</f>
        <v>0</v>
      </c>
      <c r="BA84" s="1">
        <f>SUMIFS(super1[Qtde],super1[Item],tab_higiene[[#This Row],[Item]],super1[Bairro],mercado17)+SUMIFS(supercb[Qtde],supercb[Item],tab_higiene[[#This Row],[Item]],supercb[Bairro],mercado17)</f>
        <v>0</v>
      </c>
      <c r="BB84" s="1">
        <f>SUMIFS(super1[Qtde],super1[Item],tab_higiene[[#This Row],[Item]],super1[Bairro],mercado18)+SUMIFS(supercb[Qtde],supercb[Item],tab_higiene[[#This Row],[Item]],supercb[Bairro],mercado18)</f>
        <v>0</v>
      </c>
      <c r="BC84" s="1">
        <f>SUMIFS(super1[Qtde],super1[Item],tab_higiene[[#This Row],[Item]],super1[Bairro],extras)+SUMIFS(supercb[Qtde],supercb[Item],tab_higiene[[#This Row],[Item]],supercb[Bairro],extras)</f>
        <v>0</v>
      </c>
      <c r="BD84" s="1">
        <f t="shared" si="30"/>
        <v>0</v>
      </c>
      <c r="BE84" s="1">
        <f t="shared" si="31"/>
        <v>0</v>
      </c>
      <c r="BF84" s="26">
        <f t="shared" si="32"/>
        <v>0</v>
      </c>
      <c r="BI84" s="33" t="str">
        <f>tab_alimentos[[#This Row],[Item]]</f>
        <v>Chá (12g)</v>
      </c>
      <c r="BJ84" s="33">
        <f t="shared" si="25"/>
        <v>4</v>
      </c>
      <c r="BK84" s="33" t="str">
        <f t="shared" si="26"/>
        <v>Chá</v>
      </c>
      <c r="BL84" s="33">
        <f>tab_alimentos[[#This Row],[kg]]</f>
        <v>0</v>
      </c>
      <c r="BM84" t="s">
        <v>166</v>
      </c>
      <c r="BN84" s="35">
        <f t="shared" si="36"/>
        <v>0</v>
      </c>
      <c r="BP84" s="33" t="str">
        <f>tab_higiene[[#This Row],[Item]]</f>
        <v>Fósforo (40un)</v>
      </c>
      <c r="BQ84" s="33">
        <f t="shared" si="33"/>
        <v>8</v>
      </c>
      <c r="BR84" s="33" t="str">
        <f t="shared" si="34"/>
        <v>Fósforo</v>
      </c>
      <c r="BS84" s="33">
        <f>higiene[[#This Row],[Quantidade]]</f>
        <v>40</v>
      </c>
      <c r="BT84" s="33">
        <f>tab_higiene[Qtde (tot)]</f>
        <v>0</v>
      </c>
      <c r="BU84" s="33">
        <f t="shared" si="37"/>
        <v>0</v>
      </c>
      <c r="BW84" s="33">
        <f t="shared" si="35"/>
        <v>0</v>
      </c>
    </row>
    <row r="85" spans="9:75" x14ac:dyDescent="0.25">
      <c r="I85" s="25" t="str">
        <f>alimentos[[#This Row],[Item]]</f>
        <v>Chá (22,5g)</v>
      </c>
      <c r="J85" s="1">
        <f>IFERROR(alimentos[[#This Row],[kg/embalagem]],0)</f>
        <v>2.2499999999999999E-2</v>
      </c>
      <c r="K85" s="1">
        <f>IFERROR(alimentos[[#This Row],[Preço]],0)</f>
        <v>7.083333333333333</v>
      </c>
      <c r="L85" s="1">
        <f>SUMIFS(super1[Qtde],super1[Item],tab_alimentos[[#This Row],[Item]],super1[Bairro],mercado1)+SUMIFS(supercb[Qtde],supercb[Item],tab_alimentos[[#This Row],[Item]],supercb[Bairro],mercado1)</f>
        <v>0</v>
      </c>
      <c r="M85" s="1">
        <f>SUMIFS(super1[Qtde],super1[Item],tab_alimentos[[#This Row],[Item]],super1[Bairro],mercado2)+SUMIFS(supercb[Qtde],supercb[Item],tab_alimentos[[#This Row],[Item]],supercb[Bairro],mercado2)</f>
        <v>0</v>
      </c>
      <c r="N85" s="1">
        <f>SUMIFS(super1[Qtde],super1[Item],tab_alimentos[[#This Row],[Item]],super1[Bairro],mercado3)+SUMIFS(supercb[Qtde],supercb[Item],tab_alimentos[[#This Row],[Item]],supercb[Bairro],mercado3)</f>
        <v>0</v>
      </c>
      <c r="O85" s="1">
        <f>SUMIFS(super1[Qtde],super1[Item],tab_alimentos[[#This Row],[Item]],super1[Bairro],mercado4)+SUMIFS(supercb[Qtde],supercb[Item],tab_alimentos[[#This Row],[Item]],supercb[Bairro],mercado4)</f>
        <v>0</v>
      </c>
      <c r="P85" s="1">
        <f>SUMIFS(super1[Qtde],super1[Item],tab_alimentos[[#This Row],[Item]],super1[Bairro],mercado5)+SUMIFS(supercb[Qtde],supercb[Item],tab_alimentos[[#This Row],[Item]],supercb[Bairro],mercado5)</f>
        <v>0</v>
      </c>
      <c r="Q85" s="1">
        <f>SUMIFS(super1[Qtde],super1[Item],tab_alimentos[[#This Row],[Item]],super1[Bairro],mercado6)+SUMIFS(supercb[Qtde],supercb[Item],tab_alimentos[[#This Row],[Item]],supercb[Bairro],mercado6)</f>
        <v>0</v>
      </c>
      <c r="R85" s="1">
        <f>SUMIFS(super1[Qtde],super1[Item],tab_alimentos[[#This Row],[Item]],super1[Bairro],mercado7)+SUMIFS(supercb[Qtde],supercb[Item],tab_alimentos[[#This Row],[Item]],supercb[Bairro],mercado7)</f>
        <v>0</v>
      </c>
      <c r="S85" s="1">
        <f>SUMIFS(super1[Qtde],super1[Item],tab_alimentos[[#This Row],[Item]],super1[Bairro],mercado8)+SUMIFS(supercb[Qtde],supercb[Item],tab_alimentos[[#This Row],[Item]],supercb[Bairro],mercado8)</f>
        <v>0</v>
      </c>
      <c r="T85" s="1">
        <f>SUMIFS(super1[Qtde],super1[Item],tab_alimentos[[#This Row],[Item]],super1[Bairro],mercado9)+SUMIFS(supercb[Qtde],supercb[Item],tab_alimentos[[#This Row],[Item]],supercb[Bairro],mercado9)</f>
        <v>0</v>
      </c>
      <c r="U85" s="1">
        <f>SUMIFS(super1[Qtde],super1[Item],tab_alimentos[[#This Row],[Item]],super1[Bairro],mercado10)+SUMIFS(supercb[Qtde],supercb[Item],tab_alimentos[[#This Row],[Item]],supercb[Bairro],mercado10)</f>
        <v>0</v>
      </c>
      <c r="V85" s="1">
        <f>SUMIFS(super1[Qtde],super1[Item],tab_alimentos[[#This Row],[Item]],super1[Bairro],mercado11)+SUMIFS(supercb[Qtde],supercb[Item],tab_alimentos[[#This Row],[Item]],supercb[Bairro],mercado11)</f>
        <v>0</v>
      </c>
      <c r="W85" s="1">
        <f>SUMIFS(super1[Qtde],super1[Item],tab_alimentos[[#This Row],[Item]],super1[Bairro],mercado12)+SUMIFS(supercb[Qtde],supercb[Item],tab_alimentos[[#This Row],[Item]],supercb[Bairro],mercado12)</f>
        <v>0</v>
      </c>
      <c r="X85" s="1">
        <f>SUMIFS(super1[Qtde],super1[Item],tab_alimentos[[#This Row],[Item]],super1[Bairro],mercado13)+SUMIFS(supercb[Qtde],supercb[Item],tab_alimentos[[#This Row],[Item]],supercb[Bairro],mercado13)</f>
        <v>0</v>
      </c>
      <c r="Y85" s="1">
        <f>SUMIFS(super1[Qtde],super1[Item],tab_alimentos[[#This Row],[Item]],super1[Bairro],mercado14)+SUMIFS(supercb[Qtde],supercb[Item],tab_alimentos[[#This Row],[Item]],supercb[Bairro],mercado14)</f>
        <v>0</v>
      </c>
      <c r="Z85" s="1">
        <f>SUMIFS(super1[Qtde],super1[Item],tab_alimentos[[#This Row],[Item]],super1[Bairro],mercado15)+SUMIFS(supercb[Qtde],supercb[Item],tab_alimentos[[#This Row],[Item]],supercb[Bairro],mercado15)</f>
        <v>0</v>
      </c>
      <c r="AA85" s="1">
        <f>SUMIFS(super1[Qtde],super1[Item],tab_alimentos[[#This Row],[Item]],super1[Bairro],mercado16)+SUMIFS(supercb[Qtde],supercb[Item],tab_alimentos[[#This Row],[Item]],supercb[Bairro],mercado16)</f>
        <v>0</v>
      </c>
      <c r="AB85" s="1">
        <f>SUMIFS(super1[Qtde],super1[Item],tab_alimentos[[#This Row],[Item]],super1[Bairro],mercado17)+SUMIFS(supercb[Qtde],supercb[Item],tab_alimentos[[#This Row],[Item]],supercb[Bairro],mercado17)</f>
        <v>0</v>
      </c>
      <c r="AC85" s="1">
        <f>SUMIFS(super1[Qtde],super1[Item],tab_alimentos[[#This Row],[Item]],super1[Bairro],mercado18)+SUMIFS(supercb[Qtde],supercb[Item],tab_alimentos[[#This Row],[Item]],supercb[Bairro],mercado18)</f>
        <v>0</v>
      </c>
      <c r="AD85" s="1">
        <f>SUMIFS(super1[Qtde],super1[Item],tab_alimentos[[#This Row],[Item]],super1[Bairro],extras)+SUMIFS(supercb[Qtde],supercb[Item],tab_alimentos[[#This Row],[Item]],supercb[Bairro],extras)</f>
        <v>0</v>
      </c>
      <c r="AE85" s="1">
        <f t="shared" si="27"/>
        <v>0</v>
      </c>
      <c r="AF85" s="1">
        <f t="shared" si="28"/>
        <v>0</v>
      </c>
      <c r="AG85" s="3">
        <f t="shared" si="29"/>
        <v>0</v>
      </c>
      <c r="AH85" s="25" t="str">
        <f>higiene[[#This Row],[Item]]</f>
        <v>Fósforo (50un)</v>
      </c>
      <c r="AI85" s="1">
        <f>IFERROR(higiene[[#This Row],[Kg equivalente]],0)</f>
        <v>0.84228644427354649</v>
      </c>
      <c r="AJ85" s="1">
        <f>IFERROR(higiene[[#This Row],[Preço por produto]],0)</f>
        <v>2.79</v>
      </c>
      <c r="AK85" s="1">
        <f>SUMIFS(super1[Qtde],super1[Item],tab_higiene[[#This Row],[Item]],super1[Bairro],mercado1)+SUMIFS(supercb[Qtde],supercb[Item],tab_higiene[[#This Row],[Item]],supercb[Bairro],mercado1)</f>
        <v>0</v>
      </c>
      <c r="AL85" s="1">
        <f>SUMIFS(super1[Qtde],super1[Item],tab_higiene[[#This Row],[Item]],super1[Bairro],mercado2)+SUMIFS(supercb[Qtde],supercb[Item],tab_higiene[[#This Row],[Item]],supercb[Bairro],mercado2)</f>
        <v>0</v>
      </c>
      <c r="AM85" s="1">
        <f>SUMIFS(super1[Qtde],super1[Item],tab_higiene[[#This Row],[Item]],super1[Bairro],mercado3)+SUMIFS(supercb[Qtde],supercb[Item],tab_higiene[[#This Row],[Item]],supercb[Bairro],mercado3)</f>
        <v>0</v>
      </c>
      <c r="AN85" s="1">
        <f>SUMIFS(super1[Qtde],super1[Item],tab_higiene[[#This Row],[Item]],super1[Bairro],mercado4)+SUMIFS(supercb[Qtde],supercb[Item],tab_higiene[[#This Row],[Item]],supercb[Bairro],mercado4)</f>
        <v>0</v>
      </c>
      <c r="AO85" s="1">
        <f>SUMIFS(super1[Qtde],super1[Item],tab_higiene[[#This Row],[Item]],super1[Bairro],mercado5)+SUMIFS(supercb[Qtde],supercb[Item],tab_higiene[[#This Row],[Item]],supercb[Bairro],mercado5)</f>
        <v>0</v>
      </c>
      <c r="AP85" s="1">
        <f>SUMIFS(super1[Qtde],super1[Item],tab_higiene[[#This Row],[Item]],super1[Bairro],mercado6)+SUMIFS(supercb[Qtde],supercb[Item],tab_higiene[[#This Row],[Item]],supercb[Bairro],mercado6)</f>
        <v>0</v>
      </c>
      <c r="AQ85" s="1">
        <f>SUMIFS(super1[Qtde],super1[Item],tab_higiene[[#This Row],[Item]],super1[Bairro],mercado7)+SUMIFS(supercb[Qtde],supercb[Item],tab_higiene[[#This Row],[Item]],supercb[Bairro],mercado7)</f>
        <v>0</v>
      </c>
      <c r="AR85" s="1">
        <f>SUMIFS(super1[Qtde],super1[Item],tab_higiene[[#This Row],[Item]],super1[Bairro],mercado8)+SUMIFS(supercb[Qtde],supercb[Item],tab_higiene[[#This Row],[Item]],supercb[Bairro],mercado8)</f>
        <v>0</v>
      </c>
      <c r="AS85" s="1">
        <f>SUMIFS(super1[Qtde],super1[Item],tab_higiene[[#This Row],[Item]],super1[Bairro],mercado9)+SUMIFS(supercb[Qtde],supercb[Item],tab_higiene[[#This Row],[Item]],supercb[Bairro],mercado9)</f>
        <v>0</v>
      </c>
      <c r="AT85" s="1">
        <f>SUMIFS(super1[Qtde],super1[Item],tab_higiene[[#This Row],[Item]],super1[Bairro],mercado10)+SUMIFS(supercb[Qtde],supercb[Item],tab_higiene[[#This Row],[Item]],supercb[Bairro],mercado10)</f>
        <v>0</v>
      </c>
      <c r="AU85" s="1">
        <f>SUMIFS(super1[Qtde],super1[Item],tab_higiene[[#This Row],[Item]],super1[Bairro],mercado11)+SUMIFS(supercb[Qtde],supercb[Item],tab_higiene[[#This Row],[Item]],supercb[Bairro],mercado11)</f>
        <v>0</v>
      </c>
      <c r="AV85" s="1">
        <f>SUMIFS(super1[Qtde],super1[Item],tab_higiene[[#This Row],[Item]],super1[Bairro],mercado12)+SUMIFS(supercb[Qtde],supercb[Item],tab_higiene[[#This Row],[Item]],supercb[Bairro],mercado12)</f>
        <v>0</v>
      </c>
      <c r="AW85" s="1">
        <f>SUMIFS(super1[Qtde],super1[Item],tab_higiene[[#This Row],[Item]],super1[Bairro],mercado13)+SUMIFS(supercb[Qtde],supercb[Item],tab_higiene[[#This Row],[Item]],supercb[Bairro],mercado13)</f>
        <v>0</v>
      </c>
      <c r="AX85" s="1">
        <f>SUMIFS(super1[Qtde],super1[Item],tab_higiene[[#This Row],[Item]],super1[Bairro],mercado14)+SUMIFS(supercb[Qtde],supercb[Item],tab_higiene[[#This Row],[Item]],supercb[Bairro],mercado14)</f>
        <v>0</v>
      </c>
      <c r="AY85" s="1">
        <f>SUMIFS(super1[Qtde],super1[Item],tab_higiene[[#This Row],[Item]],super1[Bairro],mercado15)+SUMIFS(supercb[Qtde],supercb[Item],tab_higiene[[#This Row],[Item]],supercb[Bairro],mercado15)</f>
        <v>0</v>
      </c>
      <c r="AZ85" s="1">
        <f>SUMIFS(super1[Qtde],super1[Item],tab_higiene[[#This Row],[Item]],super1[Bairro],mercado16)+SUMIFS(supercb[Qtde],supercb[Item],tab_higiene[[#This Row],[Item]],supercb[Bairro],mercado16)</f>
        <v>0</v>
      </c>
      <c r="BA85" s="1">
        <f>SUMIFS(super1[Qtde],super1[Item],tab_higiene[[#This Row],[Item]],super1[Bairro],mercado17)+SUMIFS(supercb[Qtde],supercb[Item],tab_higiene[[#This Row],[Item]],supercb[Bairro],mercado17)</f>
        <v>0</v>
      </c>
      <c r="BB85" s="1">
        <f>SUMIFS(super1[Qtde],super1[Item],tab_higiene[[#This Row],[Item]],super1[Bairro],mercado18)+SUMIFS(supercb[Qtde],supercb[Item],tab_higiene[[#This Row],[Item]],supercb[Bairro],mercado18)</f>
        <v>0</v>
      </c>
      <c r="BC85" s="1">
        <f>SUMIFS(super1[Qtde],super1[Item],tab_higiene[[#This Row],[Item]],super1[Bairro],extras)+SUMIFS(supercb[Qtde],supercb[Item],tab_higiene[[#This Row],[Item]],supercb[Bairro],extras)</f>
        <v>0</v>
      </c>
      <c r="BD85" s="1">
        <f t="shared" si="30"/>
        <v>0</v>
      </c>
      <c r="BE85" s="1">
        <f t="shared" si="31"/>
        <v>0</v>
      </c>
      <c r="BF85" s="26">
        <f t="shared" si="32"/>
        <v>0</v>
      </c>
      <c r="BI85" s="33" t="str">
        <f>tab_alimentos[[#This Row],[Item]]</f>
        <v>Chá (22,5g)</v>
      </c>
      <c r="BJ85" s="33">
        <f t="shared" si="25"/>
        <v>4</v>
      </c>
      <c r="BK85" s="33" t="str">
        <f t="shared" si="26"/>
        <v>Chá</v>
      </c>
      <c r="BL85" s="33">
        <f>tab_alimentos[[#This Row],[kg]]</f>
        <v>0</v>
      </c>
      <c r="BM85" t="s">
        <v>302</v>
      </c>
      <c r="BN85" s="35">
        <f t="shared" si="36"/>
        <v>0</v>
      </c>
      <c r="BP85" s="33" t="str">
        <f>tab_higiene[[#This Row],[Item]]</f>
        <v>Fósforo (50un)</v>
      </c>
      <c r="BQ85" s="33">
        <f t="shared" si="33"/>
        <v>8</v>
      </c>
      <c r="BR85" s="33" t="str">
        <f t="shared" si="34"/>
        <v>Fósforo</v>
      </c>
      <c r="BS85" s="33">
        <f>higiene[[#This Row],[Quantidade]]</f>
        <v>46</v>
      </c>
      <c r="BT85" s="33">
        <f>tab_higiene[Qtde (tot)]</f>
        <v>0</v>
      </c>
      <c r="BU85" s="33">
        <f t="shared" si="37"/>
        <v>0</v>
      </c>
      <c r="BW85" s="33">
        <f t="shared" si="35"/>
        <v>0</v>
      </c>
    </row>
    <row r="86" spans="9:75" x14ac:dyDescent="0.25">
      <c r="I86" s="25" t="str">
        <f>alimentos[[#This Row],[Item]]</f>
        <v>Chocolate barra (100g)</v>
      </c>
      <c r="J86" s="1">
        <f>IFERROR(alimentos[[#This Row],[kg/embalagem]],0)</f>
        <v>0.1</v>
      </c>
      <c r="K86" s="1">
        <f>IFERROR(alimentos[[#This Row],[Preço]],0)</f>
        <v>4.8233333333333341</v>
      </c>
      <c r="L86" s="1">
        <f>SUMIFS(super1[Qtde],super1[Item],tab_alimentos[[#This Row],[Item]],super1[Bairro],mercado1)+SUMIFS(supercb[Qtde],supercb[Item],tab_alimentos[[#This Row],[Item]],supercb[Bairro],mercado1)</f>
        <v>0</v>
      </c>
      <c r="M86" s="1">
        <f>SUMIFS(super1[Qtde],super1[Item],tab_alimentos[[#This Row],[Item]],super1[Bairro],mercado2)+SUMIFS(supercb[Qtde],supercb[Item],tab_alimentos[[#This Row],[Item]],supercb[Bairro],mercado2)</f>
        <v>0</v>
      </c>
      <c r="N86" s="1">
        <f>SUMIFS(super1[Qtde],super1[Item],tab_alimentos[[#This Row],[Item]],super1[Bairro],mercado3)+SUMIFS(supercb[Qtde],supercb[Item],tab_alimentos[[#This Row],[Item]],supercb[Bairro],mercado3)</f>
        <v>0</v>
      </c>
      <c r="O86" s="1">
        <f>SUMIFS(super1[Qtde],super1[Item],tab_alimentos[[#This Row],[Item]],super1[Bairro],mercado4)+SUMIFS(supercb[Qtde],supercb[Item],tab_alimentos[[#This Row],[Item]],supercb[Bairro],mercado4)</f>
        <v>0</v>
      </c>
      <c r="P86" s="1">
        <f>SUMIFS(super1[Qtde],super1[Item],tab_alimentos[[#This Row],[Item]],super1[Bairro],mercado5)+SUMIFS(supercb[Qtde],supercb[Item],tab_alimentos[[#This Row],[Item]],supercb[Bairro],mercado5)</f>
        <v>0</v>
      </c>
      <c r="Q86" s="1">
        <f>SUMIFS(super1[Qtde],super1[Item],tab_alimentos[[#This Row],[Item]],super1[Bairro],mercado6)+SUMIFS(supercb[Qtde],supercb[Item],tab_alimentos[[#This Row],[Item]],supercb[Bairro],mercado6)</f>
        <v>0</v>
      </c>
      <c r="R86" s="1">
        <f>SUMIFS(super1[Qtde],super1[Item],tab_alimentos[[#This Row],[Item]],super1[Bairro],mercado7)+SUMIFS(supercb[Qtde],supercb[Item],tab_alimentos[[#This Row],[Item]],supercb[Bairro],mercado7)</f>
        <v>0</v>
      </c>
      <c r="S86" s="1">
        <f>SUMIFS(super1[Qtde],super1[Item],tab_alimentos[[#This Row],[Item]],super1[Bairro],mercado8)+SUMIFS(supercb[Qtde],supercb[Item],tab_alimentos[[#This Row],[Item]],supercb[Bairro],mercado8)</f>
        <v>0</v>
      </c>
      <c r="T86" s="1">
        <f>SUMIFS(super1[Qtde],super1[Item],tab_alimentos[[#This Row],[Item]],super1[Bairro],mercado9)+SUMIFS(supercb[Qtde],supercb[Item],tab_alimentos[[#This Row],[Item]],supercb[Bairro],mercado9)</f>
        <v>0</v>
      </c>
      <c r="U86" s="1">
        <f>SUMIFS(super1[Qtde],super1[Item],tab_alimentos[[#This Row],[Item]],super1[Bairro],mercado10)+SUMIFS(supercb[Qtde],supercb[Item],tab_alimentos[[#This Row],[Item]],supercb[Bairro],mercado10)</f>
        <v>0</v>
      </c>
      <c r="V86" s="1">
        <f>SUMIFS(super1[Qtde],super1[Item],tab_alimentos[[#This Row],[Item]],super1[Bairro],mercado11)+SUMIFS(supercb[Qtde],supercb[Item],tab_alimentos[[#This Row],[Item]],supercb[Bairro],mercado11)</f>
        <v>0</v>
      </c>
      <c r="W86" s="1">
        <f>SUMIFS(super1[Qtde],super1[Item],tab_alimentos[[#This Row],[Item]],super1[Bairro],mercado12)+SUMIFS(supercb[Qtde],supercb[Item],tab_alimentos[[#This Row],[Item]],supercb[Bairro],mercado12)</f>
        <v>0</v>
      </c>
      <c r="X86" s="1">
        <f>SUMIFS(super1[Qtde],super1[Item],tab_alimentos[[#This Row],[Item]],super1[Bairro],mercado13)+SUMIFS(supercb[Qtde],supercb[Item],tab_alimentos[[#This Row],[Item]],supercb[Bairro],mercado13)</f>
        <v>0</v>
      </c>
      <c r="Y86" s="1">
        <f>SUMIFS(super1[Qtde],super1[Item],tab_alimentos[[#This Row],[Item]],super1[Bairro],mercado14)+SUMIFS(supercb[Qtde],supercb[Item],tab_alimentos[[#This Row],[Item]],supercb[Bairro],mercado14)</f>
        <v>0</v>
      </c>
      <c r="Z86" s="1">
        <f>SUMIFS(super1[Qtde],super1[Item],tab_alimentos[[#This Row],[Item]],super1[Bairro],mercado15)+SUMIFS(supercb[Qtde],supercb[Item],tab_alimentos[[#This Row],[Item]],supercb[Bairro],mercado15)</f>
        <v>0</v>
      </c>
      <c r="AA86" s="1">
        <f>SUMIFS(super1[Qtde],super1[Item],tab_alimentos[[#This Row],[Item]],super1[Bairro],mercado16)+SUMIFS(supercb[Qtde],supercb[Item],tab_alimentos[[#This Row],[Item]],supercb[Bairro],mercado16)</f>
        <v>0</v>
      </c>
      <c r="AB86" s="1">
        <f>SUMIFS(super1[Qtde],super1[Item],tab_alimentos[[#This Row],[Item]],super1[Bairro],mercado17)+SUMIFS(supercb[Qtde],supercb[Item],tab_alimentos[[#This Row],[Item]],supercb[Bairro],mercado17)</f>
        <v>0</v>
      </c>
      <c r="AC86" s="1">
        <f>SUMIFS(super1[Qtde],super1[Item],tab_alimentos[[#This Row],[Item]],super1[Bairro],mercado18)+SUMIFS(supercb[Qtde],supercb[Item],tab_alimentos[[#This Row],[Item]],supercb[Bairro],mercado18)</f>
        <v>0</v>
      </c>
      <c r="AD86" s="1">
        <f>SUMIFS(super1[Qtde],super1[Item],tab_alimentos[[#This Row],[Item]],super1[Bairro],extras)+SUMIFS(supercb[Qtde],supercb[Item],tab_alimentos[[#This Row],[Item]],supercb[Bairro],extras)</f>
        <v>0</v>
      </c>
      <c r="AE86" s="1">
        <f t="shared" si="27"/>
        <v>0</v>
      </c>
      <c r="AF86" s="1">
        <f t="shared" si="28"/>
        <v>0</v>
      </c>
      <c r="AG86" s="3">
        <f t="shared" si="29"/>
        <v>0</v>
      </c>
      <c r="AH86" s="25" t="str">
        <f>higiene[[#This Row],[Item]]</f>
        <v>Fraldas Geriátricas (07un)</v>
      </c>
      <c r="AI86" s="1">
        <f>IFERROR(higiene[[#This Row],[Kg equivalente]],0)</f>
        <v>5.1002104622069151</v>
      </c>
      <c r="AJ86" s="1">
        <f>IFERROR(higiene[[#This Row],[Preço por produto]],0)</f>
        <v>16.893999999999998</v>
      </c>
      <c r="AK86" s="1">
        <f>SUMIFS(super1[Qtde],super1[Item],tab_higiene[[#This Row],[Item]],super1[Bairro],mercado1)+SUMIFS(supercb[Qtde],supercb[Item],tab_higiene[[#This Row],[Item]],supercb[Bairro],mercado1)</f>
        <v>0</v>
      </c>
      <c r="AL86" s="1">
        <f>SUMIFS(super1[Qtde],super1[Item],tab_higiene[[#This Row],[Item]],super1[Bairro],mercado2)+SUMIFS(supercb[Qtde],supercb[Item],tab_higiene[[#This Row],[Item]],supercb[Bairro],mercado2)</f>
        <v>0</v>
      </c>
      <c r="AM86" s="1">
        <f>SUMIFS(super1[Qtde],super1[Item],tab_higiene[[#This Row],[Item]],super1[Bairro],mercado3)+SUMIFS(supercb[Qtde],supercb[Item],tab_higiene[[#This Row],[Item]],supercb[Bairro],mercado3)</f>
        <v>1</v>
      </c>
      <c r="AN86" s="1">
        <f>SUMIFS(super1[Qtde],super1[Item],tab_higiene[[#This Row],[Item]],super1[Bairro],mercado4)+SUMIFS(supercb[Qtde],supercb[Item],tab_higiene[[#This Row],[Item]],supercb[Bairro],mercado4)</f>
        <v>1</v>
      </c>
      <c r="AO86" s="1">
        <f>SUMIFS(super1[Qtde],super1[Item],tab_higiene[[#This Row],[Item]],super1[Bairro],mercado5)+SUMIFS(supercb[Qtde],supercb[Item],tab_higiene[[#This Row],[Item]],supercb[Bairro],mercado5)</f>
        <v>1</v>
      </c>
      <c r="AP86" s="1">
        <f>SUMIFS(super1[Qtde],super1[Item],tab_higiene[[#This Row],[Item]],super1[Bairro],mercado6)+SUMIFS(supercb[Qtde],supercb[Item],tab_higiene[[#This Row],[Item]],supercb[Bairro],mercado6)</f>
        <v>2</v>
      </c>
      <c r="AQ86" s="1">
        <f>SUMIFS(super1[Qtde],super1[Item],tab_higiene[[#This Row],[Item]],super1[Bairro],mercado7)+SUMIFS(supercb[Qtde],supercb[Item],tab_higiene[[#This Row],[Item]],supercb[Bairro],mercado7)</f>
        <v>0</v>
      </c>
      <c r="AR86" s="1">
        <f>SUMIFS(super1[Qtde],super1[Item],tab_higiene[[#This Row],[Item]],super1[Bairro],mercado8)+SUMIFS(supercb[Qtde],supercb[Item],tab_higiene[[#This Row],[Item]],supercb[Bairro],mercado8)</f>
        <v>2</v>
      </c>
      <c r="AS86" s="1">
        <f>SUMIFS(super1[Qtde],super1[Item],tab_higiene[[#This Row],[Item]],super1[Bairro],mercado9)+SUMIFS(supercb[Qtde],supercb[Item],tab_higiene[[#This Row],[Item]],supercb[Bairro],mercado9)</f>
        <v>0</v>
      </c>
      <c r="AT86" s="1">
        <f>SUMIFS(super1[Qtde],super1[Item],tab_higiene[[#This Row],[Item]],super1[Bairro],mercado10)+SUMIFS(supercb[Qtde],supercb[Item],tab_higiene[[#This Row],[Item]],supercb[Bairro],mercado10)</f>
        <v>1</v>
      </c>
      <c r="AU86" s="1">
        <f>SUMIFS(super1[Qtde],super1[Item],tab_higiene[[#This Row],[Item]],super1[Bairro],mercado11)+SUMIFS(supercb[Qtde],supercb[Item],tab_higiene[[#This Row],[Item]],supercb[Bairro],mercado11)</f>
        <v>0</v>
      </c>
      <c r="AV86" s="1">
        <f>SUMIFS(super1[Qtde],super1[Item],tab_higiene[[#This Row],[Item]],super1[Bairro],mercado12)+SUMIFS(supercb[Qtde],supercb[Item],tab_higiene[[#This Row],[Item]],supercb[Bairro],mercado12)</f>
        <v>0</v>
      </c>
      <c r="AW86" s="1">
        <f>SUMIFS(super1[Qtde],super1[Item],tab_higiene[[#This Row],[Item]],super1[Bairro],mercado13)+SUMIFS(supercb[Qtde],supercb[Item],tab_higiene[[#This Row],[Item]],supercb[Bairro],mercado13)</f>
        <v>0</v>
      </c>
      <c r="AX86" s="1">
        <f>SUMIFS(super1[Qtde],super1[Item],tab_higiene[[#This Row],[Item]],super1[Bairro],mercado14)+SUMIFS(supercb[Qtde],supercb[Item],tab_higiene[[#This Row],[Item]],supercb[Bairro],mercado14)</f>
        <v>0</v>
      </c>
      <c r="AY86" s="1">
        <f>SUMIFS(super1[Qtde],super1[Item],tab_higiene[[#This Row],[Item]],super1[Bairro],mercado15)+SUMIFS(supercb[Qtde],supercb[Item],tab_higiene[[#This Row],[Item]],supercb[Bairro],mercado15)</f>
        <v>0</v>
      </c>
      <c r="AZ86" s="1">
        <f>SUMIFS(super1[Qtde],super1[Item],tab_higiene[[#This Row],[Item]],super1[Bairro],mercado16)+SUMIFS(supercb[Qtde],supercb[Item],tab_higiene[[#This Row],[Item]],supercb[Bairro],mercado16)</f>
        <v>0</v>
      </c>
      <c r="BA86" s="1">
        <f>SUMIFS(super1[Qtde],super1[Item],tab_higiene[[#This Row],[Item]],super1[Bairro],mercado17)+SUMIFS(supercb[Qtde],supercb[Item],tab_higiene[[#This Row],[Item]],supercb[Bairro],mercado17)</f>
        <v>0</v>
      </c>
      <c r="BB86" s="1">
        <f>SUMIFS(super1[Qtde],super1[Item],tab_higiene[[#This Row],[Item]],super1[Bairro],mercado18)+SUMIFS(supercb[Qtde],supercb[Item],tab_higiene[[#This Row],[Item]],supercb[Bairro],mercado18)</f>
        <v>0</v>
      </c>
      <c r="BC86" s="1">
        <f>SUMIFS(super1[Qtde],super1[Item],tab_higiene[[#This Row],[Item]],super1[Bairro],extras)+SUMIFS(supercb[Qtde],supercb[Item],tab_higiene[[#This Row],[Item]],supercb[Bairro],extras)</f>
        <v>0</v>
      </c>
      <c r="BD86" s="1">
        <f t="shared" si="30"/>
        <v>8</v>
      </c>
      <c r="BE86" s="1">
        <f t="shared" si="31"/>
        <v>135.15199999999999</v>
      </c>
      <c r="BF86" s="26">
        <f t="shared" si="32"/>
        <v>40.801683697655321</v>
      </c>
      <c r="BI86" s="33" t="str">
        <f>tab_alimentos[[#This Row],[Item]]</f>
        <v>Chocolate barra (100g)</v>
      </c>
      <c r="BJ86" s="33">
        <f t="shared" si="25"/>
        <v>16</v>
      </c>
      <c r="BK86" s="33" t="str">
        <f t="shared" si="26"/>
        <v>Chocolate barra</v>
      </c>
      <c r="BL86" s="33">
        <f>tab_alimentos[[#This Row],[kg]]</f>
        <v>0</v>
      </c>
      <c r="BM86" t="s">
        <v>23</v>
      </c>
      <c r="BN86" s="35">
        <f t="shared" si="36"/>
        <v>0</v>
      </c>
      <c r="BP86" s="33" t="str">
        <f>tab_higiene[[#This Row],[Item]]</f>
        <v>Fraldas Geriátricas (07un)</v>
      </c>
      <c r="BQ86" s="33">
        <f t="shared" si="33"/>
        <v>20</v>
      </c>
      <c r="BR86" s="33" t="str">
        <f t="shared" si="34"/>
        <v>Fraldas Geriátricas</v>
      </c>
      <c r="BS86" s="33">
        <f>higiene[[#This Row],[Quantidade]]</f>
        <v>50</v>
      </c>
      <c r="BT86" s="33">
        <f>tab_higiene[Qtde (tot)]</f>
        <v>8</v>
      </c>
      <c r="BU86" s="33">
        <f t="shared" si="37"/>
        <v>400</v>
      </c>
      <c r="BW86" s="33">
        <f t="shared" si="35"/>
        <v>0</v>
      </c>
    </row>
    <row r="87" spans="9:75" x14ac:dyDescent="0.25">
      <c r="I87" s="25" t="str">
        <f>alimentos[[#This Row],[Item]]</f>
        <v>Coca-cola (1,5L)</v>
      </c>
      <c r="J87" s="1">
        <f>IFERROR(alimentos[[#This Row],[kg/embalagem]],0)</f>
        <v>1.5</v>
      </c>
      <c r="K87" s="1">
        <f>IFERROR(alimentos[[#This Row],[Preço]],0)</f>
        <v>3.89</v>
      </c>
      <c r="L87" s="1">
        <f>SUMIFS(super1[Qtde],super1[Item],tab_alimentos[[#This Row],[Item]],super1[Bairro],mercado1)+SUMIFS(supercb[Qtde],supercb[Item],tab_alimentos[[#This Row],[Item]],supercb[Bairro],mercado1)</f>
        <v>0</v>
      </c>
      <c r="M87" s="1">
        <f>SUMIFS(super1[Qtde],super1[Item],tab_alimentos[[#This Row],[Item]],super1[Bairro],mercado2)+SUMIFS(supercb[Qtde],supercb[Item],tab_alimentos[[#This Row],[Item]],supercb[Bairro],mercado2)</f>
        <v>0</v>
      </c>
      <c r="N87" s="1">
        <f>SUMIFS(super1[Qtde],super1[Item],tab_alimentos[[#This Row],[Item]],super1[Bairro],mercado3)+SUMIFS(supercb[Qtde],supercb[Item],tab_alimentos[[#This Row],[Item]],supercb[Bairro],mercado3)</f>
        <v>0</v>
      </c>
      <c r="O87" s="1">
        <f>SUMIFS(super1[Qtde],super1[Item],tab_alimentos[[#This Row],[Item]],super1[Bairro],mercado4)+SUMIFS(supercb[Qtde],supercb[Item],tab_alimentos[[#This Row],[Item]],supercb[Bairro],mercado4)</f>
        <v>0</v>
      </c>
      <c r="P87" s="1">
        <f>SUMIFS(super1[Qtde],super1[Item],tab_alimentos[[#This Row],[Item]],super1[Bairro],mercado5)+SUMIFS(supercb[Qtde],supercb[Item],tab_alimentos[[#This Row],[Item]],supercb[Bairro],mercado5)</f>
        <v>0</v>
      </c>
      <c r="Q87" s="1">
        <f>SUMIFS(super1[Qtde],super1[Item],tab_alimentos[[#This Row],[Item]],super1[Bairro],mercado6)+SUMIFS(supercb[Qtde],supercb[Item],tab_alimentos[[#This Row],[Item]],supercb[Bairro],mercado6)</f>
        <v>0</v>
      </c>
      <c r="R87" s="1">
        <f>SUMIFS(super1[Qtde],super1[Item],tab_alimentos[[#This Row],[Item]],super1[Bairro],mercado7)+SUMIFS(supercb[Qtde],supercb[Item],tab_alimentos[[#This Row],[Item]],supercb[Bairro],mercado7)</f>
        <v>0</v>
      </c>
      <c r="S87" s="1">
        <f>SUMIFS(super1[Qtde],super1[Item],tab_alimentos[[#This Row],[Item]],super1[Bairro],mercado8)+SUMIFS(supercb[Qtde],supercb[Item],tab_alimentos[[#This Row],[Item]],supercb[Bairro],mercado8)</f>
        <v>0</v>
      </c>
      <c r="T87" s="1">
        <f>SUMIFS(super1[Qtde],super1[Item],tab_alimentos[[#This Row],[Item]],super1[Bairro],mercado9)+SUMIFS(supercb[Qtde],supercb[Item],tab_alimentos[[#This Row],[Item]],supercb[Bairro],mercado9)</f>
        <v>0</v>
      </c>
      <c r="U87" s="1">
        <f>SUMIFS(super1[Qtde],super1[Item],tab_alimentos[[#This Row],[Item]],super1[Bairro],mercado10)+SUMIFS(supercb[Qtde],supercb[Item],tab_alimentos[[#This Row],[Item]],supercb[Bairro],mercado10)</f>
        <v>0</v>
      </c>
      <c r="V87" s="1">
        <f>SUMIFS(super1[Qtde],super1[Item],tab_alimentos[[#This Row],[Item]],super1[Bairro],mercado11)+SUMIFS(supercb[Qtde],supercb[Item],tab_alimentos[[#This Row],[Item]],supercb[Bairro],mercado11)</f>
        <v>0</v>
      </c>
      <c r="W87" s="1">
        <f>SUMIFS(super1[Qtde],super1[Item],tab_alimentos[[#This Row],[Item]],super1[Bairro],mercado12)+SUMIFS(supercb[Qtde],supercb[Item],tab_alimentos[[#This Row],[Item]],supercb[Bairro],mercado12)</f>
        <v>0</v>
      </c>
      <c r="X87" s="1">
        <f>SUMIFS(super1[Qtde],super1[Item],tab_alimentos[[#This Row],[Item]],super1[Bairro],mercado13)+SUMIFS(supercb[Qtde],supercb[Item],tab_alimentos[[#This Row],[Item]],supercb[Bairro],mercado13)</f>
        <v>0</v>
      </c>
      <c r="Y87" s="1">
        <f>SUMIFS(super1[Qtde],super1[Item],tab_alimentos[[#This Row],[Item]],super1[Bairro],mercado14)+SUMIFS(supercb[Qtde],supercb[Item],tab_alimentos[[#This Row],[Item]],supercb[Bairro],mercado14)</f>
        <v>0</v>
      </c>
      <c r="Z87" s="1">
        <f>SUMIFS(super1[Qtde],super1[Item],tab_alimentos[[#This Row],[Item]],super1[Bairro],mercado15)+SUMIFS(supercb[Qtde],supercb[Item],tab_alimentos[[#This Row],[Item]],supercb[Bairro],mercado15)</f>
        <v>0</v>
      </c>
      <c r="AA87" s="1">
        <f>SUMIFS(super1[Qtde],super1[Item],tab_alimentos[[#This Row],[Item]],super1[Bairro],mercado16)+SUMIFS(supercb[Qtde],supercb[Item],tab_alimentos[[#This Row],[Item]],supercb[Bairro],mercado16)</f>
        <v>0</v>
      </c>
      <c r="AB87" s="1">
        <f>SUMIFS(super1[Qtde],super1[Item],tab_alimentos[[#This Row],[Item]],super1[Bairro],mercado17)+SUMIFS(supercb[Qtde],supercb[Item],tab_alimentos[[#This Row],[Item]],supercb[Bairro],mercado17)</f>
        <v>0</v>
      </c>
      <c r="AC87" s="1">
        <f>SUMIFS(super1[Qtde],super1[Item],tab_alimentos[[#This Row],[Item]],super1[Bairro],mercado18)+SUMIFS(supercb[Qtde],supercb[Item],tab_alimentos[[#This Row],[Item]],supercb[Bairro],mercado18)</f>
        <v>0</v>
      </c>
      <c r="AD87" s="1">
        <f>SUMIFS(super1[Qtde],super1[Item],tab_alimentos[[#This Row],[Item]],super1[Bairro],extras)+SUMIFS(supercb[Qtde],supercb[Item],tab_alimentos[[#This Row],[Item]],supercb[Bairro],extras)</f>
        <v>0</v>
      </c>
      <c r="AE87" s="1">
        <f t="shared" si="27"/>
        <v>0</v>
      </c>
      <c r="AF87" s="1">
        <f t="shared" si="28"/>
        <v>0</v>
      </c>
      <c r="AG87" s="3">
        <f t="shared" si="29"/>
        <v>0</v>
      </c>
      <c r="AH87" s="25" t="str">
        <f>higiene[[#This Row],[Item]]</f>
        <v>Fraldas Geriátricas (08un)</v>
      </c>
      <c r="AI87" s="1">
        <f>IFERROR(higiene[[#This Row],[Kg equivalente]],0)</f>
        <v>4.4662314181300529</v>
      </c>
      <c r="AJ87" s="1">
        <f>IFERROR(higiene[[#This Row],[Preço por produto]],0)</f>
        <v>14.794</v>
      </c>
      <c r="AK87" s="1">
        <f>SUMIFS(super1[Qtde],super1[Item],tab_higiene[[#This Row],[Item]],super1[Bairro],mercado1)+SUMIFS(supercb[Qtde],supercb[Item],tab_higiene[[#This Row],[Item]],supercb[Bairro],mercado1)</f>
        <v>3</v>
      </c>
      <c r="AL87" s="1">
        <f>SUMIFS(super1[Qtde],super1[Item],tab_higiene[[#This Row],[Item]],super1[Bairro],mercado2)+SUMIFS(supercb[Qtde],supercb[Item],tab_higiene[[#This Row],[Item]],supercb[Bairro],mercado2)</f>
        <v>1</v>
      </c>
      <c r="AM87" s="1">
        <f>SUMIFS(super1[Qtde],super1[Item],tab_higiene[[#This Row],[Item]],super1[Bairro],mercado3)+SUMIFS(supercb[Qtde],supercb[Item],tab_higiene[[#This Row],[Item]],supercb[Bairro],mercado3)</f>
        <v>1</v>
      </c>
      <c r="AN87" s="1">
        <f>SUMIFS(super1[Qtde],super1[Item],tab_higiene[[#This Row],[Item]],super1[Bairro],mercado4)+SUMIFS(supercb[Qtde],supercb[Item],tab_higiene[[#This Row],[Item]],supercb[Bairro],mercado4)</f>
        <v>0</v>
      </c>
      <c r="AO87" s="1">
        <f>SUMIFS(super1[Qtde],super1[Item],tab_higiene[[#This Row],[Item]],super1[Bairro],mercado5)+SUMIFS(supercb[Qtde],supercb[Item],tab_higiene[[#This Row],[Item]],supercb[Bairro],mercado5)</f>
        <v>7</v>
      </c>
      <c r="AP87" s="1">
        <f>SUMIFS(super1[Qtde],super1[Item],tab_higiene[[#This Row],[Item]],super1[Bairro],mercado6)+SUMIFS(supercb[Qtde],supercb[Item],tab_higiene[[#This Row],[Item]],supercb[Bairro],mercado6)</f>
        <v>1</v>
      </c>
      <c r="AQ87" s="1">
        <f>SUMIFS(super1[Qtde],super1[Item],tab_higiene[[#This Row],[Item]],super1[Bairro],mercado7)+SUMIFS(supercb[Qtde],supercb[Item],tab_higiene[[#This Row],[Item]],supercb[Bairro],mercado7)</f>
        <v>1</v>
      </c>
      <c r="AR87" s="1">
        <f>SUMIFS(super1[Qtde],super1[Item],tab_higiene[[#This Row],[Item]],super1[Bairro],mercado8)+SUMIFS(supercb[Qtde],supercb[Item],tab_higiene[[#This Row],[Item]],supercb[Bairro],mercado8)</f>
        <v>6</v>
      </c>
      <c r="AS87" s="1">
        <f>SUMIFS(super1[Qtde],super1[Item],tab_higiene[[#This Row],[Item]],super1[Bairro],mercado9)+SUMIFS(supercb[Qtde],supercb[Item],tab_higiene[[#This Row],[Item]],supercb[Bairro],mercado9)</f>
        <v>2</v>
      </c>
      <c r="AT87" s="1">
        <f>SUMIFS(super1[Qtde],super1[Item],tab_higiene[[#This Row],[Item]],super1[Bairro],mercado10)+SUMIFS(supercb[Qtde],supercb[Item],tab_higiene[[#This Row],[Item]],supercb[Bairro],mercado10)</f>
        <v>6</v>
      </c>
      <c r="AU87" s="1">
        <f>SUMIFS(super1[Qtde],super1[Item],tab_higiene[[#This Row],[Item]],super1[Bairro],mercado11)+SUMIFS(supercb[Qtde],supercb[Item],tab_higiene[[#This Row],[Item]],supercb[Bairro],mercado11)</f>
        <v>1</v>
      </c>
      <c r="AV87" s="1">
        <f>SUMIFS(super1[Qtde],super1[Item],tab_higiene[[#This Row],[Item]],super1[Bairro],mercado12)+SUMIFS(supercb[Qtde],supercb[Item],tab_higiene[[#This Row],[Item]],supercb[Bairro],mercado12)</f>
        <v>0</v>
      </c>
      <c r="AW87" s="1">
        <f>SUMIFS(super1[Qtde],super1[Item],tab_higiene[[#This Row],[Item]],super1[Bairro],mercado13)+SUMIFS(supercb[Qtde],supercb[Item],tab_higiene[[#This Row],[Item]],supercb[Bairro],mercado13)</f>
        <v>2</v>
      </c>
      <c r="AX87" s="1">
        <f>SUMIFS(super1[Qtde],super1[Item],tab_higiene[[#This Row],[Item]],super1[Bairro],mercado14)+SUMIFS(supercb[Qtde],supercb[Item],tab_higiene[[#This Row],[Item]],supercb[Bairro],mercado14)</f>
        <v>0</v>
      </c>
      <c r="AY87" s="1">
        <f>SUMIFS(super1[Qtde],super1[Item],tab_higiene[[#This Row],[Item]],super1[Bairro],mercado15)+SUMIFS(supercb[Qtde],supercb[Item],tab_higiene[[#This Row],[Item]],supercb[Bairro],mercado15)</f>
        <v>0</v>
      </c>
      <c r="AZ87" s="1">
        <f>SUMIFS(super1[Qtde],super1[Item],tab_higiene[[#This Row],[Item]],super1[Bairro],mercado16)+SUMIFS(supercb[Qtde],supercb[Item],tab_higiene[[#This Row],[Item]],supercb[Bairro],mercado16)</f>
        <v>0</v>
      </c>
      <c r="BA87" s="1">
        <f>SUMIFS(super1[Qtde],super1[Item],tab_higiene[[#This Row],[Item]],super1[Bairro],mercado17)+SUMIFS(supercb[Qtde],supercb[Item],tab_higiene[[#This Row],[Item]],supercb[Bairro],mercado17)</f>
        <v>0</v>
      </c>
      <c r="BB87" s="1">
        <f>SUMIFS(super1[Qtde],super1[Item],tab_higiene[[#This Row],[Item]],super1[Bairro],mercado18)+SUMIFS(supercb[Qtde],supercb[Item],tab_higiene[[#This Row],[Item]],supercb[Bairro],mercado18)</f>
        <v>0</v>
      </c>
      <c r="BC87" s="1">
        <f>SUMIFS(super1[Qtde],super1[Item],tab_higiene[[#This Row],[Item]],super1[Bairro],extras)+SUMIFS(supercb[Qtde],supercb[Item],tab_higiene[[#This Row],[Item]],supercb[Bairro],extras)</f>
        <v>0</v>
      </c>
      <c r="BD87" s="1">
        <f t="shared" si="30"/>
        <v>31</v>
      </c>
      <c r="BE87" s="1">
        <f t="shared" si="31"/>
        <v>458.61400000000003</v>
      </c>
      <c r="BF87" s="26">
        <f t="shared" si="32"/>
        <v>138.45317396203163</v>
      </c>
      <c r="BI87" s="33" t="str">
        <f>tab_alimentos[[#This Row],[Item]]</f>
        <v>Coca-cola (1,5L)</v>
      </c>
      <c r="BJ87" s="33">
        <f t="shared" si="25"/>
        <v>10</v>
      </c>
      <c r="BK87" s="33" t="str">
        <f t="shared" si="26"/>
        <v>Coca-cola</v>
      </c>
      <c r="BL87" s="33">
        <f>tab_alimentos[[#This Row],[kg]]</f>
        <v>0</v>
      </c>
      <c r="BM87" t="s">
        <v>95</v>
      </c>
      <c r="BN87" s="35">
        <f t="shared" si="36"/>
        <v>0</v>
      </c>
      <c r="BP87" s="33" t="str">
        <f>tab_higiene[[#This Row],[Item]]</f>
        <v>Fraldas Geriátricas (08un)</v>
      </c>
      <c r="BQ87" s="33">
        <f t="shared" si="33"/>
        <v>20</v>
      </c>
      <c r="BR87" s="33" t="str">
        <f t="shared" si="34"/>
        <v>Fraldas Geriátricas</v>
      </c>
      <c r="BS87" s="33">
        <f>higiene[[#This Row],[Quantidade]]</f>
        <v>0</v>
      </c>
      <c r="BT87" s="33">
        <f>tab_higiene[Qtde (tot)]</f>
        <v>31</v>
      </c>
      <c r="BU87" s="33">
        <f t="shared" si="37"/>
        <v>0</v>
      </c>
      <c r="BW87" s="33">
        <f t="shared" si="35"/>
        <v>0</v>
      </c>
    </row>
    <row r="88" spans="9:75" x14ac:dyDescent="0.25">
      <c r="I88" s="25" t="str">
        <f>alimentos[[#This Row],[Item]]</f>
        <v>Coca-cola (2,5L)</v>
      </c>
      <c r="J88" s="1">
        <f>IFERROR(alimentos[[#This Row],[kg/embalagem]],0)</f>
        <v>2.5</v>
      </c>
      <c r="K88" s="1">
        <f>IFERROR(alimentos[[#This Row],[Preço]],0)</f>
        <v>7.19</v>
      </c>
      <c r="L88" s="1">
        <f>SUMIFS(super1[Qtde],super1[Item],tab_alimentos[[#This Row],[Item]],super1[Bairro],mercado1)+SUMIFS(supercb[Qtde],supercb[Item],tab_alimentos[[#This Row],[Item]],supercb[Bairro],mercado1)</f>
        <v>0</v>
      </c>
      <c r="M88" s="1">
        <f>SUMIFS(super1[Qtde],super1[Item],tab_alimentos[[#This Row],[Item]],super1[Bairro],mercado2)+SUMIFS(supercb[Qtde],supercb[Item],tab_alimentos[[#This Row],[Item]],supercb[Bairro],mercado2)</f>
        <v>0</v>
      </c>
      <c r="N88" s="1">
        <f>SUMIFS(super1[Qtde],super1[Item],tab_alimentos[[#This Row],[Item]],super1[Bairro],mercado3)+SUMIFS(supercb[Qtde],supercb[Item],tab_alimentos[[#This Row],[Item]],supercb[Bairro],mercado3)</f>
        <v>0</v>
      </c>
      <c r="O88" s="1">
        <f>SUMIFS(super1[Qtde],super1[Item],tab_alimentos[[#This Row],[Item]],super1[Bairro],mercado4)+SUMIFS(supercb[Qtde],supercb[Item],tab_alimentos[[#This Row],[Item]],supercb[Bairro],mercado4)</f>
        <v>0</v>
      </c>
      <c r="P88" s="1">
        <f>SUMIFS(super1[Qtde],super1[Item],tab_alimentos[[#This Row],[Item]],super1[Bairro],mercado5)+SUMIFS(supercb[Qtde],supercb[Item],tab_alimentos[[#This Row],[Item]],supercb[Bairro],mercado5)</f>
        <v>0</v>
      </c>
      <c r="Q88" s="1">
        <f>SUMIFS(super1[Qtde],super1[Item],tab_alimentos[[#This Row],[Item]],super1[Bairro],mercado6)+SUMIFS(supercb[Qtde],supercb[Item],tab_alimentos[[#This Row],[Item]],supercb[Bairro],mercado6)</f>
        <v>0</v>
      </c>
      <c r="R88" s="1">
        <f>SUMIFS(super1[Qtde],super1[Item],tab_alimentos[[#This Row],[Item]],super1[Bairro],mercado7)+SUMIFS(supercb[Qtde],supercb[Item],tab_alimentos[[#This Row],[Item]],supercb[Bairro],mercado7)</f>
        <v>0</v>
      </c>
      <c r="S88" s="1">
        <f>SUMIFS(super1[Qtde],super1[Item],tab_alimentos[[#This Row],[Item]],super1[Bairro],mercado8)+SUMIFS(supercb[Qtde],supercb[Item],tab_alimentos[[#This Row],[Item]],supercb[Bairro],mercado8)</f>
        <v>0</v>
      </c>
      <c r="T88" s="1">
        <f>SUMIFS(super1[Qtde],super1[Item],tab_alimentos[[#This Row],[Item]],super1[Bairro],mercado9)+SUMIFS(supercb[Qtde],supercb[Item],tab_alimentos[[#This Row],[Item]],supercb[Bairro],mercado9)</f>
        <v>0</v>
      </c>
      <c r="U88" s="1">
        <f>SUMIFS(super1[Qtde],super1[Item],tab_alimentos[[#This Row],[Item]],super1[Bairro],mercado10)+SUMIFS(supercb[Qtde],supercb[Item],tab_alimentos[[#This Row],[Item]],supercb[Bairro],mercado10)</f>
        <v>0</v>
      </c>
      <c r="V88" s="1">
        <f>SUMIFS(super1[Qtde],super1[Item],tab_alimentos[[#This Row],[Item]],super1[Bairro],mercado11)+SUMIFS(supercb[Qtde],supercb[Item],tab_alimentos[[#This Row],[Item]],supercb[Bairro],mercado11)</f>
        <v>0</v>
      </c>
      <c r="W88" s="1">
        <f>SUMIFS(super1[Qtde],super1[Item],tab_alimentos[[#This Row],[Item]],super1[Bairro],mercado12)+SUMIFS(supercb[Qtde],supercb[Item],tab_alimentos[[#This Row],[Item]],supercb[Bairro],mercado12)</f>
        <v>0</v>
      </c>
      <c r="X88" s="1">
        <f>SUMIFS(super1[Qtde],super1[Item],tab_alimentos[[#This Row],[Item]],super1[Bairro],mercado13)+SUMIFS(supercb[Qtde],supercb[Item],tab_alimentos[[#This Row],[Item]],supercb[Bairro],mercado13)</f>
        <v>0</v>
      </c>
      <c r="Y88" s="1">
        <f>SUMIFS(super1[Qtde],super1[Item],tab_alimentos[[#This Row],[Item]],super1[Bairro],mercado14)+SUMIFS(supercb[Qtde],supercb[Item],tab_alimentos[[#This Row],[Item]],supercb[Bairro],mercado14)</f>
        <v>0</v>
      </c>
      <c r="Z88" s="1">
        <f>SUMIFS(super1[Qtde],super1[Item],tab_alimentos[[#This Row],[Item]],super1[Bairro],mercado15)+SUMIFS(supercb[Qtde],supercb[Item],tab_alimentos[[#This Row],[Item]],supercb[Bairro],mercado15)</f>
        <v>0</v>
      </c>
      <c r="AA88" s="1">
        <f>SUMIFS(super1[Qtde],super1[Item],tab_alimentos[[#This Row],[Item]],super1[Bairro],mercado16)+SUMIFS(supercb[Qtde],supercb[Item],tab_alimentos[[#This Row],[Item]],supercb[Bairro],mercado16)</f>
        <v>0</v>
      </c>
      <c r="AB88" s="1">
        <f>SUMIFS(super1[Qtde],super1[Item],tab_alimentos[[#This Row],[Item]],super1[Bairro],mercado17)+SUMIFS(supercb[Qtde],supercb[Item],tab_alimentos[[#This Row],[Item]],supercb[Bairro],mercado17)</f>
        <v>0</v>
      </c>
      <c r="AC88" s="1">
        <f>SUMIFS(super1[Qtde],super1[Item],tab_alimentos[[#This Row],[Item]],super1[Bairro],mercado18)+SUMIFS(supercb[Qtde],supercb[Item],tab_alimentos[[#This Row],[Item]],supercb[Bairro],mercado18)</f>
        <v>0</v>
      </c>
      <c r="AD88" s="1">
        <f>SUMIFS(super1[Qtde],super1[Item],tab_alimentos[[#This Row],[Item]],super1[Bairro],extras)+SUMIFS(supercb[Qtde],supercb[Item],tab_alimentos[[#This Row],[Item]],supercb[Bairro],extras)</f>
        <v>0</v>
      </c>
      <c r="AE88" s="1">
        <f t="shared" si="27"/>
        <v>0</v>
      </c>
      <c r="AF88" s="1">
        <f t="shared" si="28"/>
        <v>0</v>
      </c>
      <c r="AG88" s="3">
        <f t="shared" si="29"/>
        <v>0</v>
      </c>
      <c r="AH88" s="25" t="str">
        <f>higiene[[#This Row],[Item]]</f>
        <v>Fraldas Geriátricas (09un)</v>
      </c>
      <c r="AI88" s="1">
        <f>IFERROR(higiene[[#This Row],[Kg equivalente]],0)</f>
        <v>6.2140009478962357</v>
      </c>
      <c r="AJ88" s="1">
        <f>IFERROR(higiene[[#This Row],[Preço por produto]],0)</f>
        <v>20.583333333333332</v>
      </c>
      <c r="AK88" s="1">
        <f>SUMIFS(super1[Qtde],super1[Item],tab_higiene[[#This Row],[Item]],super1[Bairro],mercado1)+SUMIFS(supercb[Qtde],supercb[Item],tab_higiene[[#This Row],[Item]],supercb[Bairro],mercado1)</f>
        <v>0</v>
      </c>
      <c r="AL88" s="1">
        <f>SUMIFS(super1[Qtde],super1[Item],tab_higiene[[#This Row],[Item]],super1[Bairro],mercado2)+SUMIFS(supercb[Qtde],supercb[Item],tab_higiene[[#This Row],[Item]],supercb[Bairro],mercado2)</f>
        <v>0</v>
      </c>
      <c r="AM88" s="1">
        <f>SUMIFS(super1[Qtde],super1[Item],tab_higiene[[#This Row],[Item]],super1[Bairro],mercado3)+SUMIFS(supercb[Qtde],supercb[Item],tab_higiene[[#This Row],[Item]],supercb[Bairro],mercado3)</f>
        <v>0</v>
      </c>
      <c r="AN88" s="1">
        <f>SUMIFS(super1[Qtde],super1[Item],tab_higiene[[#This Row],[Item]],super1[Bairro],mercado4)+SUMIFS(supercb[Qtde],supercb[Item],tab_higiene[[#This Row],[Item]],supercb[Bairro],mercado4)</f>
        <v>0</v>
      </c>
      <c r="AO88" s="1">
        <f>SUMIFS(super1[Qtde],super1[Item],tab_higiene[[#This Row],[Item]],super1[Bairro],mercado5)+SUMIFS(supercb[Qtde],supercb[Item],tab_higiene[[#This Row],[Item]],supercb[Bairro],mercado5)</f>
        <v>1</v>
      </c>
      <c r="AP88" s="1">
        <f>SUMIFS(super1[Qtde],super1[Item],tab_higiene[[#This Row],[Item]],super1[Bairro],mercado6)+SUMIFS(supercb[Qtde],supercb[Item],tab_higiene[[#This Row],[Item]],supercb[Bairro],mercado6)</f>
        <v>0</v>
      </c>
      <c r="AQ88" s="1">
        <f>SUMIFS(super1[Qtde],super1[Item],tab_higiene[[#This Row],[Item]],super1[Bairro],mercado7)+SUMIFS(supercb[Qtde],supercb[Item],tab_higiene[[#This Row],[Item]],supercb[Bairro],mercado7)</f>
        <v>0</v>
      </c>
      <c r="AR88" s="1">
        <f>SUMIFS(super1[Qtde],super1[Item],tab_higiene[[#This Row],[Item]],super1[Bairro],mercado8)+SUMIFS(supercb[Qtde],supercb[Item],tab_higiene[[#This Row],[Item]],supercb[Bairro],mercado8)</f>
        <v>0</v>
      </c>
      <c r="AS88" s="1">
        <f>SUMIFS(super1[Qtde],super1[Item],tab_higiene[[#This Row],[Item]],super1[Bairro],mercado9)+SUMIFS(supercb[Qtde],supercb[Item],tab_higiene[[#This Row],[Item]],supercb[Bairro],mercado9)</f>
        <v>0</v>
      </c>
      <c r="AT88" s="1">
        <f>SUMIFS(super1[Qtde],super1[Item],tab_higiene[[#This Row],[Item]],super1[Bairro],mercado10)+SUMIFS(supercb[Qtde],supercb[Item],tab_higiene[[#This Row],[Item]],supercb[Bairro],mercado10)</f>
        <v>1</v>
      </c>
      <c r="AU88" s="1">
        <f>SUMIFS(super1[Qtde],super1[Item],tab_higiene[[#This Row],[Item]],super1[Bairro],mercado11)+SUMIFS(supercb[Qtde],supercb[Item],tab_higiene[[#This Row],[Item]],supercb[Bairro],mercado11)</f>
        <v>0</v>
      </c>
      <c r="AV88" s="1">
        <f>SUMIFS(super1[Qtde],super1[Item],tab_higiene[[#This Row],[Item]],super1[Bairro],mercado12)+SUMIFS(supercb[Qtde],supercb[Item],tab_higiene[[#This Row],[Item]],supercb[Bairro],mercado12)</f>
        <v>0</v>
      </c>
      <c r="AW88" s="1">
        <f>SUMIFS(super1[Qtde],super1[Item],tab_higiene[[#This Row],[Item]],super1[Bairro],mercado13)+SUMIFS(supercb[Qtde],supercb[Item],tab_higiene[[#This Row],[Item]],supercb[Bairro],mercado13)</f>
        <v>0</v>
      </c>
      <c r="AX88" s="1">
        <f>SUMIFS(super1[Qtde],super1[Item],tab_higiene[[#This Row],[Item]],super1[Bairro],mercado14)+SUMIFS(supercb[Qtde],supercb[Item],tab_higiene[[#This Row],[Item]],supercb[Bairro],mercado14)</f>
        <v>0</v>
      </c>
      <c r="AY88" s="1">
        <f>SUMIFS(super1[Qtde],super1[Item],tab_higiene[[#This Row],[Item]],super1[Bairro],mercado15)+SUMIFS(supercb[Qtde],supercb[Item],tab_higiene[[#This Row],[Item]],supercb[Bairro],mercado15)</f>
        <v>0</v>
      </c>
      <c r="AZ88" s="1">
        <f>SUMIFS(super1[Qtde],super1[Item],tab_higiene[[#This Row],[Item]],super1[Bairro],mercado16)+SUMIFS(supercb[Qtde],supercb[Item],tab_higiene[[#This Row],[Item]],supercb[Bairro],mercado16)</f>
        <v>0</v>
      </c>
      <c r="BA88" s="1">
        <f>SUMIFS(super1[Qtde],super1[Item],tab_higiene[[#This Row],[Item]],super1[Bairro],mercado17)+SUMIFS(supercb[Qtde],supercb[Item],tab_higiene[[#This Row],[Item]],supercb[Bairro],mercado17)</f>
        <v>0</v>
      </c>
      <c r="BB88" s="1">
        <f>SUMIFS(super1[Qtde],super1[Item],tab_higiene[[#This Row],[Item]],super1[Bairro],mercado18)+SUMIFS(supercb[Qtde],supercb[Item],tab_higiene[[#This Row],[Item]],supercb[Bairro],mercado18)</f>
        <v>0</v>
      </c>
      <c r="BC88" s="1">
        <f>SUMIFS(super1[Qtde],super1[Item],tab_higiene[[#This Row],[Item]],super1[Bairro],extras)+SUMIFS(supercb[Qtde],supercb[Item],tab_higiene[[#This Row],[Item]],supercb[Bairro],extras)</f>
        <v>0</v>
      </c>
      <c r="BD88" s="1">
        <f t="shared" si="30"/>
        <v>2</v>
      </c>
      <c r="BE88" s="1">
        <f t="shared" si="31"/>
        <v>41.166666666666664</v>
      </c>
      <c r="BF88" s="26">
        <f t="shared" si="32"/>
        <v>12.428001895792471</v>
      </c>
      <c r="BI88" s="33" t="str">
        <f>tab_alimentos[[#This Row],[Item]]</f>
        <v>Coca-cola (2,5L)</v>
      </c>
      <c r="BJ88" s="33">
        <f t="shared" si="25"/>
        <v>10</v>
      </c>
      <c r="BK88" s="33" t="str">
        <f t="shared" si="26"/>
        <v>Coca-cola</v>
      </c>
      <c r="BL88" s="33">
        <f>tab_alimentos[[#This Row],[kg]]</f>
        <v>0</v>
      </c>
      <c r="BM88" t="s">
        <v>96</v>
      </c>
      <c r="BN88" s="35">
        <f t="shared" si="36"/>
        <v>0</v>
      </c>
      <c r="BP88" s="33" t="str">
        <f>tab_higiene[[#This Row],[Item]]</f>
        <v>Fraldas Geriátricas (09un)</v>
      </c>
      <c r="BQ88" s="33">
        <f t="shared" si="33"/>
        <v>20</v>
      </c>
      <c r="BR88" s="33" t="str">
        <f t="shared" si="34"/>
        <v>Fraldas Geriátricas</v>
      </c>
      <c r="BS88" s="33">
        <f>higiene[[#This Row],[Quantidade]]</f>
        <v>1</v>
      </c>
      <c r="BT88" s="33">
        <f>tab_higiene[Qtde (tot)]</f>
        <v>2</v>
      </c>
      <c r="BU88" s="33">
        <f t="shared" si="37"/>
        <v>2</v>
      </c>
      <c r="BW88" s="33">
        <f t="shared" si="35"/>
        <v>0</v>
      </c>
    </row>
    <row r="89" spans="9:75" x14ac:dyDescent="0.25">
      <c r="I89" s="25" t="str">
        <f>alimentos[[#This Row],[Item]]</f>
        <v>Coca-cola (2L)</v>
      </c>
      <c r="J89" s="1">
        <f>IFERROR(alimentos[[#This Row],[kg/embalagem]],0)</f>
        <v>2</v>
      </c>
      <c r="K89" s="1">
        <f>IFERROR(alimentos[[#This Row],[Preço]],0)</f>
        <v>6.4900000000000011</v>
      </c>
      <c r="L89" s="1">
        <f>SUMIFS(super1[Qtde],super1[Item],tab_alimentos[[#This Row],[Item]],super1[Bairro],mercado1)+SUMIFS(supercb[Qtde],supercb[Item],tab_alimentos[[#This Row],[Item]],supercb[Bairro],mercado1)</f>
        <v>0</v>
      </c>
      <c r="M89" s="1">
        <f>SUMIFS(super1[Qtde],super1[Item],tab_alimentos[[#This Row],[Item]],super1[Bairro],mercado2)+SUMIFS(supercb[Qtde],supercb[Item],tab_alimentos[[#This Row],[Item]],supercb[Bairro],mercado2)</f>
        <v>0</v>
      </c>
      <c r="N89" s="1">
        <f>SUMIFS(super1[Qtde],super1[Item],tab_alimentos[[#This Row],[Item]],super1[Bairro],mercado3)+SUMIFS(supercb[Qtde],supercb[Item],tab_alimentos[[#This Row],[Item]],supercb[Bairro],mercado3)</f>
        <v>0</v>
      </c>
      <c r="O89" s="1">
        <f>SUMIFS(super1[Qtde],super1[Item],tab_alimentos[[#This Row],[Item]],super1[Bairro],mercado4)+SUMIFS(supercb[Qtde],supercb[Item],tab_alimentos[[#This Row],[Item]],supercb[Bairro],mercado4)</f>
        <v>0</v>
      </c>
      <c r="P89" s="1">
        <f>SUMIFS(super1[Qtde],super1[Item],tab_alimentos[[#This Row],[Item]],super1[Bairro],mercado5)+SUMIFS(supercb[Qtde],supercb[Item],tab_alimentos[[#This Row],[Item]],supercb[Bairro],mercado5)</f>
        <v>0</v>
      </c>
      <c r="Q89" s="1">
        <f>SUMIFS(super1[Qtde],super1[Item],tab_alimentos[[#This Row],[Item]],super1[Bairro],mercado6)+SUMIFS(supercb[Qtde],supercb[Item],tab_alimentos[[#This Row],[Item]],supercb[Bairro],mercado6)</f>
        <v>0</v>
      </c>
      <c r="R89" s="1">
        <f>SUMIFS(super1[Qtde],super1[Item],tab_alimentos[[#This Row],[Item]],super1[Bairro],mercado7)+SUMIFS(supercb[Qtde],supercb[Item],tab_alimentos[[#This Row],[Item]],supercb[Bairro],mercado7)</f>
        <v>0</v>
      </c>
      <c r="S89" s="1">
        <f>SUMIFS(super1[Qtde],super1[Item],tab_alimentos[[#This Row],[Item]],super1[Bairro],mercado8)+SUMIFS(supercb[Qtde],supercb[Item],tab_alimentos[[#This Row],[Item]],supercb[Bairro],mercado8)</f>
        <v>0</v>
      </c>
      <c r="T89" s="1">
        <f>SUMIFS(super1[Qtde],super1[Item],tab_alimentos[[#This Row],[Item]],super1[Bairro],mercado9)+SUMIFS(supercb[Qtde],supercb[Item],tab_alimentos[[#This Row],[Item]],supercb[Bairro],mercado9)</f>
        <v>0</v>
      </c>
      <c r="U89" s="1">
        <f>SUMIFS(super1[Qtde],super1[Item],tab_alimentos[[#This Row],[Item]],super1[Bairro],mercado10)+SUMIFS(supercb[Qtde],supercb[Item],tab_alimentos[[#This Row],[Item]],supercb[Bairro],mercado10)</f>
        <v>0</v>
      </c>
      <c r="V89" s="1">
        <f>SUMIFS(super1[Qtde],super1[Item],tab_alimentos[[#This Row],[Item]],super1[Bairro],mercado11)+SUMIFS(supercb[Qtde],supercb[Item],tab_alimentos[[#This Row],[Item]],supercb[Bairro],mercado11)</f>
        <v>0</v>
      </c>
      <c r="W89" s="1">
        <f>SUMIFS(super1[Qtde],super1[Item],tab_alimentos[[#This Row],[Item]],super1[Bairro],mercado12)+SUMIFS(supercb[Qtde],supercb[Item],tab_alimentos[[#This Row],[Item]],supercb[Bairro],mercado12)</f>
        <v>0</v>
      </c>
      <c r="X89" s="1">
        <f>SUMIFS(super1[Qtde],super1[Item],tab_alimentos[[#This Row],[Item]],super1[Bairro],mercado13)+SUMIFS(supercb[Qtde],supercb[Item],tab_alimentos[[#This Row],[Item]],supercb[Bairro],mercado13)</f>
        <v>0</v>
      </c>
      <c r="Y89" s="1">
        <f>SUMIFS(super1[Qtde],super1[Item],tab_alimentos[[#This Row],[Item]],super1[Bairro],mercado14)+SUMIFS(supercb[Qtde],supercb[Item],tab_alimentos[[#This Row],[Item]],supercb[Bairro],mercado14)</f>
        <v>0</v>
      </c>
      <c r="Z89" s="1">
        <f>SUMIFS(super1[Qtde],super1[Item],tab_alimentos[[#This Row],[Item]],super1[Bairro],mercado15)+SUMIFS(supercb[Qtde],supercb[Item],tab_alimentos[[#This Row],[Item]],supercb[Bairro],mercado15)</f>
        <v>0</v>
      </c>
      <c r="AA89" s="1">
        <f>SUMIFS(super1[Qtde],super1[Item],tab_alimentos[[#This Row],[Item]],super1[Bairro],mercado16)+SUMIFS(supercb[Qtde],supercb[Item],tab_alimentos[[#This Row],[Item]],supercb[Bairro],mercado16)</f>
        <v>0</v>
      </c>
      <c r="AB89" s="1">
        <f>SUMIFS(super1[Qtde],super1[Item],tab_alimentos[[#This Row],[Item]],super1[Bairro],mercado17)+SUMIFS(supercb[Qtde],supercb[Item],tab_alimentos[[#This Row],[Item]],supercb[Bairro],mercado17)</f>
        <v>0</v>
      </c>
      <c r="AC89" s="1">
        <f>SUMIFS(super1[Qtde],super1[Item],tab_alimentos[[#This Row],[Item]],super1[Bairro],mercado18)+SUMIFS(supercb[Qtde],supercb[Item],tab_alimentos[[#This Row],[Item]],supercb[Bairro],mercado18)</f>
        <v>0</v>
      </c>
      <c r="AD89" s="1">
        <f>SUMIFS(super1[Qtde],super1[Item],tab_alimentos[[#This Row],[Item]],super1[Bairro],extras)+SUMIFS(supercb[Qtde],supercb[Item],tab_alimentos[[#This Row],[Item]],supercb[Bairro],extras)</f>
        <v>0</v>
      </c>
      <c r="AE89" s="1">
        <f t="shared" si="27"/>
        <v>0</v>
      </c>
      <c r="AF89" s="1">
        <f t="shared" si="28"/>
        <v>0</v>
      </c>
      <c r="AG89" s="3">
        <f t="shared" si="29"/>
        <v>0</v>
      </c>
      <c r="AH89" s="25" t="str">
        <f>higiene[[#This Row],[Item]]</f>
        <v>Fraldas Geriátricas (10un)</v>
      </c>
      <c r="AI89" s="1">
        <f>IFERROR(higiene[[#This Row],[Kg equivalente]],0)</f>
        <v>5.3707081876797096</v>
      </c>
      <c r="AJ89" s="1">
        <f>IFERROR(higiene[[#This Row],[Preço por produto]],0)</f>
        <v>17.79</v>
      </c>
      <c r="AK89" s="1">
        <f>SUMIFS(super1[Qtde],super1[Item],tab_higiene[[#This Row],[Item]],super1[Bairro],mercado1)+SUMIFS(supercb[Qtde],supercb[Item],tab_higiene[[#This Row],[Item]],supercb[Bairro],mercado1)</f>
        <v>0</v>
      </c>
      <c r="AL89" s="1">
        <f>SUMIFS(super1[Qtde],super1[Item],tab_higiene[[#This Row],[Item]],super1[Bairro],mercado2)+SUMIFS(supercb[Qtde],supercb[Item],tab_higiene[[#This Row],[Item]],supercb[Bairro],mercado2)</f>
        <v>0</v>
      </c>
      <c r="AM89" s="1">
        <f>SUMIFS(super1[Qtde],super1[Item],tab_higiene[[#This Row],[Item]],super1[Bairro],mercado3)+SUMIFS(supercb[Qtde],supercb[Item],tab_higiene[[#This Row],[Item]],supercb[Bairro],mercado3)</f>
        <v>0</v>
      </c>
      <c r="AN89" s="1">
        <f>SUMIFS(super1[Qtde],super1[Item],tab_higiene[[#This Row],[Item]],super1[Bairro],mercado4)+SUMIFS(supercb[Qtde],supercb[Item],tab_higiene[[#This Row],[Item]],supercb[Bairro],mercado4)</f>
        <v>0</v>
      </c>
      <c r="AO89" s="1">
        <f>SUMIFS(super1[Qtde],super1[Item],tab_higiene[[#This Row],[Item]],super1[Bairro],mercado5)+SUMIFS(supercb[Qtde],supercb[Item],tab_higiene[[#This Row],[Item]],supercb[Bairro],mercado5)</f>
        <v>0</v>
      </c>
      <c r="AP89" s="1">
        <f>SUMIFS(super1[Qtde],super1[Item],tab_higiene[[#This Row],[Item]],super1[Bairro],mercado6)+SUMIFS(supercb[Qtde],supercb[Item],tab_higiene[[#This Row],[Item]],supercb[Bairro],mercado6)</f>
        <v>0</v>
      </c>
      <c r="AQ89" s="1">
        <f>SUMIFS(super1[Qtde],super1[Item],tab_higiene[[#This Row],[Item]],super1[Bairro],mercado7)+SUMIFS(supercb[Qtde],supercb[Item],tab_higiene[[#This Row],[Item]],supercb[Bairro],mercado7)</f>
        <v>0</v>
      </c>
      <c r="AR89" s="1">
        <f>SUMIFS(super1[Qtde],super1[Item],tab_higiene[[#This Row],[Item]],super1[Bairro],mercado8)+SUMIFS(supercb[Qtde],supercb[Item],tab_higiene[[#This Row],[Item]],supercb[Bairro],mercado8)</f>
        <v>0</v>
      </c>
      <c r="AS89" s="1">
        <f>SUMIFS(super1[Qtde],super1[Item],tab_higiene[[#This Row],[Item]],super1[Bairro],mercado9)+SUMIFS(supercb[Qtde],supercb[Item],tab_higiene[[#This Row],[Item]],supercb[Bairro],mercado9)</f>
        <v>1</v>
      </c>
      <c r="AT89" s="1">
        <f>SUMIFS(super1[Qtde],super1[Item],tab_higiene[[#This Row],[Item]],super1[Bairro],mercado10)+SUMIFS(supercb[Qtde],supercb[Item],tab_higiene[[#This Row],[Item]],supercb[Bairro],mercado10)</f>
        <v>0</v>
      </c>
      <c r="AU89" s="1">
        <f>SUMIFS(super1[Qtde],super1[Item],tab_higiene[[#This Row],[Item]],super1[Bairro],mercado11)+SUMIFS(supercb[Qtde],supercb[Item],tab_higiene[[#This Row],[Item]],supercb[Bairro],mercado11)</f>
        <v>0</v>
      </c>
      <c r="AV89" s="1">
        <f>SUMIFS(super1[Qtde],super1[Item],tab_higiene[[#This Row],[Item]],super1[Bairro],mercado12)+SUMIFS(supercb[Qtde],supercb[Item],tab_higiene[[#This Row],[Item]],supercb[Bairro],mercado12)</f>
        <v>0</v>
      </c>
      <c r="AW89" s="1">
        <f>SUMIFS(super1[Qtde],super1[Item],tab_higiene[[#This Row],[Item]],super1[Bairro],mercado13)+SUMIFS(supercb[Qtde],supercb[Item],tab_higiene[[#This Row],[Item]],supercb[Bairro],mercado13)</f>
        <v>0</v>
      </c>
      <c r="AX89" s="1">
        <f>SUMIFS(super1[Qtde],super1[Item],tab_higiene[[#This Row],[Item]],super1[Bairro],mercado14)+SUMIFS(supercb[Qtde],supercb[Item],tab_higiene[[#This Row],[Item]],supercb[Bairro],mercado14)</f>
        <v>0</v>
      </c>
      <c r="AY89" s="1">
        <f>SUMIFS(super1[Qtde],super1[Item],tab_higiene[[#This Row],[Item]],super1[Bairro],mercado15)+SUMIFS(supercb[Qtde],supercb[Item],tab_higiene[[#This Row],[Item]],supercb[Bairro],mercado15)</f>
        <v>0</v>
      </c>
      <c r="AZ89" s="1">
        <f>SUMIFS(super1[Qtde],super1[Item],tab_higiene[[#This Row],[Item]],super1[Bairro],mercado16)+SUMIFS(supercb[Qtde],supercb[Item],tab_higiene[[#This Row],[Item]],supercb[Bairro],mercado16)</f>
        <v>0</v>
      </c>
      <c r="BA89" s="1">
        <f>SUMIFS(super1[Qtde],super1[Item],tab_higiene[[#This Row],[Item]],super1[Bairro],mercado17)+SUMIFS(supercb[Qtde],supercb[Item],tab_higiene[[#This Row],[Item]],supercb[Bairro],mercado17)</f>
        <v>0</v>
      </c>
      <c r="BB89" s="1">
        <f>SUMIFS(super1[Qtde],super1[Item],tab_higiene[[#This Row],[Item]],super1[Bairro],mercado18)+SUMIFS(supercb[Qtde],supercb[Item],tab_higiene[[#This Row],[Item]],supercb[Bairro],mercado18)</f>
        <v>0</v>
      </c>
      <c r="BC89" s="1">
        <f>SUMIFS(super1[Qtde],super1[Item],tab_higiene[[#This Row],[Item]],super1[Bairro],extras)+SUMIFS(supercb[Qtde],supercb[Item],tab_higiene[[#This Row],[Item]],supercb[Bairro],extras)</f>
        <v>0</v>
      </c>
      <c r="BD89" s="1">
        <f t="shared" si="30"/>
        <v>1</v>
      </c>
      <c r="BE89" s="1">
        <f t="shared" si="31"/>
        <v>17.79</v>
      </c>
      <c r="BF89" s="26">
        <f t="shared" si="32"/>
        <v>5.3707081876797096</v>
      </c>
      <c r="BI89" s="33" t="str">
        <f>tab_alimentos[[#This Row],[Item]]</f>
        <v>Coca-cola (2L)</v>
      </c>
      <c r="BJ89" s="33">
        <f t="shared" si="25"/>
        <v>10</v>
      </c>
      <c r="BK89" s="33" t="str">
        <f t="shared" si="26"/>
        <v>Coca-cola</v>
      </c>
      <c r="BL89" s="33">
        <f>tab_alimentos[[#This Row],[kg]]</f>
        <v>0</v>
      </c>
      <c r="BM89" t="s">
        <v>303</v>
      </c>
      <c r="BN89" s="35">
        <f t="shared" si="36"/>
        <v>0</v>
      </c>
      <c r="BP89" s="33" t="str">
        <f>tab_higiene[[#This Row],[Item]]</f>
        <v>Fraldas Geriátricas (10un)</v>
      </c>
      <c r="BQ89" s="33">
        <f t="shared" si="33"/>
        <v>20</v>
      </c>
      <c r="BR89" s="33" t="str">
        <f t="shared" si="34"/>
        <v>Fraldas Geriátricas</v>
      </c>
      <c r="BS89" s="33">
        <f>higiene[[#This Row],[Quantidade]]</f>
        <v>0</v>
      </c>
      <c r="BT89" s="33">
        <f>tab_higiene[Qtde (tot)]</f>
        <v>1</v>
      </c>
      <c r="BU89" s="33">
        <f t="shared" si="37"/>
        <v>0</v>
      </c>
      <c r="BW89" s="33">
        <f t="shared" si="35"/>
        <v>0</v>
      </c>
    </row>
    <row r="90" spans="9:75" x14ac:dyDescent="0.25">
      <c r="I90" s="25" t="str">
        <f>alimentos[[#This Row],[Item]]</f>
        <v>Coca-cola (3L)</v>
      </c>
      <c r="J90" s="1">
        <f>IFERROR(alimentos[[#This Row],[kg/embalagem]],0)</f>
        <v>3</v>
      </c>
      <c r="K90" s="1">
        <f>IFERROR(alimentos[[#This Row],[Preço]],0)</f>
        <v>7.99</v>
      </c>
      <c r="L90" s="1">
        <f>SUMIFS(super1[Qtde],super1[Item],tab_alimentos[[#This Row],[Item]],super1[Bairro],mercado1)+SUMIFS(supercb[Qtde],supercb[Item],tab_alimentos[[#This Row],[Item]],supercb[Bairro],mercado1)</f>
        <v>0</v>
      </c>
      <c r="M90" s="1">
        <f>SUMIFS(super1[Qtde],super1[Item],tab_alimentos[[#This Row],[Item]],super1[Bairro],mercado2)+SUMIFS(supercb[Qtde],supercb[Item],tab_alimentos[[#This Row],[Item]],supercb[Bairro],mercado2)</f>
        <v>0</v>
      </c>
      <c r="N90" s="1">
        <f>SUMIFS(super1[Qtde],super1[Item],tab_alimentos[[#This Row],[Item]],super1[Bairro],mercado3)+SUMIFS(supercb[Qtde],supercb[Item],tab_alimentos[[#This Row],[Item]],supercb[Bairro],mercado3)</f>
        <v>0</v>
      </c>
      <c r="O90" s="1">
        <f>SUMIFS(super1[Qtde],super1[Item],tab_alimentos[[#This Row],[Item]],super1[Bairro],mercado4)+SUMIFS(supercb[Qtde],supercb[Item],tab_alimentos[[#This Row],[Item]],supercb[Bairro],mercado4)</f>
        <v>0</v>
      </c>
      <c r="P90" s="1">
        <f>SUMIFS(super1[Qtde],super1[Item],tab_alimentos[[#This Row],[Item]],super1[Bairro],mercado5)+SUMIFS(supercb[Qtde],supercb[Item],tab_alimentos[[#This Row],[Item]],supercb[Bairro],mercado5)</f>
        <v>0</v>
      </c>
      <c r="Q90" s="1">
        <f>SUMIFS(super1[Qtde],super1[Item],tab_alimentos[[#This Row],[Item]],super1[Bairro],mercado6)+SUMIFS(supercb[Qtde],supercb[Item],tab_alimentos[[#This Row],[Item]],supercb[Bairro],mercado6)</f>
        <v>0</v>
      </c>
      <c r="R90" s="1">
        <f>SUMIFS(super1[Qtde],super1[Item],tab_alimentos[[#This Row],[Item]],super1[Bairro],mercado7)+SUMIFS(supercb[Qtde],supercb[Item],tab_alimentos[[#This Row],[Item]],supercb[Bairro],mercado7)</f>
        <v>0</v>
      </c>
      <c r="S90" s="1">
        <f>SUMIFS(super1[Qtde],super1[Item],tab_alimentos[[#This Row],[Item]],super1[Bairro],mercado8)+SUMIFS(supercb[Qtde],supercb[Item],tab_alimentos[[#This Row],[Item]],supercb[Bairro],mercado8)</f>
        <v>0</v>
      </c>
      <c r="T90" s="1">
        <f>SUMIFS(super1[Qtde],super1[Item],tab_alimentos[[#This Row],[Item]],super1[Bairro],mercado9)+SUMIFS(supercb[Qtde],supercb[Item],tab_alimentos[[#This Row],[Item]],supercb[Bairro],mercado9)</f>
        <v>0</v>
      </c>
      <c r="U90" s="1">
        <f>SUMIFS(super1[Qtde],super1[Item],tab_alimentos[[#This Row],[Item]],super1[Bairro],mercado10)+SUMIFS(supercb[Qtde],supercb[Item],tab_alimentos[[#This Row],[Item]],supercb[Bairro],mercado10)</f>
        <v>0</v>
      </c>
      <c r="V90" s="1">
        <f>SUMIFS(super1[Qtde],super1[Item],tab_alimentos[[#This Row],[Item]],super1[Bairro],mercado11)+SUMIFS(supercb[Qtde],supercb[Item],tab_alimentos[[#This Row],[Item]],supercb[Bairro],mercado11)</f>
        <v>0</v>
      </c>
      <c r="W90" s="1">
        <f>SUMIFS(super1[Qtde],super1[Item],tab_alimentos[[#This Row],[Item]],super1[Bairro],mercado12)+SUMIFS(supercb[Qtde],supercb[Item],tab_alimentos[[#This Row],[Item]],supercb[Bairro],mercado12)</f>
        <v>0</v>
      </c>
      <c r="X90" s="1">
        <f>SUMIFS(super1[Qtde],super1[Item],tab_alimentos[[#This Row],[Item]],super1[Bairro],mercado13)+SUMIFS(supercb[Qtde],supercb[Item],tab_alimentos[[#This Row],[Item]],supercb[Bairro],mercado13)</f>
        <v>0</v>
      </c>
      <c r="Y90" s="1">
        <f>SUMIFS(super1[Qtde],super1[Item],tab_alimentos[[#This Row],[Item]],super1[Bairro],mercado14)+SUMIFS(supercb[Qtde],supercb[Item],tab_alimentos[[#This Row],[Item]],supercb[Bairro],mercado14)</f>
        <v>0</v>
      </c>
      <c r="Z90" s="1">
        <f>SUMIFS(super1[Qtde],super1[Item],tab_alimentos[[#This Row],[Item]],super1[Bairro],mercado15)+SUMIFS(supercb[Qtde],supercb[Item],tab_alimentos[[#This Row],[Item]],supercb[Bairro],mercado15)</f>
        <v>0</v>
      </c>
      <c r="AA90" s="1">
        <f>SUMIFS(super1[Qtde],super1[Item],tab_alimentos[[#This Row],[Item]],super1[Bairro],mercado16)+SUMIFS(supercb[Qtde],supercb[Item],tab_alimentos[[#This Row],[Item]],supercb[Bairro],mercado16)</f>
        <v>0</v>
      </c>
      <c r="AB90" s="1">
        <f>SUMIFS(super1[Qtde],super1[Item],tab_alimentos[[#This Row],[Item]],super1[Bairro],mercado17)+SUMIFS(supercb[Qtde],supercb[Item],tab_alimentos[[#This Row],[Item]],supercb[Bairro],mercado17)</f>
        <v>0</v>
      </c>
      <c r="AC90" s="1">
        <f>SUMIFS(super1[Qtde],super1[Item],tab_alimentos[[#This Row],[Item]],super1[Bairro],mercado18)+SUMIFS(supercb[Qtde],supercb[Item],tab_alimentos[[#This Row],[Item]],supercb[Bairro],mercado18)</f>
        <v>0</v>
      </c>
      <c r="AD90" s="1">
        <f>SUMIFS(super1[Qtde],super1[Item],tab_alimentos[[#This Row],[Item]],super1[Bairro],extras)+SUMIFS(supercb[Qtde],supercb[Item],tab_alimentos[[#This Row],[Item]],supercb[Bairro],extras)</f>
        <v>0</v>
      </c>
      <c r="AE90" s="1">
        <f t="shared" si="27"/>
        <v>0</v>
      </c>
      <c r="AF90" s="1">
        <f t="shared" si="28"/>
        <v>0</v>
      </c>
      <c r="AG90" s="3">
        <f t="shared" si="29"/>
        <v>0</v>
      </c>
      <c r="AH90" s="25" t="str">
        <f>higiene[[#This Row],[Item]]</f>
        <v>Fraldas Geriátricas (18un)</v>
      </c>
      <c r="AI90" s="1">
        <f>IFERROR(higiene[[#This Row],[Kg equivalente]],0)</f>
        <v>15.695509762645765</v>
      </c>
      <c r="AJ90" s="1">
        <f>IFERROR(higiene[[#This Row],[Preço por produto]],0)</f>
        <v>51.99</v>
      </c>
      <c r="AK90" s="1">
        <f>SUMIFS(super1[Qtde],super1[Item],tab_higiene[[#This Row],[Item]],super1[Bairro],mercado1)+SUMIFS(supercb[Qtde],supercb[Item],tab_higiene[[#This Row],[Item]],supercb[Bairro],mercado1)</f>
        <v>0</v>
      </c>
      <c r="AL90" s="1">
        <f>SUMIFS(super1[Qtde],super1[Item],tab_higiene[[#This Row],[Item]],super1[Bairro],mercado2)+SUMIFS(supercb[Qtde],supercb[Item],tab_higiene[[#This Row],[Item]],supercb[Bairro],mercado2)</f>
        <v>0</v>
      </c>
      <c r="AM90" s="1">
        <f>SUMIFS(super1[Qtde],super1[Item],tab_higiene[[#This Row],[Item]],super1[Bairro],mercado3)+SUMIFS(supercb[Qtde],supercb[Item],tab_higiene[[#This Row],[Item]],supercb[Bairro],mercado3)</f>
        <v>0</v>
      </c>
      <c r="AN90" s="1">
        <f>SUMIFS(super1[Qtde],super1[Item],tab_higiene[[#This Row],[Item]],super1[Bairro],mercado4)+SUMIFS(supercb[Qtde],supercb[Item],tab_higiene[[#This Row],[Item]],supercb[Bairro],mercado4)</f>
        <v>0</v>
      </c>
      <c r="AO90" s="1">
        <f>SUMIFS(super1[Qtde],super1[Item],tab_higiene[[#This Row],[Item]],super1[Bairro],mercado5)+SUMIFS(supercb[Qtde],supercb[Item],tab_higiene[[#This Row],[Item]],supercb[Bairro],mercado5)</f>
        <v>0</v>
      </c>
      <c r="AP90" s="1">
        <f>SUMIFS(super1[Qtde],super1[Item],tab_higiene[[#This Row],[Item]],super1[Bairro],mercado6)+SUMIFS(supercb[Qtde],supercb[Item],tab_higiene[[#This Row],[Item]],supercb[Bairro],mercado6)</f>
        <v>0</v>
      </c>
      <c r="AQ90" s="1">
        <f>SUMIFS(super1[Qtde],super1[Item],tab_higiene[[#This Row],[Item]],super1[Bairro],mercado7)+SUMIFS(supercb[Qtde],supercb[Item],tab_higiene[[#This Row],[Item]],supercb[Bairro],mercado7)</f>
        <v>0</v>
      </c>
      <c r="AR90" s="1">
        <f>SUMIFS(super1[Qtde],super1[Item],tab_higiene[[#This Row],[Item]],super1[Bairro],mercado8)+SUMIFS(supercb[Qtde],supercb[Item],tab_higiene[[#This Row],[Item]],supercb[Bairro],mercado8)</f>
        <v>0</v>
      </c>
      <c r="AS90" s="1">
        <f>SUMIFS(super1[Qtde],super1[Item],tab_higiene[[#This Row],[Item]],super1[Bairro],mercado9)+SUMIFS(supercb[Qtde],supercb[Item],tab_higiene[[#This Row],[Item]],supercb[Bairro],mercado9)</f>
        <v>0</v>
      </c>
      <c r="AT90" s="1">
        <f>SUMIFS(super1[Qtde],super1[Item],tab_higiene[[#This Row],[Item]],super1[Bairro],mercado10)+SUMIFS(supercb[Qtde],supercb[Item],tab_higiene[[#This Row],[Item]],supercb[Bairro],mercado10)</f>
        <v>0</v>
      </c>
      <c r="AU90" s="1">
        <f>SUMIFS(super1[Qtde],super1[Item],tab_higiene[[#This Row],[Item]],super1[Bairro],mercado11)+SUMIFS(supercb[Qtde],supercb[Item],tab_higiene[[#This Row],[Item]],supercb[Bairro],mercado11)</f>
        <v>0</v>
      </c>
      <c r="AV90" s="1">
        <f>SUMIFS(super1[Qtde],super1[Item],tab_higiene[[#This Row],[Item]],super1[Bairro],mercado12)+SUMIFS(supercb[Qtde],supercb[Item],tab_higiene[[#This Row],[Item]],supercb[Bairro],mercado12)</f>
        <v>0</v>
      </c>
      <c r="AW90" s="1">
        <f>SUMIFS(super1[Qtde],super1[Item],tab_higiene[[#This Row],[Item]],super1[Bairro],mercado13)+SUMIFS(supercb[Qtde],supercb[Item],tab_higiene[[#This Row],[Item]],supercb[Bairro],mercado13)</f>
        <v>0</v>
      </c>
      <c r="AX90" s="1">
        <f>SUMIFS(super1[Qtde],super1[Item],tab_higiene[[#This Row],[Item]],super1[Bairro],mercado14)+SUMIFS(supercb[Qtde],supercb[Item],tab_higiene[[#This Row],[Item]],supercb[Bairro],mercado14)</f>
        <v>0</v>
      </c>
      <c r="AY90" s="1">
        <f>SUMIFS(super1[Qtde],super1[Item],tab_higiene[[#This Row],[Item]],super1[Bairro],mercado15)+SUMIFS(supercb[Qtde],supercb[Item],tab_higiene[[#This Row],[Item]],supercb[Bairro],mercado15)</f>
        <v>0</v>
      </c>
      <c r="AZ90" s="1">
        <f>SUMIFS(super1[Qtde],super1[Item],tab_higiene[[#This Row],[Item]],super1[Bairro],mercado16)+SUMIFS(supercb[Qtde],supercb[Item],tab_higiene[[#This Row],[Item]],supercb[Bairro],mercado16)</f>
        <v>0</v>
      </c>
      <c r="BA90" s="1">
        <f>SUMIFS(super1[Qtde],super1[Item],tab_higiene[[#This Row],[Item]],super1[Bairro],mercado17)+SUMIFS(supercb[Qtde],supercb[Item],tab_higiene[[#This Row],[Item]],supercb[Bairro],mercado17)</f>
        <v>0</v>
      </c>
      <c r="BB90" s="1">
        <f>SUMIFS(super1[Qtde],super1[Item],tab_higiene[[#This Row],[Item]],super1[Bairro],mercado18)+SUMIFS(supercb[Qtde],supercb[Item],tab_higiene[[#This Row],[Item]],supercb[Bairro],mercado18)</f>
        <v>0</v>
      </c>
      <c r="BC90" s="1">
        <f>SUMIFS(super1[Qtde],super1[Item],tab_higiene[[#This Row],[Item]],super1[Bairro],extras)+SUMIFS(supercb[Qtde],supercb[Item],tab_higiene[[#This Row],[Item]],supercb[Bairro],extras)</f>
        <v>0</v>
      </c>
      <c r="BD90" s="1">
        <f t="shared" si="30"/>
        <v>0</v>
      </c>
      <c r="BE90" s="1">
        <f t="shared" si="31"/>
        <v>0</v>
      </c>
      <c r="BF90" s="26">
        <f t="shared" si="32"/>
        <v>0</v>
      </c>
      <c r="BI90" s="33" t="str">
        <f>tab_alimentos[[#This Row],[Item]]</f>
        <v>Coca-cola (3L)</v>
      </c>
      <c r="BJ90" s="33">
        <f t="shared" si="25"/>
        <v>10</v>
      </c>
      <c r="BK90" s="33" t="str">
        <f t="shared" si="26"/>
        <v>Coca-cola</v>
      </c>
      <c r="BL90" s="33">
        <f>tab_alimentos[[#This Row],[kg]]</f>
        <v>0</v>
      </c>
      <c r="BM90">
        <v>0</v>
      </c>
      <c r="BN90" s="35">
        <f t="shared" si="36"/>
        <v>0</v>
      </c>
      <c r="BP90" s="33" t="str">
        <f>tab_higiene[[#This Row],[Item]]</f>
        <v>Fraldas Geriátricas (18un)</v>
      </c>
      <c r="BQ90" s="33">
        <f t="shared" si="33"/>
        <v>20</v>
      </c>
      <c r="BR90" s="33" t="str">
        <f t="shared" si="34"/>
        <v>Fraldas Geriátricas</v>
      </c>
      <c r="BS90" s="33">
        <f>higiene[[#This Row],[Quantidade]]</f>
        <v>0</v>
      </c>
      <c r="BT90" s="33">
        <f>tab_higiene[Qtde (tot)]</f>
        <v>0</v>
      </c>
      <c r="BU90" s="33">
        <f t="shared" si="37"/>
        <v>0</v>
      </c>
      <c r="BW90" s="33">
        <f t="shared" si="35"/>
        <v>0</v>
      </c>
    </row>
    <row r="91" spans="9:75" x14ac:dyDescent="0.25">
      <c r="I91" s="25" t="str">
        <f>alimentos[[#This Row],[Item]]</f>
        <v>Coco Ralado (100g)</v>
      </c>
      <c r="J91" s="1">
        <f>IFERROR(alimentos[[#This Row],[kg/embalagem]],0)</f>
        <v>0.1</v>
      </c>
      <c r="K91" s="1">
        <f>IFERROR(alimentos[[#This Row],[Preço]],0)</f>
        <v>3.84</v>
      </c>
      <c r="L91" s="1">
        <f>SUMIFS(super1[Qtde],super1[Item],tab_alimentos[[#This Row],[Item]],super1[Bairro],mercado1)+SUMIFS(supercb[Qtde],supercb[Item],tab_alimentos[[#This Row],[Item]],supercb[Bairro],mercado1)</f>
        <v>0</v>
      </c>
      <c r="M91" s="1">
        <f>SUMIFS(super1[Qtde],super1[Item],tab_alimentos[[#This Row],[Item]],super1[Bairro],mercado2)+SUMIFS(supercb[Qtde],supercb[Item],tab_alimentos[[#This Row],[Item]],supercb[Bairro],mercado2)</f>
        <v>0</v>
      </c>
      <c r="N91" s="1">
        <f>SUMIFS(super1[Qtde],super1[Item],tab_alimentos[[#This Row],[Item]],super1[Bairro],mercado3)+SUMIFS(supercb[Qtde],supercb[Item],tab_alimentos[[#This Row],[Item]],supercb[Bairro],mercado3)</f>
        <v>0</v>
      </c>
      <c r="O91" s="1">
        <f>SUMIFS(super1[Qtde],super1[Item],tab_alimentos[[#This Row],[Item]],super1[Bairro],mercado4)+SUMIFS(supercb[Qtde],supercb[Item],tab_alimentos[[#This Row],[Item]],supercb[Bairro],mercado4)</f>
        <v>0</v>
      </c>
      <c r="P91" s="1">
        <f>SUMIFS(super1[Qtde],super1[Item],tab_alimentos[[#This Row],[Item]],super1[Bairro],mercado5)+SUMIFS(supercb[Qtde],supercb[Item],tab_alimentos[[#This Row],[Item]],supercb[Bairro],mercado5)</f>
        <v>0</v>
      </c>
      <c r="Q91" s="1">
        <f>SUMIFS(super1[Qtde],super1[Item],tab_alimentos[[#This Row],[Item]],super1[Bairro],mercado6)+SUMIFS(supercb[Qtde],supercb[Item],tab_alimentos[[#This Row],[Item]],supercb[Bairro],mercado6)</f>
        <v>0</v>
      </c>
      <c r="R91" s="1">
        <f>SUMIFS(super1[Qtde],super1[Item],tab_alimentos[[#This Row],[Item]],super1[Bairro],mercado7)+SUMIFS(supercb[Qtde],supercb[Item],tab_alimentos[[#This Row],[Item]],supercb[Bairro],mercado7)</f>
        <v>0</v>
      </c>
      <c r="S91" s="1">
        <f>SUMIFS(super1[Qtde],super1[Item],tab_alimentos[[#This Row],[Item]],super1[Bairro],mercado8)+SUMIFS(supercb[Qtde],supercb[Item],tab_alimentos[[#This Row],[Item]],supercb[Bairro],mercado8)</f>
        <v>0</v>
      </c>
      <c r="T91" s="1">
        <f>SUMIFS(super1[Qtde],super1[Item],tab_alimentos[[#This Row],[Item]],super1[Bairro],mercado9)+SUMIFS(supercb[Qtde],supercb[Item],tab_alimentos[[#This Row],[Item]],supercb[Bairro],mercado9)</f>
        <v>0</v>
      </c>
      <c r="U91" s="1">
        <f>SUMIFS(super1[Qtde],super1[Item],tab_alimentos[[#This Row],[Item]],super1[Bairro],mercado10)+SUMIFS(supercb[Qtde],supercb[Item],tab_alimentos[[#This Row],[Item]],supercb[Bairro],mercado10)</f>
        <v>0</v>
      </c>
      <c r="V91" s="1">
        <f>SUMIFS(super1[Qtde],super1[Item],tab_alimentos[[#This Row],[Item]],super1[Bairro],mercado11)+SUMIFS(supercb[Qtde],supercb[Item],tab_alimentos[[#This Row],[Item]],supercb[Bairro],mercado11)</f>
        <v>0</v>
      </c>
      <c r="W91" s="1">
        <f>SUMIFS(super1[Qtde],super1[Item],tab_alimentos[[#This Row],[Item]],super1[Bairro],mercado12)+SUMIFS(supercb[Qtde],supercb[Item],tab_alimentos[[#This Row],[Item]],supercb[Bairro],mercado12)</f>
        <v>0</v>
      </c>
      <c r="X91" s="1">
        <f>SUMIFS(super1[Qtde],super1[Item],tab_alimentos[[#This Row],[Item]],super1[Bairro],mercado13)+SUMIFS(supercb[Qtde],supercb[Item],tab_alimentos[[#This Row],[Item]],supercb[Bairro],mercado13)</f>
        <v>0</v>
      </c>
      <c r="Y91" s="1">
        <f>SUMIFS(super1[Qtde],super1[Item],tab_alimentos[[#This Row],[Item]],super1[Bairro],mercado14)+SUMIFS(supercb[Qtde],supercb[Item],tab_alimentos[[#This Row],[Item]],supercb[Bairro],mercado14)</f>
        <v>0</v>
      </c>
      <c r="Z91" s="1">
        <f>SUMIFS(super1[Qtde],super1[Item],tab_alimentos[[#This Row],[Item]],super1[Bairro],mercado15)+SUMIFS(supercb[Qtde],supercb[Item],tab_alimentos[[#This Row],[Item]],supercb[Bairro],mercado15)</f>
        <v>0</v>
      </c>
      <c r="AA91" s="1">
        <f>SUMIFS(super1[Qtde],super1[Item],tab_alimentos[[#This Row],[Item]],super1[Bairro],mercado16)+SUMIFS(supercb[Qtde],supercb[Item],tab_alimentos[[#This Row],[Item]],supercb[Bairro],mercado16)</f>
        <v>0</v>
      </c>
      <c r="AB91" s="1">
        <f>SUMIFS(super1[Qtde],super1[Item],tab_alimentos[[#This Row],[Item]],super1[Bairro],mercado17)+SUMIFS(supercb[Qtde],supercb[Item],tab_alimentos[[#This Row],[Item]],supercb[Bairro],mercado17)</f>
        <v>0</v>
      </c>
      <c r="AC91" s="1">
        <f>SUMIFS(super1[Qtde],super1[Item],tab_alimentos[[#This Row],[Item]],super1[Bairro],mercado18)+SUMIFS(supercb[Qtde],supercb[Item],tab_alimentos[[#This Row],[Item]],supercb[Bairro],mercado18)</f>
        <v>0</v>
      </c>
      <c r="AD91" s="1">
        <f>SUMIFS(super1[Qtde],super1[Item],tab_alimentos[[#This Row],[Item]],super1[Bairro],extras)+SUMIFS(supercb[Qtde],supercb[Item],tab_alimentos[[#This Row],[Item]],supercb[Bairro],extras)</f>
        <v>0</v>
      </c>
      <c r="AE91" s="1">
        <f t="shared" si="27"/>
        <v>0</v>
      </c>
      <c r="AF91" s="1">
        <f t="shared" si="28"/>
        <v>0</v>
      </c>
      <c r="AG91" s="3">
        <f t="shared" si="29"/>
        <v>0</v>
      </c>
      <c r="AH91" s="25" t="str">
        <f>higiene[[#This Row],[Item]]</f>
        <v>Fraldas Geriátricas (20un)</v>
      </c>
      <c r="AI91" s="1">
        <f>IFERROR(higiene[[#This Row],[Kg equivalente]],0)</f>
        <v>4.294151391880618</v>
      </c>
      <c r="AJ91" s="1">
        <f>IFERROR(higiene[[#This Row],[Preço por produto]],0)</f>
        <v>14.223999999999998</v>
      </c>
      <c r="AK91" s="1">
        <f>SUMIFS(super1[Qtde],super1[Item],tab_higiene[[#This Row],[Item]],super1[Bairro],mercado1)+SUMIFS(supercb[Qtde],supercb[Item],tab_higiene[[#This Row],[Item]],supercb[Bairro],mercado1)</f>
        <v>0</v>
      </c>
      <c r="AL91" s="1">
        <f>SUMIFS(super1[Qtde],super1[Item],tab_higiene[[#This Row],[Item]],super1[Bairro],mercado2)+SUMIFS(supercb[Qtde],supercb[Item],tab_higiene[[#This Row],[Item]],supercb[Bairro],mercado2)</f>
        <v>0</v>
      </c>
      <c r="AM91" s="1">
        <f>SUMIFS(super1[Qtde],super1[Item],tab_higiene[[#This Row],[Item]],super1[Bairro],mercado3)+SUMIFS(supercb[Qtde],supercb[Item],tab_higiene[[#This Row],[Item]],supercb[Bairro],mercado3)</f>
        <v>0</v>
      </c>
      <c r="AN91" s="1">
        <f>SUMIFS(super1[Qtde],super1[Item],tab_higiene[[#This Row],[Item]],super1[Bairro],mercado4)+SUMIFS(supercb[Qtde],supercb[Item],tab_higiene[[#This Row],[Item]],supercb[Bairro],mercado4)</f>
        <v>0</v>
      </c>
      <c r="AO91" s="1">
        <f>SUMIFS(super1[Qtde],super1[Item],tab_higiene[[#This Row],[Item]],super1[Bairro],mercado5)+SUMIFS(supercb[Qtde],supercb[Item],tab_higiene[[#This Row],[Item]],supercb[Bairro],mercado5)</f>
        <v>1</v>
      </c>
      <c r="AP91" s="1">
        <f>SUMIFS(super1[Qtde],super1[Item],tab_higiene[[#This Row],[Item]],super1[Bairro],mercado6)+SUMIFS(supercb[Qtde],supercb[Item],tab_higiene[[#This Row],[Item]],supercb[Bairro],mercado6)</f>
        <v>0</v>
      </c>
      <c r="AQ91" s="1">
        <f>SUMIFS(super1[Qtde],super1[Item],tab_higiene[[#This Row],[Item]],super1[Bairro],mercado7)+SUMIFS(supercb[Qtde],supercb[Item],tab_higiene[[#This Row],[Item]],supercb[Bairro],mercado7)</f>
        <v>0</v>
      </c>
      <c r="AR91" s="1">
        <f>SUMIFS(super1[Qtde],super1[Item],tab_higiene[[#This Row],[Item]],super1[Bairro],mercado8)+SUMIFS(supercb[Qtde],supercb[Item],tab_higiene[[#This Row],[Item]],supercb[Bairro],mercado8)</f>
        <v>0</v>
      </c>
      <c r="AS91" s="1">
        <f>SUMIFS(super1[Qtde],super1[Item],tab_higiene[[#This Row],[Item]],super1[Bairro],mercado9)+SUMIFS(supercb[Qtde],supercb[Item],tab_higiene[[#This Row],[Item]],supercb[Bairro],mercado9)</f>
        <v>1</v>
      </c>
      <c r="AT91" s="1">
        <f>SUMIFS(super1[Qtde],super1[Item],tab_higiene[[#This Row],[Item]],super1[Bairro],mercado10)+SUMIFS(supercb[Qtde],supercb[Item],tab_higiene[[#This Row],[Item]],supercb[Bairro],mercado10)</f>
        <v>1</v>
      </c>
      <c r="AU91" s="1">
        <f>SUMIFS(super1[Qtde],super1[Item],tab_higiene[[#This Row],[Item]],super1[Bairro],mercado11)+SUMIFS(supercb[Qtde],supercb[Item],tab_higiene[[#This Row],[Item]],supercb[Bairro],mercado11)</f>
        <v>1</v>
      </c>
      <c r="AV91" s="1">
        <f>SUMIFS(super1[Qtde],super1[Item],tab_higiene[[#This Row],[Item]],super1[Bairro],mercado12)+SUMIFS(supercb[Qtde],supercb[Item],tab_higiene[[#This Row],[Item]],supercb[Bairro],mercado12)</f>
        <v>0</v>
      </c>
      <c r="AW91" s="1">
        <f>SUMIFS(super1[Qtde],super1[Item],tab_higiene[[#This Row],[Item]],super1[Bairro],mercado13)+SUMIFS(supercb[Qtde],supercb[Item],tab_higiene[[#This Row],[Item]],supercb[Bairro],mercado13)</f>
        <v>1</v>
      </c>
      <c r="AX91" s="1">
        <f>SUMIFS(super1[Qtde],super1[Item],tab_higiene[[#This Row],[Item]],super1[Bairro],mercado14)+SUMIFS(supercb[Qtde],supercb[Item],tab_higiene[[#This Row],[Item]],supercb[Bairro],mercado14)</f>
        <v>0</v>
      </c>
      <c r="AY91" s="1">
        <f>SUMIFS(super1[Qtde],super1[Item],tab_higiene[[#This Row],[Item]],super1[Bairro],mercado15)+SUMIFS(supercb[Qtde],supercb[Item],tab_higiene[[#This Row],[Item]],supercb[Bairro],mercado15)</f>
        <v>0</v>
      </c>
      <c r="AZ91" s="1">
        <f>SUMIFS(super1[Qtde],super1[Item],tab_higiene[[#This Row],[Item]],super1[Bairro],mercado16)+SUMIFS(supercb[Qtde],supercb[Item],tab_higiene[[#This Row],[Item]],supercb[Bairro],mercado16)</f>
        <v>0</v>
      </c>
      <c r="BA91" s="1">
        <f>SUMIFS(super1[Qtde],super1[Item],tab_higiene[[#This Row],[Item]],super1[Bairro],mercado17)+SUMIFS(supercb[Qtde],supercb[Item],tab_higiene[[#This Row],[Item]],supercb[Bairro],mercado17)</f>
        <v>0</v>
      </c>
      <c r="BB91" s="1">
        <f>SUMIFS(super1[Qtde],super1[Item],tab_higiene[[#This Row],[Item]],super1[Bairro],mercado18)+SUMIFS(supercb[Qtde],supercb[Item],tab_higiene[[#This Row],[Item]],supercb[Bairro],mercado18)</f>
        <v>0</v>
      </c>
      <c r="BC91" s="1">
        <f>SUMIFS(super1[Qtde],super1[Item],tab_higiene[[#This Row],[Item]],super1[Bairro],extras)+SUMIFS(supercb[Qtde],supercb[Item],tab_higiene[[#This Row],[Item]],supercb[Bairro],extras)</f>
        <v>0</v>
      </c>
      <c r="BD91" s="1">
        <f t="shared" si="30"/>
        <v>5</v>
      </c>
      <c r="BE91" s="1">
        <f t="shared" si="31"/>
        <v>71.11999999999999</v>
      </c>
      <c r="BF91" s="26">
        <f t="shared" si="32"/>
        <v>21.47075695940309</v>
      </c>
      <c r="BI91" s="33" t="str">
        <f>tab_alimentos[[#This Row],[Item]]</f>
        <v>Coco Ralado (100g)</v>
      </c>
      <c r="BJ91" s="33">
        <f t="shared" si="25"/>
        <v>12</v>
      </c>
      <c r="BK91" s="33" t="str">
        <f t="shared" si="26"/>
        <v>Coco Ralado</v>
      </c>
      <c r="BL91" s="33">
        <f>tab_alimentos[[#This Row],[kg]]</f>
        <v>0</v>
      </c>
      <c r="BM91" t="e">
        <v>#VALUE!</v>
      </c>
      <c r="BN91" s="35">
        <f t="shared" si="36"/>
        <v>0</v>
      </c>
      <c r="BP91" s="33" t="str">
        <f>tab_higiene[[#This Row],[Item]]</f>
        <v>Fraldas Geriátricas (20un)</v>
      </c>
      <c r="BQ91" s="33">
        <f t="shared" si="33"/>
        <v>20</v>
      </c>
      <c r="BR91" s="33" t="str">
        <f t="shared" si="34"/>
        <v>Fraldas Geriátricas</v>
      </c>
      <c r="BS91" s="33">
        <f>higiene[[#This Row],[Quantidade]]</f>
        <v>0</v>
      </c>
      <c r="BT91" s="33">
        <f>tab_higiene[Qtde (tot)]</f>
        <v>5</v>
      </c>
      <c r="BU91" s="33">
        <f t="shared" si="37"/>
        <v>0</v>
      </c>
      <c r="BW91" s="33">
        <f t="shared" si="35"/>
        <v>0</v>
      </c>
    </row>
    <row r="92" spans="9:75" x14ac:dyDescent="0.25">
      <c r="I92" s="25" t="str">
        <f>alimentos[[#This Row],[Item]]</f>
        <v>Cookie (400g)</v>
      </c>
      <c r="J92" s="1">
        <f>IFERROR(alimentos[[#This Row],[kg/embalagem]],0)</f>
        <v>0.4</v>
      </c>
      <c r="K92" s="1">
        <f>IFERROR(alimentos[[#This Row],[Preço]],0)</f>
        <v>4.88</v>
      </c>
      <c r="L92" s="1">
        <f>SUMIFS(super1[Qtde],super1[Item],tab_alimentos[[#This Row],[Item]],super1[Bairro],mercado1)+SUMIFS(supercb[Qtde],supercb[Item],tab_alimentos[[#This Row],[Item]],supercb[Bairro],mercado1)</f>
        <v>0</v>
      </c>
      <c r="M92" s="1">
        <f>SUMIFS(super1[Qtde],super1[Item],tab_alimentos[[#This Row],[Item]],super1[Bairro],mercado2)+SUMIFS(supercb[Qtde],supercb[Item],tab_alimentos[[#This Row],[Item]],supercb[Bairro],mercado2)</f>
        <v>0</v>
      </c>
      <c r="N92" s="1">
        <f>SUMIFS(super1[Qtde],super1[Item],tab_alimentos[[#This Row],[Item]],super1[Bairro],mercado3)+SUMIFS(supercb[Qtde],supercb[Item],tab_alimentos[[#This Row],[Item]],supercb[Bairro],mercado3)</f>
        <v>0</v>
      </c>
      <c r="O92" s="1">
        <f>SUMIFS(super1[Qtde],super1[Item],tab_alimentos[[#This Row],[Item]],super1[Bairro],mercado4)+SUMIFS(supercb[Qtde],supercb[Item],tab_alimentos[[#This Row],[Item]],supercb[Bairro],mercado4)</f>
        <v>0</v>
      </c>
      <c r="P92" s="1">
        <f>SUMIFS(super1[Qtde],super1[Item],tab_alimentos[[#This Row],[Item]],super1[Bairro],mercado5)+SUMIFS(supercb[Qtde],supercb[Item],tab_alimentos[[#This Row],[Item]],supercb[Bairro],mercado5)</f>
        <v>0</v>
      </c>
      <c r="Q92" s="1">
        <f>SUMIFS(super1[Qtde],super1[Item],tab_alimentos[[#This Row],[Item]],super1[Bairro],mercado6)+SUMIFS(supercb[Qtde],supercb[Item],tab_alimentos[[#This Row],[Item]],supercb[Bairro],mercado6)</f>
        <v>0</v>
      </c>
      <c r="R92" s="1">
        <f>SUMIFS(super1[Qtde],super1[Item],tab_alimentos[[#This Row],[Item]],super1[Bairro],mercado7)+SUMIFS(supercb[Qtde],supercb[Item],tab_alimentos[[#This Row],[Item]],supercb[Bairro],mercado7)</f>
        <v>0</v>
      </c>
      <c r="S92" s="1">
        <f>SUMIFS(super1[Qtde],super1[Item],tab_alimentos[[#This Row],[Item]],super1[Bairro],mercado8)+SUMIFS(supercb[Qtde],supercb[Item],tab_alimentos[[#This Row],[Item]],supercb[Bairro],mercado8)</f>
        <v>0</v>
      </c>
      <c r="T92" s="1">
        <f>SUMIFS(super1[Qtde],super1[Item],tab_alimentos[[#This Row],[Item]],super1[Bairro],mercado9)+SUMIFS(supercb[Qtde],supercb[Item],tab_alimentos[[#This Row],[Item]],supercb[Bairro],mercado9)</f>
        <v>0</v>
      </c>
      <c r="U92" s="1">
        <f>SUMIFS(super1[Qtde],super1[Item],tab_alimentos[[#This Row],[Item]],super1[Bairro],mercado10)+SUMIFS(supercb[Qtde],supercb[Item],tab_alimentos[[#This Row],[Item]],supercb[Bairro],mercado10)</f>
        <v>0</v>
      </c>
      <c r="V92" s="1">
        <f>SUMIFS(super1[Qtde],super1[Item],tab_alimentos[[#This Row],[Item]],super1[Bairro],mercado11)+SUMIFS(supercb[Qtde],supercb[Item],tab_alimentos[[#This Row],[Item]],supercb[Bairro],mercado11)</f>
        <v>0</v>
      </c>
      <c r="W92" s="1">
        <f>SUMIFS(super1[Qtde],super1[Item],tab_alimentos[[#This Row],[Item]],super1[Bairro],mercado12)+SUMIFS(supercb[Qtde],supercb[Item],tab_alimentos[[#This Row],[Item]],supercb[Bairro],mercado12)</f>
        <v>0</v>
      </c>
      <c r="X92" s="1">
        <f>SUMIFS(super1[Qtde],super1[Item],tab_alimentos[[#This Row],[Item]],super1[Bairro],mercado13)+SUMIFS(supercb[Qtde],supercb[Item],tab_alimentos[[#This Row],[Item]],supercb[Bairro],mercado13)</f>
        <v>0</v>
      </c>
      <c r="Y92" s="1">
        <f>SUMIFS(super1[Qtde],super1[Item],tab_alimentos[[#This Row],[Item]],super1[Bairro],mercado14)+SUMIFS(supercb[Qtde],supercb[Item],tab_alimentos[[#This Row],[Item]],supercb[Bairro],mercado14)</f>
        <v>0</v>
      </c>
      <c r="Z92" s="1">
        <f>SUMIFS(super1[Qtde],super1[Item],tab_alimentos[[#This Row],[Item]],super1[Bairro],mercado15)+SUMIFS(supercb[Qtde],supercb[Item],tab_alimentos[[#This Row],[Item]],supercb[Bairro],mercado15)</f>
        <v>0</v>
      </c>
      <c r="AA92" s="1">
        <f>SUMIFS(super1[Qtde],super1[Item],tab_alimentos[[#This Row],[Item]],super1[Bairro],mercado16)+SUMIFS(supercb[Qtde],supercb[Item],tab_alimentos[[#This Row],[Item]],supercb[Bairro],mercado16)</f>
        <v>0</v>
      </c>
      <c r="AB92" s="1">
        <f>SUMIFS(super1[Qtde],super1[Item],tab_alimentos[[#This Row],[Item]],super1[Bairro],mercado17)+SUMIFS(supercb[Qtde],supercb[Item],tab_alimentos[[#This Row],[Item]],supercb[Bairro],mercado17)</f>
        <v>0</v>
      </c>
      <c r="AC92" s="1">
        <f>SUMIFS(super1[Qtde],super1[Item],tab_alimentos[[#This Row],[Item]],super1[Bairro],mercado18)+SUMIFS(supercb[Qtde],supercb[Item],tab_alimentos[[#This Row],[Item]],supercb[Bairro],mercado18)</f>
        <v>0</v>
      </c>
      <c r="AD92" s="1">
        <f>SUMIFS(super1[Qtde],super1[Item],tab_alimentos[[#This Row],[Item]],super1[Bairro],extras)+SUMIFS(supercb[Qtde],supercb[Item],tab_alimentos[[#This Row],[Item]],supercb[Bairro],extras)</f>
        <v>0</v>
      </c>
      <c r="AE92" s="1">
        <f t="shared" si="27"/>
        <v>0</v>
      </c>
      <c r="AF92" s="1">
        <f t="shared" si="28"/>
        <v>0</v>
      </c>
      <c r="AG92" s="3">
        <f t="shared" si="29"/>
        <v>0</v>
      </c>
      <c r="AH92" s="25" t="str">
        <f>higiene[[#This Row],[Item]]</f>
        <v>Fraldas Geriátricas (24 un)</v>
      </c>
      <c r="AI92" s="1">
        <f>IFERROR(higiene[[#This Row],[Kg equivalente]],0)</f>
        <v>15.064549666397838</v>
      </c>
      <c r="AJ92" s="1">
        <f>IFERROR(higiene[[#This Row],[Preço por produto]],0)</f>
        <v>49.9</v>
      </c>
      <c r="AK92" s="1">
        <f>SUMIFS(super1[Qtde],super1[Item],tab_higiene[[#This Row],[Item]],super1[Bairro],mercado1)+SUMIFS(supercb[Qtde],supercb[Item],tab_higiene[[#This Row],[Item]],supercb[Bairro],mercado1)</f>
        <v>0</v>
      </c>
      <c r="AL92" s="1">
        <f>SUMIFS(super1[Qtde],super1[Item],tab_higiene[[#This Row],[Item]],super1[Bairro],mercado2)+SUMIFS(supercb[Qtde],supercb[Item],tab_higiene[[#This Row],[Item]],supercb[Bairro],mercado2)</f>
        <v>0</v>
      </c>
      <c r="AM92" s="1">
        <f>SUMIFS(super1[Qtde],super1[Item],tab_higiene[[#This Row],[Item]],super1[Bairro],mercado3)+SUMIFS(supercb[Qtde],supercb[Item],tab_higiene[[#This Row],[Item]],supercb[Bairro],mercado3)</f>
        <v>0</v>
      </c>
      <c r="AN92" s="1">
        <f>SUMIFS(super1[Qtde],super1[Item],tab_higiene[[#This Row],[Item]],super1[Bairro],mercado4)+SUMIFS(supercb[Qtde],supercb[Item],tab_higiene[[#This Row],[Item]],supercb[Bairro],mercado4)</f>
        <v>0</v>
      </c>
      <c r="AO92" s="1">
        <f>SUMIFS(super1[Qtde],super1[Item],tab_higiene[[#This Row],[Item]],super1[Bairro],mercado5)+SUMIFS(supercb[Qtde],supercb[Item],tab_higiene[[#This Row],[Item]],supercb[Bairro],mercado5)</f>
        <v>0</v>
      </c>
      <c r="AP92" s="1">
        <f>SUMIFS(super1[Qtde],super1[Item],tab_higiene[[#This Row],[Item]],super1[Bairro],mercado6)+SUMIFS(supercb[Qtde],supercb[Item],tab_higiene[[#This Row],[Item]],supercb[Bairro],mercado6)</f>
        <v>0</v>
      </c>
      <c r="AQ92" s="1">
        <f>SUMIFS(super1[Qtde],super1[Item],tab_higiene[[#This Row],[Item]],super1[Bairro],mercado7)+SUMIFS(supercb[Qtde],supercb[Item],tab_higiene[[#This Row],[Item]],supercb[Bairro],mercado7)</f>
        <v>0</v>
      </c>
      <c r="AR92" s="1">
        <f>SUMIFS(super1[Qtde],super1[Item],tab_higiene[[#This Row],[Item]],super1[Bairro],mercado8)+SUMIFS(supercb[Qtde],supercb[Item],tab_higiene[[#This Row],[Item]],supercb[Bairro],mercado8)</f>
        <v>0</v>
      </c>
      <c r="AS92" s="1">
        <f>SUMIFS(super1[Qtde],super1[Item],tab_higiene[[#This Row],[Item]],super1[Bairro],mercado9)+SUMIFS(supercb[Qtde],supercb[Item],tab_higiene[[#This Row],[Item]],supercb[Bairro],mercado9)</f>
        <v>0</v>
      </c>
      <c r="AT92" s="1">
        <f>SUMIFS(super1[Qtde],super1[Item],tab_higiene[[#This Row],[Item]],super1[Bairro],mercado10)+SUMIFS(supercb[Qtde],supercb[Item],tab_higiene[[#This Row],[Item]],supercb[Bairro],mercado10)</f>
        <v>0</v>
      </c>
      <c r="AU92" s="1">
        <f>SUMIFS(super1[Qtde],super1[Item],tab_higiene[[#This Row],[Item]],super1[Bairro],mercado11)+SUMIFS(supercb[Qtde],supercb[Item],tab_higiene[[#This Row],[Item]],supercb[Bairro],mercado11)</f>
        <v>0</v>
      </c>
      <c r="AV92" s="1">
        <f>SUMIFS(super1[Qtde],super1[Item],tab_higiene[[#This Row],[Item]],super1[Bairro],mercado12)+SUMIFS(supercb[Qtde],supercb[Item],tab_higiene[[#This Row],[Item]],supercb[Bairro],mercado12)</f>
        <v>0</v>
      </c>
      <c r="AW92" s="1">
        <f>SUMIFS(super1[Qtde],super1[Item],tab_higiene[[#This Row],[Item]],super1[Bairro],mercado13)+SUMIFS(supercb[Qtde],supercb[Item],tab_higiene[[#This Row],[Item]],supercb[Bairro],mercado13)</f>
        <v>0</v>
      </c>
      <c r="AX92" s="1">
        <f>SUMIFS(super1[Qtde],super1[Item],tab_higiene[[#This Row],[Item]],super1[Bairro],mercado14)+SUMIFS(supercb[Qtde],supercb[Item],tab_higiene[[#This Row],[Item]],supercb[Bairro],mercado14)</f>
        <v>0</v>
      </c>
      <c r="AY92" s="1">
        <f>SUMIFS(super1[Qtde],super1[Item],tab_higiene[[#This Row],[Item]],super1[Bairro],mercado15)+SUMIFS(supercb[Qtde],supercb[Item],tab_higiene[[#This Row],[Item]],supercb[Bairro],mercado15)</f>
        <v>0</v>
      </c>
      <c r="AZ92" s="1">
        <f>SUMIFS(super1[Qtde],super1[Item],tab_higiene[[#This Row],[Item]],super1[Bairro],mercado16)+SUMIFS(supercb[Qtde],supercb[Item],tab_higiene[[#This Row],[Item]],supercb[Bairro],mercado16)</f>
        <v>0</v>
      </c>
      <c r="BA92" s="1">
        <f>SUMIFS(super1[Qtde],super1[Item],tab_higiene[[#This Row],[Item]],super1[Bairro],mercado17)+SUMIFS(supercb[Qtde],supercb[Item],tab_higiene[[#This Row],[Item]],supercb[Bairro],mercado17)</f>
        <v>0</v>
      </c>
      <c r="BB92" s="1">
        <f>SUMIFS(super1[Qtde],super1[Item],tab_higiene[[#This Row],[Item]],super1[Bairro],mercado18)+SUMIFS(supercb[Qtde],supercb[Item],tab_higiene[[#This Row],[Item]],supercb[Bairro],mercado18)</f>
        <v>0</v>
      </c>
      <c r="BC92" s="1">
        <f>SUMIFS(super1[Qtde],super1[Item],tab_higiene[[#This Row],[Item]],super1[Bairro],extras)+SUMIFS(supercb[Qtde],supercb[Item],tab_higiene[[#This Row],[Item]],supercb[Bairro],extras)</f>
        <v>0</v>
      </c>
      <c r="BD92" s="1">
        <f t="shared" si="30"/>
        <v>0</v>
      </c>
      <c r="BE92" s="1">
        <f t="shared" si="31"/>
        <v>0</v>
      </c>
      <c r="BF92" s="26">
        <f t="shared" si="32"/>
        <v>0</v>
      </c>
      <c r="BI92" s="33" t="str">
        <f>tab_alimentos[[#This Row],[Item]]</f>
        <v>Cookie (400g)</v>
      </c>
      <c r="BJ92" s="33">
        <f t="shared" si="25"/>
        <v>7</v>
      </c>
      <c r="BK92" s="33" t="str">
        <f t="shared" si="26"/>
        <v>Cookie</v>
      </c>
      <c r="BL92" s="33">
        <f>tab_alimentos[[#This Row],[kg]]</f>
        <v>0</v>
      </c>
      <c r="BN92" s="35">
        <f t="shared" si="36"/>
        <v>0</v>
      </c>
      <c r="BP92" s="33" t="str">
        <f>tab_higiene[[#This Row],[Item]]</f>
        <v>Fraldas Geriátricas (24 un)</v>
      </c>
      <c r="BQ92" s="33">
        <f t="shared" si="33"/>
        <v>20</v>
      </c>
      <c r="BR92" s="33" t="str">
        <f t="shared" si="34"/>
        <v>Fraldas Geriátricas</v>
      </c>
      <c r="BS92" s="33">
        <f>higiene[[#This Row],[Quantidade]]</f>
        <v>0</v>
      </c>
      <c r="BT92" s="33">
        <f>tab_higiene[Qtde (tot)]</f>
        <v>0</v>
      </c>
      <c r="BU92" s="33">
        <f t="shared" si="37"/>
        <v>0</v>
      </c>
      <c r="BW92" s="33">
        <f t="shared" si="35"/>
        <v>0</v>
      </c>
    </row>
    <row r="93" spans="9:75" x14ac:dyDescent="0.25">
      <c r="I93" s="25" t="str">
        <f>alimentos[[#This Row],[Item]]</f>
        <v>Creme de Cebola em Pó (68g)</v>
      </c>
      <c r="J93" s="1">
        <f>IFERROR(alimentos[[#This Row],[kg/embalagem]],0)</f>
        <v>6.8000000000000005E-2</v>
      </c>
      <c r="K93" s="1">
        <f>IFERROR(alimentos[[#This Row],[Preço]],0)</f>
        <v>5.3000000000000007</v>
      </c>
      <c r="L93" s="1">
        <f>SUMIFS(super1[Qtde],super1[Item],tab_alimentos[[#This Row],[Item]],super1[Bairro],mercado1)+SUMIFS(supercb[Qtde],supercb[Item],tab_alimentos[[#This Row],[Item]],supercb[Bairro],mercado1)</f>
        <v>0</v>
      </c>
      <c r="M93" s="1">
        <f>SUMIFS(super1[Qtde],super1[Item],tab_alimentos[[#This Row],[Item]],super1[Bairro],mercado2)+SUMIFS(supercb[Qtde],supercb[Item],tab_alimentos[[#This Row],[Item]],supercb[Bairro],mercado2)</f>
        <v>0</v>
      </c>
      <c r="N93" s="1">
        <f>SUMIFS(super1[Qtde],super1[Item],tab_alimentos[[#This Row],[Item]],super1[Bairro],mercado3)+SUMIFS(supercb[Qtde],supercb[Item],tab_alimentos[[#This Row],[Item]],supercb[Bairro],mercado3)</f>
        <v>0</v>
      </c>
      <c r="O93" s="1">
        <f>SUMIFS(super1[Qtde],super1[Item],tab_alimentos[[#This Row],[Item]],super1[Bairro],mercado4)+SUMIFS(supercb[Qtde],supercb[Item],tab_alimentos[[#This Row],[Item]],supercb[Bairro],mercado4)</f>
        <v>0</v>
      </c>
      <c r="P93" s="1">
        <f>SUMIFS(super1[Qtde],super1[Item],tab_alimentos[[#This Row],[Item]],super1[Bairro],mercado5)+SUMIFS(supercb[Qtde],supercb[Item],tab_alimentos[[#This Row],[Item]],supercb[Bairro],mercado5)</f>
        <v>0</v>
      </c>
      <c r="Q93" s="1">
        <f>SUMIFS(super1[Qtde],super1[Item],tab_alimentos[[#This Row],[Item]],super1[Bairro],mercado6)+SUMIFS(supercb[Qtde],supercb[Item],tab_alimentos[[#This Row],[Item]],supercb[Bairro],mercado6)</f>
        <v>0</v>
      </c>
      <c r="R93" s="1">
        <f>SUMIFS(super1[Qtde],super1[Item],tab_alimentos[[#This Row],[Item]],super1[Bairro],mercado7)+SUMIFS(supercb[Qtde],supercb[Item],tab_alimentos[[#This Row],[Item]],supercb[Bairro],mercado7)</f>
        <v>0</v>
      </c>
      <c r="S93" s="1">
        <f>SUMIFS(super1[Qtde],super1[Item],tab_alimentos[[#This Row],[Item]],super1[Bairro],mercado8)+SUMIFS(supercb[Qtde],supercb[Item],tab_alimentos[[#This Row],[Item]],supercb[Bairro],mercado8)</f>
        <v>0</v>
      </c>
      <c r="T93" s="1">
        <f>SUMIFS(super1[Qtde],super1[Item],tab_alimentos[[#This Row],[Item]],super1[Bairro],mercado9)+SUMIFS(supercb[Qtde],supercb[Item],tab_alimentos[[#This Row],[Item]],supercb[Bairro],mercado9)</f>
        <v>0</v>
      </c>
      <c r="U93" s="1">
        <f>SUMIFS(super1[Qtde],super1[Item],tab_alimentos[[#This Row],[Item]],super1[Bairro],mercado10)+SUMIFS(supercb[Qtde],supercb[Item],tab_alimentos[[#This Row],[Item]],supercb[Bairro],mercado10)</f>
        <v>0</v>
      </c>
      <c r="V93" s="1">
        <f>SUMIFS(super1[Qtde],super1[Item],tab_alimentos[[#This Row],[Item]],super1[Bairro],mercado11)+SUMIFS(supercb[Qtde],supercb[Item],tab_alimentos[[#This Row],[Item]],supercb[Bairro],mercado11)</f>
        <v>0</v>
      </c>
      <c r="W93" s="1">
        <f>SUMIFS(super1[Qtde],super1[Item],tab_alimentos[[#This Row],[Item]],super1[Bairro],mercado12)+SUMIFS(supercb[Qtde],supercb[Item],tab_alimentos[[#This Row],[Item]],supercb[Bairro],mercado12)</f>
        <v>0</v>
      </c>
      <c r="X93" s="1">
        <f>SUMIFS(super1[Qtde],super1[Item],tab_alimentos[[#This Row],[Item]],super1[Bairro],mercado13)+SUMIFS(supercb[Qtde],supercb[Item],tab_alimentos[[#This Row],[Item]],supercb[Bairro],mercado13)</f>
        <v>0</v>
      </c>
      <c r="Y93" s="1">
        <f>SUMIFS(super1[Qtde],super1[Item],tab_alimentos[[#This Row],[Item]],super1[Bairro],mercado14)+SUMIFS(supercb[Qtde],supercb[Item],tab_alimentos[[#This Row],[Item]],supercb[Bairro],mercado14)</f>
        <v>0</v>
      </c>
      <c r="Z93" s="1">
        <f>SUMIFS(super1[Qtde],super1[Item],tab_alimentos[[#This Row],[Item]],super1[Bairro],mercado15)+SUMIFS(supercb[Qtde],supercb[Item],tab_alimentos[[#This Row],[Item]],supercb[Bairro],mercado15)</f>
        <v>0</v>
      </c>
      <c r="AA93" s="1">
        <f>SUMIFS(super1[Qtde],super1[Item],tab_alimentos[[#This Row],[Item]],super1[Bairro],mercado16)+SUMIFS(supercb[Qtde],supercb[Item],tab_alimentos[[#This Row],[Item]],supercb[Bairro],mercado16)</f>
        <v>0</v>
      </c>
      <c r="AB93" s="1">
        <f>SUMIFS(super1[Qtde],super1[Item],tab_alimentos[[#This Row],[Item]],super1[Bairro],mercado17)+SUMIFS(supercb[Qtde],supercb[Item],tab_alimentos[[#This Row],[Item]],supercb[Bairro],mercado17)</f>
        <v>0</v>
      </c>
      <c r="AC93" s="1">
        <f>SUMIFS(super1[Qtde],super1[Item],tab_alimentos[[#This Row],[Item]],super1[Bairro],mercado18)+SUMIFS(supercb[Qtde],supercb[Item],tab_alimentos[[#This Row],[Item]],supercb[Bairro],mercado18)</f>
        <v>0</v>
      </c>
      <c r="AD93" s="1">
        <f>SUMIFS(super1[Qtde],super1[Item],tab_alimentos[[#This Row],[Item]],super1[Bairro],extras)+SUMIFS(supercb[Qtde],supercb[Item],tab_alimentos[[#This Row],[Item]],supercb[Bairro],extras)</f>
        <v>0</v>
      </c>
      <c r="AE93" s="1">
        <f t="shared" si="27"/>
        <v>0</v>
      </c>
      <c r="AF93" s="1">
        <f t="shared" si="28"/>
        <v>0</v>
      </c>
      <c r="AG93" s="3">
        <f t="shared" si="29"/>
        <v>0</v>
      </c>
      <c r="AH93" s="25" t="str">
        <f>higiene[[#This Row],[Item]]</f>
        <v>Fraldas Geriátricas (30un)</v>
      </c>
      <c r="AI93" s="1">
        <f>IFERROR(higiene[[#This Row],[Kg equivalente]],0)</f>
        <v>13.675833665086614</v>
      </c>
      <c r="AJ93" s="1">
        <f>IFERROR(higiene[[#This Row],[Preço por produto]],0)</f>
        <v>45.3</v>
      </c>
      <c r="AK93" s="1">
        <f>SUMIFS(super1[Qtde],super1[Item],tab_higiene[[#This Row],[Item]],super1[Bairro],mercado1)+SUMIFS(supercb[Qtde],supercb[Item],tab_higiene[[#This Row],[Item]],supercb[Bairro],mercado1)</f>
        <v>0</v>
      </c>
      <c r="AL93" s="1">
        <f>SUMIFS(super1[Qtde],super1[Item],tab_higiene[[#This Row],[Item]],super1[Bairro],mercado2)+SUMIFS(supercb[Qtde],supercb[Item],tab_higiene[[#This Row],[Item]],supercb[Bairro],mercado2)</f>
        <v>0</v>
      </c>
      <c r="AM93" s="1">
        <f>SUMIFS(super1[Qtde],super1[Item],tab_higiene[[#This Row],[Item]],super1[Bairro],mercado3)+SUMIFS(supercb[Qtde],supercb[Item],tab_higiene[[#This Row],[Item]],supercb[Bairro],mercado3)</f>
        <v>0</v>
      </c>
      <c r="AN93" s="1">
        <f>SUMIFS(super1[Qtde],super1[Item],tab_higiene[[#This Row],[Item]],super1[Bairro],mercado4)+SUMIFS(supercb[Qtde],supercb[Item],tab_higiene[[#This Row],[Item]],supercb[Bairro],mercado4)</f>
        <v>0</v>
      </c>
      <c r="AO93" s="1">
        <f>SUMIFS(super1[Qtde],super1[Item],tab_higiene[[#This Row],[Item]],super1[Bairro],mercado5)+SUMIFS(supercb[Qtde],supercb[Item],tab_higiene[[#This Row],[Item]],supercb[Bairro],mercado5)</f>
        <v>0</v>
      </c>
      <c r="AP93" s="1">
        <f>SUMIFS(super1[Qtde],super1[Item],tab_higiene[[#This Row],[Item]],super1[Bairro],mercado6)+SUMIFS(supercb[Qtde],supercb[Item],tab_higiene[[#This Row],[Item]],supercb[Bairro],mercado6)</f>
        <v>0</v>
      </c>
      <c r="AQ93" s="1">
        <f>SUMIFS(super1[Qtde],super1[Item],tab_higiene[[#This Row],[Item]],super1[Bairro],mercado7)+SUMIFS(supercb[Qtde],supercb[Item],tab_higiene[[#This Row],[Item]],supercb[Bairro],mercado7)</f>
        <v>0</v>
      </c>
      <c r="AR93" s="1">
        <f>SUMIFS(super1[Qtde],super1[Item],tab_higiene[[#This Row],[Item]],super1[Bairro],mercado8)+SUMIFS(supercb[Qtde],supercb[Item],tab_higiene[[#This Row],[Item]],supercb[Bairro],mercado8)</f>
        <v>0</v>
      </c>
      <c r="AS93" s="1">
        <f>SUMIFS(super1[Qtde],super1[Item],tab_higiene[[#This Row],[Item]],super1[Bairro],mercado9)+SUMIFS(supercb[Qtde],supercb[Item],tab_higiene[[#This Row],[Item]],supercb[Bairro],mercado9)</f>
        <v>0</v>
      </c>
      <c r="AT93" s="1">
        <f>SUMIFS(super1[Qtde],super1[Item],tab_higiene[[#This Row],[Item]],super1[Bairro],mercado10)+SUMIFS(supercb[Qtde],supercb[Item],tab_higiene[[#This Row],[Item]],supercb[Bairro],mercado10)</f>
        <v>0</v>
      </c>
      <c r="AU93" s="1">
        <f>SUMIFS(super1[Qtde],super1[Item],tab_higiene[[#This Row],[Item]],super1[Bairro],mercado11)+SUMIFS(supercb[Qtde],supercb[Item],tab_higiene[[#This Row],[Item]],supercb[Bairro],mercado11)</f>
        <v>0</v>
      </c>
      <c r="AV93" s="1">
        <f>SUMIFS(super1[Qtde],super1[Item],tab_higiene[[#This Row],[Item]],super1[Bairro],mercado12)+SUMIFS(supercb[Qtde],supercb[Item],tab_higiene[[#This Row],[Item]],supercb[Bairro],mercado12)</f>
        <v>0</v>
      </c>
      <c r="AW93" s="1">
        <f>SUMIFS(super1[Qtde],super1[Item],tab_higiene[[#This Row],[Item]],super1[Bairro],mercado13)+SUMIFS(supercb[Qtde],supercb[Item],tab_higiene[[#This Row],[Item]],supercb[Bairro],mercado13)</f>
        <v>0</v>
      </c>
      <c r="AX93" s="1">
        <f>SUMIFS(super1[Qtde],super1[Item],tab_higiene[[#This Row],[Item]],super1[Bairro],mercado14)+SUMIFS(supercb[Qtde],supercb[Item],tab_higiene[[#This Row],[Item]],supercb[Bairro],mercado14)</f>
        <v>0</v>
      </c>
      <c r="AY93" s="1">
        <f>SUMIFS(super1[Qtde],super1[Item],tab_higiene[[#This Row],[Item]],super1[Bairro],mercado15)+SUMIFS(supercb[Qtde],supercb[Item],tab_higiene[[#This Row],[Item]],supercb[Bairro],mercado15)</f>
        <v>0</v>
      </c>
      <c r="AZ93" s="1">
        <f>SUMIFS(super1[Qtde],super1[Item],tab_higiene[[#This Row],[Item]],super1[Bairro],mercado16)+SUMIFS(supercb[Qtde],supercb[Item],tab_higiene[[#This Row],[Item]],supercb[Bairro],mercado16)</f>
        <v>0</v>
      </c>
      <c r="BA93" s="1">
        <f>SUMIFS(super1[Qtde],super1[Item],tab_higiene[[#This Row],[Item]],super1[Bairro],mercado17)+SUMIFS(supercb[Qtde],supercb[Item],tab_higiene[[#This Row],[Item]],supercb[Bairro],mercado17)</f>
        <v>0</v>
      </c>
      <c r="BB93" s="1">
        <f>SUMIFS(super1[Qtde],super1[Item],tab_higiene[[#This Row],[Item]],super1[Bairro],mercado18)+SUMIFS(supercb[Qtde],supercb[Item],tab_higiene[[#This Row],[Item]],supercb[Bairro],mercado18)</f>
        <v>0</v>
      </c>
      <c r="BC93" s="1">
        <f>SUMIFS(super1[Qtde],super1[Item],tab_higiene[[#This Row],[Item]],super1[Bairro],extras)+SUMIFS(supercb[Qtde],supercb[Item],tab_higiene[[#This Row],[Item]],supercb[Bairro],extras)</f>
        <v>0</v>
      </c>
      <c r="BD93" s="1">
        <f t="shared" si="30"/>
        <v>0</v>
      </c>
      <c r="BE93" s="1">
        <f t="shared" si="31"/>
        <v>0</v>
      </c>
      <c r="BF93" s="26">
        <f t="shared" si="32"/>
        <v>0</v>
      </c>
      <c r="BI93" s="33" t="str">
        <f>tab_alimentos[[#This Row],[Item]]</f>
        <v>Creme de Cebola em Pó (68g)</v>
      </c>
      <c r="BJ93" s="33">
        <f t="shared" si="25"/>
        <v>22</v>
      </c>
      <c r="BK93" s="33" t="str">
        <f t="shared" si="26"/>
        <v>Creme de Cebola em Pó</v>
      </c>
      <c r="BL93" s="33">
        <f>tab_alimentos[[#This Row],[kg]]</f>
        <v>0</v>
      </c>
      <c r="BN93" s="35">
        <f t="shared" si="36"/>
        <v>0</v>
      </c>
      <c r="BP93" s="33" t="str">
        <f>tab_higiene[[#This Row],[Item]]</f>
        <v>Fraldas Geriátricas (30un)</v>
      </c>
      <c r="BQ93" s="33">
        <f t="shared" si="33"/>
        <v>20</v>
      </c>
      <c r="BR93" s="33" t="str">
        <f t="shared" si="34"/>
        <v>Fraldas Geriátricas</v>
      </c>
      <c r="BS93" s="33">
        <f>higiene[[#This Row],[Quantidade]]</f>
        <v>1</v>
      </c>
      <c r="BT93" s="33">
        <f>tab_higiene[Qtde (tot)]</f>
        <v>0</v>
      </c>
      <c r="BU93" s="33">
        <f t="shared" si="37"/>
        <v>0</v>
      </c>
      <c r="BW93" s="33">
        <f t="shared" si="35"/>
        <v>0</v>
      </c>
    </row>
    <row r="94" spans="9:75" x14ac:dyDescent="0.25">
      <c r="I94" s="25" t="str">
        <f>alimentos[[#This Row],[Item]]</f>
        <v>Creme de Leite</v>
      </c>
      <c r="J94" s="1">
        <f>IFERROR(alimentos[[#This Row],[kg/embalagem]],0)</f>
        <v>0.2</v>
      </c>
      <c r="K94" s="1">
        <f>IFERROR(alimentos[[#This Row],[Preço]],0)</f>
        <v>2.6466666666666665</v>
      </c>
      <c r="L94" s="1">
        <f>SUMIFS(super1[Qtde],super1[Item],tab_alimentos[[#This Row],[Item]],super1[Bairro],mercado1)+SUMIFS(supercb[Qtde],supercb[Item],tab_alimentos[[#This Row],[Item]],supercb[Bairro],mercado1)</f>
        <v>0</v>
      </c>
      <c r="M94" s="1">
        <f>SUMIFS(super1[Qtde],super1[Item],tab_alimentos[[#This Row],[Item]],super1[Bairro],mercado2)+SUMIFS(supercb[Qtde],supercb[Item],tab_alimentos[[#This Row],[Item]],supercb[Bairro],mercado2)</f>
        <v>0</v>
      </c>
      <c r="N94" s="1">
        <f>SUMIFS(super1[Qtde],super1[Item],tab_alimentos[[#This Row],[Item]],super1[Bairro],mercado3)+SUMIFS(supercb[Qtde],supercb[Item],tab_alimentos[[#This Row],[Item]],supercb[Bairro],mercado3)</f>
        <v>0</v>
      </c>
      <c r="O94" s="1">
        <f>SUMIFS(super1[Qtde],super1[Item],tab_alimentos[[#This Row],[Item]],super1[Bairro],mercado4)+SUMIFS(supercb[Qtde],supercb[Item],tab_alimentos[[#This Row],[Item]],supercb[Bairro],mercado4)</f>
        <v>0</v>
      </c>
      <c r="P94" s="1">
        <f>SUMIFS(super1[Qtde],super1[Item],tab_alimentos[[#This Row],[Item]],super1[Bairro],mercado5)+SUMIFS(supercb[Qtde],supercb[Item],tab_alimentos[[#This Row],[Item]],supercb[Bairro],mercado5)</f>
        <v>0</v>
      </c>
      <c r="Q94" s="1">
        <f>SUMIFS(super1[Qtde],super1[Item],tab_alimentos[[#This Row],[Item]],super1[Bairro],mercado6)+SUMIFS(supercb[Qtde],supercb[Item],tab_alimentos[[#This Row],[Item]],supercb[Bairro],mercado6)</f>
        <v>0</v>
      </c>
      <c r="R94" s="1">
        <f>SUMIFS(super1[Qtde],super1[Item],tab_alimentos[[#This Row],[Item]],super1[Bairro],mercado7)+SUMIFS(supercb[Qtde],supercb[Item],tab_alimentos[[#This Row],[Item]],supercb[Bairro],mercado7)</f>
        <v>0</v>
      </c>
      <c r="S94" s="1">
        <f>SUMIFS(super1[Qtde],super1[Item],tab_alimentos[[#This Row],[Item]],super1[Bairro],mercado8)+SUMIFS(supercb[Qtde],supercb[Item],tab_alimentos[[#This Row],[Item]],supercb[Bairro],mercado8)</f>
        <v>0</v>
      </c>
      <c r="T94" s="1">
        <f>SUMIFS(super1[Qtde],super1[Item],tab_alimentos[[#This Row],[Item]],super1[Bairro],mercado9)+SUMIFS(supercb[Qtde],supercb[Item],tab_alimentos[[#This Row],[Item]],supercb[Bairro],mercado9)</f>
        <v>0</v>
      </c>
      <c r="U94" s="1">
        <f>SUMIFS(super1[Qtde],super1[Item],tab_alimentos[[#This Row],[Item]],super1[Bairro],mercado10)+SUMIFS(supercb[Qtde],supercb[Item],tab_alimentos[[#This Row],[Item]],supercb[Bairro],mercado10)</f>
        <v>0</v>
      </c>
      <c r="V94" s="1">
        <f>SUMIFS(super1[Qtde],super1[Item],tab_alimentos[[#This Row],[Item]],super1[Bairro],mercado11)+SUMIFS(supercb[Qtde],supercb[Item],tab_alimentos[[#This Row],[Item]],supercb[Bairro],mercado11)</f>
        <v>0</v>
      </c>
      <c r="W94" s="1">
        <f>SUMIFS(super1[Qtde],super1[Item],tab_alimentos[[#This Row],[Item]],super1[Bairro],mercado12)+SUMIFS(supercb[Qtde],supercb[Item],tab_alimentos[[#This Row],[Item]],supercb[Bairro],mercado12)</f>
        <v>0</v>
      </c>
      <c r="X94" s="1">
        <f>SUMIFS(super1[Qtde],super1[Item],tab_alimentos[[#This Row],[Item]],super1[Bairro],mercado13)+SUMIFS(supercb[Qtde],supercb[Item],tab_alimentos[[#This Row],[Item]],supercb[Bairro],mercado13)</f>
        <v>0</v>
      </c>
      <c r="Y94" s="1">
        <f>SUMIFS(super1[Qtde],super1[Item],tab_alimentos[[#This Row],[Item]],super1[Bairro],mercado14)+SUMIFS(supercb[Qtde],supercb[Item],tab_alimentos[[#This Row],[Item]],supercb[Bairro],mercado14)</f>
        <v>0</v>
      </c>
      <c r="Z94" s="1">
        <f>SUMIFS(super1[Qtde],super1[Item],tab_alimentos[[#This Row],[Item]],super1[Bairro],mercado15)+SUMIFS(supercb[Qtde],supercb[Item],tab_alimentos[[#This Row],[Item]],supercb[Bairro],mercado15)</f>
        <v>0</v>
      </c>
      <c r="AA94" s="1">
        <f>SUMIFS(super1[Qtde],super1[Item],tab_alimentos[[#This Row],[Item]],super1[Bairro],mercado16)+SUMIFS(supercb[Qtde],supercb[Item],tab_alimentos[[#This Row],[Item]],supercb[Bairro],mercado16)</f>
        <v>0</v>
      </c>
      <c r="AB94" s="1">
        <f>SUMIFS(super1[Qtde],super1[Item],tab_alimentos[[#This Row],[Item]],super1[Bairro],mercado17)+SUMIFS(supercb[Qtde],supercb[Item],tab_alimentos[[#This Row],[Item]],supercb[Bairro],mercado17)</f>
        <v>0</v>
      </c>
      <c r="AC94" s="1">
        <f>SUMIFS(super1[Qtde],super1[Item],tab_alimentos[[#This Row],[Item]],super1[Bairro],mercado18)+SUMIFS(supercb[Qtde],supercb[Item],tab_alimentos[[#This Row],[Item]],supercb[Bairro],mercado18)</f>
        <v>0</v>
      </c>
      <c r="AD94" s="1">
        <f>SUMIFS(super1[Qtde],super1[Item],tab_alimentos[[#This Row],[Item]],super1[Bairro],extras)+SUMIFS(supercb[Qtde],supercb[Item],tab_alimentos[[#This Row],[Item]],supercb[Bairro],extras)</f>
        <v>0</v>
      </c>
      <c r="AE94" s="1">
        <f t="shared" si="27"/>
        <v>0</v>
      </c>
      <c r="AF94" s="1">
        <f t="shared" si="28"/>
        <v>0</v>
      </c>
      <c r="AG94" s="3">
        <f t="shared" si="29"/>
        <v>0</v>
      </c>
      <c r="AH94" s="25" t="str">
        <f>higiene[[#This Row],[Item]]</f>
        <v>Fraldas Infantis (12un)</v>
      </c>
      <c r="AI94" s="1">
        <f>IFERROR(higiene[[#This Row],[Kg equivalente]],0)</f>
        <v>4.1329395778153586</v>
      </c>
      <c r="AJ94" s="1">
        <f>IFERROR(higiene[[#This Row],[Preço por produto]],0)</f>
        <v>13.69</v>
      </c>
      <c r="AK94" s="1">
        <f>SUMIFS(super1[Qtde],super1[Item],tab_higiene[[#This Row],[Item]],super1[Bairro],mercado1)+SUMIFS(supercb[Qtde],supercb[Item],tab_higiene[[#This Row],[Item]],supercb[Bairro],mercado1)</f>
        <v>0</v>
      </c>
      <c r="AL94" s="1">
        <f>SUMIFS(super1[Qtde],super1[Item],tab_higiene[[#This Row],[Item]],super1[Bairro],mercado2)+SUMIFS(supercb[Qtde],supercb[Item],tab_higiene[[#This Row],[Item]],supercb[Bairro],mercado2)</f>
        <v>0</v>
      </c>
      <c r="AM94" s="1">
        <f>SUMIFS(super1[Qtde],super1[Item],tab_higiene[[#This Row],[Item]],super1[Bairro],mercado3)+SUMIFS(supercb[Qtde],supercb[Item],tab_higiene[[#This Row],[Item]],supercb[Bairro],mercado3)</f>
        <v>0</v>
      </c>
      <c r="AN94" s="1">
        <f>SUMIFS(super1[Qtde],super1[Item],tab_higiene[[#This Row],[Item]],super1[Bairro],mercado4)+SUMIFS(supercb[Qtde],supercb[Item],tab_higiene[[#This Row],[Item]],supercb[Bairro],mercado4)</f>
        <v>0</v>
      </c>
      <c r="AO94" s="1">
        <f>SUMIFS(super1[Qtde],super1[Item],tab_higiene[[#This Row],[Item]],super1[Bairro],mercado5)+SUMIFS(supercb[Qtde],supercb[Item],tab_higiene[[#This Row],[Item]],supercb[Bairro],mercado5)</f>
        <v>0</v>
      </c>
      <c r="AP94" s="1">
        <f>SUMIFS(super1[Qtde],super1[Item],tab_higiene[[#This Row],[Item]],super1[Bairro],mercado6)+SUMIFS(supercb[Qtde],supercb[Item],tab_higiene[[#This Row],[Item]],supercb[Bairro],mercado6)</f>
        <v>0</v>
      </c>
      <c r="AQ94" s="1">
        <f>SUMIFS(super1[Qtde],super1[Item],tab_higiene[[#This Row],[Item]],super1[Bairro],mercado7)+SUMIFS(supercb[Qtde],supercb[Item],tab_higiene[[#This Row],[Item]],supercb[Bairro],mercado7)</f>
        <v>0</v>
      </c>
      <c r="AR94" s="1">
        <f>SUMIFS(super1[Qtde],super1[Item],tab_higiene[[#This Row],[Item]],super1[Bairro],mercado8)+SUMIFS(supercb[Qtde],supercb[Item],tab_higiene[[#This Row],[Item]],supercb[Bairro],mercado8)</f>
        <v>0</v>
      </c>
      <c r="AS94" s="1">
        <f>SUMIFS(super1[Qtde],super1[Item],tab_higiene[[#This Row],[Item]],super1[Bairro],mercado9)+SUMIFS(supercb[Qtde],supercb[Item],tab_higiene[[#This Row],[Item]],supercb[Bairro],mercado9)</f>
        <v>0</v>
      </c>
      <c r="AT94" s="1">
        <f>SUMIFS(super1[Qtde],super1[Item],tab_higiene[[#This Row],[Item]],super1[Bairro],mercado10)+SUMIFS(supercb[Qtde],supercb[Item],tab_higiene[[#This Row],[Item]],supercb[Bairro],mercado10)</f>
        <v>0</v>
      </c>
      <c r="AU94" s="1">
        <f>SUMIFS(super1[Qtde],super1[Item],tab_higiene[[#This Row],[Item]],super1[Bairro],mercado11)+SUMIFS(supercb[Qtde],supercb[Item],tab_higiene[[#This Row],[Item]],supercb[Bairro],mercado11)</f>
        <v>0</v>
      </c>
      <c r="AV94" s="1">
        <f>SUMIFS(super1[Qtde],super1[Item],tab_higiene[[#This Row],[Item]],super1[Bairro],mercado12)+SUMIFS(supercb[Qtde],supercb[Item],tab_higiene[[#This Row],[Item]],supercb[Bairro],mercado12)</f>
        <v>0</v>
      </c>
      <c r="AW94" s="1">
        <f>SUMIFS(super1[Qtde],super1[Item],tab_higiene[[#This Row],[Item]],super1[Bairro],mercado13)+SUMIFS(supercb[Qtde],supercb[Item],tab_higiene[[#This Row],[Item]],supercb[Bairro],mercado13)</f>
        <v>0</v>
      </c>
      <c r="AX94" s="1">
        <f>SUMIFS(super1[Qtde],super1[Item],tab_higiene[[#This Row],[Item]],super1[Bairro],mercado14)+SUMIFS(supercb[Qtde],supercb[Item],tab_higiene[[#This Row],[Item]],supercb[Bairro],mercado14)</f>
        <v>0</v>
      </c>
      <c r="AY94" s="1">
        <f>SUMIFS(super1[Qtde],super1[Item],tab_higiene[[#This Row],[Item]],super1[Bairro],mercado15)+SUMIFS(supercb[Qtde],supercb[Item],tab_higiene[[#This Row],[Item]],supercb[Bairro],mercado15)</f>
        <v>0</v>
      </c>
      <c r="AZ94" s="1">
        <f>SUMIFS(super1[Qtde],super1[Item],tab_higiene[[#This Row],[Item]],super1[Bairro],mercado16)+SUMIFS(supercb[Qtde],supercb[Item],tab_higiene[[#This Row],[Item]],supercb[Bairro],mercado16)</f>
        <v>0</v>
      </c>
      <c r="BA94" s="1">
        <f>SUMIFS(super1[Qtde],super1[Item],tab_higiene[[#This Row],[Item]],super1[Bairro],mercado17)+SUMIFS(supercb[Qtde],supercb[Item],tab_higiene[[#This Row],[Item]],supercb[Bairro],mercado17)</f>
        <v>0</v>
      </c>
      <c r="BB94" s="1">
        <f>SUMIFS(super1[Qtde],super1[Item],tab_higiene[[#This Row],[Item]],super1[Bairro],mercado18)+SUMIFS(supercb[Qtde],supercb[Item],tab_higiene[[#This Row],[Item]],supercb[Bairro],mercado18)</f>
        <v>0</v>
      </c>
      <c r="BC94" s="1">
        <f>SUMIFS(super1[Qtde],super1[Item],tab_higiene[[#This Row],[Item]],super1[Bairro],extras)+SUMIFS(supercb[Qtde],supercb[Item],tab_higiene[[#This Row],[Item]],supercb[Bairro],extras)</f>
        <v>0</v>
      </c>
      <c r="BD94" s="1">
        <f t="shared" si="30"/>
        <v>0</v>
      </c>
      <c r="BE94" s="1">
        <f t="shared" si="31"/>
        <v>0</v>
      </c>
      <c r="BF94" s="26">
        <f t="shared" si="32"/>
        <v>0</v>
      </c>
      <c r="BI94" s="33" t="str">
        <f>tab_alimentos[[#This Row],[Item]]</f>
        <v>Creme de Leite</v>
      </c>
      <c r="BJ94" s="33">
        <f t="shared" si="25"/>
        <v>0</v>
      </c>
      <c r="BK94" s="33" t="str">
        <f t="shared" si="26"/>
        <v>Creme de Leite</v>
      </c>
      <c r="BL94" s="33">
        <f>tab_alimentos[[#This Row],[kg]]</f>
        <v>0</v>
      </c>
      <c r="BN94" s="35">
        <f t="shared" si="36"/>
        <v>0</v>
      </c>
      <c r="BP94" s="33" t="str">
        <f>tab_higiene[[#This Row],[Item]]</f>
        <v>Fraldas Infantis (12un)</v>
      </c>
      <c r="BQ94" s="33">
        <f t="shared" si="33"/>
        <v>17</v>
      </c>
      <c r="BR94" s="33" t="str">
        <f t="shared" si="34"/>
        <v>Fraldas Infantis</v>
      </c>
      <c r="BS94" s="33">
        <f>higiene[[#This Row],[Quantidade]]</f>
        <v>12</v>
      </c>
      <c r="BT94" s="33">
        <f>tab_higiene[Qtde (tot)]</f>
        <v>0</v>
      </c>
      <c r="BU94" s="33">
        <f t="shared" si="37"/>
        <v>0</v>
      </c>
      <c r="BW94" s="33">
        <f t="shared" si="35"/>
        <v>0</v>
      </c>
    </row>
    <row r="95" spans="9:75" x14ac:dyDescent="0.25">
      <c r="I95" s="25" t="str">
        <f>alimentos[[#This Row],[Item]]</f>
        <v>Cuscuz (500g)</v>
      </c>
      <c r="J95" s="1">
        <f>IFERROR(alimentos[[#This Row],[kg/embalagem]],0)</f>
        <v>0.5</v>
      </c>
      <c r="K95" s="1">
        <f>IFERROR(alimentos[[#This Row],[Preço]],0)</f>
        <v>7.09</v>
      </c>
      <c r="L95" s="1">
        <f>SUMIFS(super1[Qtde],super1[Item],tab_alimentos[[#This Row],[Item]],super1[Bairro],mercado1)+SUMIFS(supercb[Qtde],supercb[Item],tab_alimentos[[#This Row],[Item]],supercb[Bairro],mercado1)</f>
        <v>0</v>
      </c>
      <c r="M95" s="1">
        <f>SUMIFS(super1[Qtde],super1[Item],tab_alimentos[[#This Row],[Item]],super1[Bairro],mercado2)+SUMIFS(supercb[Qtde],supercb[Item],tab_alimentos[[#This Row],[Item]],supercb[Bairro],mercado2)</f>
        <v>0</v>
      </c>
      <c r="N95" s="1">
        <f>SUMIFS(super1[Qtde],super1[Item],tab_alimentos[[#This Row],[Item]],super1[Bairro],mercado3)+SUMIFS(supercb[Qtde],supercb[Item],tab_alimentos[[#This Row],[Item]],supercb[Bairro],mercado3)</f>
        <v>0</v>
      </c>
      <c r="O95" s="1">
        <f>SUMIFS(super1[Qtde],super1[Item],tab_alimentos[[#This Row],[Item]],super1[Bairro],mercado4)+SUMIFS(supercb[Qtde],supercb[Item],tab_alimentos[[#This Row],[Item]],supercb[Bairro],mercado4)</f>
        <v>0</v>
      </c>
      <c r="P95" s="1">
        <f>SUMIFS(super1[Qtde],super1[Item],tab_alimentos[[#This Row],[Item]],super1[Bairro],mercado5)+SUMIFS(supercb[Qtde],supercb[Item],tab_alimentos[[#This Row],[Item]],supercb[Bairro],mercado5)</f>
        <v>0</v>
      </c>
      <c r="Q95" s="1">
        <f>SUMIFS(super1[Qtde],super1[Item],tab_alimentos[[#This Row],[Item]],super1[Bairro],mercado6)+SUMIFS(supercb[Qtde],supercb[Item],tab_alimentos[[#This Row],[Item]],supercb[Bairro],mercado6)</f>
        <v>0</v>
      </c>
      <c r="R95" s="1">
        <f>SUMIFS(super1[Qtde],super1[Item],tab_alimentos[[#This Row],[Item]],super1[Bairro],mercado7)+SUMIFS(supercb[Qtde],supercb[Item],tab_alimentos[[#This Row],[Item]],supercb[Bairro],mercado7)</f>
        <v>0</v>
      </c>
      <c r="S95" s="1">
        <f>SUMIFS(super1[Qtde],super1[Item],tab_alimentos[[#This Row],[Item]],super1[Bairro],mercado8)+SUMIFS(supercb[Qtde],supercb[Item],tab_alimentos[[#This Row],[Item]],supercb[Bairro],mercado8)</f>
        <v>0</v>
      </c>
      <c r="T95" s="1">
        <f>SUMIFS(super1[Qtde],super1[Item],tab_alimentos[[#This Row],[Item]],super1[Bairro],mercado9)+SUMIFS(supercb[Qtde],supercb[Item],tab_alimentos[[#This Row],[Item]],supercb[Bairro],mercado9)</f>
        <v>0</v>
      </c>
      <c r="U95" s="1">
        <f>SUMIFS(super1[Qtde],super1[Item],tab_alimentos[[#This Row],[Item]],super1[Bairro],mercado10)+SUMIFS(supercb[Qtde],supercb[Item],tab_alimentos[[#This Row],[Item]],supercb[Bairro],mercado10)</f>
        <v>0</v>
      </c>
      <c r="V95" s="1">
        <f>SUMIFS(super1[Qtde],super1[Item],tab_alimentos[[#This Row],[Item]],super1[Bairro],mercado11)+SUMIFS(supercb[Qtde],supercb[Item],tab_alimentos[[#This Row],[Item]],supercb[Bairro],mercado11)</f>
        <v>0</v>
      </c>
      <c r="W95" s="1">
        <f>SUMIFS(super1[Qtde],super1[Item],tab_alimentos[[#This Row],[Item]],super1[Bairro],mercado12)+SUMIFS(supercb[Qtde],supercb[Item],tab_alimentos[[#This Row],[Item]],supercb[Bairro],mercado12)</f>
        <v>0</v>
      </c>
      <c r="X95" s="1">
        <f>SUMIFS(super1[Qtde],super1[Item],tab_alimentos[[#This Row],[Item]],super1[Bairro],mercado13)+SUMIFS(supercb[Qtde],supercb[Item],tab_alimentos[[#This Row],[Item]],supercb[Bairro],mercado13)</f>
        <v>0</v>
      </c>
      <c r="Y95" s="1">
        <f>SUMIFS(super1[Qtde],super1[Item],tab_alimentos[[#This Row],[Item]],super1[Bairro],mercado14)+SUMIFS(supercb[Qtde],supercb[Item],tab_alimentos[[#This Row],[Item]],supercb[Bairro],mercado14)</f>
        <v>0</v>
      </c>
      <c r="Z95" s="1">
        <f>SUMIFS(super1[Qtde],super1[Item],tab_alimentos[[#This Row],[Item]],super1[Bairro],mercado15)+SUMIFS(supercb[Qtde],supercb[Item],tab_alimentos[[#This Row],[Item]],supercb[Bairro],mercado15)</f>
        <v>0</v>
      </c>
      <c r="AA95" s="1">
        <f>SUMIFS(super1[Qtde],super1[Item],tab_alimentos[[#This Row],[Item]],super1[Bairro],mercado16)+SUMIFS(supercb[Qtde],supercb[Item],tab_alimentos[[#This Row],[Item]],supercb[Bairro],mercado16)</f>
        <v>0</v>
      </c>
      <c r="AB95" s="1">
        <f>SUMIFS(super1[Qtde],super1[Item],tab_alimentos[[#This Row],[Item]],super1[Bairro],mercado17)+SUMIFS(supercb[Qtde],supercb[Item],tab_alimentos[[#This Row],[Item]],supercb[Bairro],mercado17)</f>
        <v>0</v>
      </c>
      <c r="AC95" s="1">
        <f>SUMIFS(super1[Qtde],super1[Item],tab_alimentos[[#This Row],[Item]],super1[Bairro],mercado18)+SUMIFS(supercb[Qtde],supercb[Item],tab_alimentos[[#This Row],[Item]],supercb[Bairro],mercado18)</f>
        <v>0</v>
      </c>
      <c r="AD95" s="1">
        <f>SUMIFS(super1[Qtde],super1[Item],tab_alimentos[[#This Row],[Item]],super1[Bairro],extras)+SUMIFS(supercb[Qtde],supercb[Item],tab_alimentos[[#This Row],[Item]],supercb[Bairro],extras)</f>
        <v>0</v>
      </c>
      <c r="AE95" s="1">
        <f t="shared" si="27"/>
        <v>0</v>
      </c>
      <c r="AF95" s="1">
        <f t="shared" si="28"/>
        <v>0</v>
      </c>
      <c r="AG95" s="3">
        <f t="shared" si="29"/>
        <v>0</v>
      </c>
      <c r="AH95" s="25" t="str">
        <f>higiene[[#This Row],[Item]]</f>
        <v>Fraldas Infantis (14un)</v>
      </c>
      <c r="AI95" s="1">
        <f>IFERROR(higiene[[#This Row],[Kg equivalente]],0)</f>
        <v>5.5518450574159566</v>
      </c>
      <c r="AJ95" s="1">
        <f>IFERROR(higiene[[#This Row],[Preço por produto]],0)</f>
        <v>18.39</v>
      </c>
      <c r="AK95" s="1">
        <f>SUMIFS(super1[Qtde],super1[Item],tab_higiene[[#This Row],[Item]],super1[Bairro],mercado1)+SUMIFS(supercb[Qtde],supercb[Item],tab_higiene[[#This Row],[Item]],supercb[Bairro],mercado1)</f>
        <v>0</v>
      </c>
      <c r="AL95" s="1">
        <f>SUMIFS(super1[Qtde],super1[Item],tab_higiene[[#This Row],[Item]],super1[Bairro],mercado2)+SUMIFS(supercb[Qtde],supercb[Item],tab_higiene[[#This Row],[Item]],supercb[Bairro],mercado2)</f>
        <v>0</v>
      </c>
      <c r="AM95" s="1">
        <f>SUMIFS(super1[Qtde],super1[Item],tab_higiene[[#This Row],[Item]],super1[Bairro],mercado3)+SUMIFS(supercb[Qtde],supercb[Item],tab_higiene[[#This Row],[Item]],supercb[Bairro],mercado3)</f>
        <v>0</v>
      </c>
      <c r="AN95" s="1">
        <f>SUMIFS(super1[Qtde],super1[Item],tab_higiene[[#This Row],[Item]],super1[Bairro],mercado4)+SUMIFS(supercb[Qtde],supercb[Item],tab_higiene[[#This Row],[Item]],supercb[Bairro],mercado4)</f>
        <v>0</v>
      </c>
      <c r="AO95" s="1">
        <f>SUMIFS(super1[Qtde],super1[Item],tab_higiene[[#This Row],[Item]],super1[Bairro],mercado5)+SUMIFS(supercb[Qtde],supercb[Item],tab_higiene[[#This Row],[Item]],supercb[Bairro],mercado5)</f>
        <v>0</v>
      </c>
      <c r="AP95" s="1">
        <f>SUMIFS(super1[Qtde],super1[Item],tab_higiene[[#This Row],[Item]],super1[Bairro],mercado6)+SUMIFS(supercb[Qtde],supercb[Item],tab_higiene[[#This Row],[Item]],supercb[Bairro],mercado6)</f>
        <v>0</v>
      </c>
      <c r="AQ95" s="1">
        <f>SUMIFS(super1[Qtde],super1[Item],tab_higiene[[#This Row],[Item]],super1[Bairro],mercado7)+SUMIFS(supercb[Qtde],supercb[Item],tab_higiene[[#This Row],[Item]],supercb[Bairro],mercado7)</f>
        <v>0</v>
      </c>
      <c r="AR95" s="1">
        <f>SUMIFS(super1[Qtde],super1[Item],tab_higiene[[#This Row],[Item]],super1[Bairro],mercado8)+SUMIFS(supercb[Qtde],supercb[Item],tab_higiene[[#This Row],[Item]],supercb[Bairro],mercado8)</f>
        <v>0</v>
      </c>
      <c r="AS95" s="1">
        <f>SUMIFS(super1[Qtde],super1[Item],tab_higiene[[#This Row],[Item]],super1[Bairro],mercado9)+SUMIFS(supercb[Qtde],supercb[Item],tab_higiene[[#This Row],[Item]],supercb[Bairro],mercado9)</f>
        <v>0</v>
      </c>
      <c r="AT95" s="1">
        <f>SUMIFS(super1[Qtde],super1[Item],tab_higiene[[#This Row],[Item]],super1[Bairro],mercado10)+SUMIFS(supercb[Qtde],supercb[Item],tab_higiene[[#This Row],[Item]],supercb[Bairro],mercado10)</f>
        <v>0</v>
      </c>
      <c r="AU95" s="1">
        <f>SUMIFS(super1[Qtde],super1[Item],tab_higiene[[#This Row],[Item]],super1[Bairro],mercado11)+SUMIFS(supercb[Qtde],supercb[Item],tab_higiene[[#This Row],[Item]],supercb[Bairro],mercado11)</f>
        <v>0</v>
      </c>
      <c r="AV95" s="1">
        <f>SUMIFS(super1[Qtde],super1[Item],tab_higiene[[#This Row],[Item]],super1[Bairro],mercado12)+SUMIFS(supercb[Qtde],supercb[Item],tab_higiene[[#This Row],[Item]],supercb[Bairro],mercado12)</f>
        <v>0</v>
      </c>
      <c r="AW95" s="1">
        <f>SUMIFS(super1[Qtde],super1[Item],tab_higiene[[#This Row],[Item]],super1[Bairro],mercado13)+SUMIFS(supercb[Qtde],supercb[Item],tab_higiene[[#This Row],[Item]],supercb[Bairro],mercado13)</f>
        <v>0</v>
      </c>
      <c r="AX95" s="1">
        <f>SUMIFS(super1[Qtde],super1[Item],tab_higiene[[#This Row],[Item]],super1[Bairro],mercado14)+SUMIFS(supercb[Qtde],supercb[Item],tab_higiene[[#This Row],[Item]],supercb[Bairro],mercado14)</f>
        <v>0</v>
      </c>
      <c r="AY95" s="1">
        <f>SUMIFS(super1[Qtde],super1[Item],tab_higiene[[#This Row],[Item]],super1[Bairro],mercado15)+SUMIFS(supercb[Qtde],supercb[Item],tab_higiene[[#This Row],[Item]],supercb[Bairro],mercado15)</f>
        <v>0</v>
      </c>
      <c r="AZ95" s="1">
        <f>SUMIFS(super1[Qtde],super1[Item],tab_higiene[[#This Row],[Item]],super1[Bairro],mercado16)+SUMIFS(supercb[Qtde],supercb[Item],tab_higiene[[#This Row],[Item]],supercb[Bairro],mercado16)</f>
        <v>0</v>
      </c>
      <c r="BA95" s="1">
        <f>SUMIFS(super1[Qtde],super1[Item],tab_higiene[[#This Row],[Item]],super1[Bairro],mercado17)+SUMIFS(supercb[Qtde],supercb[Item],tab_higiene[[#This Row],[Item]],supercb[Bairro],mercado17)</f>
        <v>0</v>
      </c>
      <c r="BB95" s="1">
        <f>SUMIFS(super1[Qtde],super1[Item],tab_higiene[[#This Row],[Item]],super1[Bairro],mercado18)+SUMIFS(supercb[Qtde],supercb[Item],tab_higiene[[#This Row],[Item]],supercb[Bairro],mercado18)</f>
        <v>0</v>
      </c>
      <c r="BC95" s="1">
        <f>SUMIFS(super1[Qtde],super1[Item],tab_higiene[[#This Row],[Item]],super1[Bairro],extras)+SUMIFS(supercb[Qtde],supercb[Item],tab_higiene[[#This Row],[Item]],supercb[Bairro],extras)</f>
        <v>0</v>
      </c>
      <c r="BD95" s="1">
        <f t="shared" si="30"/>
        <v>0</v>
      </c>
      <c r="BE95" s="1">
        <f t="shared" si="31"/>
        <v>0</v>
      </c>
      <c r="BF95" s="26">
        <f t="shared" si="32"/>
        <v>0</v>
      </c>
      <c r="BI95" s="33" t="str">
        <f>tab_alimentos[[#This Row],[Item]]</f>
        <v>Cuscuz (500g)</v>
      </c>
      <c r="BJ95" s="33">
        <f t="shared" si="25"/>
        <v>7</v>
      </c>
      <c r="BK95" s="33" t="str">
        <f t="shared" si="26"/>
        <v>Cuscuz</v>
      </c>
      <c r="BL95" s="33">
        <f>tab_alimentos[[#This Row],[kg]]</f>
        <v>0</v>
      </c>
      <c r="BN95" s="35">
        <f t="shared" si="36"/>
        <v>0</v>
      </c>
      <c r="BP95" s="33" t="str">
        <f>tab_higiene[[#This Row],[Item]]</f>
        <v>Fraldas Infantis (14un)</v>
      </c>
      <c r="BQ95" s="33">
        <f t="shared" si="33"/>
        <v>17</v>
      </c>
      <c r="BR95" s="33" t="str">
        <f t="shared" si="34"/>
        <v>Fraldas Infantis</v>
      </c>
      <c r="BS95" s="33">
        <f>higiene[[#This Row],[Quantidade]]</f>
        <v>2</v>
      </c>
      <c r="BT95" s="33">
        <f>tab_higiene[Qtde (tot)]</f>
        <v>0</v>
      </c>
      <c r="BU95" s="33">
        <f t="shared" si="37"/>
        <v>0</v>
      </c>
      <c r="BW95" s="33">
        <f t="shared" si="35"/>
        <v>0</v>
      </c>
    </row>
    <row r="96" spans="9:75" x14ac:dyDescent="0.25">
      <c r="I96" s="25" t="str">
        <f>alimentos[[#This Row],[Item]]</f>
        <v>D</v>
      </c>
      <c r="J96" s="1">
        <f>IFERROR(alimentos[[#This Row],[kg/embalagem]],0)</f>
        <v>0</v>
      </c>
      <c r="K96" s="1">
        <f>IFERROR(alimentos[[#This Row],[Preço]],0)</f>
        <v>0</v>
      </c>
      <c r="L96" s="1">
        <f>SUMIFS(super1[Qtde],super1[Item],tab_alimentos[[#This Row],[Item]],super1[Bairro],mercado1)+SUMIFS(supercb[Qtde],supercb[Item],tab_alimentos[[#This Row],[Item]],supercb[Bairro],mercado1)</f>
        <v>0</v>
      </c>
      <c r="M96" s="1">
        <f>SUMIFS(super1[Qtde],super1[Item],tab_alimentos[[#This Row],[Item]],super1[Bairro],mercado2)+SUMIFS(supercb[Qtde],supercb[Item],tab_alimentos[[#This Row],[Item]],supercb[Bairro],mercado2)</f>
        <v>0</v>
      </c>
      <c r="N96" s="1">
        <f>SUMIFS(super1[Qtde],super1[Item],tab_alimentos[[#This Row],[Item]],super1[Bairro],mercado3)+SUMIFS(supercb[Qtde],supercb[Item],tab_alimentos[[#This Row],[Item]],supercb[Bairro],mercado3)</f>
        <v>0</v>
      </c>
      <c r="O96" s="1">
        <f>SUMIFS(super1[Qtde],super1[Item],tab_alimentos[[#This Row],[Item]],super1[Bairro],mercado4)+SUMIFS(supercb[Qtde],supercb[Item],tab_alimentos[[#This Row],[Item]],supercb[Bairro],mercado4)</f>
        <v>0</v>
      </c>
      <c r="P96" s="1">
        <f>SUMIFS(super1[Qtde],super1[Item],tab_alimentos[[#This Row],[Item]],super1[Bairro],mercado5)+SUMIFS(supercb[Qtde],supercb[Item],tab_alimentos[[#This Row],[Item]],supercb[Bairro],mercado5)</f>
        <v>0</v>
      </c>
      <c r="Q96" s="1">
        <f>SUMIFS(super1[Qtde],super1[Item],tab_alimentos[[#This Row],[Item]],super1[Bairro],mercado6)+SUMIFS(supercb[Qtde],supercb[Item],tab_alimentos[[#This Row],[Item]],supercb[Bairro],mercado6)</f>
        <v>0</v>
      </c>
      <c r="R96" s="1">
        <f>SUMIFS(super1[Qtde],super1[Item],tab_alimentos[[#This Row],[Item]],super1[Bairro],mercado7)+SUMIFS(supercb[Qtde],supercb[Item],tab_alimentos[[#This Row],[Item]],supercb[Bairro],mercado7)</f>
        <v>0</v>
      </c>
      <c r="S96" s="1">
        <f>SUMIFS(super1[Qtde],super1[Item],tab_alimentos[[#This Row],[Item]],super1[Bairro],mercado8)+SUMIFS(supercb[Qtde],supercb[Item],tab_alimentos[[#This Row],[Item]],supercb[Bairro],mercado8)</f>
        <v>0</v>
      </c>
      <c r="T96" s="1">
        <f>SUMIFS(super1[Qtde],super1[Item],tab_alimentos[[#This Row],[Item]],super1[Bairro],mercado9)+SUMIFS(supercb[Qtde],supercb[Item],tab_alimentos[[#This Row],[Item]],supercb[Bairro],mercado9)</f>
        <v>0</v>
      </c>
      <c r="U96" s="1">
        <f>SUMIFS(super1[Qtde],super1[Item],tab_alimentos[[#This Row],[Item]],super1[Bairro],mercado10)+SUMIFS(supercb[Qtde],supercb[Item],tab_alimentos[[#This Row],[Item]],supercb[Bairro],mercado10)</f>
        <v>0</v>
      </c>
      <c r="V96" s="1">
        <f>SUMIFS(super1[Qtde],super1[Item],tab_alimentos[[#This Row],[Item]],super1[Bairro],mercado11)+SUMIFS(supercb[Qtde],supercb[Item],tab_alimentos[[#This Row],[Item]],supercb[Bairro],mercado11)</f>
        <v>0</v>
      </c>
      <c r="W96" s="1">
        <f>SUMIFS(super1[Qtde],super1[Item],tab_alimentos[[#This Row],[Item]],super1[Bairro],mercado12)+SUMIFS(supercb[Qtde],supercb[Item],tab_alimentos[[#This Row],[Item]],supercb[Bairro],mercado12)</f>
        <v>0</v>
      </c>
      <c r="X96" s="1">
        <f>SUMIFS(super1[Qtde],super1[Item],tab_alimentos[[#This Row],[Item]],super1[Bairro],mercado13)+SUMIFS(supercb[Qtde],supercb[Item],tab_alimentos[[#This Row],[Item]],supercb[Bairro],mercado13)</f>
        <v>0</v>
      </c>
      <c r="Y96" s="1">
        <f>SUMIFS(super1[Qtde],super1[Item],tab_alimentos[[#This Row],[Item]],super1[Bairro],mercado14)+SUMIFS(supercb[Qtde],supercb[Item],tab_alimentos[[#This Row],[Item]],supercb[Bairro],mercado14)</f>
        <v>0</v>
      </c>
      <c r="Z96" s="1">
        <f>SUMIFS(super1[Qtde],super1[Item],tab_alimentos[[#This Row],[Item]],super1[Bairro],mercado15)+SUMIFS(supercb[Qtde],supercb[Item],tab_alimentos[[#This Row],[Item]],supercb[Bairro],mercado15)</f>
        <v>0</v>
      </c>
      <c r="AA96" s="1">
        <f>SUMIFS(super1[Qtde],super1[Item],tab_alimentos[[#This Row],[Item]],super1[Bairro],mercado16)+SUMIFS(supercb[Qtde],supercb[Item],tab_alimentos[[#This Row],[Item]],supercb[Bairro],mercado16)</f>
        <v>0</v>
      </c>
      <c r="AB96" s="1">
        <f>SUMIFS(super1[Qtde],super1[Item],tab_alimentos[[#This Row],[Item]],super1[Bairro],mercado17)+SUMIFS(supercb[Qtde],supercb[Item],tab_alimentos[[#This Row],[Item]],supercb[Bairro],mercado17)</f>
        <v>0</v>
      </c>
      <c r="AC96" s="1">
        <f>SUMIFS(super1[Qtde],super1[Item],tab_alimentos[[#This Row],[Item]],super1[Bairro],mercado18)+SUMIFS(supercb[Qtde],supercb[Item],tab_alimentos[[#This Row],[Item]],supercb[Bairro],mercado18)</f>
        <v>0</v>
      </c>
      <c r="AD96" s="1">
        <f>SUMIFS(super1[Qtde],super1[Item],tab_alimentos[[#This Row],[Item]],super1[Bairro],extras)+SUMIFS(supercb[Qtde],supercb[Item],tab_alimentos[[#This Row],[Item]],supercb[Bairro],extras)</f>
        <v>0</v>
      </c>
      <c r="AE96" s="1">
        <f t="shared" si="27"/>
        <v>0</v>
      </c>
      <c r="AF96" s="1">
        <f t="shared" si="28"/>
        <v>0</v>
      </c>
      <c r="AG96" s="3">
        <f t="shared" si="29"/>
        <v>0</v>
      </c>
      <c r="AH96" s="25" t="str">
        <f>higiene[[#This Row],[Item]]</f>
        <v>Fraldas Infantis (16un)</v>
      </c>
      <c r="AI96" s="1">
        <f>IFERROR(higiene[[#This Row],[Kg equivalente]],0)</f>
        <v>7.6341643224255584</v>
      </c>
      <c r="AJ96" s="1">
        <f>IFERROR(higiene[[#This Row],[Preço por produto]],0)</f>
        <v>25.287500000000001</v>
      </c>
      <c r="AK96" s="1">
        <f>SUMIFS(super1[Qtde],super1[Item],tab_higiene[[#This Row],[Item]],super1[Bairro],mercado1)+SUMIFS(supercb[Qtde],supercb[Item],tab_higiene[[#This Row],[Item]],supercb[Bairro],mercado1)</f>
        <v>0</v>
      </c>
      <c r="AL96" s="1">
        <f>SUMIFS(super1[Qtde],super1[Item],tab_higiene[[#This Row],[Item]],super1[Bairro],mercado2)+SUMIFS(supercb[Qtde],supercb[Item],tab_higiene[[#This Row],[Item]],supercb[Bairro],mercado2)</f>
        <v>0</v>
      </c>
      <c r="AM96" s="1">
        <f>SUMIFS(super1[Qtde],super1[Item],tab_higiene[[#This Row],[Item]],super1[Bairro],mercado3)+SUMIFS(supercb[Qtde],supercb[Item],tab_higiene[[#This Row],[Item]],supercb[Bairro],mercado3)</f>
        <v>0</v>
      </c>
      <c r="AN96" s="1">
        <f>SUMIFS(super1[Qtde],super1[Item],tab_higiene[[#This Row],[Item]],super1[Bairro],mercado4)+SUMIFS(supercb[Qtde],supercb[Item],tab_higiene[[#This Row],[Item]],supercb[Bairro],mercado4)</f>
        <v>0</v>
      </c>
      <c r="AO96" s="1">
        <f>SUMIFS(super1[Qtde],super1[Item],tab_higiene[[#This Row],[Item]],super1[Bairro],mercado5)+SUMIFS(supercb[Qtde],supercb[Item],tab_higiene[[#This Row],[Item]],supercb[Bairro],mercado5)</f>
        <v>0</v>
      </c>
      <c r="AP96" s="1">
        <f>SUMIFS(super1[Qtde],super1[Item],tab_higiene[[#This Row],[Item]],super1[Bairro],mercado6)+SUMIFS(supercb[Qtde],supercb[Item],tab_higiene[[#This Row],[Item]],supercb[Bairro],mercado6)</f>
        <v>0</v>
      </c>
      <c r="AQ96" s="1">
        <f>SUMIFS(super1[Qtde],super1[Item],tab_higiene[[#This Row],[Item]],super1[Bairro],mercado7)+SUMIFS(supercb[Qtde],supercb[Item],tab_higiene[[#This Row],[Item]],supercb[Bairro],mercado7)</f>
        <v>0</v>
      </c>
      <c r="AR96" s="1">
        <f>SUMIFS(super1[Qtde],super1[Item],tab_higiene[[#This Row],[Item]],super1[Bairro],mercado8)+SUMIFS(supercb[Qtde],supercb[Item],tab_higiene[[#This Row],[Item]],supercb[Bairro],mercado8)</f>
        <v>0</v>
      </c>
      <c r="AS96" s="1">
        <f>SUMIFS(super1[Qtde],super1[Item],tab_higiene[[#This Row],[Item]],super1[Bairro],mercado9)+SUMIFS(supercb[Qtde],supercb[Item],tab_higiene[[#This Row],[Item]],supercb[Bairro],mercado9)</f>
        <v>0</v>
      </c>
      <c r="AT96" s="1">
        <f>SUMIFS(super1[Qtde],super1[Item],tab_higiene[[#This Row],[Item]],super1[Bairro],mercado10)+SUMIFS(supercb[Qtde],supercb[Item],tab_higiene[[#This Row],[Item]],supercb[Bairro],mercado10)</f>
        <v>0</v>
      </c>
      <c r="AU96" s="1">
        <f>SUMIFS(super1[Qtde],super1[Item],tab_higiene[[#This Row],[Item]],super1[Bairro],mercado11)+SUMIFS(supercb[Qtde],supercb[Item],tab_higiene[[#This Row],[Item]],supercb[Bairro],mercado11)</f>
        <v>0</v>
      </c>
      <c r="AV96" s="1">
        <f>SUMIFS(super1[Qtde],super1[Item],tab_higiene[[#This Row],[Item]],super1[Bairro],mercado12)+SUMIFS(supercb[Qtde],supercb[Item],tab_higiene[[#This Row],[Item]],supercb[Bairro],mercado12)</f>
        <v>0</v>
      </c>
      <c r="AW96" s="1">
        <f>SUMIFS(super1[Qtde],super1[Item],tab_higiene[[#This Row],[Item]],super1[Bairro],mercado13)+SUMIFS(supercb[Qtde],supercb[Item],tab_higiene[[#This Row],[Item]],supercb[Bairro],mercado13)</f>
        <v>0</v>
      </c>
      <c r="AX96" s="1">
        <f>SUMIFS(super1[Qtde],super1[Item],tab_higiene[[#This Row],[Item]],super1[Bairro],mercado14)+SUMIFS(supercb[Qtde],supercb[Item],tab_higiene[[#This Row],[Item]],supercb[Bairro],mercado14)</f>
        <v>0</v>
      </c>
      <c r="AY96" s="1">
        <f>SUMIFS(super1[Qtde],super1[Item],tab_higiene[[#This Row],[Item]],super1[Bairro],mercado15)+SUMIFS(supercb[Qtde],supercb[Item],tab_higiene[[#This Row],[Item]],supercb[Bairro],mercado15)</f>
        <v>0</v>
      </c>
      <c r="AZ96" s="1">
        <f>SUMIFS(super1[Qtde],super1[Item],tab_higiene[[#This Row],[Item]],super1[Bairro],mercado16)+SUMIFS(supercb[Qtde],supercb[Item],tab_higiene[[#This Row],[Item]],supercb[Bairro],mercado16)</f>
        <v>0</v>
      </c>
      <c r="BA96" s="1">
        <f>SUMIFS(super1[Qtde],super1[Item],tab_higiene[[#This Row],[Item]],super1[Bairro],mercado17)+SUMIFS(supercb[Qtde],supercb[Item],tab_higiene[[#This Row],[Item]],supercb[Bairro],mercado17)</f>
        <v>0</v>
      </c>
      <c r="BB96" s="1">
        <f>SUMIFS(super1[Qtde],super1[Item],tab_higiene[[#This Row],[Item]],super1[Bairro],mercado18)+SUMIFS(supercb[Qtde],supercb[Item],tab_higiene[[#This Row],[Item]],supercb[Bairro],mercado18)</f>
        <v>0</v>
      </c>
      <c r="BC96" s="1">
        <f>SUMIFS(super1[Qtde],super1[Item],tab_higiene[[#This Row],[Item]],super1[Bairro],extras)+SUMIFS(supercb[Qtde],supercb[Item],tab_higiene[[#This Row],[Item]],supercb[Bairro],extras)</f>
        <v>0</v>
      </c>
      <c r="BD96" s="1">
        <f t="shared" si="30"/>
        <v>0</v>
      </c>
      <c r="BE96" s="1">
        <f t="shared" si="31"/>
        <v>0</v>
      </c>
      <c r="BF96" s="26">
        <f t="shared" si="32"/>
        <v>0</v>
      </c>
      <c r="BI96" s="33" t="str">
        <f>tab_alimentos[[#This Row],[Item]]</f>
        <v>D</v>
      </c>
      <c r="BJ96" s="33">
        <f t="shared" si="25"/>
        <v>0</v>
      </c>
      <c r="BK96" s="33" t="str">
        <f t="shared" si="26"/>
        <v>D</v>
      </c>
      <c r="BL96" s="33">
        <f>tab_alimentos[[#This Row],[kg]]</f>
        <v>0</v>
      </c>
      <c r="BN96" s="35">
        <f t="shared" si="36"/>
        <v>0</v>
      </c>
      <c r="BP96" s="33" t="str">
        <f>tab_higiene[[#This Row],[Item]]</f>
        <v>Fraldas Infantis (16un)</v>
      </c>
      <c r="BQ96" s="33">
        <f t="shared" si="33"/>
        <v>17</v>
      </c>
      <c r="BR96" s="33" t="str">
        <f t="shared" si="34"/>
        <v>Fraldas Infantis</v>
      </c>
      <c r="BS96" s="33">
        <f>higiene[[#This Row],[Quantidade]]</f>
        <v>4</v>
      </c>
      <c r="BT96" s="33">
        <f>tab_higiene[Qtde (tot)]</f>
        <v>0</v>
      </c>
      <c r="BU96" s="33">
        <f t="shared" si="37"/>
        <v>0</v>
      </c>
      <c r="BW96" s="33">
        <f t="shared" si="35"/>
        <v>0</v>
      </c>
    </row>
    <row r="97" spans="9:75" x14ac:dyDescent="0.25">
      <c r="I97" s="25" t="str">
        <f>alimentos[[#This Row],[Item]]</f>
        <v>Doce de Abóbora (220g)</v>
      </c>
      <c r="J97" s="1">
        <f>IFERROR(alimentos[[#This Row],[kg/embalagem]],0)</f>
        <v>0.22</v>
      </c>
      <c r="K97" s="1">
        <f>IFERROR(alimentos[[#This Row],[Preço]],0)</f>
        <v>8.56</v>
      </c>
      <c r="L97" s="1">
        <f>SUMIFS(super1[Qtde],super1[Item],tab_alimentos[[#This Row],[Item]],super1[Bairro],mercado1)+SUMIFS(supercb[Qtde],supercb[Item],tab_alimentos[[#This Row],[Item]],supercb[Bairro],mercado1)</f>
        <v>0</v>
      </c>
      <c r="M97" s="1">
        <f>SUMIFS(super1[Qtde],super1[Item],tab_alimentos[[#This Row],[Item]],super1[Bairro],mercado2)+SUMIFS(supercb[Qtde],supercb[Item],tab_alimentos[[#This Row],[Item]],supercb[Bairro],mercado2)</f>
        <v>0</v>
      </c>
      <c r="N97" s="1">
        <f>SUMIFS(super1[Qtde],super1[Item],tab_alimentos[[#This Row],[Item]],super1[Bairro],mercado3)+SUMIFS(supercb[Qtde],supercb[Item],tab_alimentos[[#This Row],[Item]],supercb[Bairro],mercado3)</f>
        <v>0</v>
      </c>
      <c r="O97" s="1">
        <f>SUMIFS(super1[Qtde],super1[Item],tab_alimentos[[#This Row],[Item]],super1[Bairro],mercado4)+SUMIFS(supercb[Qtde],supercb[Item],tab_alimentos[[#This Row],[Item]],supercb[Bairro],mercado4)</f>
        <v>0</v>
      </c>
      <c r="P97" s="1">
        <f>SUMIFS(super1[Qtde],super1[Item],tab_alimentos[[#This Row],[Item]],super1[Bairro],mercado5)+SUMIFS(supercb[Qtde],supercb[Item],tab_alimentos[[#This Row],[Item]],supercb[Bairro],mercado5)</f>
        <v>0</v>
      </c>
      <c r="Q97" s="1">
        <f>SUMIFS(super1[Qtde],super1[Item],tab_alimentos[[#This Row],[Item]],super1[Bairro],mercado6)+SUMIFS(supercb[Qtde],supercb[Item],tab_alimentos[[#This Row],[Item]],supercb[Bairro],mercado6)</f>
        <v>0</v>
      </c>
      <c r="R97" s="1">
        <f>SUMIFS(super1[Qtde],super1[Item],tab_alimentos[[#This Row],[Item]],super1[Bairro],mercado7)+SUMIFS(supercb[Qtde],supercb[Item],tab_alimentos[[#This Row],[Item]],supercb[Bairro],mercado7)</f>
        <v>0</v>
      </c>
      <c r="S97" s="1">
        <f>SUMIFS(super1[Qtde],super1[Item],tab_alimentos[[#This Row],[Item]],super1[Bairro],mercado8)+SUMIFS(supercb[Qtde],supercb[Item],tab_alimentos[[#This Row],[Item]],supercb[Bairro],mercado8)</f>
        <v>0</v>
      </c>
      <c r="T97" s="1">
        <f>SUMIFS(super1[Qtde],super1[Item],tab_alimentos[[#This Row],[Item]],super1[Bairro],mercado9)+SUMIFS(supercb[Qtde],supercb[Item],tab_alimentos[[#This Row],[Item]],supercb[Bairro],mercado9)</f>
        <v>0</v>
      </c>
      <c r="U97" s="1">
        <f>SUMIFS(super1[Qtde],super1[Item],tab_alimentos[[#This Row],[Item]],super1[Bairro],mercado10)+SUMIFS(supercb[Qtde],supercb[Item],tab_alimentos[[#This Row],[Item]],supercb[Bairro],mercado10)</f>
        <v>0</v>
      </c>
      <c r="V97" s="1">
        <f>SUMIFS(super1[Qtde],super1[Item],tab_alimentos[[#This Row],[Item]],super1[Bairro],mercado11)+SUMIFS(supercb[Qtde],supercb[Item],tab_alimentos[[#This Row],[Item]],supercb[Bairro],mercado11)</f>
        <v>0</v>
      </c>
      <c r="W97" s="1">
        <f>SUMIFS(super1[Qtde],super1[Item],tab_alimentos[[#This Row],[Item]],super1[Bairro],mercado12)+SUMIFS(supercb[Qtde],supercb[Item],tab_alimentos[[#This Row],[Item]],supercb[Bairro],mercado12)</f>
        <v>0</v>
      </c>
      <c r="X97" s="1">
        <f>SUMIFS(super1[Qtde],super1[Item],tab_alimentos[[#This Row],[Item]],super1[Bairro],mercado13)+SUMIFS(supercb[Qtde],supercb[Item],tab_alimentos[[#This Row],[Item]],supercb[Bairro],mercado13)</f>
        <v>0</v>
      </c>
      <c r="Y97" s="1">
        <f>SUMIFS(super1[Qtde],super1[Item],tab_alimentos[[#This Row],[Item]],super1[Bairro],mercado14)+SUMIFS(supercb[Qtde],supercb[Item],tab_alimentos[[#This Row],[Item]],supercb[Bairro],mercado14)</f>
        <v>0</v>
      </c>
      <c r="Z97" s="1">
        <f>SUMIFS(super1[Qtde],super1[Item],tab_alimentos[[#This Row],[Item]],super1[Bairro],mercado15)+SUMIFS(supercb[Qtde],supercb[Item],tab_alimentos[[#This Row],[Item]],supercb[Bairro],mercado15)</f>
        <v>0</v>
      </c>
      <c r="AA97" s="1">
        <f>SUMIFS(super1[Qtde],super1[Item],tab_alimentos[[#This Row],[Item]],super1[Bairro],mercado16)+SUMIFS(supercb[Qtde],supercb[Item],tab_alimentos[[#This Row],[Item]],supercb[Bairro],mercado16)</f>
        <v>0</v>
      </c>
      <c r="AB97" s="1">
        <f>SUMIFS(super1[Qtde],super1[Item],tab_alimentos[[#This Row],[Item]],super1[Bairro],mercado17)+SUMIFS(supercb[Qtde],supercb[Item],tab_alimentos[[#This Row],[Item]],supercb[Bairro],mercado17)</f>
        <v>0</v>
      </c>
      <c r="AC97" s="1">
        <f>SUMIFS(super1[Qtde],super1[Item],tab_alimentos[[#This Row],[Item]],super1[Bairro],mercado18)+SUMIFS(supercb[Qtde],supercb[Item],tab_alimentos[[#This Row],[Item]],supercb[Bairro],mercado18)</f>
        <v>0</v>
      </c>
      <c r="AD97" s="1">
        <f>SUMIFS(super1[Qtde],super1[Item],tab_alimentos[[#This Row],[Item]],super1[Bairro],extras)+SUMIFS(supercb[Qtde],supercb[Item],tab_alimentos[[#This Row],[Item]],supercb[Bairro],extras)</f>
        <v>0</v>
      </c>
      <c r="AE97" s="1">
        <f t="shared" si="27"/>
        <v>0</v>
      </c>
      <c r="AF97" s="1">
        <f t="shared" si="28"/>
        <v>0</v>
      </c>
      <c r="AG97" s="3">
        <f t="shared" si="29"/>
        <v>0</v>
      </c>
      <c r="AH97" s="25" t="str">
        <f>higiene[[#This Row],[Item]]</f>
        <v>Fraldas Infantis (18 un)</v>
      </c>
      <c r="AI97" s="1">
        <f>IFERROR(higiene[[#This Row],[Kg equivalente]],0)</f>
        <v>5.8122293076618101</v>
      </c>
      <c r="AJ97" s="1">
        <f>IFERROR(higiene[[#This Row],[Preço por produto]],0)</f>
        <v>19.252499999999998</v>
      </c>
      <c r="AK97" s="1">
        <f>SUMIFS(super1[Qtde],super1[Item],tab_higiene[[#This Row],[Item]],super1[Bairro],mercado1)+SUMIFS(supercb[Qtde],supercb[Item],tab_higiene[[#This Row],[Item]],supercb[Bairro],mercado1)</f>
        <v>0</v>
      </c>
      <c r="AL97" s="1">
        <f>SUMIFS(super1[Qtde],super1[Item],tab_higiene[[#This Row],[Item]],super1[Bairro],mercado2)+SUMIFS(supercb[Qtde],supercb[Item],tab_higiene[[#This Row],[Item]],supercb[Bairro],mercado2)</f>
        <v>0</v>
      </c>
      <c r="AM97" s="1">
        <f>SUMIFS(super1[Qtde],super1[Item],tab_higiene[[#This Row],[Item]],super1[Bairro],mercado3)+SUMIFS(supercb[Qtde],supercb[Item],tab_higiene[[#This Row],[Item]],supercb[Bairro],mercado3)</f>
        <v>0</v>
      </c>
      <c r="AN97" s="1">
        <f>SUMIFS(super1[Qtde],super1[Item],tab_higiene[[#This Row],[Item]],super1[Bairro],mercado4)+SUMIFS(supercb[Qtde],supercb[Item],tab_higiene[[#This Row],[Item]],supercb[Bairro],mercado4)</f>
        <v>0</v>
      </c>
      <c r="AO97" s="1">
        <f>SUMIFS(super1[Qtde],super1[Item],tab_higiene[[#This Row],[Item]],super1[Bairro],mercado5)+SUMIFS(supercb[Qtde],supercb[Item],tab_higiene[[#This Row],[Item]],supercb[Bairro],mercado5)</f>
        <v>0</v>
      </c>
      <c r="AP97" s="1">
        <f>SUMIFS(super1[Qtde],super1[Item],tab_higiene[[#This Row],[Item]],super1[Bairro],mercado6)+SUMIFS(supercb[Qtde],supercb[Item],tab_higiene[[#This Row],[Item]],supercb[Bairro],mercado6)</f>
        <v>0</v>
      </c>
      <c r="AQ97" s="1">
        <f>SUMIFS(super1[Qtde],super1[Item],tab_higiene[[#This Row],[Item]],super1[Bairro],mercado7)+SUMIFS(supercb[Qtde],supercb[Item],tab_higiene[[#This Row],[Item]],supercb[Bairro],mercado7)</f>
        <v>0</v>
      </c>
      <c r="AR97" s="1">
        <f>SUMIFS(super1[Qtde],super1[Item],tab_higiene[[#This Row],[Item]],super1[Bairro],mercado8)+SUMIFS(supercb[Qtde],supercb[Item],tab_higiene[[#This Row],[Item]],supercb[Bairro],mercado8)</f>
        <v>0</v>
      </c>
      <c r="AS97" s="1">
        <f>SUMIFS(super1[Qtde],super1[Item],tab_higiene[[#This Row],[Item]],super1[Bairro],mercado9)+SUMIFS(supercb[Qtde],supercb[Item],tab_higiene[[#This Row],[Item]],supercb[Bairro],mercado9)</f>
        <v>0</v>
      </c>
      <c r="AT97" s="1">
        <f>SUMIFS(super1[Qtde],super1[Item],tab_higiene[[#This Row],[Item]],super1[Bairro],mercado10)+SUMIFS(supercb[Qtde],supercb[Item],tab_higiene[[#This Row],[Item]],supercb[Bairro],mercado10)</f>
        <v>0</v>
      </c>
      <c r="AU97" s="1">
        <f>SUMIFS(super1[Qtde],super1[Item],tab_higiene[[#This Row],[Item]],super1[Bairro],mercado11)+SUMIFS(supercb[Qtde],supercb[Item],tab_higiene[[#This Row],[Item]],supercb[Bairro],mercado11)</f>
        <v>0</v>
      </c>
      <c r="AV97" s="1">
        <f>SUMIFS(super1[Qtde],super1[Item],tab_higiene[[#This Row],[Item]],super1[Bairro],mercado12)+SUMIFS(supercb[Qtde],supercb[Item],tab_higiene[[#This Row],[Item]],supercb[Bairro],mercado12)</f>
        <v>0</v>
      </c>
      <c r="AW97" s="1">
        <f>SUMIFS(super1[Qtde],super1[Item],tab_higiene[[#This Row],[Item]],super1[Bairro],mercado13)+SUMIFS(supercb[Qtde],supercb[Item],tab_higiene[[#This Row],[Item]],supercb[Bairro],mercado13)</f>
        <v>0</v>
      </c>
      <c r="AX97" s="1">
        <f>SUMIFS(super1[Qtde],super1[Item],tab_higiene[[#This Row],[Item]],super1[Bairro],mercado14)+SUMIFS(supercb[Qtde],supercb[Item],tab_higiene[[#This Row],[Item]],supercb[Bairro],mercado14)</f>
        <v>0</v>
      </c>
      <c r="AY97" s="1">
        <f>SUMIFS(super1[Qtde],super1[Item],tab_higiene[[#This Row],[Item]],super1[Bairro],mercado15)+SUMIFS(supercb[Qtde],supercb[Item],tab_higiene[[#This Row],[Item]],supercb[Bairro],mercado15)</f>
        <v>0</v>
      </c>
      <c r="AZ97" s="1">
        <f>SUMIFS(super1[Qtde],super1[Item],tab_higiene[[#This Row],[Item]],super1[Bairro],mercado16)+SUMIFS(supercb[Qtde],supercb[Item],tab_higiene[[#This Row],[Item]],supercb[Bairro],mercado16)</f>
        <v>0</v>
      </c>
      <c r="BA97" s="1">
        <f>SUMIFS(super1[Qtde],super1[Item],tab_higiene[[#This Row],[Item]],super1[Bairro],mercado17)+SUMIFS(supercb[Qtde],supercb[Item],tab_higiene[[#This Row],[Item]],supercb[Bairro],mercado17)</f>
        <v>0</v>
      </c>
      <c r="BB97" s="1">
        <f>SUMIFS(super1[Qtde],super1[Item],tab_higiene[[#This Row],[Item]],super1[Bairro],mercado18)+SUMIFS(supercb[Qtde],supercb[Item],tab_higiene[[#This Row],[Item]],supercb[Bairro],mercado18)</f>
        <v>0</v>
      </c>
      <c r="BC97" s="1">
        <f>SUMIFS(super1[Qtde],super1[Item],tab_higiene[[#This Row],[Item]],super1[Bairro],extras)+SUMIFS(supercb[Qtde],supercb[Item],tab_higiene[[#This Row],[Item]],supercb[Bairro],extras)</f>
        <v>0</v>
      </c>
      <c r="BD97" s="1">
        <f t="shared" si="30"/>
        <v>0</v>
      </c>
      <c r="BE97" s="1">
        <f t="shared" si="31"/>
        <v>0</v>
      </c>
      <c r="BF97" s="26">
        <f t="shared" si="32"/>
        <v>0</v>
      </c>
      <c r="BI97" s="33" t="str">
        <f>tab_alimentos[[#This Row],[Item]]</f>
        <v>Doce de Abóbora (220g)</v>
      </c>
      <c r="BJ97" s="33">
        <f t="shared" si="25"/>
        <v>16</v>
      </c>
      <c r="BK97" s="33" t="str">
        <f t="shared" si="26"/>
        <v>Doce de Abóbora</v>
      </c>
      <c r="BL97" s="33">
        <f>tab_alimentos[[#This Row],[kg]]</f>
        <v>0</v>
      </c>
      <c r="BN97" s="35">
        <f t="shared" si="36"/>
        <v>0</v>
      </c>
      <c r="BP97" s="33" t="str">
        <f>tab_higiene[[#This Row],[Item]]</f>
        <v>Fraldas Infantis (18 un)</v>
      </c>
      <c r="BQ97" s="33">
        <f t="shared" si="33"/>
        <v>17</v>
      </c>
      <c r="BR97" s="33" t="str">
        <f t="shared" si="34"/>
        <v>Fraldas Infantis</v>
      </c>
      <c r="BS97" s="33">
        <f>higiene[[#This Row],[Quantidade]]</f>
        <v>5</v>
      </c>
      <c r="BT97" s="33">
        <f>tab_higiene[Qtde (tot)]</f>
        <v>0</v>
      </c>
      <c r="BU97" s="33">
        <f t="shared" si="37"/>
        <v>0</v>
      </c>
      <c r="BW97" s="33">
        <f t="shared" si="35"/>
        <v>0</v>
      </c>
    </row>
    <row r="98" spans="9:75" x14ac:dyDescent="0.25">
      <c r="I98" s="25" t="str">
        <f>alimentos[[#This Row],[Item]]</f>
        <v>Doces (bala - 150g)</v>
      </c>
      <c r="J98" s="1">
        <f>IFERROR(alimentos[[#This Row],[kg/embalagem]],0)</f>
        <v>0.15</v>
      </c>
      <c r="K98" s="1">
        <f>IFERROR(alimentos[[#This Row],[Preço]],0)</f>
        <v>3.6659999999999995</v>
      </c>
      <c r="L98" s="1">
        <f>SUMIFS(super1[Qtde],super1[Item],tab_alimentos[[#This Row],[Item]],super1[Bairro],mercado1)+SUMIFS(supercb[Qtde],supercb[Item],tab_alimentos[[#This Row],[Item]],supercb[Bairro],mercado1)</f>
        <v>0</v>
      </c>
      <c r="M98" s="1">
        <f>SUMIFS(super1[Qtde],super1[Item],tab_alimentos[[#This Row],[Item]],super1[Bairro],mercado2)+SUMIFS(supercb[Qtde],supercb[Item],tab_alimentos[[#This Row],[Item]],supercb[Bairro],mercado2)</f>
        <v>0</v>
      </c>
      <c r="N98" s="1">
        <f>SUMIFS(super1[Qtde],super1[Item],tab_alimentos[[#This Row],[Item]],super1[Bairro],mercado3)+SUMIFS(supercb[Qtde],supercb[Item],tab_alimentos[[#This Row],[Item]],supercb[Bairro],mercado3)</f>
        <v>0</v>
      </c>
      <c r="O98" s="1">
        <f>SUMIFS(super1[Qtde],super1[Item],tab_alimentos[[#This Row],[Item]],super1[Bairro],mercado4)+SUMIFS(supercb[Qtde],supercb[Item],tab_alimentos[[#This Row],[Item]],supercb[Bairro],mercado4)</f>
        <v>0</v>
      </c>
      <c r="P98" s="1">
        <f>SUMIFS(super1[Qtde],super1[Item],tab_alimentos[[#This Row],[Item]],super1[Bairro],mercado5)+SUMIFS(supercb[Qtde],supercb[Item],tab_alimentos[[#This Row],[Item]],supercb[Bairro],mercado5)</f>
        <v>0</v>
      </c>
      <c r="Q98" s="1">
        <f>SUMIFS(super1[Qtde],super1[Item],tab_alimentos[[#This Row],[Item]],super1[Bairro],mercado6)+SUMIFS(supercb[Qtde],supercb[Item],tab_alimentos[[#This Row],[Item]],supercb[Bairro],mercado6)</f>
        <v>0</v>
      </c>
      <c r="R98" s="1">
        <f>SUMIFS(super1[Qtde],super1[Item],tab_alimentos[[#This Row],[Item]],super1[Bairro],mercado7)+SUMIFS(supercb[Qtde],supercb[Item],tab_alimentos[[#This Row],[Item]],supercb[Bairro],mercado7)</f>
        <v>0</v>
      </c>
      <c r="S98" s="1">
        <f>SUMIFS(super1[Qtde],super1[Item],tab_alimentos[[#This Row],[Item]],super1[Bairro],mercado8)+SUMIFS(supercb[Qtde],supercb[Item],tab_alimentos[[#This Row],[Item]],supercb[Bairro],mercado8)</f>
        <v>0</v>
      </c>
      <c r="T98" s="1">
        <f>SUMIFS(super1[Qtde],super1[Item],tab_alimentos[[#This Row],[Item]],super1[Bairro],mercado9)+SUMIFS(supercb[Qtde],supercb[Item],tab_alimentos[[#This Row],[Item]],supercb[Bairro],mercado9)</f>
        <v>0</v>
      </c>
      <c r="U98" s="1">
        <f>SUMIFS(super1[Qtde],super1[Item],tab_alimentos[[#This Row],[Item]],super1[Bairro],mercado10)+SUMIFS(supercb[Qtde],supercb[Item],tab_alimentos[[#This Row],[Item]],supercb[Bairro],mercado10)</f>
        <v>0</v>
      </c>
      <c r="V98" s="1">
        <f>SUMIFS(super1[Qtde],super1[Item],tab_alimentos[[#This Row],[Item]],super1[Bairro],mercado11)+SUMIFS(supercb[Qtde],supercb[Item],tab_alimentos[[#This Row],[Item]],supercb[Bairro],mercado11)</f>
        <v>0</v>
      </c>
      <c r="W98" s="1">
        <f>SUMIFS(super1[Qtde],super1[Item],tab_alimentos[[#This Row],[Item]],super1[Bairro],mercado12)+SUMIFS(supercb[Qtde],supercb[Item],tab_alimentos[[#This Row],[Item]],supercb[Bairro],mercado12)</f>
        <v>0</v>
      </c>
      <c r="X98" s="1">
        <f>SUMIFS(super1[Qtde],super1[Item],tab_alimentos[[#This Row],[Item]],super1[Bairro],mercado13)+SUMIFS(supercb[Qtde],supercb[Item],tab_alimentos[[#This Row],[Item]],supercb[Bairro],mercado13)</f>
        <v>0</v>
      </c>
      <c r="Y98" s="1">
        <f>SUMIFS(super1[Qtde],super1[Item],tab_alimentos[[#This Row],[Item]],super1[Bairro],mercado14)+SUMIFS(supercb[Qtde],supercb[Item],tab_alimentos[[#This Row],[Item]],supercb[Bairro],mercado14)</f>
        <v>0</v>
      </c>
      <c r="Z98" s="1">
        <f>SUMIFS(super1[Qtde],super1[Item],tab_alimentos[[#This Row],[Item]],super1[Bairro],mercado15)+SUMIFS(supercb[Qtde],supercb[Item],tab_alimentos[[#This Row],[Item]],supercb[Bairro],mercado15)</f>
        <v>0</v>
      </c>
      <c r="AA98" s="1">
        <f>SUMIFS(super1[Qtde],super1[Item],tab_alimentos[[#This Row],[Item]],super1[Bairro],mercado16)+SUMIFS(supercb[Qtde],supercb[Item],tab_alimentos[[#This Row],[Item]],supercb[Bairro],mercado16)</f>
        <v>0</v>
      </c>
      <c r="AB98" s="1">
        <f>SUMIFS(super1[Qtde],super1[Item],tab_alimentos[[#This Row],[Item]],super1[Bairro],mercado17)+SUMIFS(supercb[Qtde],supercb[Item],tab_alimentos[[#This Row],[Item]],supercb[Bairro],mercado17)</f>
        <v>0</v>
      </c>
      <c r="AC98" s="1">
        <f>SUMIFS(super1[Qtde],super1[Item],tab_alimentos[[#This Row],[Item]],super1[Bairro],mercado18)+SUMIFS(supercb[Qtde],supercb[Item],tab_alimentos[[#This Row],[Item]],supercb[Bairro],mercado18)</f>
        <v>0</v>
      </c>
      <c r="AD98" s="1">
        <f>SUMIFS(super1[Qtde],super1[Item],tab_alimentos[[#This Row],[Item]],super1[Bairro],extras)+SUMIFS(supercb[Qtde],supercb[Item],tab_alimentos[[#This Row],[Item]],supercb[Bairro],extras)</f>
        <v>0</v>
      </c>
      <c r="AE98" s="1">
        <f t="shared" si="27"/>
        <v>0</v>
      </c>
      <c r="AF98" s="1">
        <f t="shared" si="28"/>
        <v>0</v>
      </c>
      <c r="AG98" s="3">
        <f t="shared" si="29"/>
        <v>0</v>
      </c>
      <c r="AH98" s="25" t="str">
        <f>higiene[[#This Row],[Item]]</f>
        <v>Fraldas Infantis (20un)</v>
      </c>
      <c r="AI98" s="1">
        <f>IFERROR(higiene[[#This Row],[Kg equivalente]],0)</f>
        <v>4.4959680542450862</v>
      </c>
      <c r="AJ98" s="1">
        <f>IFERROR(higiene[[#This Row],[Preço por produto]],0)</f>
        <v>14.8925</v>
      </c>
      <c r="AK98" s="1">
        <f>SUMIFS(super1[Qtde],super1[Item],tab_higiene[[#This Row],[Item]],super1[Bairro],mercado1)+SUMIFS(supercb[Qtde],supercb[Item],tab_higiene[[#This Row],[Item]],supercb[Bairro],mercado1)</f>
        <v>0</v>
      </c>
      <c r="AL98" s="1">
        <f>SUMIFS(super1[Qtde],super1[Item],tab_higiene[[#This Row],[Item]],super1[Bairro],mercado2)+SUMIFS(supercb[Qtde],supercb[Item],tab_higiene[[#This Row],[Item]],supercb[Bairro],mercado2)</f>
        <v>0</v>
      </c>
      <c r="AM98" s="1">
        <f>SUMIFS(super1[Qtde],super1[Item],tab_higiene[[#This Row],[Item]],super1[Bairro],mercado3)+SUMIFS(supercb[Qtde],supercb[Item],tab_higiene[[#This Row],[Item]],supercb[Bairro],mercado3)</f>
        <v>1</v>
      </c>
      <c r="AN98" s="1">
        <f>SUMIFS(super1[Qtde],super1[Item],tab_higiene[[#This Row],[Item]],super1[Bairro],mercado4)+SUMIFS(supercb[Qtde],supercb[Item],tab_higiene[[#This Row],[Item]],supercb[Bairro],mercado4)</f>
        <v>0</v>
      </c>
      <c r="AO98" s="1">
        <f>SUMIFS(super1[Qtde],super1[Item],tab_higiene[[#This Row],[Item]],super1[Bairro],mercado5)+SUMIFS(supercb[Qtde],supercb[Item],tab_higiene[[#This Row],[Item]],supercb[Bairro],mercado5)</f>
        <v>0</v>
      </c>
      <c r="AP98" s="1">
        <f>SUMIFS(super1[Qtde],super1[Item],tab_higiene[[#This Row],[Item]],super1[Bairro],mercado6)+SUMIFS(supercb[Qtde],supercb[Item],tab_higiene[[#This Row],[Item]],supercb[Bairro],mercado6)</f>
        <v>1</v>
      </c>
      <c r="AQ98" s="1">
        <f>SUMIFS(super1[Qtde],super1[Item],tab_higiene[[#This Row],[Item]],super1[Bairro],mercado7)+SUMIFS(supercb[Qtde],supercb[Item],tab_higiene[[#This Row],[Item]],supercb[Bairro],mercado7)</f>
        <v>0</v>
      </c>
      <c r="AR98" s="1">
        <f>SUMIFS(super1[Qtde],super1[Item],tab_higiene[[#This Row],[Item]],super1[Bairro],mercado8)+SUMIFS(supercb[Qtde],supercb[Item],tab_higiene[[#This Row],[Item]],supercb[Bairro],mercado8)</f>
        <v>0</v>
      </c>
      <c r="AS98" s="1">
        <f>SUMIFS(super1[Qtde],super1[Item],tab_higiene[[#This Row],[Item]],super1[Bairro],mercado9)+SUMIFS(supercb[Qtde],supercb[Item],tab_higiene[[#This Row],[Item]],supercb[Bairro],mercado9)</f>
        <v>1</v>
      </c>
      <c r="AT98" s="1">
        <f>SUMIFS(super1[Qtde],super1[Item],tab_higiene[[#This Row],[Item]],super1[Bairro],mercado10)+SUMIFS(supercb[Qtde],supercb[Item],tab_higiene[[#This Row],[Item]],supercb[Bairro],mercado10)</f>
        <v>5</v>
      </c>
      <c r="AU98" s="1">
        <f>SUMIFS(super1[Qtde],super1[Item],tab_higiene[[#This Row],[Item]],super1[Bairro],mercado11)+SUMIFS(supercb[Qtde],supercb[Item],tab_higiene[[#This Row],[Item]],supercb[Bairro],mercado11)</f>
        <v>0</v>
      </c>
      <c r="AV98" s="1">
        <f>SUMIFS(super1[Qtde],super1[Item],tab_higiene[[#This Row],[Item]],super1[Bairro],mercado12)+SUMIFS(supercb[Qtde],supercb[Item],tab_higiene[[#This Row],[Item]],supercb[Bairro],mercado12)</f>
        <v>0</v>
      </c>
      <c r="AW98" s="1">
        <f>SUMIFS(super1[Qtde],super1[Item],tab_higiene[[#This Row],[Item]],super1[Bairro],mercado13)+SUMIFS(supercb[Qtde],supercb[Item],tab_higiene[[#This Row],[Item]],supercb[Bairro],mercado13)</f>
        <v>0</v>
      </c>
      <c r="AX98" s="1">
        <f>SUMIFS(super1[Qtde],super1[Item],tab_higiene[[#This Row],[Item]],super1[Bairro],mercado14)+SUMIFS(supercb[Qtde],supercb[Item],tab_higiene[[#This Row],[Item]],supercb[Bairro],mercado14)</f>
        <v>0</v>
      </c>
      <c r="AY98" s="1">
        <f>SUMIFS(super1[Qtde],super1[Item],tab_higiene[[#This Row],[Item]],super1[Bairro],mercado15)+SUMIFS(supercb[Qtde],supercb[Item],tab_higiene[[#This Row],[Item]],supercb[Bairro],mercado15)</f>
        <v>0</v>
      </c>
      <c r="AZ98" s="1">
        <f>SUMIFS(super1[Qtde],super1[Item],tab_higiene[[#This Row],[Item]],super1[Bairro],mercado16)+SUMIFS(supercb[Qtde],supercb[Item],tab_higiene[[#This Row],[Item]],supercb[Bairro],mercado16)</f>
        <v>0</v>
      </c>
      <c r="BA98" s="1">
        <f>SUMIFS(super1[Qtde],super1[Item],tab_higiene[[#This Row],[Item]],super1[Bairro],mercado17)+SUMIFS(supercb[Qtde],supercb[Item],tab_higiene[[#This Row],[Item]],supercb[Bairro],mercado17)</f>
        <v>0</v>
      </c>
      <c r="BB98" s="1">
        <f>SUMIFS(super1[Qtde],super1[Item],tab_higiene[[#This Row],[Item]],super1[Bairro],mercado18)+SUMIFS(supercb[Qtde],supercb[Item],tab_higiene[[#This Row],[Item]],supercb[Bairro],mercado18)</f>
        <v>0</v>
      </c>
      <c r="BC98" s="1">
        <f>SUMIFS(super1[Qtde],super1[Item],tab_higiene[[#This Row],[Item]],super1[Bairro],extras)+SUMIFS(supercb[Qtde],supercb[Item],tab_higiene[[#This Row],[Item]],supercb[Bairro],extras)</f>
        <v>0</v>
      </c>
      <c r="BD98" s="1">
        <f t="shared" si="30"/>
        <v>8</v>
      </c>
      <c r="BE98" s="1">
        <f t="shared" si="31"/>
        <v>119.14</v>
      </c>
      <c r="BF98" s="26">
        <f t="shared" si="32"/>
        <v>35.967744433960689</v>
      </c>
      <c r="BI98" s="33" t="str">
        <f>tab_alimentos[[#This Row],[Item]]</f>
        <v>Doces (bala - 150g)</v>
      </c>
      <c r="BJ98" s="33">
        <f t="shared" si="25"/>
        <v>6</v>
      </c>
      <c r="BK98" s="33" t="str">
        <f t="shared" si="26"/>
        <v>Doces</v>
      </c>
      <c r="BL98" s="33">
        <f>tab_alimentos[[#This Row],[kg]]</f>
        <v>0</v>
      </c>
      <c r="BN98" s="35">
        <f t="shared" si="36"/>
        <v>0</v>
      </c>
      <c r="BP98" s="33" t="str">
        <f>tab_higiene[[#This Row],[Item]]</f>
        <v>Fraldas Infantis (20un)</v>
      </c>
      <c r="BQ98" s="33">
        <f t="shared" si="33"/>
        <v>17</v>
      </c>
      <c r="BR98" s="33" t="str">
        <f t="shared" si="34"/>
        <v>Fraldas Infantis</v>
      </c>
      <c r="BS98" s="33">
        <f>higiene[[#This Row],[Quantidade]]</f>
        <v>7</v>
      </c>
      <c r="BT98" s="33">
        <f>tab_higiene[Qtde (tot)]</f>
        <v>8</v>
      </c>
      <c r="BU98" s="33">
        <f t="shared" si="37"/>
        <v>56</v>
      </c>
      <c r="BW98" s="33">
        <f t="shared" si="35"/>
        <v>0</v>
      </c>
    </row>
    <row r="99" spans="9:75" x14ac:dyDescent="0.25">
      <c r="I99" s="25" t="str">
        <f>alimentos[[#This Row],[Item]]</f>
        <v>Doces (bala - 200g)</v>
      </c>
      <c r="J99" s="1">
        <f>IFERROR(alimentos[[#This Row],[kg/embalagem]],0)</f>
        <v>0.2</v>
      </c>
      <c r="K99" s="1">
        <f>IFERROR(alimentos[[#This Row],[Preço]],0)</f>
        <v>5.1866666666666665</v>
      </c>
      <c r="L99" s="1">
        <f>SUMIFS(super1[Qtde],super1[Item],tab_alimentos[[#This Row],[Item]],super1[Bairro],mercado1)+SUMIFS(supercb[Qtde],supercb[Item],tab_alimentos[[#This Row],[Item]],supercb[Bairro],mercado1)</f>
        <v>0</v>
      </c>
      <c r="M99" s="1">
        <f>SUMIFS(super1[Qtde],super1[Item],tab_alimentos[[#This Row],[Item]],super1[Bairro],mercado2)+SUMIFS(supercb[Qtde],supercb[Item],tab_alimentos[[#This Row],[Item]],supercb[Bairro],mercado2)</f>
        <v>0</v>
      </c>
      <c r="N99" s="1">
        <f>SUMIFS(super1[Qtde],super1[Item],tab_alimentos[[#This Row],[Item]],super1[Bairro],mercado3)+SUMIFS(supercb[Qtde],supercb[Item],tab_alimentos[[#This Row],[Item]],supercb[Bairro],mercado3)</f>
        <v>0</v>
      </c>
      <c r="O99" s="1">
        <f>SUMIFS(super1[Qtde],super1[Item],tab_alimentos[[#This Row],[Item]],super1[Bairro],mercado4)+SUMIFS(supercb[Qtde],supercb[Item],tab_alimentos[[#This Row],[Item]],supercb[Bairro],mercado4)</f>
        <v>0</v>
      </c>
      <c r="P99" s="1">
        <f>SUMIFS(super1[Qtde],super1[Item],tab_alimentos[[#This Row],[Item]],super1[Bairro],mercado5)+SUMIFS(supercb[Qtde],supercb[Item],tab_alimentos[[#This Row],[Item]],supercb[Bairro],mercado5)</f>
        <v>0</v>
      </c>
      <c r="Q99" s="1">
        <f>SUMIFS(super1[Qtde],super1[Item],tab_alimentos[[#This Row],[Item]],super1[Bairro],mercado6)+SUMIFS(supercb[Qtde],supercb[Item],tab_alimentos[[#This Row],[Item]],supercb[Bairro],mercado6)</f>
        <v>0</v>
      </c>
      <c r="R99" s="1">
        <f>SUMIFS(super1[Qtde],super1[Item],tab_alimentos[[#This Row],[Item]],super1[Bairro],mercado7)+SUMIFS(supercb[Qtde],supercb[Item],tab_alimentos[[#This Row],[Item]],supercb[Bairro],mercado7)</f>
        <v>0</v>
      </c>
      <c r="S99" s="1">
        <f>SUMIFS(super1[Qtde],super1[Item],tab_alimentos[[#This Row],[Item]],super1[Bairro],mercado8)+SUMIFS(supercb[Qtde],supercb[Item],tab_alimentos[[#This Row],[Item]],supercb[Bairro],mercado8)</f>
        <v>0</v>
      </c>
      <c r="T99" s="1">
        <f>SUMIFS(super1[Qtde],super1[Item],tab_alimentos[[#This Row],[Item]],super1[Bairro],mercado9)+SUMIFS(supercb[Qtde],supercb[Item],tab_alimentos[[#This Row],[Item]],supercb[Bairro],mercado9)</f>
        <v>0</v>
      </c>
      <c r="U99" s="1">
        <f>SUMIFS(super1[Qtde],super1[Item],tab_alimentos[[#This Row],[Item]],super1[Bairro],mercado10)+SUMIFS(supercb[Qtde],supercb[Item],tab_alimentos[[#This Row],[Item]],supercb[Bairro],mercado10)</f>
        <v>0</v>
      </c>
      <c r="V99" s="1">
        <f>SUMIFS(super1[Qtde],super1[Item],tab_alimentos[[#This Row],[Item]],super1[Bairro],mercado11)+SUMIFS(supercb[Qtde],supercb[Item],tab_alimentos[[#This Row],[Item]],supercb[Bairro],mercado11)</f>
        <v>0</v>
      </c>
      <c r="W99" s="1">
        <f>SUMIFS(super1[Qtde],super1[Item],tab_alimentos[[#This Row],[Item]],super1[Bairro],mercado12)+SUMIFS(supercb[Qtde],supercb[Item],tab_alimentos[[#This Row],[Item]],supercb[Bairro],mercado12)</f>
        <v>0</v>
      </c>
      <c r="X99" s="1">
        <f>SUMIFS(super1[Qtde],super1[Item],tab_alimentos[[#This Row],[Item]],super1[Bairro],mercado13)+SUMIFS(supercb[Qtde],supercb[Item],tab_alimentos[[#This Row],[Item]],supercb[Bairro],mercado13)</f>
        <v>0</v>
      </c>
      <c r="Y99" s="1">
        <f>SUMIFS(super1[Qtde],super1[Item],tab_alimentos[[#This Row],[Item]],super1[Bairro],mercado14)+SUMIFS(supercb[Qtde],supercb[Item],tab_alimentos[[#This Row],[Item]],supercb[Bairro],mercado14)</f>
        <v>0</v>
      </c>
      <c r="Z99" s="1">
        <f>SUMIFS(super1[Qtde],super1[Item],tab_alimentos[[#This Row],[Item]],super1[Bairro],mercado15)+SUMIFS(supercb[Qtde],supercb[Item],tab_alimentos[[#This Row],[Item]],supercb[Bairro],mercado15)</f>
        <v>0</v>
      </c>
      <c r="AA99" s="1">
        <f>SUMIFS(super1[Qtde],super1[Item],tab_alimentos[[#This Row],[Item]],super1[Bairro],mercado16)+SUMIFS(supercb[Qtde],supercb[Item],tab_alimentos[[#This Row],[Item]],supercb[Bairro],mercado16)</f>
        <v>0</v>
      </c>
      <c r="AB99" s="1">
        <f>SUMIFS(super1[Qtde],super1[Item],tab_alimentos[[#This Row],[Item]],super1[Bairro],mercado17)+SUMIFS(supercb[Qtde],supercb[Item],tab_alimentos[[#This Row],[Item]],supercb[Bairro],mercado17)</f>
        <v>0</v>
      </c>
      <c r="AC99" s="1">
        <f>SUMIFS(super1[Qtde],super1[Item],tab_alimentos[[#This Row],[Item]],super1[Bairro],mercado18)+SUMIFS(supercb[Qtde],supercb[Item],tab_alimentos[[#This Row],[Item]],supercb[Bairro],mercado18)</f>
        <v>0</v>
      </c>
      <c r="AD99" s="1">
        <f>SUMIFS(super1[Qtde],super1[Item],tab_alimentos[[#This Row],[Item]],super1[Bairro],extras)+SUMIFS(supercb[Qtde],supercb[Item],tab_alimentos[[#This Row],[Item]],supercb[Bairro],extras)</f>
        <v>0</v>
      </c>
      <c r="AE99" s="1">
        <f t="shared" si="27"/>
        <v>0</v>
      </c>
      <c r="AF99" s="1">
        <f t="shared" si="28"/>
        <v>0</v>
      </c>
      <c r="AG99" s="3">
        <f t="shared" si="29"/>
        <v>0</v>
      </c>
      <c r="AH99" s="25" t="str">
        <f>higiene[[#This Row],[Item]]</f>
        <v>Fraldas Infantis (22un)</v>
      </c>
      <c r="AI99" s="1">
        <f>IFERROR(higiene[[#This Row],[Kg equivalente]],0)</f>
        <v>5.9757053325987739</v>
      </c>
      <c r="AJ99" s="1">
        <f>IFERROR(higiene[[#This Row],[Preço por produto]],0)</f>
        <v>19.794</v>
      </c>
      <c r="AK99" s="1">
        <f>SUMIFS(super1[Qtde],super1[Item],tab_higiene[[#This Row],[Item]],super1[Bairro],mercado1)+SUMIFS(supercb[Qtde],supercb[Item],tab_higiene[[#This Row],[Item]],supercb[Bairro],mercado1)</f>
        <v>0</v>
      </c>
      <c r="AL99" s="1">
        <f>SUMIFS(super1[Qtde],super1[Item],tab_higiene[[#This Row],[Item]],super1[Bairro],mercado2)+SUMIFS(supercb[Qtde],supercb[Item],tab_higiene[[#This Row],[Item]],supercb[Bairro],mercado2)</f>
        <v>0</v>
      </c>
      <c r="AM99" s="1">
        <f>SUMIFS(super1[Qtde],super1[Item],tab_higiene[[#This Row],[Item]],super1[Bairro],mercado3)+SUMIFS(supercb[Qtde],supercb[Item],tab_higiene[[#This Row],[Item]],supercb[Bairro],mercado3)</f>
        <v>0</v>
      </c>
      <c r="AN99" s="1">
        <f>SUMIFS(super1[Qtde],super1[Item],tab_higiene[[#This Row],[Item]],super1[Bairro],mercado4)+SUMIFS(supercb[Qtde],supercb[Item],tab_higiene[[#This Row],[Item]],supercb[Bairro],mercado4)</f>
        <v>0</v>
      </c>
      <c r="AO99" s="1">
        <f>SUMIFS(super1[Qtde],super1[Item],tab_higiene[[#This Row],[Item]],super1[Bairro],mercado5)+SUMIFS(supercb[Qtde],supercb[Item],tab_higiene[[#This Row],[Item]],supercb[Bairro],mercado5)</f>
        <v>5</v>
      </c>
      <c r="AP99" s="1">
        <f>SUMIFS(super1[Qtde],super1[Item],tab_higiene[[#This Row],[Item]],super1[Bairro],mercado6)+SUMIFS(supercb[Qtde],supercb[Item],tab_higiene[[#This Row],[Item]],supercb[Bairro],mercado6)</f>
        <v>1</v>
      </c>
      <c r="AQ99" s="1">
        <f>SUMIFS(super1[Qtde],super1[Item],tab_higiene[[#This Row],[Item]],super1[Bairro],mercado7)+SUMIFS(supercb[Qtde],supercb[Item],tab_higiene[[#This Row],[Item]],supercb[Bairro],mercado7)</f>
        <v>0</v>
      </c>
      <c r="AR99" s="1">
        <f>SUMIFS(super1[Qtde],super1[Item],tab_higiene[[#This Row],[Item]],super1[Bairro],mercado8)+SUMIFS(supercb[Qtde],supercb[Item],tab_higiene[[#This Row],[Item]],supercb[Bairro],mercado8)</f>
        <v>0</v>
      </c>
      <c r="AS99" s="1">
        <f>SUMIFS(super1[Qtde],super1[Item],tab_higiene[[#This Row],[Item]],super1[Bairro],mercado9)+SUMIFS(supercb[Qtde],supercb[Item],tab_higiene[[#This Row],[Item]],supercb[Bairro],mercado9)</f>
        <v>0</v>
      </c>
      <c r="AT99" s="1">
        <f>SUMIFS(super1[Qtde],super1[Item],tab_higiene[[#This Row],[Item]],super1[Bairro],mercado10)+SUMIFS(supercb[Qtde],supercb[Item],tab_higiene[[#This Row],[Item]],supercb[Bairro],mercado10)</f>
        <v>0</v>
      </c>
      <c r="AU99" s="1">
        <f>SUMIFS(super1[Qtde],super1[Item],tab_higiene[[#This Row],[Item]],super1[Bairro],mercado11)+SUMIFS(supercb[Qtde],supercb[Item],tab_higiene[[#This Row],[Item]],supercb[Bairro],mercado11)</f>
        <v>0</v>
      </c>
      <c r="AV99" s="1">
        <f>SUMIFS(super1[Qtde],super1[Item],tab_higiene[[#This Row],[Item]],super1[Bairro],mercado12)+SUMIFS(supercb[Qtde],supercb[Item],tab_higiene[[#This Row],[Item]],supercb[Bairro],mercado12)</f>
        <v>0</v>
      </c>
      <c r="AW99" s="1">
        <f>SUMIFS(super1[Qtde],super1[Item],tab_higiene[[#This Row],[Item]],super1[Bairro],mercado13)+SUMIFS(supercb[Qtde],supercb[Item],tab_higiene[[#This Row],[Item]],supercb[Bairro],mercado13)</f>
        <v>0</v>
      </c>
      <c r="AX99" s="1">
        <f>SUMIFS(super1[Qtde],super1[Item],tab_higiene[[#This Row],[Item]],super1[Bairro],mercado14)+SUMIFS(supercb[Qtde],supercb[Item],tab_higiene[[#This Row],[Item]],supercb[Bairro],mercado14)</f>
        <v>0</v>
      </c>
      <c r="AY99" s="1">
        <f>SUMIFS(super1[Qtde],super1[Item],tab_higiene[[#This Row],[Item]],super1[Bairro],mercado15)+SUMIFS(supercb[Qtde],supercb[Item],tab_higiene[[#This Row],[Item]],supercb[Bairro],mercado15)</f>
        <v>0</v>
      </c>
      <c r="AZ99" s="1">
        <f>SUMIFS(super1[Qtde],super1[Item],tab_higiene[[#This Row],[Item]],super1[Bairro],mercado16)+SUMIFS(supercb[Qtde],supercb[Item],tab_higiene[[#This Row],[Item]],supercb[Bairro],mercado16)</f>
        <v>0</v>
      </c>
      <c r="BA99" s="1">
        <f>SUMIFS(super1[Qtde],super1[Item],tab_higiene[[#This Row],[Item]],super1[Bairro],mercado17)+SUMIFS(supercb[Qtde],supercb[Item],tab_higiene[[#This Row],[Item]],supercb[Bairro],mercado17)</f>
        <v>0</v>
      </c>
      <c r="BB99" s="1">
        <f>SUMIFS(super1[Qtde],super1[Item],tab_higiene[[#This Row],[Item]],super1[Bairro],mercado18)+SUMIFS(supercb[Qtde],supercb[Item],tab_higiene[[#This Row],[Item]],supercb[Bairro],mercado18)</f>
        <v>0</v>
      </c>
      <c r="BC99" s="1">
        <f>SUMIFS(super1[Qtde],super1[Item],tab_higiene[[#This Row],[Item]],super1[Bairro],extras)+SUMIFS(supercb[Qtde],supercb[Item],tab_higiene[[#This Row],[Item]],supercb[Bairro],extras)</f>
        <v>0</v>
      </c>
      <c r="BD99" s="1">
        <f t="shared" si="30"/>
        <v>6</v>
      </c>
      <c r="BE99" s="1">
        <f t="shared" si="31"/>
        <v>118.76400000000001</v>
      </c>
      <c r="BF99" s="26">
        <f t="shared" si="32"/>
        <v>35.854231995592642</v>
      </c>
      <c r="BI99" s="33" t="str">
        <f>tab_alimentos[[#This Row],[Item]]</f>
        <v>Doces (bala - 200g)</v>
      </c>
      <c r="BJ99" s="33">
        <f t="shared" si="25"/>
        <v>6</v>
      </c>
      <c r="BK99" s="33" t="str">
        <f t="shared" si="26"/>
        <v>Doces</v>
      </c>
      <c r="BL99" s="33">
        <f>tab_alimentos[[#This Row],[kg]]</f>
        <v>0</v>
      </c>
      <c r="BN99" s="35">
        <f t="shared" si="36"/>
        <v>0</v>
      </c>
      <c r="BP99" s="33" t="str">
        <f>tab_higiene[[#This Row],[Item]]</f>
        <v>Fraldas Infantis (22un)</v>
      </c>
      <c r="BQ99" s="33">
        <f t="shared" si="33"/>
        <v>17</v>
      </c>
      <c r="BR99" s="33" t="str">
        <f t="shared" si="34"/>
        <v>Fraldas Infantis</v>
      </c>
      <c r="BS99" s="33">
        <f>higiene[[#This Row],[Quantidade]]</f>
        <v>8</v>
      </c>
      <c r="BT99" s="33">
        <f>tab_higiene[Qtde (tot)]</f>
        <v>6</v>
      </c>
      <c r="BU99" s="33">
        <f t="shared" si="37"/>
        <v>48</v>
      </c>
      <c r="BW99" s="33">
        <f t="shared" si="35"/>
        <v>0</v>
      </c>
    </row>
    <row r="100" spans="9:75" x14ac:dyDescent="0.25">
      <c r="I100" s="25" t="str">
        <f>alimentos[[#This Row],[Item]]</f>
        <v>Doces (bala - 300g)</v>
      </c>
      <c r="J100" s="1">
        <f>IFERROR(alimentos[[#This Row],[kg/embalagem]],0)</f>
        <v>0.3</v>
      </c>
      <c r="K100" s="1">
        <f>IFERROR(alimentos[[#This Row],[Preço]],0)</f>
        <v>5.19</v>
      </c>
      <c r="L100" s="1">
        <f>SUMIFS(super1[Qtde],super1[Item],tab_alimentos[[#This Row],[Item]],super1[Bairro],mercado1)+SUMIFS(supercb[Qtde],supercb[Item],tab_alimentos[[#This Row],[Item]],supercb[Bairro],mercado1)</f>
        <v>0</v>
      </c>
      <c r="M100" s="1">
        <f>SUMIFS(super1[Qtde],super1[Item],tab_alimentos[[#This Row],[Item]],super1[Bairro],mercado2)+SUMIFS(supercb[Qtde],supercb[Item],tab_alimentos[[#This Row],[Item]],supercb[Bairro],mercado2)</f>
        <v>0</v>
      </c>
      <c r="N100" s="1">
        <f>SUMIFS(super1[Qtde],super1[Item],tab_alimentos[[#This Row],[Item]],super1[Bairro],mercado3)+SUMIFS(supercb[Qtde],supercb[Item],tab_alimentos[[#This Row],[Item]],supercb[Bairro],mercado3)</f>
        <v>0</v>
      </c>
      <c r="O100" s="1">
        <f>SUMIFS(super1[Qtde],super1[Item],tab_alimentos[[#This Row],[Item]],super1[Bairro],mercado4)+SUMIFS(supercb[Qtde],supercb[Item],tab_alimentos[[#This Row],[Item]],supercb[Bairro],mercado4)</f>
        <v>0</v>
      </c>
      <c r="P100" s="1">
        <f>SUMIFS(super1[Qtde],super1[Item],tab_alimentos[[#This Row],[Item]],super1[Bairro],mercado5)+SUMIFS(supercb[Qtde],supercb[Item],tab_alimentos[[#This Row],[Item]],supercb[Bairro],mercado5)</f>
        <v>0</v>
      </c>
      <c r="Q100" s="1">
        <f>SUMIFS(super1[Qtde],super1[Item],tab_alimentos[[#This Row],[Item]],super1[Bairro],mercado6)+SUMIFS(supercb[Qtde],supercb[Item],tab_alimentos[[#This Row],[Item]],supercb[Bairro],mercado6)</f>
        <v>0</v>
      </c>
      <c r="R100" s="1">
        <f>SUMIFS(super1[Qtde],super1[Item],tab_alimentos[[#This Row],[Item]],super1[Bairro],mercado7)+SUMIFS(supercb[Qtde],supercb[Item],tab_alimentos[[#This Row],[Item]],supercb[Bairro],mercado7)</f>
        <v>0</v>
      </c>
      <c r="S100" s="1">
        <f>SUMIFS(super1[Qtde],super1[Item],tab_alimentos[[#This Row],[Item]],super1[Bairro],mercado8)+SUMIFS(supercb[Qtde],supercb[Item],tab_alimentos[[#This Row],[Item]],supercb[Bairro],mercado8)</f>
        <v>0</v>
      </c>
      <c r="T100" s="1">
        <f>SUMIFS(super1[Qtde],super1[Item],tab_alimentos[[#This Row],[Item]],super1[Bairro],mercado9)+SUMIFS(supercb[Qtde],supercb[Item],tab_alimentos[[#This Row],[Item]],supercb[Bairro],mercado9)</f>
        <v>0</v>
      </c>
      <c r="U100" s="1">
        <f>SUMIFS(super1[Qtde],super1[Item],tab_alimentos[[#This Row],[Item]],super1[Bairro],mercado10)+SUMIFS(supercb[Qtde],supercb[Item],tab_alimentos[[#This Row],[Item]],supercb[Bairro],mercado10)</f>
        <v>0</v>
      </c>
      <c r="V100" s="1">
        <f>SUMIFS(super1[Qtde],super1[Item],tab_alimentos[[#This Row],[Item]],super1[Bairro],mercado11)+SUMIFS(supercb[Qtde],supercb[Item],tab_alimentos[[#This Row],[Item]],supercb[Bairro],mercado11)</f>
        <v>0</v>
      </c>
      <c r="W100" s="1">
        <f>SUMIFS(super1[Qtde],super1[Item],tab_alimentos[[#This Row],[Item]],super1[Bairro],mercado12)+SUMIFS(supercb[Qtde],supercb[Item],tab_alimentos[[#This Row],[Item]],supercb[Bairro],mercado12)</f>
        <v>0</v>
      </c>
      <c r="X100" s="1">
        <f>SUMIFS(super1[Qtde],super1[Item],tab_alimentos[[#This Row],[Item]],super1[Bairro],mercado13)+SUMIFS(supercb[Qtde],supercb[Item],tab_alimentos[[#This Row],[Item]],supercb[Bairro],mercado13)</f>
        <v>0</v>
      </c>
      <c r="Y100" s="1">
        <f>SUMIFS(super1[Qtde],super1[Item],tab_alimentos[[#This Row],[Item]],super1[Bairro],mercado14)+SUMIFS(supercb[Qtde],supercb[Item],tab_alimentos[[#This Row],[Item]],supercb[Bairro],mercado14)</f>
        <v>0</v>
      </c>
      <c r="Z100" s="1">
        <f>SUMIFS(super1[Qtde],super1[Item],tab_alimentos[[#This Row],[Item]],super1[Bairro],mercado15)+SUMIFS(supercb[Qtde],supercb[Item],tab_alimentos[[#This Row],[Item]],supercb[Bairro],mercado15)</f>
        <v>0</v>
      </c>
      <c r="AA100" s="1">
        <f>SUMIFS(super1[Qtde],super1[Item],tab_alimentos[[#This Row],[Item]],super1[Bairro],mercado16)+SUMIFS(supercb[Qtde],supercb[Item],tab_alimentos[[#This Row],[Item]],supercb[Bairro],mercado16)</f>
        <v>0</v>
      </c>
      <c r="AB100" s="1">
        <f>SUMIFS(super1[Qtde],super1[Item],tab_alimentos[[#This Row],[Item]],super1[Bairro],mercado17)+SUMIFS(supercb[Qtde],supercb[Item],tab_alimentos[[#This Row],[Item]],supercb[Bairro],mercado17)</f>
        <v>0</v>
      </c>
      <c r="AC100" s="1">
        <f>SUMIFS(super1[Qtde],super1[Item],tab_alimentos[[#This Row],[Item]],super1[Bairro],mercado18)+SUMIFS(supercb[Qtde],supercb[Item],tab_alimentos[[#This Row],[Item]],supercb[Bairro],mercado18)</f>
        <v>0</v>
      </c>
      <c r="AD100" s="1">
        <f>SUMIFS(super1[Qtde],super1[Item],tab_alimentos[[#This Row],[Item]],super1[Bairro],extras)+SUMIFS(supercb[Qtde],supercb[Item],tab_alimentos[[#This Row],[Item]],supercb[Bairro],extras)</f>
        <v>0</v>
      </c>
      <c r="AE100" s="1">
        <f t="shared" si="27"/>
        <v>0</v>
      </c>
      <c r="AF100" s="1">
        <f t="shared" si="28"/>
        <v>0</v>
      </c>
      <c r="AG100" s="3">
        <f t="shared" si="29"/>
        <v>0</v>
      </c>
      <c r="AH100" s="25" t="str">
        <f>higiene[[#This Row],[Item]]</f>
        <v>Fraldas Infantis (24un)</v>
      </c>
      <c r="AI100" s="1">
        <f>IFERROR(higiene[[#This Row],[Kg equivalente]],0)</f>
        <v>5.975252490424432</v>
      </c>
      <c r="AJ100" s="1">
        <f>IFERROR(higiene[[#This Row],[Preço por produto]],0)</f>
        <v>19.792499999999997</v>
      </c>
      <c r="AK100" s="1">
        <f>SUMIFS(super1[Qtde],super1[Item],tab_higiene[[#This Row],[Item]],super1[Bairro],mercado1)+SUMIFS(supercb[Qtde],supercb[Item],tab_higiene[[#This Row],[Item]],supercb[Bairro],mercado1)</f>
        <v>0</v>
      </c>
      <c r="AL100" s="1">
        <f>SUMIFS(super1[Qtde],super1[Item],tab_higiene[[#This Row],[Item]],super1[Bairro],mercado2)+SUMIFS(supercb[Qtde],supercb[Item],tab_higiene[[#This Row],[Item]],supercb[Bairro],mercado2)</f>
        <v>0</v>
      </c>
      <c r="AM100" s="1">
        <f>SUMIFS(super1[Qtde],super1[Item],tab_higiene[[#This Row],[Item]],super1[Bairro],mercado3)+SUMIFS(supercb[Qtde],supercb[Item],tab_higiene[[#This Row],[Item]],supercb[Bairro],mercado3)</f>
        <v>0</v>
      </c>
      <c r="AN100" s="1">
        <f>SUMIFS(super1[Qtde],super1[Item],tab_higiene[[#This Row],[Item]],super1[Bairro],mercado4)+SUMIFS(supercb[Qtde],supercb[Item],tab_higiene[[#This Row],[Item]],supercb[Bairro],mercado4)</f>
        <v>0</v>
      </c>
      <c r="AO100" s="1">
        <f>SUMIFS(super1[Qtde],super1[Item],tab_higiene[[#This Row],[Item]],super1[Bairro],mercado5)+SUMIFS(supercb[Qtde],supercb[Item],tab_higiene[[#This Row],[Item]],supercb[Bairro],mercado5)</f>
        <v>0</v>
      </c>
      <c r="AP100" s="1">
        <f>SUMIFS(super1[Qtde],super1[Item],tab_higiene[[#This Row],[Item]],super1[Bairro],mercado6)+SUMIFS(supercb[Qtde],supercb[Item],tab_higiene[[#This Row],[Item]],supercb[Bairro],mercado6)</f>
        <v>0</v>
      </c>
      <c r="AQ100" s="1">
        <f>SUMIFS(super1[Qtde],super1[Item],tab_higiene[[#This Row],[Item]],super1[Bairro],mercado7)+SUMIFS(supercb[Qtde],supercb[Item],tab_higiene[[#This Row],[Item]],supercb[Bairro],mercado7)</f>
        <v>0</v>
      </c>
      <c r="AR100" s="1">
        <f>SUMIFS(super1[Qtde],super1[Item],tab_higiene[[#This Row],[Item]],super1[Bairro],mercado8)+SUMIFS(supercb[Qtde],supercb[Item],tab_higiene[[#This Row],[Item]],supercb[Bairro],mercado8)</f>
        <v>0</v>
      </c>
      <c r="AS100" s="1">
        <f>SUMIFS(super1[Qtde],super1[Item],tab_higiene[[#This Row],[Item]],super1[Bairro],mercado9)+SUMIFS(supercb[Qtde],supercb[Item],tab_higiene[[#This Row],[Item]],supercb[Bairro],mercado9)</f>
        <v>0</v>
      </c>
      <c r="AT100" s="1">
        <f>SUMIFS(super1[Qtde],super1[Item],tab_higiene[[#This Row],[Item]],super1[Bairro],mercado10)+SUMIFS(supercb[Qtde],supercb[Item],tab_higiene[[#This Row],[Item]],supercb[Bairro],mercado10)</f>
        <v>0</v>
      </c>
      <c r="AU100" s="1">
        <f>SUMIFS(super1[Qtde],super1[Item],tab_higiene[[#This Row],[Item]],super1[Bairro],mercado11)+SUMIFS(supercb[Qtde],supercb[Item],tab_higiene[[#This Row],[Item]],supercb[Bairro],mercado11)</f>
        <v>0</v>
      </c>
      <c r="AV100" s="1">
        <f>SUMIFS(super1[Qtde],super1[Item],tab_higiene[[#This Row],[Item]],super1[Bairro],mercado12)+SUMIFS(supercb[Qtde],supercb[Item],tab_higiene[[#This Row],[Item]],supercb[Bairro],mercado12)</f>
        <v>0</v>
      </c>
      <c r="AW100" s="1">
        <f>SUMIFS(super1[Qtde],super1[Item],tab_higiene[[#This Row],[Item]],super1[Bairro],mercado13)+SUMIFS(supercb[Qtde],supercb[Item],tab_higiene[[#This Row],[Item]],supercb[Bairro],mercado13)</f>
        <v>1</v>
      </c>
      <c r="AX100" s="1">
        <f>SUMIFS(super1[Qtde],super1[Item],tab_higiene[[#This Row],[Item]],super1[Bairro],mercado14)+SUMIFS(supercb[Qtde],supercb[Item],tab_higiene[[#This Row],[Item]],supercb[Bairro],mercado14)</f>
        <v>0</v>
      </c>
      <c r="AY100" s="1">
        <f>SUMIFS(super1[Qtde],super1[Item],tab_higiene[[#This Row],[Item]],super1[Bairro],mercado15)+SUMIFS(supercb[Qtde],supercb[Item],tab_higiene[[#This Row],[Item]],supercb[Bairro],mercado15)</f>
        <v>0</v>
      </c>
      <c r="AZ100" s="1">
        <f>SUMIFS(super1[Qtde],super1[Item],tab_higiene[[#This Row],[Item]],super1[Bairro],mercado16)+SUMIFS(supercb[Qtde],supercb[Item],tab_higiene[[#This Row],[Item]],supercb[Bairro],mercado16)</f>
        <v>0</v>
      </c>
      <c r="BA100" s="1">
        <f>SUMIFS(super1[Qtde],super1[Item],tab_higiene[[#This Row],[Item]],super1[Bairro],mercado17)+SUMIFS(supercb[Qtde],supercb[Item],tab_higiene[[#This Row],[Item]],supercb[Bairro],mercado17)</f>
        <v>0</v>
      </c>
      <c r="BB100" s="1">
        <f>SUMIFS(super1[Qtde],super1[Item],tab_higiene[[#This Row],[Item]],super1[Bairro],mercado18)+SUMIFS(supercb[Qtde],supercb[Item],tab_higiene[[#This Row],[Item]],supercb[Bairro],mercado18)</f>
        <v>0</v>
      </c>
      <c r="BC100" s="1">
        <f>SUMIFS(super1[Qtde],super1[Item],tab_higiene[[#This Row],[Item]],super1[Bairro],extras)+SUMIFS(supercb[Qtde],supercb[Item],tab_higiene[[#This Row],[Item]],supercb[Bairro],extras)</f>
        <v>0</v>
      </c>
      <c r="BD100" s="1">
        <f t="shared" si="30"/>
        <v>1</v>
      </c>
      <c r="BE100" s="1">
        <f t="shared" si="31"/>
        <v>19.792499999999997</v>
      </c>
      <c r="BF100" s="26">
        <f t="shared" si="32"/>
        <v>5.975252490424432</v>
      </c>
      <c r="BI100" s="33" t="str">
        <f>tab_alimentos[[#This Row],[Item]]</f>
        <v>Doces (bala - 300g)</v>
      </c>
      <c r="BJ100" s="33">
        <f t="shared" si="25"/>
        <v>6</v>
      </c>
      <c r="BK100" s="33" t="str">
        <f t="shared" si="26"/>
        <v>Doces</v>
      </c>
      <c r="BL100" s="33">
        <f>tab_alimentos[[#This Row],[kg]]</f>
        <v>0</v>
      </c>
      <c r="BN100" s="35">
        <f t="shared" si="36"/>
        <v>0</v>
      </c>
      <c r="BP100" s="33" t="str">
        <f>tab_higiene[[#This Row],[Item]]</f>
        <v>Fraldas Infantis (24un)</v>
      </c>
      <c r="BQ100" s="33">
        <f t="shared" si="33"/>
        <v>17</v>
      </c>
      <c r="BR100" s="33" t="str">
        <f t="shared" si="34"/>
        <v>Fraldas Infantis</v>
      </c>
      <c r="BS100" s="33">
        <f>higiene[[#This Row],[Quantidade]]</f>
        <v>2</v>
      </c>
      <c r="BT100" s="33">
        <f>tab_higiene[Qtde (tot)]</f>
        <v>1</v>
      </c>
      <c r="BU100" s="33">
        <f t="shared" si="37"/>
        <v>2</v>
      </c>
      <c r="BW100" s="33">
        <f t="shared" si="35"/>
        <v>0</v>
      </c>
    </row>
    <row r="101" spans="9:75" x14ac:dyDescent="0.25">
      <c r="I101" s="25" t="str">
        <f>alimentos[[#This Row],[Item]]</f>
        <v>Doces (bala - 600g)</v>
      </c>
      <c r="J101" s="1">
        <f>IFERROR(alimentos[[#This Row],[kg/embalagem]],0)</f>
        <v>0.6</v>
      </c>
      <c r="K101" s="1">
        <f>IFERROR(alimentos[[#This Row],[Preço]],0)</f>
        <v>9.692499999999999</v>
      </c>
      <c r="L101" s="1">
        <f>SUMIFS(super1[Qtde],super1[Item],tab_alimentos[[#This Row],[Item]],super1[Bairro],mercado1)+SUMIFS(supercb[Qtde],supercb[Item],tab_alimentos[[#This Row],[Item]],supercb[Bairro],mercado1)</f>
        <v>0</v>
      </c>
      <c r="M101" s="1">
        <f>SUMIFS(super1[Qtde],super1[Item],tab_alimentos[[#This Row],[Item]],super1[Bairro],mercado2)+SUMIFS(supercb[Qtde],supercb[Item],tab_alimentos[[#This Row],[Item]],supercb[Bairro],mercado2)</f>
        <v>0</v>
      </c>
      <c r="N101" s="1">
        <f>SUMIFS(super1[Qtde],super1[Item],tab_alimentos[[#This Row],[Item]],super1[Bairro],mercado3)+SUMIFS(supercb[Qtde],supercb[Item],tab_alimentos[[#This Row],[Item]],supercb[Bairro],mercado3)</f>
        <v>0</v>
      </c>
      <c r="O101" s="1">
        <f>SUMIFS(super1[Qtde],super1[Item],tab_alimentos[[#This Row],[Item]],super1[Bairro],mercado4)+SUMIFS(supercb[Qtde],supercb[Item],tab_alimentos[[#This Row],[Item]],supercb[Bairro],mercado4)</f>
        <v>0</v>
      </c>
      <c r="P101" s="1">
        <f>SUMIFS(super1[Qtde],super1[Item],tab_alimentos[[#This Row],[Item]],super1[Bairro],mercado5)+SUMIFS(supercb[Qtde],supercb[Item],tab_alimentos[[#This Row],[Item]],supercb[Bairro],mercado5)</f>
        <v>0</v>
      </c>
      <c r="Q101" s="1">
        <f>SUMIFS(super1[Qtde],super1[Item],tab_alimentos[[#This Row],[Item]],super1[Bairro],mercado6)+SUMIFS(supercb[Qtde],supercb[Item],tab_alimentos[[#This Row],[Item]],supercb[Bairro],mercado6)</f>
        <v>0</v>
      </c>
      <c r="R101" s="1">
        <f>SUMIFS(super1[Qtde],super1[Item],tab_alimentos[[#This Row],[Item]],super1[Bairro],mercado7)+SUMIFS(supercb[Qtde],supercb[Item],tab_alimentos[[#This Row],[Item]],supercb[Bairro],mercado7)</f>
        <v>0</v>
      </c>
      <c r="S101" s="1">
        <f>SUMIFS(super1[Qtde],super1[Item],tab_alimentos[[#This Row],[Item]],super1[Bairro],mercado8)+SUMIFS(supercb[Qtde],supercb[Item],tab_alimentos[[#This Row],[Item]],supercb[Bairro],mercado8)</f>
        <v>0</v>
      </c>
      <c r="T101" s="1">
        <f>SUMIFS(super1[Qtde],super1[Item],tab_alimentos[[#This Row],[Item]],super1[Bairro],mercado9)+SUMIFS(supercb[Qtde],supercb[Item],tab_alimentos[[#This Row],[Item]],supercb[Bairro],mercado9)</f>
        <v>0</v>
      </c>
      <c r="U101" s="1">
        <f>SUMIFS(super1[Qtde],super1[Item],tab_alimentos[[#This Row],[Item]],super1[Bairro],mercado10)+SUMIFS(supercb[Qtde],supercb[Item],tab_alimentos[[#This Row],[Item]],supercb[Bairro],mercado10)</f>
        <v>0</v>
      </c>
      <c r="V101" s="1">
        <f>SUMIFS(super1[Qtde],super1[Item],tab_alimentos[[#This Row],[Item]],super1[Bairro],mercado11)+SUMIFS(supercb[Qtde],supercb[Item],tab_alimentos[[#This Row],[Item]],supercb[Bairro],mercado11)</f>
        <v>0</v>
      </c>
      <c r="W101" s="1">
        <f>SUMIFS(super1[Qtde],super1[Item],tab_alimentos[[#This Row],[Item]],super1[Bairro],mercado12)+SUMIFS(supercb[Qtde],supercb[Item],tab_alimentos[[#This Row],[Item]],supercb[Bairro],mercado12)</f>
        <v>0</v>
      </c>
      <c r="X101" s="1">
        <f>SUMIFS(super1[Qtde],super1[Item],tab_alimentos[[#This Row],[Item]],super1[Bairro],mercado13)+SUMIFS(supercb[Qtde],supercb[Item],tab_alimentos[[#This Row],[Item]],supercb[Bairro],mercado13)</f>
        <v>0</v>
      </c>
      <c r="Y101" s="1">
        <f>SUMIFS(super1[Qtde],super1[Item],tab_alimentos[[#This Row],[Item]],super1[Bairro],mercado14)+SUMIFS(supercb[Qtde],supercb[Item],tab_alimentos[[#This Row],[Item]],supercb[Bairro],mercado14)</f>
        <v>0</v>
      </c>
      <c r="Z101" s="1">
        <f>SUMIFS(super1[Qtde],super1[Item],tab_alimentos[[#This Row],[Item]],super1[Bairro],mercado15)+SUMIFS(supercb[Qtde],supercb[Item],tab_alimentos[[#This Row],[Item]],supercb[Bairro],mercado15)</f>
        <v>0</v>
      </c>
      <c r="AA101" s="1">
        <f>SUMIFS(super1[Qtde],super1[Item],tab_alimentos[[#This Row],[Item]],super1[Bairro],mercado16)+SUMIFS(supercb[Qtde],supercb[Item],tab_alimentos[[#This Row],[Item]],supercb[Bairro],mercado16)</f>
        <v>0</v>
      </c>
      <c r="AB101" s="1">
        <f>SUMIFS(super1[Qtde],super1[Item],tab_alimentos[[#This Row],[Item]],super1[Bairro],mercado17)+SUMIFS(supercb[Qtde],supercb[Item],tab_alimentos[[#This Row],[Item]],supercb[Bairro],mercado17)</f>
        <v>0</v>
      </c>
      <c r="AC101" s="1">
        <f>SUMIFS(super1[Qtde],super1[Item],tab_alimentos[[#This Row],[Item]],super1[Bairro],mercado18)+SUMIFS(supercb[Qtde],supercb[Item],tab_alimentos[[#This Row],[Item]],supercb[Bairro],mercado18)</f>
        <v>0</v>
      </c>
      <c r="AD101" s="1">
        <f>SUMIFS(super1[Qtde],super1[Item],tab_alimentos[[#This Row],[Item]],super1[Bairro],extras)+SUMIFS(supercb[Qtde],supercb[Item],tab_alimentos[[#This Row],[Item]],supercb[Bairro],extras)</f>
        <v>0</v>
      </c>
      <c r="AE101" s="1">
        <f t="shared" ref="AE101:AE132" si="38">SUM(L101:AC101)</f>
        <v>0</v>
      </c>
      <c r="AF101" s="1">
        <f t="shared" ref="AF101:AF132" si="39">IFERROR(AE101*K101,0)</f>
        <v>0</v>
      </c>
      <c r="AG101" s="3">
        <f t="shared" ref="AG101:AG132" si="40">IFERROR(J101*AE101,0)</f>
        <v>0</v>
      </c>
      <c r="AH101" s="25" t="str">
        <f>higiene[[#This Row],[Item]]</f>
        <v>Fraldas Infantis (26un)</v>
      </c>
      <c r="AI101" s="1">
        <f>IFERROR(higiene[[#This Row],[Kg equivalente]],0)</f>
        <v>8.677965534280677</v>
      </c>
      <c r="AJ101" s="1">
        <f>IFERROR(higiene[[#This Row],[Preço por produto]],0)</f>
        <v>28.744999999999997</v>
      </c>
      <c r="AK101" s="1">
        <f>SUMIFS(super1[Qtde],super1[Item],tab_higiene[[#This Row],[Item]],super1[Bairro],mercado1)+SUMIFS(supercb[Qtde],supercb[Item],tab_higiene[[#This Row],[Item]],supercb[Bairro],mercado1)</f>
        <v>0</v>
      </c>
      <c r="AL101" s="1">
        <f>SUMIFS(super1[Qtde],super1[Item],tab_higiene[[#This Row],[Item]],super1[Bairro],mercado2)+SUMIFS(supercb[Qtde],supercb[Item],tab_higiene[[#This Row],[Item]],supercb[Bairro],mercado2)</f>
        <v>0</v>
      </c>
      <c r="AM101" s="1">
        <f>SUMIFS(super1[Qtde],super1[Item],tab_higiene[[#This Row],[Item]],super1[Bairro],mercado3)+SUMIFS(supercb[Qtde],supercb[Item],tab_higiene[[#This Row],[Item]],supercb[Bairro],mercado3)</f>
        <v>0</v>
      </c>
      <c r="AN101" s="1">
        <f>SUMIFS(super1[Qtde],super1[Item],tab_higiene[[#This Row],[Item]],super1[Bairro],mercado4)+SUMIFS(supercb[Qtde],supercb[Item],tab_higiene[[#This Row],[Item]],supercb[Bairro],mercado4)</f>
        <v>0</v>
      </c>
      <c r="AO101" s="1">
        <f>SUMIFS(super1[Qtde],super1[Item],tab_higiene[[#This Row],[Item]],super1[Bairro],mercado5)+SUMIFS(supercb[Qtde],supercb[Item],tab_higiene[[#This Row],[Item]],supercb[Bairro],mercado5)</f>
        <v>0</v>
      </c>
      <c r="AP101" s="1">
        <f>SUMIFS(super1[Qtde],super1[Item],tab_higiene[[#This Row],[Item]],super1[Bairro],mercado6)+SUMIFS(supercb[Qtde],supercb[Item],tab_higiene[[#This Row],[Item]],supercb[Bairro],mercado6)</f>
        <v>0</v>
      </c>
      <c r="AQ101" s="1">
        <f>SUMIFS(super1[Qtde],super1[Item],tab_higiene[[#This Row],[Item]],super1[Bairro],mercado7)+SUMIFS(supercb[Qtde],supercb[Item],tab_higiene[[#This Row],[Item]],supercb[Bairro],mercado7)</f>
        <v>0</v>
      </c>
      <c r="AR101" s="1">
        <f>SUMIFS(super1[Qtde],super1[Item],tab_higiene[[#This Row],[Item]],super1[Bairro],mercado8)+SUMIFS(supercb[Qtde],supercb[Item],tab_higiene[[#This Row],[Item]],supercb[Bairro],mercado8)</f>
        <v>0</v>
      </c>
      <c r="AS101" s="1">
        <f>SUMIFS(super1[Qtde],super1[Item],tab_higiene[[#This Row],[Item]],super1[Bairro],mercado9)+SUMIFS(supercb[Qtde],supercb[Item],tab_higiene[[#This Row],[Item]],supercb[Bairro],mercado9)</f>
        <v>0</v>
      </c>
      <c r="AT101" s="1">
        <f>SUMIFS(super1[Qtde],super1[Item],tab_higiene[[#This Row],[Item]],super1[Bairro],mercado10)+SUMIFS(supercb[Qtde],supercb[Item],tab_higiene[[#This Row],[Item]],supercb[Bairro],mercado10)</f>
        <v>0</v>
      </c>
      <c r="AU101" s="1">
        <f>SUMIFS(super1[Qtde],super1[Item],tab_higiene[[#This Row],[Item]],super1[Bairro],mercado11)+SUMIFS(supercb[Qtde],supercb[Item],tab_higiene[[#This Row],[Item]],supercb[Bairro],mercado11)</f>
        <v>0</v>
      </c>
      <c r="AV101" s="1">
        <f>SUMIFS(super1[Qtde],super1[Item],tab_higiene[[#This Row],[Item]],super1[Bairro],mercado12)+SUMIFS(supercb[Qtde],supercb[Item],tab_higiene[[#This Row],[Item]],supercb[Bairro],mercado12)</f>
        <v>0</v>
      </c>
      <c r="AW101" s="1">
        <f>SUMIFS(super1[Qtde],super1[Item],tab_higiene[[#This Row],[Item]],super1[Bairro],mercado13)+SUMIFS(supercb[Qtde],supercb[Item],tab_higiene[[#This Row],[Item]],supercb[Bairro],mercado13)</f>
        <v>0</v>
      </c>
      <c r="AX101" s="1">
        <f>SUMIFS(super1[Qtde],super1[Item],tab_higiene[[#This Row],[Item]],super1[Bairro],mercado14)+SUMIFS(supercb[Qtde],supercb[Item],tab_higiene[[#This Row],[Item]],supercb[Bairro],mercado14)</f>
        <v>0</v>
      </c>
      <c r="AY101" s="1">
        <f>SUMIFS(super1[Qtde],super1[Item],tab_higiene[[#This Row],[Item]],super1[Bairro],mercado15)+SUMIFS(supercb[Qtde],supercb[Item],tab_higiene[[#This Row],[Item]],supercb[Bairro],mercado15)</f>
        <v>0</v>
      </c>
      <c r="AZ101" s="1">
        <f>SUMIFS(super1[Qtde],super1[Item],tab_higiene[[#This Row],[Item]],super1[Bairro],mercado16)+SUMIFS(supercb[Qtde],supercb[Item],tab_higiene[[#This Row],[Item]],supercb[Bairro],mercado16)</f>
        <v>0</v>
      </c>
      <c r="BA101" s="1">
        <f>SUMIFS(super1[Qtde],super1[Item],tab_higiene[[#This Row],[Item]],super1[Bairro],mercado17)+SUMIFS(supercb[Qtde],supercb[Item],tab_higiene[[#This Row],[Item]],supercb[Bairro],mercado17)</f>
        <v>0</v>
      </c>
      <c r="BB101" s="1">
        <f>SUMIFS(super1[Qtde],super1[Item],tab_higiene[[#This Row],[Item]],super1[Bairro],mercado18)+SUMIFS(supercb[Qtde],supercb[Item],tab_higiene[[#This Row],[Item]],supercb[Bairro],mercado18)</f>
        <v>0</v>
      </c>
      <c r="BC101" s="1">
        <f>SUMIFS(super1[Qtde],super1[Item],tab_higiene[[#This Row],[Item]],super1[Bairro],extras)+SUMIFS(supercb[Qtde],supercb[Item],tab_higiene[[#This Row],[Item]],supercb[Bairro],extras)</f>
        <v>0</v>
      </c>
      <c r="BD101" s="1">
        <f t="shared" ref="BD101:BD132" si="41">SUM(AK101:BB101)</f>
        <v>0</v>
      </c>
      <c r="BE101" s="1">
        <f t="shared" ref="BE101:BE132" si="42">IFERROR(BD101*AJ101,0)</f>
        <v>0</v>
      </c>
      <c r="BF101" s="26">
        <f t="shared" ref="BF101:BF132" si="43">IFERROR(AI101*BD101,0)</f>
        <v>0</v>
      </c>
      <c r="BI101" s="33" t="str">
        <f>tab_alimentos[[#This Row],[Item]]</f>
        <v>Doces (bala - 600g)</v>
      </c>
      <c r="BJ101" s="33">
        <f t="shared" si="25"/>
        <v>6</v>
      </c>
      <c r="BK101" s="33" t="str">
        <f t="shared" si="26"/>
        <v>Doces</v>
      </c>
      <c r="BL101" s="33">
        <f>tab_alimentos[[#This Row],[kg]]</f>
        <v>0</v>
      </c>
      <c r="BN101" s="35">
        <f t="shared" si="36"/>
        <v>0</v>
      </c>
      <c r="BP101" s="33" t="str">
        <f>tab_higiene[[#This Row],[Item]]</f>
        <v>Fraldas Infantis (26un)</v>
      </c>
      <c r="BQ101" s="33">
        <f t="shared" si="33"/>
        <v>17</v>
      </c>
      <c r="BR101" s="33" t="str">
        <f t="shared" si="34"/>
        <v>Fraldas Infantis</v>
      </c>
      <c r="BS101" s="33">
        <f>higiene[[#This Row],[Quantidade]]</f>
        <v>5</v>
      </c>
      <c r="BT101" s="33">
        <f>tab_higiene[Qtde (tot)]</f>
        <v>0</v>
      </c>
      <c r="BU101" s="33">
        <f t="shared" si="37"/>
        <v>0</v>
      </c>
      <c r="BW101" s="33">
        <f t="shared" ref="BW101:BW132" si="44">SUMIF($BR$5:$BR$142,BV101,$BU$5:$BU$142)</f>
        <v>0</v>
      </c>
    </row>
    <row r="102" spans="9:75" x14ac:dyDescent="0.25">
      <c r="I102" s="25" t="str">
        <f>alimentos[[#This Row],[Item]]</f>
        <v>Doces (bala - 70 g)</v>
      </c>
      <c r="J102" s="1">
        <f>IFERROR(alimentos[[#This Row],[kg/embalagem]],0)</f>
        <v>7.0000000000000007E-2</v>
      </c>
      <c r="K102" s="1">
        <f>IFERROR(alimentos[[#This Row],[Preço]],0)</f>
        <v>3.59</v>
      </c>
      <c r="L102" s="1">
        <f>SUMIFS(super1[Qtde],super1[Item],tab_alimentos[[#This Row],[Item]],super1[Bairro],mercado1)+SUMIFS(supercb[Qtde],supercb[Item],tab_alimentos[[#This Row],[Item]],supercb[Bairro],mercado1)</f>
        <v>0</v>
      </c>
      <c r="M102" s="1">
        <f>SUMIFS(super1[Qtde],super1[Item],tab_alimentos[[#This Row],[Item]],super1[Bairro],mercado2)+SUMIFS(supercb[Qtde],supercb[Item],tab_alimentos[[#This Row],[Item]],supercb[Bairro],mercado2)</f>
        <v>0</v>
      </c>
      <c r="N102" s="1">
        <f>SUMIFS(super1[Qtde],super1[Item],tab_alimentos[[#This Row],[Item]],super1[Bairro],mercado3)+SUMIFS(supercb[Qtde],supercb[Item],tab_alimentos[[#This Row],[Item]],supercb[Bairro],mercado3)</f>
        <v>0</v>
      </c>
      <c r="O102" s="1">
        <f>SUMIFS(super1[Qtde],super1[Item],tab_alimentos[[#This Row],[Item]],super1[Bairro],mercado4)+SUMIFS(supercb[Qtde],supercb[Item],tab_alimentos[[#This Row],[Item]],supercb[Bairro],mercado4)</f>
        <v>0</v>
      </c>
      <c r="P102" s="1">
        <f>SUMIFS(super1[Qtde],super1[Item],tab_alimentos[[#This Row],[Item]],super1[Bairro],mercado5)+SUMIFS(supercb[Qtde],supercb[Item],tab_alimentos[[#This Row],[Item]],supercb[Bairro],mercado5)</f>
        <v>0</v>
      </c>
      <c r="Q102" s="1">
        <f>SUMIFS(super1[Qtde],super1[Item],tab_alimentos[[#This Row],[Item]],super1[Bairro],mercado6)+SUMIFS(supercb[Qtde],supercb[Item],tab_alimentos[[#This Row],[Item]],supercb[Bairro],mercado6)</f>
        <v>0</v>
      </c>
      <c r="R102" s="1">
        <f>SUMIFS(super1[Qtde],super1[Item],tab_alimentos[[#This Row],[Item]],super1[Bairro],mercado7)+SUMIFS(supercb[Qtde],supercb[Item],tab_alimentos[[#This Row],[Item]],supercb[Bairro],mercado7)</f>
        <v>0</v>
      </c>
      <c r="S102" s="1">
        <f>SUMIFS(super1[Qtde],super1[Item],tab_alimentos[[#This Row],[Item]],super1[Bairro],mercado8)+SUMIFS(supercb[Qtde],supercb[Item],tab_alimentos[[#This Row],[Item]],supercb[Bairro],mercado8)</f>
        <v>0</v>
      </c>
      <c r="T102" s="1">
        <f>SUMIFS(super1[Qtde],super1[Item],tab_alimentos[[#This Row],[Item]],super1[Bairro],mercado9)+SUMIFS(supercb[Qtde],supercb[Item],tab_alimentos[[#This Row],[Item]],supercb[Bairro],mercado9)</f>
        <v>0</v>
      </c>
      <c r="U102" s="1">
        <f>SUMIFS(super1[Qtde],super1[Item],tab_alimentos[[#This Row],[Item]],super1[Bairro],mercado10)+SUMIFS(supercb[Qtde],supercb[Item],tab_alimentos[[#This Row],[Item]],supercb[Bairro],mercado10)</f>
        <v>0</v>
      </c>
      <c r="V102" s="1">
        <f>SUMIFS(super1[Qtde],super1[Item],tab_alimentos[[#This Row],[Item]],super1[Bairro],mercado11)+SUMIFS(supercb[Qtde],supercb[Item],tab_alimentos[[#This Row],[Item]],supercb[Bairro],mercado11)</f>
        <v>0</v>
      </c>
      <c r="W102" s="1">
        <f>SUMIFS(super1[Qtde],super1[Item],tab_alimentos[[#This Row],[Item]],super1[Bairro],mercado12)+SUMIFS(supercb[Qtde],supercb[Item],tab_alimentos[[#This Row],[Item]],supercb[Bairro],mercado12)</f>
        <v>0</v>
      </c>
      <c r="X102" s="1">
        <f>SUMIFS(super1[Qtde],super1[Item],tab_alimentos[[#This Row],[Item]],super1[Bairro],mercado13)+SUMIFS(supercb[Qtde],supercb[Item],tab_alimentos[[#This Row],[Item]],supercb[Bairro],mercado13)</f>
        <v>0</v>
      </c>
      <c r="Y102" s="1">
        <f>SUMIFS(super1[Qtde],super1[Item],tab_alimentos[[#This Row],[Item]],super1[Bairro],mercado14)+SUMIFS(supercb[Qtde],supercb[Item],tab_alimentos[[#This Row],[Item]],supercb[Bairro],mercado14)</f>
        <v>0</v>
      </c>
      <c r="Z102" s="1">
        <f>SUMIFS(super1[Qtde],super1[Item],tab_alimentos[[#This Row],[Item]],super1[Bairro],mercado15)+SUMIFS(supercb[Qtde],supercb[Item],tab_alimentos[[#This Row],[Item]],supercb[Bairro],mercado15)</f>
        <v>0</v>
      </c>
      <c r="AA102" s="1">
        <f>SUMIFS(super1[Qtde],super1[Item],tab_alimentos[[#This Row],[Item]],super1[Bairro],mercado16)+SUMIFS(supercb[Qtde],supercb[Item],tab_alimentos[[#This Row],[Item]],supercb[Bairro],mercado16)</f>
        <v>0</v>
      </c>
      <c r="AB102" s="1">
        <f>SUMIFS(super1[Qtde],super1[Item],tab_alimentos[[#This Row],[Item]],super1[Bairro],mercado17)+SUMIFS(supercb[Qtde],supercb[Item],tab_alimentos[[#This Row],[Item]],supercb[Bairro],mercado17)</f>
        <v>0</v>
      </c>
      <c r="AC102" s="1">
        <f>SUMIFS(super1[Qtde],super1[Item],tab_alimentos[[#This Row],[Item]],super1[Bairro],mercado18)+SUMIFS(supercb[Qtde],supercb[Item],tab_alimentos[[#This Row],[Item]],supercb[Bairro],mercado18)</f>
        <v>0</v>
      </c>
      <c r="AD102" s="1">
        <f>SUMIFS(super1[Qtde],super1[Item],tab_alimentos[[#This Row],[Item]],super1[Bairro],extras)+SUMIFS(supercb[Qtde],supercb[Item],tab_alimentos[[#This Row],[Item]],supercb[Bairro],extras)</f>
        <v>0</v>
      </c>
      <c r="AE102" s="1">
        <f t="shared" si="38"/>
        <v>0</v>
      </c>
      <c r="AF102" s="1">
        <f t="shared" si="39"/>
        <v>0</v>
      </c>
      <c r="AG102" s="3">
        <f t="shared" si="40"/>
        <v>0</v>
      </c>
      <c r="AH102" s="25" t="str">
        <f>higiene[[#This Row],[Item]]</f>
        <v>Fraldas Infantis (28un)</v>
      </c>
      <c r="AI102" s="1">
        <f>IFERROR(higiene[[#This Row],[Kg equivalente]],0)</f>
        <v>7.8432264595794754</v>
      </c>
      <c r="AJ102" s="1">
        <f>IFERROR(higiene[[#This Row],[Preço por produto]],0)</f>
        <v>25.98</v>
      </c>
      <c r="AK102" s="1">
        <f>SUMIFS(super1[Qtde],super1[Item],tab_higiene[[#This Row],[Item]],super1[Bairro],mercado1)+SUMIFS(supercb[Qtde],supercb[Item],tab_higiene[[#This Row],[Item]],supercb[Bairro],mercado1)</f>
        <v>0</v>
      </c>
      <c r="AL102" s="1">
        <f>SUMIFS(super1[Qtde],super1[Item],tab_higiene[[#This Row],[Item]],super1[Bairro],mercado2)+SUMIFS(supercb[Qtde],supercb[Item],tab_higiene[[#This Row],[Item]],supercb[Bairro],mercado2)</f>
        <v>0</v>
      </c>
      <c r="AM102" s="1">
        <f>SUMIFS(super1[Qtde],super1[Item],tab_higiene[[#This Row],[Item]],super1[Bairro],mercado3)+SUMIFS(supercb[Qtde],supercb[Item],tab_higiene[[#This Row],[Item]],supercb[Bairro],mercado3)</f>
        <v>0</v>
      </c>
      <c r="AN102" s="1">
        <f>SUMIFS(super1[Qtde],super1[Item],tab_higiene[[#This Row],[Item]],super1[Bairro],mercado4)+SUMIFS(supercb[Qtde],supercb[Item],tab_higiene[[#This Row],[Item]],supercb[Bairro],mercado4)</f>
        <v>0</v>
      </c>
      <c r="AO102" s="1">
        <f>SUMIFS(super1[Qtde],super1[Item],tab_higiene[[#This Row],[Item]],super1[Bairro],mercado5)+SUMIFS(supercb[Qtde],supercb[Item],tab_higiene[[#This Row],[Item]],supercb[Bairro],mercado5)</f>
        <v>0</v>
      </c>
      <c r="AP102" s="1">
        <f>SUMIFS(super1[Qtde],super1[Item],tab_higiene[[#This Row],[Item]],super1[Bairro],mercado6)+SUMIFS(supercb[Qtde],supercb[Item],tab_higiene[[#This Row],[Item]],supercb[Bairro],mercado6)</f>
        <v>0</v>
      </c>
      <c r="AQ102" s="1">
        <f>SUMIFS(super1[Qtde],super1[Item],tab_higiene[[#This Row],[Item]],super1[Bairro],mercado7)+SUMIFS(supercb[Qtde],supercb[Item],tab_higiene[[#This Row],[Item]],supercb[Bairro],mercado7)</f>
        <v>0</v>
      </c>
      <c r="AR102" s="1">
        <f>SUMIFS(super1[Qtde],super1[Item],tab_higiene[[#This Row],[Item]],super1[Bairro],mercado8)+SUMIFS(supercb[Qtde],supercb[Item],tab_higiene[[#This Row],[Item]],supercb[Bairro],mercado8)</f>
        <v>0</v>
      </c>
      <c r="AS102" s="1">
        <f>SUMIFS(super1[Qtde],super1[Item],tab_higiene[[#This Row],[Item]],super1[Bairro],mercado9)+SUMIFS(supercb[Qtde],supercb[Item],tab_higiene[[#This Row],[Item]],supercb[Bairro],mercado9)</f>
        <v>0</v>
      </c>
      <c r="AT102" s="1">
        <f>SUMIFS(super1[Qtde],super1[Item],tab_higiene[[#This Row],[Item]],super1[Bairro],mercado10)+SUMIFS(supercb[Qtde],supercb[Item],tab_higiene[[#This Row],[Item]],supercb[Bairro],mercado10)</f>
        <v>0</v>
      </c>
      <c r="AU102" s="1">
        <f>SUMIFS(super1[Qtde],super1[Item],tab_higiene[[#This Row],[Item]],super1[Bairro],mercado11)+SUMIFS(supercb[Qtde],supercb[Item],tab_higiene[[#This Row],[Item]],supercb[Bairro],mercado11)</f>
        <v>0</v>
      </c>
      <c r="AV102" s="1">
        <f>SUMIFS(super1[Qtde],super1[Item],tab_higiene[[#This Row],[Item]],super1[Bairro],mercado12)+SUMIFS(supercb[Qtde],supercb[Item],tab_higiene[[#This Row],[Item]],supercb[Bairro],mercado12)</f>
        <v>0</v>
      </c>
      <c r="AW102" s="1">
        <f>SUMIFS(super1[Qtde],super1[Item],tab_higiene[[#This Row],[Item]],super1[Bairro],mercado13)+SUMIFS(supercb[Qtde],supercb[Item],tab_higiene[[#This Row],[Item]],supercb[Bairro],mercado13)</f>
        <v>0</v>
      </c>
      <c r="AX102" s="1">
        <f>SUMIFS(super1[Qtde],super1[Item],tab_higiene[[#This Row],[Item]],super1[Bairro],mercado14)+SUMIFS(supercb[Qtde],supercb[Item],tab_higiene[[#This Row],[Item]],supercb[Bairro],mercado14)</f>
        <v>0</v>
      </c>
      <c r="AY102" s="1">
        <f>SUMIFS(super1[Qtde],super1[Item],tab_higiene[[#This Row],[Item]],super1[Bairro],mercado15)+SUMIFS(supercb[Qtde],supercb[Item],tab_higiene[[#This Row],[Item]],supercb[Bairro],mercado15)</f>
        <v>0</v>
      </c>
      <c r="AZ102" s="1">
        <f>SUMIFS(super1[Qtde],super1[Item],tab_higiene[[#This Row],[Item]],super1[Bairro],mercado16)+SUMIFS(supercb[Qtde],supercb[Item],tab_higiene[[#This Row],[Item]],supercb[Bairro],mercado16)</f>
        <v>0</v>
      </c>
      <c r="BA102" s="1">
        <f>SUMIFS(super1[Qtde],super1[Item],tab_higiene[[#This Row],[Item]],super1[Bairro],mercado17)+SUMIFS(supercb[Qtde],supercb[Item],tab_higiene[[#This Row],[Item]],supercb[Bairro],mercado17)</f>
        <v>0</v>
      </c>
      <c r="BB102" s="1">
        <f>SUMIFS(super1[Qtde],super1[Item],tab_higiene[[#This Row],[Item]],super1[Bairro],mercado18)+SUMIFS(supercb[Qtde],supercb[Item],tab_higiene[[#This Row],[Item]],supercb[Bairro],mercado18)</f>
        <v>0</v>
      </c>
      <c r="BC102" s="1">
        <f>SUMIFS(super1[Qtde],super1[Item],tab_higiene[[#This Row],[Item]],super1[Bairro],extras)+SUMIFS(supercb[Qtde],supercb[Item],tab_higiene[[#This Row],[Item]],supercb[Bairro],extras)</f>
        <v>0</v>
      </c>
      <c r="BD102" s="1">
        <f t="shared" si="41"/>
        <v>0</v>
      </c>
      <c r="BE102" s="1">
        <f t="shared" si="42"/>
        <v>0</v>
      </c>
      <c r="BF102" s="26">
        <f t="shared" si="43"/>
        <v>0</v>
      </c>
      <c r="BI102" s="33" t="str">
        <f>tab_alimentos[[#This Row],[Item]]</f>
        <v>Doces (bala - 70 g)</v>
      </c>
      <c r="BJ102" s="33">
        <f t="shared" si="25"/>
        <v>6</v>
      </c>
      <c r="BK102" s="33" t="str">
        <f t="shared" si="26"/>
        <v>Doces</v>
      </c>
      <c r="BL102" s="33">
        <f>tab_alimentos[[#This Row],[kg]]</f>
        <v>0</v>
      </c>
      <c r="BN102" s="35">
        <f t="shared" si="36"/>
        <v>0</v>
      </c>
      <c r="BP102" s="33" t="str">
        <f>tab_higiene[[#This Row],[Item]]</f>
        <v>Fraldas Infantis (28un)</v>
      </c>
      <c r="BQ102" s="33">
        <f t="shared" si="33"/>
        <v>17</v>
      </c>
      <c r="BR102" s="33" t="str">
        <f t="shared" si="34"/>
        <v>Fraldas Infantis</v>
      </c>
      <c r="BS102" s="33">
        <f>higiene[[#This Row],[Quantidade]]</f>
        <v>1</v>
      </c>
      <c r="BT102" s="33">
        <f>tab_higiene[Qtde (tot)]</f>
        <v>0</v>
      </c>
      <c r="BU102" s="33">
        <f t="shared" si="37"/>
        <v>0</v>
      </c>
      <c r="BW102" s="33">
        <f t="shared" si="44"/>
        <v>0</v>
      </c>
    </row>
    <row r="103" spans="9:75" x14ac:dyDescent="0.25">
      <c r="I103" s="25" t="str">
        <f>alimentos[[#This Row],[Item]]</f>
        <v>E</v>
      </c>
      <c r="J103" s="1">
        <f>IFERROR(alimentos[[#This Row],[kg/embalagem]],0)</f>
        <v>0</v>
      </c>
      <c r="K103" s="1">
        <f>IFERROR(alimentos[[#This Row],[Preço]],0)</f>
        <v>0</v>
      </c>
      <c r="L103" s="1">
        <f>SUMIFS(super1[Qtde],super1[Item],tab_alimentos[[#This Row],[Item]],super1[Bairro],mercado1)+SUMIFS(supercb[Qtde],supercb[Item],tab_alimentos[[#This Row],[Item]],supercb[Bairro],mercado1)</f>
        <v>0</v>
      </c>
      <c r="M103" s="1">
        <f>SUMIFS(super1[Qtde],super1[Item],tab_alimentos[[#This Row],[Item]],super1[Bairro],mercado2)+SUMIFS(supercb[Qtde],supercb[Item],tab_alimentos[[#This Row],[Item]],supercb[Bairro],mercado2)</f>
        <v>0</v>
      </c>
      <c r="N103" s="1">
        <f>SUMIFS(super1[Qtde],super1[Item],tab_alimentos[[#This Row],[Item]],super1[Bairro],mercado3)+SUMIFS(supercb[Qtde],supercb[Item],tab_alimentos[[#This Row],[Item]],supercb[Bairro],mercado3)</f>
        <v>0</v>
      </c>
      <c r="O103" s="1">
        <f>SUMIFS(super1[Qtde],super1[Item],tab_alimentos[[#This Row],[Item]],super1[Bairro],mercado4)+SUMIFS(supercb[Qtde],supercb[Item],tab_alimentos[[#This Row],[Item]],supercb[Bairro],mercado4)</f>
        <v>0</v>
      </c>
      <c r="P103" s="1">
        <f>SUMIFS(super1[Qtde],super1[Item],tab_alimentos[[#This Row],[Item]],super1[Bairro],mercado5)+SUMIFS(supercb[Qtde],supercb[Item],tab_alimentos[[#This Row],[Item]],supercb[Bairro],mercado5)</f>
        <v>0</v>
      </c>
      <c r="Q103" s="1">
        <f>SUMIFS(super1[Qtde],super1[Item],tab_alimentos[[#This Row],[Item]],super1[Bairro],mercado6)+SUMIFS(supercb[Qtde],supercb[Item],tab_alimentos[[#This Row],[Item]],supercb[Bairro],mercado6)</f>
        <v>0</v>
      </c>
      <c r="R103" s="1">
        <f>SUMIFS(super1[Qtde],super1[Item],tab_alimentos[[#This Row],[Item]],super1[Bairro],mercado7)+SUMIFS(supercb[Qtde],supercb[Item],tab_alimentos[[#This Row],[Item]],supercb[Bairro],mercado7)</f>
        <v>0</v>
      </c>
      <c r="S103" s="1">
        <f>SUMIFS(super1[Qtde],super1[Item],tab_alimentos[[#This Row],[Item]],super1[Bairro],mercado8)+SUMIFS(supercb[Qtde],supercb[Item],tab_alimentos[[#This Row],[Item]],supercb[Bairro],mercado8)</f>
        <v>0</v>
      </c>
      <c r="T103" s="1">
        <f>SUMIFS(super1[Qtde],super1[Item],tab_alimentos[[#This Row],[Item]],super1[Bairro],mercado9)+SUMIFS(supercb[Qtde],supercb[Item],tab_alimentos[[#This Row],[Item]],supercb[Bairro],mercado9)</f>
        <v>0</v>
      </c>
      <c r="U103" s="1">
        <f>SUMIFS(super1[Qtde],super1[Item],tab_alimentos[[#This Row],[Item]],super1[Bairro],mercado10)+SUMIFS(supercb[Qtde],supercb[Item],tab_alimentos[[#This Row],[Item]],supercb[Bairro],mercado10)</f>
        <v>0</v>
      </c>
      <c r="V103" s="1">
        <f>SUMIFS(super1[Qtde],super1[Item],tab_alimentos[[#This Row],[Item]],super1[Bairro],mercado11)+SUMIFS(supercb[Qtde],supercb[Item],tab_alimentos[[#This Row],[Item]],supercb[Bairro],mercado11)</f>
        <v>0</v>
      </c>
      <c r="W103" s="1">
        <f>SUMIFS(super1[Qtde],super1[Item],tab_alimentos[[#This Row],[Item]],super1[Bairro],mercado12)+SUMIFS(supercb[Qtde],supercb[Item],tab_alimentos[[#This Row],[Item]],supercb[Bairro],mercado12)</f>
        <v>0</v>
      </c>
      <c r="X103" s="1">
        <f>SUMIFS(super1[Qtde],super1[Item],tab_alimentos[[#This Row],[Item]],super1[Bairro],mercado13)+SUMIFS(supercb[Qtde],supercb[Item],tab_alimentos[[#This Row],[Item]],supercb[Bairro],mercado13)</f>
        <v>0</v>
      </c>
      <c r="Y103" s="1">
        <f>SUMIFS(super1[Qtde],super1[Item],tab_alimentos[[#This Row],[Item]],super1[Bairro],mercado14)+SUMIFS(supercb[Qtde],supercb[Item],tab_alimentos[[#This Row],[Item]],supercb[Bairro],mercado14)</f>
        <v>0</v>
      </c>
      <c r="Z103" s="1">
        <f>SUMIFS(super1[Qtde],super1[Item],tab_alimentos[[#This Row],[Item]],super1[Bairro],mercado15)+SUMIFS(supercb[Qtde],supercb[Item],tab_alimentos[[#This Row],[Item]],supercb[Bairro],mercado15)</f>
        <v>0</v>
      </c>
      <c r="AA103" s="1">
        <f>SUMIFS(super1[Qtde],super1[Item],tab_alimentos[[#This Row],[Item]],super1[Bairro],mercado16)+SUMIFS(supercb[Qtde],supercb[Item],tab_alimentos[[#This Row],[Item]],supercb[Bairro],mercado16)</f>
        <v>0</v>
      </c>
      <c r="AB103" s="1">
        <f>SUMIFS(super1[Qtde],super1[Item],tab_alimentos[[#This Row],[Item]],super1[Bairro],mercado17)+SUMIFS(supercb[Qtde],supercb[Item],tab_alimentos[[#This Row],[Item]],supercb[Bairro],mercado17)</f>
        <v>0</v>
      </c>
      <c r="AC103" s="1">
        <f>SUMIFS(super1[Qtde],super1[Item],tab_alimentos[[#This Row],[Item]],super1[Bairro],mercado18)+SUMIFS(supercb[Qtde],supercb[Item],tab_alimentos[[#This Row],[Item]],supercb[Bairro],mercado18)</f>
        <v>0</v>
      </c>
      <c r="AD103" s="1">
        <f>SUMIFS(super1[Qtde],super1[Item],tab_alimentos[[#This Row],[Item]],super1[Bairro],extras)+SUMIFS(supercb[Qtde],supercb[Item],tab_alimentos[[#This Row],[Item]],supercb[Bairro],extras)</f>
        <v>0</v>
      </c>
      <c r="AE103" s="1">
        <f t="shared" si="38"/>
        <v>0</v>
      </c>
      <c r="AF103" s="1">
        <f t="shared" si="39"/>
        <v>0</v>
      </c>
      <c r="AG103" s="3">
        <f t="shared" si="40"/>
        <v>0</v>
      </c>
      <c r="AH103" s="25" t="str">
        <f>higiene[[#This Row],[Item]]</f>
        <v>Fraldas Infantis (30un)</v>
      </c>
      <c r="AI103" s="1">
        <f>IFERROR(higiene[[#This Row],[Kg equivalente]],0)</f>
        <v>11.475775434748451</v>
      </c>
      <c r="AJ103" s="1">
        <f>IFERROR(higiene[[#This Row],[Preço por produto]],0)</f>
        <v>38.012499999999996</v>
      </c>
      <c r="AK103" s="1">
        <f>SUMIFS(super1[Qtde],super1[Item],tab_higiene[[#This Row],[Item]],super1[Bairro],mercado1)+SUMIFS(supercb[Qtde],supercb[Item],tab_higiene[[#This Row],[Item]],supercb[Bairro],mercado1)</f>
        <v>0</v>
      </c>
      <c r="AL103" s="1">
        <f>SUMIFS(super1[Qtde],super1[Item],tab_higiene[[#This Row],[Item]],super1[Bairro],mercado2)+SUMIFS(supercb[Qtde],supercb[Item],tab_higiene[[#This Row],[Item]],supercb[Bairro],mercado2)</f>
        <v>0</v>
      </c>
      <c r="AM103" s="1">
        <f>SUMIFS(super1[Qtde],super1[Item],tab_higiene[[#This Row],[Item]],super1[Bairro],mercado3)+SUMIFS(supercb[Qtde],supercb[Item],tab_higiene[[#This Row],[Item]],supercb[Bairro],mercado3)</f>
        <v>0</v>
      </c>
      <c r="AN103" s="1">
        <f>SUMIFS(super1[Qtde],super1[Item],tab_higiene[[#This Row],[Item]],super1[Bairro],mercado4)+SUMIFS(supercb[Qtde],supercb[Item],tab_higiene[[#This Row],[Item]],supercb[Bairro],mercado4)</f>
        <v>0</v>
      </c>
      <c r="AO103" s="1">
        <f>SUMIFS(super1[Qtde],super1[Item],tab_higiene[[#This Row],[Item]],super1[Bairro],mercado5)+SUMIFS(supercb[Qtde],supercb[Item],tab_higiene[[#This Row],[Item]],supercb[Bairro],mercado5)</f>
        <v>0</v>
      </c>
      <c r="AP103" s="1">
        <f>SUMIFS(super1[Qtde],super1[Item],tab_higiene[[#This Row],[Item]],super1[Bairro],mercado6)+SUMIFS(supercb[Qtde],supercb[Item],tab_higiene[[#This Row],[Item]],supercb[Bairro],mercado6)</f>
        <v>0</v>
      </c>
      <c r="AQ103" s="1">
        <f>SUMIFS(super1[Qtde],super1[Item],tab_higiene[[#This Row],[Item]],super1[Bairro],mercado7)+SUMIFS(supercb[Qtde],supercb[Item],tab_higiene[[#This Row],[Item]],supercb[Bairro],mercado7)</f>
        <v>0</v>
      </c>
      <c r="AR103" s="1">
        <f>SUMIFS(super1[Qtde],super1[Item],tab_higiene[[#This Row],[Item]],super1[Bairro],mercado8)+SUMIFS(supercb[Qtde],supercb[Item],tab_higiene[[#This Row],[Item]],supercb[Bairro],mercado8)</f>
        <v>0</v>
      </c>
      <c r="AS103" s="1">
        <f>SUMIFS(super1[Qtde],super1[Item],tab_higiene[[#This Row],[Item]],super1[Bairro],mercado9)+SUMIFS(supercb[Qtde],supercb[Item],tab_higiene[[#This Row],[Item]],supercb[Bairro],mercado9)</f>
        <v>0</v>
      </c>
      <c r="AT103" s="1">
        <f>SUMIFS(super1[Qtde],super1[Item],tab_higiene[[#This Row],[Item]],super1[Bairro],mercado10)+SUMIFS(supercb[Qtde],supercb[Item],tab_higiene[[#This Row],[Item]],supercb[Bairro],mercado10)</f>
        <v>0</v>
      </c>
      <c r="AU103" s="1">
        <f>SUMIFS(super1[Qtde],super1[Item],tab_higiene[[#This Row],[Item]],super1[Bairro],mercado11)+SUMIFS(supercb[Qtde],supercb[Item],tab_higiene[[#This Row],[Item]],supercb[Bairro],mercado11)</f>
        <v>0</v>
      </c>
      <c r="AV103" s="1">
        <f>SUMIFS(super1[Qtde],super1[Item],tab_higiene[[#This Row],[Item]],super1[Bairro],mercado12)+SUMIFS(supercb[Qtde],supercb[Item],tab_higiene[[#This Row],[Item]],supercb[Bairro],mercado12)</f>
        <v>0</v>
      </c>
      <c r="AW103" s="1">
        <f>SUMIFS(super1[Qtde],super1[Item],tab_higiene[[#This Row],[Item]],super1[Bairro],mercado13)+SUMIFS(supercb[Qtde],supercb[Item],tab_higiene[[#This Row],[Item]],supercb[Bairro],mercado13)</f>
        <v>0</v>
      </c>
      <c r="AX103" s="1">
        <f>SUMIFS(super1[Qtde],super1[Item],tab_higiene[[#This Row],[Item]],super1[Bairro],mercado14)+SUMIFS(supercb[Qtde],supercb[Item],tab_higiene[[#This Row],[Item]],supercb[Bairro],mercado14)</f>
        <v>0</v>
      </c>
      <c r="AY103" s="1">
        <f>SUMIFS(super1[Qtde],super1[Item],tab_higiene[[#This Row],[Item]],super1[Bairro],mercado15)+SUMIFS(supercb[Qtde],supercb[Item],tab_higiene[[#This Row],[Item]],supercb[Bairro],mercado15)</f>
        <v>0</v>
      </c>
      <c r="AZ103" s="1">
        <f>SUMIFS(super1[Qtde],super1[Item],tab_higiene[[#This Row],[Item]],super1[Bairro],mercado16)+SUMIFS(supercb[Qtde],supercb[Item],tab_higiene[[#This Row],[Item]],supercb[Bairro],mercado16)</f>
        <v>0</v>
      </c>
      <c r="BA103" s="1">
        <f>SUMIFS(super1[Qtde],super1[Item],tab_higiene[[#This Row],[Item]],super1[Bairro],mercado17)+SUMIFS(supercb[Qtde],supercb[Item],tab_higiene[[#This Row],[Item]],supercb[Bairro],mercado17)</f>
        <v>0</v>
      </c>
      <c r="BB103" s="1">
        <f>SUMIFS(super1[Qtde],super1[Item],tab_higiene[[#This Row],[Item]],super1[Bairro],mercado18)+SUMIFS(supercb[Qtde],supercb[Item],tab_higiene[[#This Row],[Item]],supercb[Bairro],mercado18)</f>
        <v>0</v>
      </c>
      <c r="BC103" s="1">
        <f>SUMIFS(super1[Qtde],super1[Item],tab_higiene[[#This Row],[Item]],super1[Bairro],extras)+SUMIFS(supercb[Qtde],supercb[Item],tab_higiene[[#This Row],[Item]],supercb[Bairro],extras)</f>
        <v>0</v>
      </c>
      <c r="BD103" s="1">
        <f t="shared" si="41"/>
        <v>0</v>
      </c>
      <c r="BE103" s="1">
        <f t="shared" si="42"/>
        <v>0</v>
      </c>
      <c r="BF103" s="26">
        <f t="shared" si="43"/>
        <v>0</v>
      </c>
      <c r="BI103" s="33" t="str">
        <f>tab_alimentos[[#This Row],[Item]]</f>
        <v>E</v>
      </c>
      <c r="BJ103" s="33">
        <f t="shared" si="25"/>
        <v>0</v>
      </c>
      <c r="BK103" s="33" t="str">
        <f t="shared" si="26"/>
        <v>E</v>
      </c>
      <c r="BL103" s="33">
        <f>tab_alimentos[[#This Row],[kg]]</f>
        <v>0</v>
      </c>
      <c r="BN103" s="35">
        <f t="shared" si="36"/>
        <v>0</v>
      </c>
      <c r="BP103" s="33" t="str">
        <f>tab_higiene[[#This Row],[Item]]</f>
        <v>Fraldas Infantis (30un)</v>
      </c>
      <c r="BQ103" s="33">
        <f t="shared" si="33"/>
        <v>17</v>
      </c>
      <c r="BR103" s="33" t="str">
        <f t="shared" si="34"/>
        <v>Fraldas Infantis</v>
      </c>
      <c r="BS103" s="33">
        <f>higiene[[#This Row],[Quantidade]]</f>
        <v>1</v>
      </c>
      <c r="BT103" s="33">
        <f>tab_higiene[Qtde (tot)]</f>
        <v>0</v>
      </c>
      <c r="BU103" s="33">
        <f t="shared" si="37"/>
        <v>0</v>
      </c>
      <c r="BW103" s="33">
        <f t="shared" si="44"/>
        <v>0</v>
      </c>
    </row>
    <row r="104" spans="9:75" x14ac:dyDescent="0.25">
      <c r="I104" s="25" t="str">
        <f>alimentos[[#This Row],[Item]]</f>
        <v>Ervilha (Sachê)</v>
      </c>
      <c r="J104" s="1">
        <f>IFERROR(alimentos[[#This Row],[kg/embalagem]],0)</f>
        <v>0.3</v>
      </c>
      <c r="K104" s="1">
        <f>IFERROR(alimentos[[#This Row],[Preço]],0)</f>
        <v>1.6900000000000002</v>
      </c>
      <c r="L104" s="1">
        <f>SUMIFS(super1[Qtde],super1[Item],tab_alimentos[[#This Row],[Item]],super1[Bairro],mercado1)+SUMIFS(supercb[Qtde],supercb[Item],tab_alimentos[[#This Row],[Item]],supercb[Bairro],mercado1)</f>
        <v>0</v>
      </c>
      <c r="M104" s="1">
        <f>SUMIFS(super1[Qtde],super1[Item],tab_alimentos[[#This Row],[Item]],super1[Bairro],mercado2)+SUMIFS(supercb[Qtde],supercb[Item],tab_alimentos[[#This Row],[Item]],supercb[Bairro],mercado2)</f>
        <v>0</v>
      </c>
      <c r="N104" s="1">
        <f>SUMIFS(super1[Qtde],super1[Item],tab_alimentos[[#This Row],[Item]],super1[Bairro],mercado3)+SUMIFS(supercb[Qtde],supercb[Item],tab_alimentos[[#This Row],[Item]],supercb[Bairro],mercado3)</f>
        <v>0</v>
      </c>
      <c r="O104" s="1">
        <f>SUMIFS(super1[Qtde],super1[Item],tab_alimentos[[#This Row],[Item]],super1[Bairro],mercado4)+SUMIFS(supercb[Qtde],supercb[Item],tab_alimentos[[#This Row],[Item]],supercb[Bairro],mercado4)</f>
        <v>0</v>
      </c>
      <c r="P104" s="1">
        <f>SUMIFS(super1[Qtde],super1[Item],tab_alimentos[[#This Row],[Item]],super1[Bairro],mercado5)+SUMIFS(supercb[Qtde],supercb[Item],tab_alimentos[[#This Row],[Item]],supercb[Bairro],mercado5)</f>
        <v>0</v>
      </c>
      <c r="Q104" s="1">
        <f>SUMIFS(super1[Qtde],super1[Item],tab_alimentos[[#This Row],[Item]],super1[Bairro],mercado6)+SUMIFS(supercb[Qtde],supercb[Item],tab_alimentos[[#This Row],[Item]],supercb[Bairro],mercado6)</f>
        <v>0</v>
      </c>
      <c r="R104" s="1">
        <f>SUMIFS(super1[Qtde],super1[Item],tab_alimentos[[#This Row],[Item]],super1[Bairro],mercado7)+SUMIFS(supercb[Qtde],supercb[Item],tab_alimentos[[#This Row],[Item]],supercb[Bairro],mercado7)</f>
        <v>0</v>
      </c>
      <c r="S104" s="1">
        <f>SUMIFS(super1[Qtde],super1[Item],tab_alimentos[[#This Row],[Item]],super1[Bairro],mercado8)+SUMIFS(supercb[Qtde],supercb[Item],tab_alimentos[[#This Row],[Item]],supercb[Bairro],mercado8)</f>
        <v>0</v>
      </c>
      <c r="T104" s="1">
        <f>SUMIFS(super1[Qtde],super1[Item],tab_alimentos[[#This Row],[Item]],super1[Bairro],mercado9)+SUMIFS(supercb[Qtde],supercb[Item],tab_alimentos[[#This Row],[Item]],supercb[Bairro],mercado9)</f>
        <v>0</v>
      </c>
      <c r="U104" s="1">
        <f>SUMIFS(super1[Qtde],super1[Item],tab_alimentos[[#This Row],[Item]],super1[Bairro],mercado10)+SUMIFS(supercb[Qtde],supercb[Item],tab_alimentos[[#This Row],[Item]],supercb[Bairro],mercado10)</f>
        <v>0</v>
      </c>
      <c r="V104" s="1">
        <f>SUMIFS(super1[Qtde],super1[Item],tab_alimentos[[#This Row],[Item]],super1[Bairro],mercado11)+SUMIFS(supercb[Qtde],supercb[Item],tab_alimentos[[#This Row],[Item]],supercb[Bairro],mercado11)</f>
        <v>0</v>
      </c>
      <c r="W104" s="1">
        <f>SUMIFS(super1[Qtde],super1[Item],tab_alimentos[[#This Row],[Item]],super1[Bairro],mercado12)+SUMIFS(supercb[Qtde],supercb[Item],tab_alimentos[[#This Row],[Item]],supercb[Bairro],mercado12)</f>
        <v>0</v>
      </c>
      <c r="X104" s="1">
        <f>SUMIFS(super1[Qtde],super1[Item],tab_alimentos[[#This Row],[Item]],super1[Bairro],mercado13)+SUMIFS(supercb[Qtde],supercb[Item],tab_alimentos[[#This Row],[Item]],supercb[Bairro],mercado13)</f>
        <v>0</v>
      </c>
      <c r="Y104" s="1">
        <f>SUMIFS(super1[Qtde],super1[Item],tab_alimentos[[#This Row],[Item]],super1[Bairro],mercado14)+SUMIFS(supercb[Qtde],supercb[Item],tab_alimentos[[#This Row],[Item]],supercb[Bairro],mercado14)</f>
        <v>0</v>
      </c>
      <c r="Z104" s="1">
        <f>SUMIFS(super1[Qtde],super1[Item],tab_alimentos[[#This Row],[Item]],super1[Bairro],mercado15)+SUMIFS(supercb[Qtde],supercb[Item],tab_alimentos[[#This Row],[Item]],supercb[Bairro],mercado15)</f>
        <v>0</v>
      </c>
      <c r="AA104" s="1">
        <f>SUMIFS(super1[Qtde],super1[Item],tab_alimentos[[#This Row],[Item]],super1[Bairro],mercado16)+SUMIFS(supercb[Qtde],supercb[Item],tab_alimentos[[#This Row],[Item]],supercb[Bairro],mercado16)</f>
        <v>0</v>
      </c>
      <c r="AB104" s="1">
        <f>SUMIFS(super1[Qtde],super1[Item],tab_alimentos[[#This Row],[Item]],super1[Bairro],mercado17)+SUMIFS(supercb[Qtde],supercb[Item],tab_alimentos[[#This Row],[Item]],supercb[Bairro],mercado17)</f>
        <v>0</v>
      </c>
      <c r="AC104" s="1">
        <f>SUMIFS(super1[Qtde],super1[Item],tab_alimentos[[#This Row],[Item]],super1[Bairro],mercado18)+SUMIFS(supercb[Qtde],supercb[Item],tab_alimentos[[#This Row],[Item]],supercb[Bairro],mercado18)</f>
        <v>0</v>
      </c>
      <c r="AD104" s="1">
        <f>SUMIFS(super1[Qtde],super1[Item],tab_alimentos[[#This Row],[Item]],super1[Bairro],extras)+SUMIFS(supercb[Qtde],supercb[Item],tab_alimentos[[#This Row],[Item]],supercb[Bairro],extras)</f>
        <v>0</v>
      </c>
      <c r="AE104" s="1">
        <f t="shared" si="38"/>
        <v>0</v>
      </c>
      <c r="AF104" s="1">
        <f t="shared" si="39"/>
        <v>0</v>
      </c>
      <c r="AG104" s="3">
        <f t="shared" si="40"/>
        <v>0</v>
      </c>
      <c r="AH104" s="25" t="str">
        <f>higiene[[#This Row],[Item]]</f>
        <v>Fraldas Infantis (32un)</v>
      </c>
      <c r="AI104" s="1">
        <f>IFERROR(higiene[[#This Row],[Kg equivalente]],0)</f>
        <v>11.385961736837565</v>
      </c>
      <c r="AJ104" s="1">
        <f>IFERROR(higiene[[#This Row],[Preço por produto]],0)</f>
        <v>37.715000000000003</v>
      </c>
      <c r="AK104" s="1">
        <f>SUMIFS(super1[Qtde],super1[Item],tab_higiene[[#This Row],[Item]],super1[Bairro],mercado1)+SUMIFS(supercb[Qtde],supercb[Item],tab_higiene[[#This Row],[Item]],supercb[Bairro],mercado1)</f>
        <v>0</v>
      </c>
      <c r="AL104" s="1">
        <f>SUMIFS(super1[Qtde],super1[Item],tab_higiene[[#This Row],[Item]],super1[Bairro],mercado2)+SUMIFS(supercb[Qtde],supercb[Item],tab_higiene[[#This Row],[Item]],supercb[Bairro],mercado2)</f>
        <v>0</v>
      </c>
      <c r="AM104" s="1">
        <f>SUMIFS(super1[Qtde],super1[Item],tab_higiene[[#This Row],[Item]],super1[Bairro],mercado3)+SUMIFS(supercb[Qtde],supercb[Item],tab_higiene[[#This Row],[Item]],supercb[Bairro],mercado3)</f>
        <v>0</v>
      </c>
      <c r="AN104" s="1">
        <f>SUMIFS(super1[Qtde],super1[Item],tab_higiene[[#This Row],[Item]],super1[Bairro],mercado4)+SUMIFS(supercb[Qtde],supercb[Item],tab_higiene[[#This Row],[Item]],supercb[Bairro],mercado4)</f>
        <v>0</v>
      </c>
      <c r="AO104" s="1">
        <f>SUMIFS(super1[Qtde],super1[Item],tab_higiene[[#This Row],[Item]],super1[Bairro],mercado5)+SUMIFS(supercb[Qtde],supercb[Item],tab_higiene[[#This Row],[Item]],supercb[Bairro],mercado5)</f>
        <v>0</v>
      </c>
      <c r="AP104" s="1">
        <f>SUMIFS(super1[Qtde],super1[Item],tab_higiene[[#This Row],[Item]],super1[Bairro],mercado6)+SUMIFS(supercb[Qtde],supercb[Item],tab_higiene[[#This Row],[Item]],supercb[Bairro],mercado6)</f>
        <v>0</v>
      </c>
      <c r="AQ104" s="1">
        <f>SUMIFS(super1[Qtde],super1[Item],tab_higiene[[#This Row],[Item]],super1[Bairro],mercado7)+SUMIFS(supercb[Qtde],supercb[Item],tab_higiene[[#This Row],[Item]],supercb[Bairro],mercado7)</f>
        <v>0</v>
      </c>
      <c r="AR104" s="1">
        <f>SUMIFS(super1[Qtde],super1[Item],tab_higiene[[#This Row],[Item]],super1[Bairro],mercado8)+SUMIFS(supercb[Qtde],supercb[Item],tab_higiene[[#This Row],[Item]],supercb[Bairro],mercado8)</f>
        <v>0</v>
      </c>
      <c r="AS104" s="1">
        <f>SUMIFS(super1[Qtde],super1[Item],tab_higiene[[#This Row],[Item]],super1[Bairro],mercado9)+SUMIFS(supercb[Qtde],supercb[Item],tab_higiene[[#This Row],[Item]],supercb[Bairro],mercado9)</f>
        <v>0</v>
      </c>
      <c r="AT104" s="1">
        <f>SUMIFS(super1[Qtde],super1[Item],tab_higiene[[#This Row],[Item]],super1[Bairro],mercado10)+SUMIFS(supercb[Qtde],supercb[Item],tab_higiene[[#This Row],[Item]],supercb[Bairro],mercado10)</f>
        <v>1</v>
      </c>
      <c r="AU104" s="1">
        <f>SUMIFS(super1[Qtde],super1[Item],tab_higiene[[#This Row],[Item]],super1[Bairro],mercado11)+SUMIFS(supercb[Qtde],supercb[Item],tab_higiene[[#This Row],[Item]],supercb[Bairro],mercado11)</f>
        <v>0</v>
      </c>
      <c r="AV104" s="1">
        <f>SUMIFS(super1[Qtde],super1[Item],tab_higiene[[#This Row],[Item]],super1[Bairro],mercado12)+SUMIFS(supercb[Qtde],supercb[Item],tab_higiene[[#This Row],[Item]],supercb[Bairro],mercado12)</f>
        <v>0</v>
      </c>
      <c r="AW104" s="1">
        <f>SUMIFS(super1[Qtde],super1[Item],tab_higiene[[#This Row],[Item]],super1[Bairro],mercado13)+SUMIFS(supercb[Qtde],supercb[Item],tab_higiene[[#This Row],[Item]],supercb[Bairro],mercado13)</f>
        <v>0</v>
      </c>
      <c r="AX104" s="1">
        <f>SUMIFS(super1[Qtde],super1[Item],tab_higiene[[#This Row],[Item]],super1[Bairro],mercado14)+SUMIFS(supercb[Qtde],supercb[Item],tab_higiene[[#This Row],[Item]],supercb[Bairro],mercado14)</f>
        <v>0</v>
      </c>
      <c r="AY104" s="1">
        <f>SUMIFS(super1[Qtde],super1[Item],tab_higiene[[#This Row],[Item]],super1[Bairro],mercado15)+SUMIFS(supercb[Qtde],supercb[Item],tab_higiene[[#This Row],[Item]],supercb[Bairro],mercado15)</f>
        <v>0</v>
      </c>
      <c r="AZ104" s="1">
        <f>SUMIFS(super1[Qtde],super1[Item],tab_higiene[[#This Row],[Item]],super1[Bairro],mercado16)+SUMIFS(supercb[Qtde],supercb[Item],tab_higiene[[#This Row],[Item]],supercb[Bairro],mercado16)</f>
        <v>0</v>
      </c>
      <c r="BA104" s="1">
        <f>SUMIFS(super1[Qtde],super1[Item],tab_higiene[[#This Row],[Item]],super1[Bairro],mercado17)+SUMIFS(supercb[Qtde],supercb[Item],tab_higiene[[#This Row],[Item]],supercb[Bairro],mercado17)</f>
        <v>0</v>
      </c>
      <c r="BB104" s="1">
        <f>SUMIFS(super1[Qtde],super1[Item],tab_higiene[[#This Row],[Item]],super1[Bairro],mercado18)+SUMIFS(supercb[Qtde],supercb[Item],tab_higiene[[#This Row],[Item]],supercb[Bairro],mercado18)</f>
        <v>0</v>
      </c>
      <c r="BC104" s="1">
        <f>SUMIFS(super1[Qtde],super1[Item],tab_higiene[[#This Row],[Item]],super1[Bairro],extras)+SUMIFS(supercb[Qtde],supercb[Item],tab_higiene[[#This Row],[Item]],supercb[Bairro],extras)</f>
        <v>0</v>
      </c>
      <c r="BD104" s="1">
        <f t="shared" si="41"/>
        <v>1</v>
      </c>
      <c r="BE104" s="1">
        <f t="shared" si="42"/>
        <v>37.715000000000003</v>
      </c>
      <c r="BF104" s="26">
        <f t="shared" si="43"/>
        <v>11.385961736837565</v>
      </c>
      <c r="BI104" s="33" t="str">
        <f>tab_alimentos[[#This Row],[Item]]</f>
        <v>Ervilha (Sachê)</v>
      </c>
      <c r="BJ104" s="33">
        <f t="shared" si="25"/>
        <v>8</v>
      </c>
      <c r="BK104" s="33" t="str">
        <f t="shared" si="26"/>
        <v>Ervilha</v>
      </c>
      <c r="BL104" s="33">
        <f>tab_alimentos[[#This Row],[kg]]</f>
        <v>0</v>
      </c>
      <c r="BN104" s="35">
        <f t="shared" si="36"/>
        <v>0</v>
      </c>
      <c r="BP104" s="33" t="str">
        <f>tab_higiene[[#This Row],[Item]]</f>
        <v>Fraldas Infantis (32un)</v>
      </c>
      <c r="BQ104" s="33">
        <f t="shared" si="33"/>
        <v>17</v>
      </c>
      <c r="BR104" s="33" t="str">
        <f t="shared" si="34"/>
        <v>Fraldas Infantis</v>
      </c>
      <c r="BS104" s="33">
        <f>higiene[[#This Row],[Quantidade]]</f>
        <v>0</v>
      </c>
      <c r="BT104" s="33">
        <f>tab_higiene[Qtde (tot)]</f>
        <v>1</v>
      </c>
      <c r="BU104" s="33">
        <f t="shared" si="37"/>
        <v>0</v>
      </c>
      <c r="BW104" s="33">
        <f t="shared" si="44"/>
        <v>0</v>
      </c>
    </row>
    <row r="105" spans="9:75" x14ac:dyDescent="0.25">
      <c r="I105" s="25" t="str">
        <f>alimentos[[#This Row],[Item]]</f>
        <v>Ervilha conserva (Lata)</v>
      </c>
      <c r="J105" s="1">
        <f>IFERROR(alimentos[[#This Row],[kg/embalagem]],0)</f>
        <v>0.3</v>
      </c>
      <c r="K105" s="1">
        <f>IFERROR(alimentos[[#This Row],[Preço]],0)</f>
        <v>1.5016666666666667</v>
      </c>
      <c r="L105" s="1">
        <f>SUMIFS(super1[Qtde],super1[Item],tab_alimentos[[#This Row],[Item]],super1[Bairro],mercado1)+SUMIFS(supercb[Qtde],supercb[Item],tab_alimentos[[#This Row],[Item]],supercb[Bairro],mercado1)</f>
        <v>2</v>
      </c>
      <c r="M105" s="1">
        <f>SUMIFS(super1[Qtde],super1[Item],tab_alimentos[[#This Row],[Item]],super1[Bairro],mercado2)+SUMIFS(supercb[Qtde],supercb[Item],tab_alimentos[[#This Row],[Item]],supercb[Bairro],mercado2)</f>
        <v>0</v>
      </c>
      <c r="N105" s="1">
        <f>SUMIFS(super1[Qtde],super1[Item],tab_alimentos[[#This Row],[Item]],super1[Bairro],mercado3)+SUMIFS(supercb[Qtde],supercb[Item],tab_alimentos[[#This Row],[Item]],supercb[Bairro],mercado3)</f>
        <v>1</v>
      </c>
      <c r="O105" s="1">
        <f>SUMIFS(super1[Qtde],super1[Item],tab_alimentos[[#This Row],[Item]],super1[Bairro],mercado4)+SUMIFS(supercb[Qtde],supercb[Item],tab_alimentos[[#This Row],[Item]],supercb[Bairro],mercado4)</f>
        <v>0</v>
      </c>
      <c r="P105" s="1">
        <f>SUMIFS(super1[Qtde],super1[Item],tab_alimentos[[#This Row],[Item]],super1[Bairro],mercado5)+SUMIFS(supercb[Qtde],supercb[Item],tab_alimentos[[#This Row],[Item]],supercb[Bairro],mercado5)</f>
        <v>1</v>
      </c>
      <c r="Q105" s="1">
        <f>SUMIFS(super1[Qtde],super1[Item],tab_alimentos[[#This Row],[Item]],super1[Bairro],mercado6)+SUMIFS(supercb[Qtde],supercb[Item],tab_alimentos[[#This Row],[Item]],supercb[Bairro],mercado6)</f>
        <v>0</v>
      </c>
      <c r="R105" s="1">
        <f>SUMIFS(super1[Qtde],super1[Item],tab_alimentos[[#This Row],[Item]],super1[Bairro],mercado7)+SUMIFS(supercb[Qtde],supercb[Item],tab_alimentos[[#This Row],[Item]],supercb[Bairro],mercado7)</f>
        <v>1</v>
      </c>
      <c r="S105" s="1">
        <f>SUMIFS(super1[Qtde],super1[Item],tab_alimentos[[#This Row],[Item]],super1[Bairro],mercado8)+SUMIFS(supercb[Qtde],supercb[Item],tab_alimentos[[#This Row],[Item]],supercb[Bairro],mercado8)</f>
        <v>0</v>
      </c>
      <c r="T105" s="1">
        <f>SUMIFS(super1[Qtde],super1[Item],tab_alimentos[[#This Row],[Item]],super1[Bairro],mercado9)+SUMIFS(supercb[Qtde],supercb[Item],tab_alimentos[[#This Row],[Item]],supercb[Bairro],mercado9)</f>
        <v>0</v>
      </c>
      <c r="U105" s="1">
        <f>SUMIFS(super1[Qtde],super1[Item],tab_alimentos[[#This Row],[Item]],super1[Bairro],mercado10)+SUMIFS(supercb[Qtde],supercb[Item],tab_alimentos[[#This Row],[Item]],supercb[Bairro],mercado10)</f>
        <v>2</v>
      </c>
      <c r="V105" s="1">
        <f>SUMIFS(super1[Qtde],super1[Item],tab_alimentos[[#This Row],[Item]],super1[Bairro],mercado11)+SUMIFS(supercb[Qtde],supercb[Item],tab_alimentos[[#This Row],[Item]],supercb[Bairro],mercado11)</f>
        <v>1</v>
      </c>
      <c r="W105" s="1">
        <f>SUMIFS(super1[Qtde],super1[Item],tab_alimentos[[#This Row],[Item]],super1[Bairro],mercado12)+SUMIFS(supercb[Qtde],supercb[Item],tab_alimentos[[#This Row],[Item]],supercb[Bairro],mercado12)</f>
        <v>0</v>
      </c>
      <c r="X105" s="1">
        <f>SUMIFS(super1[Qtde],super1[Item],tab_alimentos[[#This Row],[Item]],super1[Bairro],mercado13)+SUMIFS(supercb[Qtde],supercb[Item],tab_alimentos[[#This Row],[Item]],supercb[Bairro],mercado13)</f>
        <v>0</v>
      </c>
      <c r="Y105" s="1">
        <f>SUMIFS(super1[Qtde],super1[Item],tab_alimentos[[#This Row],[Item]],super1[Bairro],mercado14)+SUMIFS(supercb[Qtde],supercb[Item],tab_alimentos[[#This Row],[Item]],supercb[Bairro],mercado14)</f>
        <v>0</v>
      </c>
      <c r="Z105" s="1">
        <f>SUMIFS(super1[Qtde],super1[Item],tab_alimentos[[#This Row],[Item]],super1[Bairro],mercado15)+SUMIFS(supercb[Qtde],supercb[Item],tab_alimentos[[#This Row],[Item]],supercb[Bairro],mercado15)</f>
        <v>0</v>
      </c>
      <c r="AA105" s="1">
        <f>SUMIFS(super1[Qtde],super1[Item],tab_alimentos[[#This Row],[Item]],super1[Bairro],mercado16)+SUMIFS(supercb[Qtde],supercb[Item],tab_alimentos[[#This Row],[Item]],supercb[Bairro],mercado16)</f>
        <v>0</v>
      </c>
      <c r="AB105" s="1">
        <f>SUMIFS(super1[Qtde],super1[Item],tab_alimentos[[#This Row],[Item]],super1[Bairro],mercado17)+SUMIFS(supercb[Qtde],supercb[Item],tab_alimentos[[#This Row],[Item]],supercb[Bairro],mercado17)</f>
        <v>0</v>
      </c>
      <c r="AC105" s="1">
        <f>SUMIFS(super1[Qtde],super1[Item],tab_alimentos[[#This Row],[Item]],super1[Bairro],mercado18)+SUMIFS(supercb[Qtde],supercb[Item],tab_alimentos[[#This Row],[Item]],supercb[Bairro],mercado18)</f>
        <v>0</v>
      </c>
      <c r="AD105" s="1">
        <f>SUMIFS(super1[Qtde],super1[Item],tab_alimentos[[#This Row],[Item]],super1[Bairro],extras)+SUMIFS(supercb[Qtde],supercb[Item],tab_alimentos[[#This Row],[Item]],supercb[Bairro],extras)</f>
        <v>0</v>
      </c>
      <c r="AE105" s="1">
        <f t="shared" si="38"/>
        <v>8</v>
      </c>
      <c r="AF105" s="1">
        <f t="shared" si="39"/>
        <v>12.013333333333334</v>
      </c>
      <c r="AG105" s="3">
        <f t="shared" si="40"/>
        <v>2.4</v>
      </c>
      <c r="AH105" s="25" t="str">
        <f>higiene[[#This Row],[Item]]</f>
        <v>Fraldas Infantis (34un)</v>
      </c>
      <c r="AI105" s="1">
        <f>IFERROR(higiene[[#This Row],[Kg equivalente]],0)</f>
        <v>8.2938044230483872</v>
      </c>
      <c r="AJ105" s="1">
        <f>IFERROR(higiene[[#This Row],[Preço por produto]],0)</f>
        <v>27.472499999999997</v>
      </c>
      <c r="AK105" s="1">
        <f>SUMIFS(super1[Qtde],super1[Item],tab_higiene[[#This Row],[Item]],super1[Bairro],mercado1)+SUMIFS(supercb[Qtde],supercb[Item],tab_higiene[[#This Row],[Item]],supercb[Bairro],mercado1)</f>
        <v>0</v>
      </c>
      <c r="AL105" s="1">
        <f>SUMIFS(super1[Qtde],super1[Item],tab_higiene[[#This Row],[Item]],super1[Bairro],mercado2)+SUMIFS(supercb[Qtde],supercb[Item],tab_higiene[[#This Row],[Item]],supercb[Bairro],mercado2)</f>
        <v>0</v>
      </c>
      <c r="AM105" s="1">
        <f>SUMIFS(super1[Qtde],super1[Item],tab_higiene[[#This Row],[Item]],super1[Bairro],mercado3)+SUMIFS(supercb[Qtde],supercb[Item],tab_higiene[[#This Row],[Item]],supercb[Bairro],mercado3)</f>
        <v>0</v>
      </c>
      <c r="AN105" s="1">
        <f>SUMIFS(super1[Qtde],super1[Item],tab_higiene[[#This Row],[Item]],super1[Bairro],mercado4)+SUMIFS(supercb[Qtde],supercb[Item],tab_higiene[[#This Row],[Item]],supercb[Bairro],mercado4)</f>
        <v>0</v>
      </c>
      <c r="AO105" s="1">
        <f>SUMIFS(super1[Qtde],super1[Item],tab_higiene[[#This Row],[Item]],super1[Bairro],mercado5)+SUMIFS(supercb[Qtde],supercb[Item],tab_higiene[[#This Row],[Item]],supercb[Bairro],mercado5)</f>
        <v>0</v>
      </c>
      <c r="AP105" s="1">
        <f>SUMIFS(super1[Qtde],super1[Item],tab_higiene[[#This Row],[Item]],super1[Bairro],mercado6)+SUMIFS(supercb[Qtde],supercb[Item],tab_higiene[[#This Row],[Item]],supercb[Bairro],mercado6)</f>
        <v>0</v>
      </c>
      <c r="AQ105" s="1">
        <f>SUMIFS(super1[Qtde],super1[Item],tab_higiene[[#This Row],[Item]],super1[Bairro],mercado7)+SUMIFS(supercb[Qtde],supercb[Item],tab_higiene[[#This Row],[Item]],supercb[Bairro],mercado7)</f>
        <v>0</v>
      </c>
      <c r="AR105" s="1">
        <f>SUMIFS(super1[Qtde],super1[Item],tab_higiene[[#This Row],[Item]],super1[Bairro],mercado8)+SUMIFS(supercb[Qtde],supercb[Item],tab_higiene[[#This Row],[Item]],supercb[Bairro],mercado8)</f>
        <v>0</v>
      </c>
      <c r="AS105" s="1">
        <f>SUMIFS(super1[Qtde],super1[Item],tab_higiene[[#This Row],[Item]],super1[Bairro],mercado9)+SUMIFS(supercb[Qtde],supercb[Item],tab_higiene[[#This Row],[Item]],supercb[Bairro],mercado9)</f>
        <v>0</v>
      </c>
      <c r="AT105" s="1">
        <f>SUMIFS(super1[Qtde],super1[Item],tab_higiene[[#This Row],[Item]],super1[Bairro],mercado10)+SUMIFS(supercb[Qtde],supercb[Item],tab_higiene[[#This Row],[Item]],supercb[Bairro],mercado10)</f>
        <v>0</v>
      </c>
      <c r="AU105" s="1">
        <f>SUMIFS(super1[Qtde],super1[Item],tab_higiene[[#This Row],[Item]],super1[Bairro],mercado11)+SUMIFS(supercb[Qtde],supercb[Item],tab_higiene[[#This Row],[Item]],supercb[Bairro],mercado11)</f>
        <v>0</v>
      </c>
      <c r="AV105" s="1">
        <f>SUMIFS(super1[Qtde],super1[Item],tab_higiene[[#This Row],[Item]],super1[Bairro],mercado12)+SUMIFS(supercb[Qtde],supercb[Item],tab_higiene[[#This Row],[Item]],supercb[Bairro],mercado12)</f>
        <v>0</v>
      </c>
      <c r="AW105" s="1">
        <f>SUMIFS(super1[Qtde],super1[Item],tab_higiene[[#This Row],[Item]],super1[Bairro],mercado13)+SUMIFS(supercb[Qtde],supercb[Item],tab_higiene[[#This Row],[Item]],supercb[Bairro],mercado13)</f>
        <v>0</v>
      </c>
      <c r="AX105" s="1">
        <f>SUMIFS(super1[Qtde],super1[Item],tab_higiene[[#This Row],[Item]],super1[Bairro],mercado14)+SUMIFS(supercb[Qtde],supercb[Item],tab_higiene[[#This Row],[Item]],supercb[Bairro],mercado14)</f>
        <v>0</v>
      </c>
      <c r="AY105" s="1">
        <f>SUMIFS(super1[Qtde],super1[Item],tab_higiene[[#This Row],[Item]],super1[Bairro],mercado15)+SUMIFS(supercb[Qtde],supercb[Item],tab_higiene[[#This Row],[Item]],supercb[Bairro],mercado15)</f>
        <v>0</v>
      </c>
      <c r="AZ105" s="1">
        <f>SUMIFS(super1[Qtde],super1[Item],tab_higiene[[#This Row],[Item]],super1[Bairro],mercado16)+SUMIFS(supercb[Qtde],supercb[Item],tab_higiene[[#This Row],[Item]],supercb[Bairro],mercado16)</f>
        <v>0</v>
      </c>
      <c r="BA105" s="1">
        <f>SUMIFS(super1[Qtde],super1[Item],tab_higiene[[#This Row],[Item]],super1[Bairro],mercado17)+SUMIFS(supercb[Qtde],supercb[Item],tab_higiene[[#This Row],[Item]],supercb[Bairro],mercado17)</f>
        <v>0</v>
      </c>
      <c r="BB105" s="1">
        <f>SUMIFS(super1[Qtde],super1[Item],tab_higiene[[#This Row],[Item]],super1[Bairro],mercado18)+SUMIFS(supercb[Qtde],supercb[Item],tab_higiene[[#This Row],[Item]],supercb[Bairro],mercado18)</f>
        <v>0</v>
      </c>
      <c r="BC105" s="1">
        <f>SUMIFS(super1[Qtde],super1[Item],tab_higiene[[#This Row],[Item]],super1[Bairro],extras)+SUMIFS(supercb[Qtde],supercb[Item],tab_higiene[[#This Row],[Item]],supercb[Bairro],extras)</f>
        <v>0</v>
      </c>
      <c r="BD105" s="1">
        <f t="shared" si="41"/>
        <v>0</v>
      </c>
      <c r="BE105" s="1">
        <f t="shared" si="42"/>
        <v>0</v>
      </c>
      <c r="BF105" s="26">
        <f t="shared" si="43"/>
        <v>0</v>
      </c>
      <c r="BI105" s="33" t="str">
        <f>tab_alimentos[[#This Row],[Item]]</f>
        <v>Ervilha conserva (Lata)</v>
      </c>
      <c r="BJ105" s="33">
        <f t="shared" si="25"/>
        <v>17</v>
      </c>
      <c r="BK105" s="33" t="str">
        <f t="shared" si="26"/>
        <v>Ervilha conserva</v>
      </c>
      <c r="BL105" s="33">
        <f>tab_alimentos[[#This Row],[kg]]</f>
        <v>2.4</v>
      </c>
      <c r="BN105" s="35">
        <f t="shared" si="36"/>
        <v>0</v>
      </c>
      <c r="BP105" s="33" t="str">
        <f>tab_higiene[[#This Row],[Item]]</f>
        <v>Fraldas Infantis (34un)</v>
      </c>
      <c r="BQ105" s="33">
        <f t="shared" si="33"/>
        <v>17</v>
      </c>
      <c r="BR105" s="33" t="str">
        <f t="shared" si="34"/>
        <v>Fraldas Infantis</v>
      </c>
      <c r="BS105" s="33">
        <f>higiene[[#This Row],[Quantidade]]</f>
        <v>1</v>
      </c>
      <c r="BT105" s="33">
        <f>tab_higiene[Qtde (tot)]</f>
        <v>0</v>
      </c>
      <c r="BU105" s="33">
        <f t="shared" si="37"/>
        <v>0</v>
      </c>
      <c r="BW105" s="33">
        <f t="shared" si="44"/>
        <v>0</v>
      </c>
    </row>
    <row r="106" spans="9:75" x14ac:dyDescent="0.25">
      <c r="I106" s="25" t="str">
        <f>alimentos[[#This Row],[Item]]</f>
        <v>Ervilha Seca (500g)</v>
      </c>
      <c r="J106" s="1">
        <f>IFERROR(alimentos[[#This Row],[kg/embalagem]],0)</f>
        <v>0.5</v>
      </c>
      <c r="K106" s="1">
        <f>IFERROR(alimentos[[#This Row],[Preço]],0)</f>
        <v>7.04</v>
      </c>
      <c r="L106" s="1">
        <f>SUMIFS(super1[Qtde],super1[Item],tab_alimentos[[#This Row],[Item]],super1[Bairro],mercado1)+SUMIFS(supercb[Qtde],supercb[Item],tab_alimentos[[#This Row],[Item]],supercb[Bairro],mercado1)</f>
        <v>0</v>
      </c>
      <c r="M106" s="1">
        <f>SUMIFS(super1[Qtde],super1[Item],tab_alimentos[[#This Row],[Item]],super1[Bairro],mercado2)+SUMIFS(supercb[Qtde],supercb[Item],tab_alimentos[[#This Row],[Item]],supercb[Bairro],mercado2)</f>
        <v>0</v>
      </c>
      <c r="N106" s="1">
        <f>SUMIFS(super1[Qtde],super1[Item],tab_alimentos[[#This Row],[Item]],super1[Bairro],mercado3)+SUMIFS(supercb[Qtde],supercb[Item],tab_alimentos[[#This Row],[Item]],supercb[Bairro],mercado3)</f>
        <v>0</v>
      </c>
      <c r="O106" s="1">
        <f>SUMIFS(super1[Qtde],super1[Item],tab_alimentos[[#This Row],[Item]],super1[Bairro],mercado4)+SUMIFS(supercb[Qtde],supercb[Item],tab_alimentos[[#This Row],[Item]],supercb[Bairro],mercado4)</f>
        <v>0</v>
      </c>
      <c r="P106" s="1">
        <f>SUMIFS(super1[Qtde],super1[Item],tab_alimentos[[#This Row],[Item]],super1[Bairro],mercado5)+SUMIFS(supercb[Qtde],supercb[Item],tab_alimentos[[#This Row],[Item]],supercb[Bairro],mercado5)</f>
        <v>0</v>
      </c>
      <c r="Q106" s="1">
        <f>SUMIFS(super1[Qtde],super1[Item],tab_alimentos[[#This Row],[Item]],super1[Bairro],mercado6)+SUMIFS(supercb[Qtde],supercb[Item],tab_alimentos[[#This Row],[Item]],supercb[Bairro],mercado6)</f>
        <v>0</v>
      </c>
      <c r="R106" s="1">
        <f>SUMIFS(super1[Qtde],super1[Item],tab_alimentos[[#This Row],[Item]],super1[Bairro],mercado7)+SUMIFS(supercb[Qtde],supercb[Item],tab_alimentos[[#This Row],[Item]],supercb[Bairro],mercado7)</f>
        <v>0</v>
      </c>
      <c r="S106" s="1">
        <f>SUMIFS(super1[Qtde],super1[Item],tab_alimentos[[#This Row],[Item]],super1[Bairro],mercado8)+SUMIFS(supercb[Qtde],supercb[Item],tab_alimentos[[#This Row],[Item]],supercb[Bairro],mercado8)</f>
        <v>0</v>
      </c>
      <c r="T106" s="1">
        <f>SUMIFS(super1[Qtde],super1[Item],tab_alimentos[[#This Row],[Item]],super1[Bairro],mercado9)+SUMIFS(supercb[Qtde],supercb[Item],tab_alimentos[[#This Row],[Item]],supercb[Bairro],mercado9)</f>
        <v>0</v>
      </c>
      <c r="U106" s="1">
        <f>SUMIFS(super1[Qtde],super1[Item],tab_alimentos[[#This Row],[Item]],super1[Bairro],mercado10)+SUMIFS(supercb[Qtde],supercb[Item],tab_alimentos[[#This Row],[Item]],supercb[Bairro],mercado10)</f>
        <v>0</v>
      </c>
      <c r="V106" s="1">
        <f>SUMIFS(super1[Qtde],super1[Item],tab_alimentos[[#This Row],[Item]],super1[Bairro],mercado11)+SUMIFS(supercb[Qtde],supercb[Item],tab_alimentos[[#This Row],[Item]],supercb[Bairro],mercado11)</f>
        <v>0</v>
      </c>
      <c r="W106" s="1">
        <f>SUMIFS(super1[Qtde],super1[Item],tab_alimentos[[#This Row],[Item]],super1[Bairro],mercado12)+SUMIFS(supercb[Qtde],supercb[Item],tab_alimentos[[#This Row],[Item]],supercb[Bairro],mercado12)</f>
        <v>0</v>
      </c>
      <c r="X106" s="1">
        <f>SUMIFS(super1[Qtde],super1[Item],tab_alimentos[[#This Row],[Item]],super1[Bairro],mercado13)+SUMIFS(supercb[Qtde],supercb[Item],tab_alimentos[[#This Row],[Item]],supercb[Bairro],mercado13)</f>
        <v>0</v>
      </c>
      <c r="Y106" s="1">
        <f>SUMIFS(super1[Qtde],super1[Item],tab_alimentos[[#This Row],[Item]],super1[Bairro],mercado14)+SUMIFS(supercb[Qtde],supercb[Item],tab_alimentos[[#This Row],[Item]],supercb[Bairro],mercado14)</f>
        <v>0</v>
      </c>
      <c r="Z106" s="1">
        <f>SUMIFS(super1[Qtde],super1[Item],tab_alimentos[[#This Row],[Item]],super1[Bairro],mercado15)+SUMIFS(supercb[Qtde],supercb[Item],tab_alimentos[[#This Row],[Item]],supercb[Bairro],mercado15)</f>
        <v>0</v>
      </c>
      <c r="AA106" s="1">
        <f>SUMIFS(super1[Qtde],super1[Item],tab_alimentos[[#This Row],[Item]],super1[Bairro],mercado16)+SUMIFS(supercb[Qtde],supercb[Item],tab_alimentos[[#This Row],[Item]],supercb[Bairro],mercado16)</f>
        <v>0</v>
      </c>
      <c r="AB106" s="1">
        <f>SUMIFS(super1[Qtde],super1[Item],tab_alimentos[[#This Row],[Item]],super1[Bairro],mercado17)+SUMIFS(supercb[Qtde],supercb[Item],tab_alimentos[[#This Row],[Item]],supercb[Bairro],mercado17)</f>
        <v>0</v>
      </c>
      <c r="AC106" s="1">
        <f>SUMIFS(super1[Qtde],super1[Item],tab_alimentos[[#This Row],[Item]],super1[Bairro],mercado18)+SUMIFS(supercb[Qtde],supercb[Item],tab_alimentos[[#This Row],[Item]],supercb[Bairro],mercado18)</f>
        <v>0</v>
      </c>
      <c r="AD106" s="1">
        <f>SUMIFS(super1[Qtde],super1[Item],tab_alimentos[[#This Row],[Item]],super1[Bairro],extras)+SUMIFS(supercb[Qtde],supercb[Item],tab_alimentos[[#This Row],[Item]],supercb[Bairro],extras)</f>
        <v>0</v>
      </c>
      <c r="AE106" s="1">
        <f t="shared" si="38"/>
        <v>0</v>
      </c>
      <c r="AF106" s="1">
        <f t="shared" si="39"/>
        <v>0</v>
      </c>
      <c r="AG106" s="3">
        <f t="shared" si="40"/>
        <v>0</v>
      </c>
      <c r="AH106" s="25" t="str">
        <f>higiene[[#This Row],[Item]]</f>
        <v>Fraldas Infantis (36un)</v>
      </c>
      <c r="AI106" s="1">
        <f>IFERROR(higiene[[#This Row],[Kg equivalente]],0)</f>
        <v>7.2152853111604873</v>
      </c>
      <c r="AJ106" s="1">
        <f>IFERROR(higiene[[#This Row],[Preço por produto]],0)</f>
        <v>23.9</v>
      </c>
      <c r="AK106" s="1">
        <f>SUMIFS(super1[Qtde],super1[Item],tab_higiene[[#This Row],[Item]],super1[Bairro],mercado1)+SUMIFS(supercb[Qtde],supercb[Item],tab_higiene[[#This Row],[Item]],supercb[Bairro],mercado1)</f>
        <v>0</v>
      </c>
      <c r="AL106" s="1">
        <f>SUMIFS(super1[Qtde],super1[Item],tab_higiene[[#This Row],[Item]],super1[Bairro],mercado2)+SUMIFS(supercb[Qtde],supercb[Item],tab_higiene[[#This Row],[Item]],supercb[Bairro],mercado2)</f>
        <v>0</v>
      </c>
      <c r="AM106" s="1">
        <f>SUMIFS(super1[Qtde],super1[Item],tab_higiene[[#This Row],[Item]],super1[Bairro],mercado3)+SUMIFS(supercb[Qtde],supercb[Item],tab_higiene[[#This Row],[Item]],supercb[Bairro],mercado3)</f>
        <v>0</v>
      </c>
      <c r="AN106" s="1">
        <f>SUMIFS(super1[Qtde],super1[Item],tab_higiene[[#This Row],[Item]],super1[Bairro],mercado4)+SUMIFS(supercb[Qtde],supercb[Item],tab_higiene[[#This Row],[Item]],supercb[Bairro],mercado4)</f>
        <v>0</v>
      </c>
      <c r="AO106" s="1">
        <f>SUMIFS(super1[Qtde],super1[Item],tab_higiene[[#This Row],[Item]],super1[Bairro],mercado5)+SUMIFS(supercb[Qtde],supercb[Item],tab_higiene[[#This Row],[Item]],supercb[Bairro],mercado5)</f>
        <v>0</v>
      </c>
      <c r="AP106" s="1">
        <f>SUMIFS(super1[Qtde],super1[Item],tab_higiene[[#This Row],[Item]],super1[Bairro],mercado6)+SUMIFS(supercb[Qtde],supercb[Item],tab_higiene[[#This Row],[Item]],supercb[Bairro],mercado6)</f>
        <v>0</v>
      </c>
      <c r="AQ106" s="1">
        <f>SUMIFS(super1[Qtde],super1[Item],tab_higiene[[#This Row],[Item]],super1[Bairro],mercado7)+SUMIFS(supercb[Qtde],supercb[Item],tab_higiene[[#This Row],[Item]],supercb[Bairro],mercado7)</f>
        <v>0</v>
      </c>
      <c r="AR106" s="1">
        <f>SUMIFS(super1[Qtde],super1[Item],tab_higiene[[#This Row],[Item]],super1[Bairro],mercado8)+SUMIFS(supercb[Qtde],supercb[Item],tab_higiene[[#This Row],[Item]],supercb[Bairro],mercado8)</f>
        <v>0</v>
      </c>
      <c r="AS106" s="1">
        <f>SUMIFS(super1[Qtde],super1[Item],tab_higiene[[#This Row],[Item]],super1[Bairro],mercado9)+SUMIFS(supercb[Qtde],supercb[Item],tab_higiene[[#This Row],[Item]],supercb[Bairro],mercado9)</f>
        <v>0</v>
      </c>
      <c r="AT106" s="1">
        <f>SUMIFS(super1[Qtde],super1[Item],tab_higiene[[#This Row],[Item]],super1[Bairro],mercado10)+SUMIFS(supercb[Qtde],supercb[Item],tab_higiene[[#This Row],[Item]],supercb[Bairro],mercado10)</f>
        <v>1</v>
      </c>
      <c r="AU106" s="1">
        <f>SUMIFS(super1[Qtde],super1[Item],tab_higiene[[#This Row],[Item]],super1[Bairro],mercado11)+SUMIFS(supercb[Qtde],supercb[Item],tab_higiene[[#This Row],[Item]],supercb[Bairro],mercado11)</f>
        <v>0</v>
      </c>
      <c r="AV106" s="1">
        <f>SUMIFS(super1[Qtde],super1[Item],tab_higiene[[#This Row],[Item]],super1[Bairro],mercado12)+SUMIFS(supercb[Qtde],supercb[Item],tab_higiene[[#This Row],[Item]],supercb[Bairro],mercado12)</f>
        <v>0</v>
      </c>
      <c r="AW106" s="1">
        <f>SUMIFS(super1[Qtde],super1[Item],tab_higiene[[#This Row],[Item]],super1[Bairro],mercado13)+SUMIFS(supercb[Qtde],supercb[Item],tab_higiene[[#This Row],[Item]],supercb[Bairro],mercado13)</f>
        <v>0</v>
      </c>
      <c r="AX106" s="1">
        <f>SUMIFS(super1[Qtde],super1[Item],tab_higiene[[#This Row],[Item]],super1[Bairro],mercado14)+SUMIFS(supercb[Qtde],supercb[Item],tab_higiene[[#This Row],[Item]],supercb[Bairro],mercado14)</f>
        <v>0</v>
      </c>
      <c r="AY106" s="1">
        <f>SUMIFS(super1[Qtde],super1[Item],tab_higiene[[#This Row],[Item]],super1[Bairro],mercado15)+SUMIFS(supercb[Qtde],supercb[Item],tab_higiene[[#This Row],[Item]],supercb[Bairro],mercado15)</f>
        <v>0</v>
      </c>
      <c r="AZ106" s="1">
        <f>SUMIFS(super1[Qtde],super1[Item],tab_higiene[[#This Row],[Item]],super1[Bairro],mercado16)+SUMIFS(supercb[Qtde],supercb[Item],tab_higiene[[#This Row],[Item]],supercb[Bairro],mercado16)</f>
        <v>0</v>
      </c>
      <c r="BA106" s="1">
        <f>SUMIFS(super1[Qtde],super1[Item],tab_higiene[[#This Row],[Item]],super1[Bairro],mercado17)+SUMIFS(supercb[Qtde],supercb[Item],tab_higiene[[#This Row],[Item]],supercb[Bairro],mercado17)</f>
        <v>0</v>
      </c>
      <c r="BB106" s="1">
        <f>SUMIFS(super1[Qtde],super1[Item],tab_higiene[[#This Row],[Item]],super1[Bairro],mercado18)+SUMIFS(supercb[Qtde],supercb[Item],tab_higiene[[#This Row],[Item]],supercb[Bairro],mercado18)</f>
        <v>0</v>
      </c>
      <c r="BC106" s="1">
        <f>SUMIFS(super1[Qtde],super1[Item],tab_higiene[[#This Row],[Item]],super1[Bairro],extras)+SUMIFS(supercb[Qtde],supercb[Item],tab_higiene[[#This Row],[Item]],supercb[Bairro],extras)</f>
        <v>0</v>
      </c>
      <c r="BD106" s="1">
        <f t="shared" si="41"/>
        <v>1</v>
      </c>
      <c r="BE106" s="1">
        <f t="shared" si="42"/>
        <v>23.9</v>
      </c>
      <c r="BF106" s="26">
        <f t="shared" si="43"/>
        <v>7.2152853111604873</v>
      </c>
      <c r="BI106" s="33" t="str">
        <f>tab_alimentos[[#This Row],[Item]]</f>
        <v>Ervilha Seca (500g)</v>
      </c>
      <c r="BJ106" s="33">
        <f t="shared" si="25"/>
        <v>13</v>
      </c>
      <c r="BK106" s="33" t="str">
        <f t="shared" si="26"/>
        <v>Ervilha Seca</v>
      </c>
      <c r="BL106" s="33">
        <f>tab_alimentos[[#This Row],[kg]]</f>
        <v>0</v>
      </c>
      <c r="BN106" s="35">
        <f t="shared" si="36"/>
        <v>0</v>
      </c>
      <c r="BP106" s="33" t="str">
        <f>tab_higiene[[#This Row],[Item]]</f>
        <v>Fraldas Infantis (36un)</v>
      </c>
      <c r="BQ106" s="33">
        <f t="shared" si="33"/>
        <v>17</v>
      </c>
      <c r="BR106" s="33" t="str">
        <f t="shared" si="34"/>
        <v>Fraldas Infantis</v>
      </c>
      <c r="BS106" s="33">
        <f>higiene[[#This Row],[Quantidade]]</f>
        <v>1</v>
      </c>
      <c r="BT106" s="33">
        <f>tab_higiene[Qtde (tot)]</f>
        <v>1</v>
      </c>
      <c r="BU106" s="33">
        <f t="shared" si="37"/>
        <v>1</v>
      </c>
      <c r="BW106" s="33">
        <f t="shared" si="44"/>
        <v>0</v>
      </c>
    </row>
    <row r="107" spans="9:75" x14ac:dyDescent="0.25">
      <c r="I107" s="25" t="str">
        <f>alimentos[[#This Row],[Item]]</f>
        <v>Extrato de tomate (130g)</v>
      </c>
      <c r="J107" s="1">
        <f>IFERROR(alimentos[[#This Row],[kg/embalagem]],0)</f>
        <v>0.13</v>
      </c>
      <c r="K107" s="1">
        <f>IFERROR(alimentos[[#This Row],[Preço]],0)</f>
        <v>1.9816666666666667</v>
      </c>
      <c r="L107" s="1">
        <f>SUMIFS(super1[Qtde],super1[Item],tab_alimentos[[#This Row],[Item]],super1[Bairro],mercado1)+SUMIFS(supercb[Qtde],supercb[Item],tab_alimentos[[#This Row],[Item]],supercb[Bairro],mercado1)</f>
        <v>0</v>
      </c>
      <c r="M107" s="1">
        <f>SUMIFS(super1[Qtde],super1[Item],tab_alimentos[[#This Row],[Item]],super1[Bairro],mercado2)+SUMIFS(supercb[Qtde],supercb[Item],tab_alimentos[[#This Row],[Item]],supercb[Bairro],mercado2)</f>
        <v>0</v>
      </c>
      <c r="N107" s="1">
        <f>SUMIFS(super1[Qtde],super1[Item],tab_alimentos[[#This Row],[Item]],super1[Bairro],mercado3)+SUMIFS(supercb[Qtde],supercb[Item],tab_alimentos[[#This Row],[Item]],supercb[Bairro],mercado3)</f>
        <v>0</v>
      </c>
      <c r="O107" s="1">
        <f>SUMIFS(super1[Qtde],super1[Item],tab_alimentos[[#This Row],[Item]],super1[Bairro],mercado4)+SUMIFS(supercb[Qtde],supercb[Item],tab_alimentos[[#This Row],[Item]],supercb[Bairro],mercado4)</f>
        <v>0</v>
      </c>
      <c r="P107" s="1">
        <f>SUMIFS(super1[Qtde],super1[Item],tab_alimentos[[#This Row],[Item]],super1[Bairro],mercado5)+SUMIFS(supercb[Qtde],supercb[Item],tab_alimentos[[#This Row],[Item]],supercb[Bairro],mercado5)</f>
        <v>0</v>
      </c>
      <c r="Q107" s="1">
        <f>SUMIFS(super1[Qtde],super1[Item],tab_alimentos[[#This Row],[Item]],super1[Bairro],mercado6)+SUMIFS(supercb[Qtde],supercb[Item],tab_alimentos[[#This Row],[Item]],supercb[Bairro],mercado6)</f>
        <v>0</v>
      </c>
      <c r="R107" s="1">
        <f>SUMIFS(super1[Qtde],super1[Item],tab_alimentos[[#This Row],[Item]],super1[Bairro],mercado7)+SUMIFS(supercb[Qtde],supercb[Item],tab_alimentos[[#This Row],[Item]],supercb[Bairro],mercado7)</f>
        <v>2</v>
      </c>
      <c r="S107" s="1">
        <f>SUMIFS(super1[Qtde],super1[Item],tab_alimentos[[#This Row],[Item]],super1[Bairro],mercado8)+SUMIFS(supercb[Qtde],supercb[Item],tab_alimentos[[#This Row],[Item]],supercb[Bairro],mercado8)</f>
        <v>0</v>
      </c>
      <c r="T107" s="1">
        <f>SUMIFS(super1[Qtde],super1[Item],tab_alimentos[[#This Row],[Item]],super1[Bairro],mercado9)+SUMIFS(supercb[Qtde],supercb[Item],tab_alimentos[[#This Row],[Item]],supercb[Bairro],mercado9)</f>
        <v>0</v>
      </c>
      <c r="U107" s="1">
        <f>SUMIFS(super1[Qtde],super1[Item],tab_alimentos[[#This Row],[Item]],super1[Bairro],mercado10)+SUMIFS(supercb[Qtde],supercb[Item],tab_alimentos[[#This Row],[Item]],supercb[Bairro],mercado10)</f>
        <v>0</v>
      </c>
      <c r="V107" s="1">
        <f>SUMIFS(super1[Qtde],super1[Item],tab_alimentos[[#This Row],[Item]],super1[Bairro],mercado11)+SUMIFS(supercb[Qtde],supercb[Item],tab_alimentos[[#This Row],[Item]],supercb[Bairro],mercado11)</f>
        <v>0</v>
      </c>
      <c r="W107" s="1">
        <f>SUMIFS(super1[Qtde],super1[Item],tab_alimentos[[#This Row],[Item]],super1[Bairro],mercado12)+SUMIFS(supercb[Qtde],supercb[Item],tab_alimentos[[#This Row],[Item]],supercb[Bairro],mercado12)</f>
        <v>0</v>
      </c>
      <c r="X107" s="1">
        <f>SUMIFS(super1[Qtde],super1[Item],tab_alimentos[[#This Row],[Item]],super1[Bairro],mercado13)+SUMIFS(supercb[Qtde],supercb[Item],tab_alimentos[[#This Row],[Item]],supercb[Bairro],mercado13)</f>
        <v>0</v>
      </c>
      <c r="Y107" s="1">
        <f>SUMIFS(super1[Qtde],super1[Item],tab_alimentos[[#This Row],[Item]],super1[Bairro],mercado14)+SUMIFS(supercb[Qtde],supercb[Item],tab_alimentos[[#This Row],[Item]],supercb[Bairro],mercado14)</f>
        <v>0</v>
      </c>
      <c r="Z107" s="1">
        <f>SUMIFS(super1[Qtde],super1[Item],tab_alimentos[[#This Row],[Item]],super1[Bairro],mercado15)+SUMIFS(supercb[Qtde],supercb[Item],tab_alimentos[[#This Row],[Item]],supercb[Bairro],mercado15)</f>
        <v>0</v>
      </c>
      <c r="AA107" s="1">
        <f>SUMIFS(super1[Qtde],super1[Item],tab_alimentos[[#This Row],[Item]],super1[Bairro],mercado16)+SUMIFS(supercb[Qtde],supercb[Item],tab_alimentos[[#This Row],[Item]],supercb[Bairro],mercado16)</f>
        <v>0</v>
      </c>
      <c r="AB107" s="1">
        <f>SUMIFS(super1[Qtde],super1[Item],tab_alimentos[[#This Row],[Item]],super1[Bairro],mercado17)+SUMIFS(supercb[Qtde],supercb[Item],tab_alimentos[[#This Row],[Item]],supercb[Bairro],mercado17)</f>
        <v>0</v>
      </c>
      <c r="AC107" s="1">
        <f>SUMIFS(super1[Qtde],super1[Item],tab_alimentos[[#This Row],[Item]],super1[Bairro],mercado18)+SUMIFS(supercb[Qtde],supercb[Item],tab_alimentos[[#This Row],[Item]],supercb[Bairro],mercado18)</f>
        <v>0</v>
      </c>
      <c r="AD107" s="1">
        <f>SUMIFS(super1[Qtde],super1[Item],tab_alimentos[[#This Row],[Item]],super1[Bairro],extras)+SUMIFS(supercb[Qtde],supercb[Item],tab_alimentos[[#This Row],[Item]],supercb[Bairro],extras)</f>
        <v>0</v>
      </c>
      <c r="AE107" s="1">
        <f t="shared" si="38"/>
        <v>2</v>
      </c>
      <c r="AF107" s="1">
        <f t="shared" si="39"/>
        <v>3.9633333333333334</v>
      </c>
      <c r="AG107" s="3">
        <f t="shared" si="40"/>
        <v>0.26</v>
      </c>
      <c r="AH107" s="25" t="str">
        <f>higiene[[#This Row],[Item]]</f>
        <v>Fraldas Infantis (38un)</v>
      </c>
      <c r="AI107" s="1">
        <f>IFERROR(higiene[[#This Row],[Kg equivalente]],0)</f>
        <v>13.88112211745436</v>
      </c>
      <c r="AJ107" s="1">
        <f>IFERROR(higiene[[#This Row],[Preço por produto]],0)</f>
        <v>45.98</v>
      </c>
      <c r="AK107" s="1">
        <f>SUMIFS(super1[Qtde],super1[Item],tab_higiene[[#This Row],[Item]],super1[Bairro],mercado1)+SUMIFS(supercb[Qtde],supercb[Item],tab_higiene[[#This Row],[Item]],supercb[Bairro],mercado1)</f>
        <v>0</v>
      </c>
      <c r="AL107" s="1">
        <f>SUMIFS(super1[Qtde],super1[Item],tab_higiene[[#This Row],[Item]],super1[Bairro],mercado2)+SUMIFS(supercb[Qtde],supercb[Item],tab_higiene[[#This Row],[Item]],supercb[Bairro],mercado2)</f>
        <v>0</v>
      </c>
      <c r="AM107" s="1">
        <f>SUMIFS(super1[Qtde],super1[Item],tab_higiene[[#This Row],[Item]],super1[Bairro],mercado3)+SUMIFS(supercb[Qtde],supercb[Item],tab_higiene[[#This Row],[Item]],supercb[Bairro],mercado3)</f>
        <v>0</v>
      </c>
      <c r="AN107" s="1">
        <f>SUMIFS(super1[Qtde],super1[Item],tab_higiene[[#This Row],[Item]],super1[Bairro],mercado4)+SUMIFS(supercb[Qtde],supercb[Item],tab_higiene[[#This Row],[Item]],supercb[Bairro],mercado4)</f>
        <v>0</v>
      </c>
      <c r="AO107" s="1">
        <f>SUMIFS(super1[Qtde],super1[Item],tab_higiene[[#This Row],[Item]],super1[Bairro],mercado5)+SUMIFS(supercb[Qtde],supercb[Item],tab_higiene[[#This Row],[Item]],supercb[Bairro],mercado5)</f>
        <v>0</v>
      </c>
      <c r="AP107" s="1">
        <f>SUMIFS(super1[Qtde],super1[Item],tab_higiene[[#This Row],[Item]],super1[Bairro],mercado6)+SUMIFS(supercb[Qtde],supercb[Item],tab_higiene[[#This Row],[Item]],supercb[Bairro],mercado6)</f>
        <v>0</v>
      </c>
      <c r="AQ107" s="1">
        <f>SUMIFS(super1[Qtde],super1[Item],tab_higiene[[#This Row],[Item]],super1[Bairro],mercado7)+SUMIFS(supercb[Qtde],supercb[Item],tab_higiene[[#This Row],[Item]],supercb[Bairro],mercado7)</f>
        <v>0</v>
      </c>
      <c r="AR107" s="1">
        <f>SUMIFS(super1[Qtde],super1[Item],tab_higiene[[#This Row],[Item]],super1[Bairro],mercado8)+SUMIFS(supercb[Qtde],supercb[Item],tab_higiene[[#This Row],[Item]],supercb[Bairro],mercado8)</f>
        <v>0</v>
      </c>
      <c r="AS107" s="1">
        <f>SUMIFS(super1[Qtde],super1[Item],tab_higiene[[#This Row],[Item]],super1[Bairro],mercado9)+SUMIFS(supercb[Qtde],supercb[Item],tab_higiene[[#This Row],[Item]],supercb[Bairro],mercado9)</f>
        <v>0</v>
      </c>
      <c r="AT107" s="1">
        <f>SUMIFS(super1[Qtde],super1[Item],tab_higiene[[#This Row],[Item]],super1[Bairro],mercado10)+SUMIFS(supercb[Qtde],supercb[Item],tab_higiene[[#This Row],[Item]],supercb[Bairro],mercado10)</f>
        <v>0</v>
      </c>
      <c r="AU107" s="1">
        <f>SUMIFS(super1[Qtde],super1[Item],tab_higiene[[#This Row],[Item]],super1[Bairro],mercado11)+SUMIFS(supercb[Qtde],supercb[Item],tab_higiene[[#This Row],[Item]],supercb[Bairro],mercado11)</f>
        <v>0</v>
      </c>
      <c r="AV107" s="1">
        <f>SUMIFS(super1[Qtde],super1[Item],tab_higiene[[#This Row],[Item]],super1[Bairro],mercado12)+SUMIFS(supercb[Qtde],supercb[Item],tab_higiene[[#This Row],[Item]],supercb[Bairro],mercado12)</f>
        <v>0</v>
      </c>
      <c r="AW107" s="1">
        <f>SUMIFS(super1[Qtde],super1[Item],tab_higiene[[#This Row],[Item]],super1[Bairro],mercado13)+SUMIFS(supercb[Qtde],supercb[Item],tab_higiene[[#This Row],[Item]],supercb[Bairro],mercado13)</f>
        <v>0</v>
      </c>
      <c r="AX107" s="1">
        <f>SUMIFS(super1[Qtde],super1[Item],tab_higiene[[#This Row],[Item]],super1[Bairro],mercado14)+SUMIFS(supercb[Qtde],supercb[Item],tab_higiene[[#This Row],[Item]],supercb[Bairro],mercado14)</f>
        <v>0</v>
      </c>
      <c r="AY107" s="1">
        <f>SUMIFS(super1[Qtde],super1[Item],tab_higiene[[#This Row],[Item]],super1[Bairro],mercado15)+SUMIFS(supercb[Qtde],supercb[Item],tab_higiene[[#This Row],[Item]],supercb[Bairro],mercado15)</f>
        <v>0</v>
      </c>
      <c r="AZ107" s="1">
        <f>SUMIFS(super1[Qtde],super1[Item],tab_higiene[[#This Row],[Item]],super1[Bairro],mercado16)+SUMIFS(supercb[Qtde],supercb[Item],tab_higiene[[#This Row],[Item]],supercb[Bairro],mercado16)</f>
        <v>0</v>
      </c>
      <c r="BA107" s="1">
        <f>SUMIFS(super1[Qtde],super1[Item],tab_higiene[[#This Row],[Item]],super1[Bairro],mercado17)+SUMIFS(supercb[Qtde],supercb[Item],tab_higiene[[#This Row],[Item]],supercb[Bairro],mercado17)</f>
        <v>0</v>
      </c>
      <c r="BB107" s="1">
        <f>SUMIFS(super1[Qtde],super1[Item],tab_higiene[[#This Row],[Item]],super1[Bairro],mercado18)+SUMIFS(supercb[Qtde],supercb[Item],tab_higiene[[#This Row],[Item]],supercb[Bairro],mercado18)</f>
        <v>0</v>
      </c>
      <c r="BC107" s="1">
        <f>SUMIFS(super1[Qtde],super1[Item],tab_higiene[[#This Row],[Item]],super1[Bairro],extras)+SUMIFS(supercb[Qtde],supercb[Item],tab_higiene[[#This Row],[Item]],supercb[Bairro],extras)</f>
        <v>0</v>
      </c>
      <c r="BD107" s="1">
        <f t="shared" si="41"/>
        <v>0</v>
      </c>
      <c r="BE107" s="1">
        <f t="shared" si="42"/>
        <v>0</v>
      </c>
      <c r="BF107" s="26">
        <f t="shared" si="43"/>
        <v>0</v>
      </c>
      <c r="BI107" s="33" t="str">
        <f>tab_alimentos[[#This Row],[Item]]</f>
        <v>Extrato de tomate (130g)</v>
      </c>
      <c r="BJ107" s="33">
        <f t="shared" si="25"/>
        <v>18</v>
      </c>
      <c r="BK107" s="33" t="str">
        <f t="shared" si="26"/>
        <v>Extrato de tomate</v>
      </c>
      <c r="BL107" s="33">
        <f>tab_alimentos[[#This Row],[kg]]</f>
        <v>0.26</v>
      </c>
      <c r="BN107" s="35">
        <f t="shared" si="36"/>
        <v>0</v>
      </c>
      <c r="BP107" s="33" t="str">
        <f>tab_higiene[[#This Row],[Item]]</f>
        <v>Fraldas Infantis (38un)</v>
      </c>
      <c r="BQ107" s="33">
        <f t="shared" si="33"/>
        <v>17</v>
      </c>
      <c r="BR107" s="33" t="str">
        <f t="shared" si="34"/>
        <v>Fraldas Infantis</v>
      </c>
      <c r="BS107" s="33">
        <f>higiene[[#This Row],[Quantidade]]</f>
        <v>0.2</v>
      </c>
      <c r="BT107" s="33">
        <f>tab_higiene[Qtde (tot)]</f>
        <v>0</v>
      </c>
      <c r="BU107" s="33">
        <f t="shared" si="37"/>
        <v>0</v>
      </c>
      <c r="BW107" s="33">
        <f t="shared" si="44"/>
        <v>0</v>
      </c>
    </row>
    <row r="108" spans="9:75" x14ac:dyDescent="0.25">
      <c r="I108" s="25" t="str">
        <f>alimentos[[#This Row],[Item]]</f>
        <v>Extrato de tomate (280g)</v>
      </c>
      <c r="J108" s="1">
        <f>IFERROR(alimentos[[#This Row],[kg/embalagem]],0)</f>
        <v>0.28000000000000003</v>
      </c>
      <c r="K108" s="1">
        <f>IFERROR(alimentos[[#This Row],[Preço]],0)</f>
        <v>4.2349999999999994</v>
      </c>
      <c r="L108" s="1">
        <f>SUMIFS(super1[Qtde],super1[Item],tab_alimentos[[#This Row],[Item]],super1[Bairro],mercado1)+SUMIFS(supercb[Qtde],supercb[Item],tab_alimentos[[#This Row],[Item]],supercb[Bairro],mercado1)</f>
        <v>0</v>
      </c>
      <c r="M108" s="1">
        <f>SUMIFS(super1[Qtde],super1[Item],tab_alimentos[[#This Row],[Item]],super1[Bairro],mercado2)+SUMIFS(supercb[Qtde],supercb[Item],tab_alimentos[[#This Row],[Item]],supercb[Bairro],mercado2)</f>
        <v>0</v>
      </c>
      <c r="N108" s="1">
        <f>SUMIFS(super1[Qtde],super1[Item],tab_alimentos[[#This Row],[Item]],super1[Bairro],mercado3)+SUMIFS(supercb[Qtde],supercb[Item],tab_alimentos[[#This Row],[Item]],supercb[Bairro],mercado3)</f>
        <v>0</v>
      </c>
      <c r="O108" s="1">
        <f>SUMIFS(super1[Qtde],super1[Item],tab_alimentos[[#This Row],[Item]],super1[Bairro],mercado4)+SUMIFS(supercb[Qtde],supercb[Item],tab_alimentos[[#This Row],[Item]],supercb[Bairro],mercado4)</f>
        <v>0</v>
      </c>
      <c r="P108" s="1">
        <f>SUMIFS(super1[Qtde],super1[Item],tab_alimentos[[#This Row],[Item]],super1[Bairro],mercado5)+SUMIFS(supercb[Qtde],supercb[Item],tab_alimentos[[#This Row],[Item]],supercb[Bairro],mercado5)</f>
        <v>0</v>
      </c>
      <c r="Q108" s="1">
        <f>SUMIFS(super1[Qtde],super1[Item],tab_alimentos[[#This Row],[Item]],super1[Bairro],mercado6)+SUMIFS(supercb[Qtde],supercb[Item],tab_alimentos[[#This Row],[Item]],supercb[Bairro],mercado6)</f>
        <v>0</v>
      </c>
      <c r="R108" s="1">
        <f>SUMIFS(super1[Qtde],super1[Item],tab_alimentos[[#This Row],[Item]],super1[Bairro],mercado7)+SUMIFS(supercb[Qtde],supercb[Item],tab_alimentos[[#This Row],[Item]],supercb[Bairro],mercado7)</f>
        <v>0</v>
      </c>
      <c r="S108" s="1">
        <f>SUMIFS(super1[Qtde],super1[Item],tab_alimentos[[#This Row],[Item]],super1[Bairro],mercado8)+SUMIFS(supercb[Qtde],supercb[Item],tab_alimentos[[#This Row],[Item]],supercb[Bairro],mercado8)</f>
        <v>0</v>
      </c>
      <c r="T108" s="1">
        <f>SUMIFS(super1[Qtde],super1[Item],tab_alimentos[[#This Row],[Item]],super1[Bairro],mercado9)+SUMIFS(supercb[Qtde],supercb[Item],tab_alimentos[[#This Row],[Item]],supercb[Bairro],mercado9)</f>
        <v>0</v>
      </c>
      <c r="U108" s="1">
        <f>SUMIFS(super1[Qtde],super1[Item],tab_alimentos[[#This Row],[Item]],super1[Bairro],mercado10)+SUMIFS(supercb[Qtde],supercb[Item],tab_alimentos[[#This Row],[Item]],supercb[Bairro],mercado10)</f>
        <v>0</v>
      </c>
      <c r="V108" s="1">
        <f>SUMIFS(super1[Qtde],super1[Item],tab_alimentos[[#This Row],[Item]],super1[Bairro],mercado11)+SUMIFS(supercb[Qtde],supercb[Item],tab_alimentos[[#This Row],[Item]],supercb[Bairro],mercado11)</f>
        <v>0</v>
      </c>
      <c r="W108" s="1">
        <f>SUMIFS(super1[Qtde],super1[Item],tab_alimentos[[#This Row],[Item]],super1[Bairro],mercado12)+SUMIFS(supercb[Qtde],supercb[Item],tab_alimentos[[#This Row],[Item]],supercb[Bairro],mercado12)</f>
        <v>0</v>
      </c>
      <c r="X108" s="1">
        <f>SUMIFS(super1[Qtde],super1[Item],tab_alimentos[[#This Row],[Item]],super1[Bairro],mercado13)+SUMIFS(supercb[Qtde],supercb[Item],tab_alimentos[[#This Row],[Item]],supercb[Bairro],mercado13)</f>
        <v>0</v>
      </c>
      <c r="Y108" s="1">
        <f>SUMIFS(super1[Qtde],super1[Item],tab_alimentos[[#This Row],[Item]],super1[Bairro],mercado14)+SUMIFS(supercb[Qtde],supercb[Item],tab_alimentos[[#This Row],[Item]],supercb[Bairro],mercado14)</f>
        <v>0</v>
      </c>
      <c r="Z108" s="1">
        <f>SUMIFS(super1[Qtde],super1[Item],tab_alimentos[[#This Row],[Item]],super1[Bairro],mercado15)+SUMIFS(supercb[Qtde],supercb[Item],tab_alimentos[[#This Row],[Item]],supercb[Bairro],mercado15)</f>
        <v>0</v>
      </c>
      <c r="AA108" s="1">
        <f>SUMIFS(super1[Qtde],super1[Item],tab_alimentos[[#This Row],[Item]],super1[Bairro],mercado16)+SUMIFS(supercb[Qtde],supercb[Item],tab_alimentos[[#This Row],[Item]],supercb[Bairro],mercado16)</f>
        <v>0</v>
      </c>
      <c r="AB108" s="1">
        <f>SUMIFS(super1[Qtde],super1[Item],tab_alimentos[[#This Row],[Item]],super1[Bairro],mercado17)+SUMIFS(supercb[Qtde],supercb[Item],tab_alimentos[[#This Row],[Item]],supercb[Bairro],mercado17)</f>
        <v>0</v>
      </c>
      <c r="AC108" s="1">
        <f>SUMIFS(super1[Qtde],super1[Item],tab_alimentos[[#This Row],[Item]],super1[Bairro],mercado18)+SUMIFS(supercb[Qtde],supercb[Item],tab_alimentos[[#This Row],[Item]],supercb[Bairro],mercado18)</f>
        <v>0</v>
      </c>
      <c r="AD108" s="1">
        <f>SUMIFS(super1[Qtde],super1[Item],tab_alimentos[[#This Row],[Item]],super1[Bairro],extras)+SUMIFS(supercb[Qtde],supercb[Item],tab_alimentos[[#This Row],[Item]],supercb[Bairro],extras)</f>
        <v>0</v>
      </c>
      <c r="AE108" s="1">
        <f t="shared" si="38"/>
        <v>0</v>
      </c>
      <c r="AF108" s="1">
        <f t="shared" si="39"/>
        <v>0</v>
      </c>
      <c r="AG108" s="3">
        <f t="shared" si="40"/>
        <v>0</v>
      </c>
      <c r="AH108" s="25" t="str">
        <f>higiene[[#This Row],[Item]]</f>
        <v>Fraldas Infantis (40un)</v>
      </c>
      <c r="AI108" s="1">
        <f>IFERROR(higiene[[#This Row],[Kg equivalente]],0)</f>
        <v>10.203037345865578</v>
      </c>
      <c r="AJ108" s="1">
        <f>IFERROR(higiene[[#This Row],[Preço por produto]],0)</f>
        <v>33.796666666666674</v>
      </c>
      <c r="AK108" s="1">
        <f>SUMIFS(super1[Qtde],super1[Item],tab_higiene[[#This Row],[Item]],super1[Bairro],mercado1)+SUMIFS(supercb[Qtde],supercb[Item],tab_higiene[[#This Row],[Item]],supercb[Bairro],mercado1)</f>
        <v>0</v>
      </c>
      <c r="AL108" s="1">
        <f>SUMIFS(super1[Qtde],super1[Item],tab_higiene[[#This Row],[Item]],super1[Bairro],mercado2)+SUMIFS(supercb[Qtde],supercb[Item],tab_higiene[[#This Row],[Item]],supercb[Bairro],mercado2)</f>
        <v>0</v>
      </c>
      <c r="AM108" s="1">
        <f>SUMIFS(super1[Qtde],super1[Item],tab_higiene[[#This Row],[Item]],super1[Bairro],mercado3)+SUMIFS(supercb[Qtde],supercb[Item],tab_higiene[[#This Row],[Item]],supercb[Bairro],mercado3)</f>
        <v>0</v>
      </c>
      <c r="AN108" s="1">
        <f>SUMIFS(super1[Qtde],super1[Item],tab_higiene[[#This Row],[Item]],super1[Bairro],mercado4)+SUMIFS(supercb[Qtde],supercb[Item],tab_higiene[[#This Row],[Item]],supercb[Bairro],mercado4)</f>
        <v>0</v>
      </c>
      <c r="AO108" s="1">
        <f>SUMIFS(super1[Qtde],super1[Item],tab_higiene[[#This Row],[Item]],super1[Bairro],mercado5)+SUMIFS(supercb[Qtde],supercb[Item],tab_higiene[[#This Row],[Item]],supercb[Bairro],mercado5)</f>
        <v>0</v>
      </c>
      <c r="AP108" s="1">
        <f>SUMIFS(super1[Qtde],super1[Item],tab_higiene[[#This Row],[Item]],super1[Bairro],mercado6)+SUMIFS(supercb[Qtde],supercb[Item],tab_higiene[[#This Row],[Item]],supercb[Bairro],mercado6)</f>
        <v>0</v>
      </c>
      <c r="AQ108" s="1">
        <f>SUMIFS(super1[Qtde],super1[Item],tab_higiene[[#This Row],[Item]],super1[Bairro],mercado7)+SUMIFS(supercb[Qtde],supercb[Item],tab_higiene[[#This Row],[Item]],supercb[Bairro],mercado7)</f>
        <v>0</v>
      </c>
      <c r="AR108" s="1">
        <f>SUMIFS(super1[Qtde],super1[Item],tab_higiene[[#This Row],[Item]],super1[Bairro],mercado8)+SUMIFS(supercb[Qtde],supercb[Item],tab_higiene[[#This Row],[Item]],supercb[Bairro],mercado8)</f>
        <v>0</v>
      </c>
      <c r="AS108" s="1">
        <f>SUMIFS(super1[Qtde],super1[Item],tab_higiene[[#This Row],[Item]],super1[Bairro],mercado9)+SUMIFS(supercb[Qtde],supercb[Item],tab_higiene[[#This Row],[Item]],supercb[Bairro],mercado9)</f>
        <v>0</v>
      </c>
      <c r="AT108" s="1">
        <f>SUMIFS(super1[Qtde],super1[Item],tab_higiene[[#This Row],[Item]],super1[Bairro],mercado10)+SUMIFS(supercb[Qtde],supercb[Item],tab_higiene[[#This Row],[Item]],supercb[Bairro],mercado10)</f>
        <v>2</v>
      </c>
      <c r="AU108" s="1">
        <f>SUMIFS(super1[Qtde],super1[Item],tab_higiene[[#This Row],[Item]],super1[Bairro],mercado11)+SUMIFS(supercb[Qtde],supercb[Item],tab_higiene[[#This Row],[Item]],supercb[Bairro],mercado11)</f>
        <v>0</v>
      </c>
      <c r="AV108" s="1">
        <f>SUMIFS(super1[Qtde],super1[Item],tab_higiene[[#This Row],[Item]],super1[Bairro],mercado12)+SUMIFS(supercb[Qtde],supercb[Item],tab_higiene[[#This Row],[Item]],supercb[Bairro],mercado12)</f>
        <v>0</v>
      </c>
      <c r="AW108" s="1">
        <f>SUMIFS(super1[Qtde],super1[Item],tab_higiene[[#This Row],[Item]],super1[Bairro],mercado13)+SUMIFS(supercb[Qtde],supercb[Item],tab_higiene[[#This Row],[Item]],supercb[Bairro],mercado13)</f>
        <v>0</v>
      </c>
      <c r="AX108" s="1">
        <f>SUMIFS(super1[Qtde],super1[Item],tab_higiene[[#This Row],[Item]],super1[Bairro],mercado14)+SUMIFS(supercb[Qtde],supercb[Item],tab_higiene[[#This Row],[Item]],supercb[Bairro],mercado14)</f>
        <v>0</v>
      </c>
      <c r="AY108" s="1">
        <f>SUMIFS(super1[Qtde],super1[Item],tab_higiene[[#This Row],[Item]],super1[Bairro],mercado15)+SUMIFS(supercb[Qtde],supercb[Item],tab_higiene[[#This Row],[Item]],supercb[Bairro],mercado15)</f>
        <v>0</v>
      </c>
      <c r="AZ108" s="1">
        <f>SUMIFS(super1[Qtde],super1[Item],tab_higiene[[#This Row],[Item]],super1[Bairro],mercado16)+SUMIFS(supercb[Qtde],supercb[Item],tab_higiene[[#This Row],[Item]],supercb[Bairro],mercado16)</f>
        <v>0</v>
      </c>
      <c r="BA108" s="1">
        <f>SUMIFS(super1[Qtde],super1[Item],tab_higiene[[#This Row],[Item]],super1[Bairro],mercado17)+SUMIFS(supercb[Qtde],supercb[Item],tab_higiene[[#This Row],[Item]],supercb[Bairro],mercado17)</f>
        <v>0</v>
      </c>
      <c r="BB108" s="1">
        <f>SUMIFS(super1[Qtde],super1[Item],tab_higiene[[#This Row],[Item]],super1[Bairro],mercado18)+SUMIFS(supercb[Qtde],supercb[Item],tab_higiene[[#This Row],[Item]],supercb[Bairro],mercado18)</f>
        <v>0</v>
      </c>
      <c r="BC108" s="1">
        <f>SUMIFS(super1[Qtde],super1[Item],tab_higiene[[#This Row],[Item]],super1[Bairro],extras)+SUMIFS(supercb[Qtde],supercb[Item],tab_higiene[[#This Row],[Item]],supercb[Bairro],extras)</f>
        <v>0</v>
      </c>
      <c r="BD108" s="1">
        <f t="shared" si="41"/>
        <v>2</v>
      </c>
      <c r="BE108" s="1">
        <f t="shared" si="42"/>
        <v>67.593333333333348</v>
      </c>
      <c r="BF108" s="26">
        <f t="shared" si="43"/>
        <v>20.406074691731156</v>
      </c>
      <c r="BI108" s="33" t="str">
        <f>tab_alimentos[[#This Row],[Item]]</f>
        <v>Extrato de tomate (280g)</v>
      </c>
      <c r="BJ108" s="33">
        <f t="shared" si="25"/>
        <v>18</v>
      </c>
      <c r="BK108" s="33" t="str">
        <f t="shared" si="26"/>
        <v>Extrato de tomate</v>
      </c>
      <c r="BL108" s="33">
        <f>tab_alimentos[[#This Row],[kg]]</f>
        <v>0</v>
      </c>
      <c r="BN108" s="35">
        <f t="shared" si="36"/>
        <v>0</v>
      </c>
      <c r="BP108" s="33" t="str">
        <f>tab_higiene[[#This Row],[Item]]</f>
        <v>Fraldas Infantis (40un)</v>
      </c>
      <c r="BQ108" s="33">
        <f t="shared" si="33"/>
        <v>17</v>
      </c>
      <c r="BR108" s="33" t="str">
        <f t="shared" si="34"/>
        <v>Fraldas Infantis</v>
      </c>
      <c r="BS108" s="33">
        <f>higiene[[#This Row],[Quantidade]]</f>
        <v>0.5</v>
      </c>
      <c r="BT108" s="33">
        <f>tab_higiene[Qtde (tot)]</f>
        <v>2</v>
      </c>
      <c r="BU108" s="33">
        <f t="shared" si="37"/>
        <v>1</v>
      </c>
      <c r="BW108" s="33">
        <f t="shared" si="44"/>
        <v>0</v>
      </c>
    </row>
    <row r="109" spans="9:75" x14ac:dyDescent="0.25">
      <c r="I109" s="25" t="str">
        <f>alimentos[[#This Row],[Item]]</f>
        <v>Extrato de tomate (320g)</v>
      </c>
      <c r="J109" s="1">
        <f>IFERROR(alimentos[[#This Row],[kg/embalagem]],0)</f>
        <v>0.32</v>
      </c>
      <c r="K109" s="1">
        <f>IFERROR(alimentos[[#This Row],[Preço]],0)</f>
        <v>3.07</v>
      </c>
      <c r="L109" s="1">
        <f>SUMIFS(super1[Qtde],super1[Item],tab_alimentos[[#This Row],[Item]],super1[Bairro],mercado1)+SUMIFS(supercb[Qtde],supercb[Item],tab_alimentos[[#This Row],[Item]],supercb[Bairro],mercado1)</f>
        <v>0</v>
      </c>
      <c r="M109" s="1">
        <f>SUMIFS(super1[Qtde],super1[Item],tab_alimentos[[#This Row],[Item]],super1[Bairro],mercado2)+SUMIFS(supercb[Qtde],supercb[Item],tab_alimentos[[#This Row],[Item]],supercb[Bairro],mercado2)</f>
        <v>0</v>
      </c>
      <c r="N109" s="1">
        <f>SUMIFS(super1[Qtde],super1[Item],tab_alimentos[[#This Row],[Item]],super1[Bairro],mercado3)+SUMIFS(supercb[Qtde],supercb[Item],tab_alimentos[[#This Row],[Item]],supercb[Bairro],mercado3)</f>
        <v>0</v>
      </c>
      <c r="O109" s="1">
        <f>SUMIFS(super1[Qtde],super1[Item],tab_alimentos[[#This Row],[Item]],super1[Bairro],mercado4)+SUMIFS(supercb[Qtde],supercb[Item],tab_alimentos[[#This Row],[Item]],supercb[Bairro],mercado4)</f>
        <v>0</v>
      </c>
      <c r="P109" s="1">
        <f>SUMIFS(super1[Qtde],super1[Item],tab_alimentos[[#This Row],[Item]],super1[Bairro],mercado5)+SUMIFS(supercb[Qtde],supercb[Item],tab_alimentos[[#This Row],[Item]],supercb[Bairro],mercado5)</f>
        <v>0</v>
      </c>
      <c r="Q109" s="1">
        <f>SUMIFS(super1[Qtde],super1[Item],tab_alimentos[[#This Row],[Item]],super1[Bairro],mercado6)+SUMIFS(supercb[Qtde],supercb[Item],tab_alimentos[[#This Row],[Item]],supercb[Bairro],mercado6)</f>
        <v>0</v>
      </c>
      <c r="R109" s="1">
        <f>SUMIFS(super1[Qtde],super1[Item],tab_alimentos[[#This Row],[Item]],super1[Bairro],mercado7)+SUMIFS(supercb[Qtde],supercb[Item],tab_alimentos[[#This Row],[Item]],supercb[Bairro],mercado7)</f>
        <v>0</v>
      </c>
      <c r="S109" s="1">
        <f>SUMIFS(super1[Qtde],super1[Item],tab_alimentos[[#This Row],[Item]],super1[Bairro],mercado8)+SUMIFS(supercb[Qtde],supercb[Item],tab_alimentos[[#This Row],[Item]],supercb[Bairro],mercado8)</f>
        <v>0</v>
      </c>
      <c r="T109" s="1">
        <f>SUMIFS(super1[Qtde],super1[Item],tab_alimentos[[#This Row],[Item]],super1[Bairro],mercado9)+SUMIFS(supercb[Qtde],supercb[Item],tab_alimentos[[#This Row],[Item]],supercb[Bairro],mercado9)</f>
        <v>0</v>
      </c>
      <c r="U109" s="1">
        <f>SUMIFS(super1[Qtde],super1[Item],tab_alimentos[[#This Row],[Item]],super1[Bairro],mercado10)+SUMIFS(supercb[Qtde],supercb[Item],tab_alimentos[[#This Row],[Item]],supercb[Bairro],mercado10)</f>
        <v>0</v>
      </c>
      <c r="V109" s="1">
        <f>SUMIFS(super1[Qtde],super1[Item],tab_alimentos[[#This Row],[Item]],super1[Bairro],mercado11)+SUMIFS(supercb[Qtde],supercb[Item],tab_alimentos[[#This Row],[Item]],supercb[Bairro],mercado11)</f>
        <v>0</v>
      </c>
      <c r="W109" s="1">
        <f>SUMIFS(super1[Qtde],super1[Item],tab_alimentos[[#This Row],[Item]],super1[Bairro],mercado12)+SUMIFS(supercb[Qtde],supercb[Item],tab_alimentos[[#This Row],[Item]],supercb[Bairro],mercado12)</f>
        <v>0</v>
      </c>
      <c r="X109" s="1">
        <f>SUMIFS(super1[Qtde],super1[Item],tab_alimentos[[#This Row],[Item]],super1[Bairro],mercado13)+SUMIFS(supercb[Qtde],supercb[Item],tab_alimentos[[#This Row],[Item]],supercb[Bairro],mercado13)</f>
        <v>0</v>
      </c>
      <c r="Y109" s="1">
        <f>SUMIFS(super1[Qtde],super1[Item],tab_alimentos[[#This Row],[Item]],super1[Bairro],mercado14)+SUMIFS(supercb[Qtde],supercb[Item],tab_alimentos[[#This Row],[Item]],supercb[Bairro],mercado14)</f>
        <v>0</v>
      </c>
      <c r="Z109" s="1">
        <f>SUMIFS(super1[Qtde],super1[Item],tab_alimentos[[#This Row],[Item]],super1[Bairro],mercado15)+SUMIFS(supercb[Qtde],supercb[Item],tab_alimentos[[#This Row],[Item]],supercb[Bairro],mercado15)</f>
        <v>0</v>
      </c>
      <c r="AA109" s="1">
        <f>SUMIFS(super1[Qtde],super1[Item],tab_alimentos[[#This Row],[Item]],super1[Bairro],mercado16)+SUMIFS(supercb[Qtde],supercb[Item],tab_alimentos[[#This Row],[Item]],supercb[Bairro],mercado16)</f>
        <v>0</v>
      </c>
      <c r="AB109" s="1">
        <f>SUMIFS(super1[Qtde],super1[Item],tab_alimentos[[#This Row],[Item]],super1[Bairro],mercado17)+SUMIFS(supercb[Qtde],supercb[Item],tab_alimentos[[#This Row],[Item]],supercb[Bairro],mercado17)</f>
        <v>0</v>
      </c>
      <c r="AC109" s="1">
        <f>SUMIFS(super1[Qtde],super1[Item],tab_alimentos[[#This Row],[Item]],super1[Bairro],mercado18)+SUMIFS(supercb[Qtde],supercb[Item],tab_alimentos[[#This Row],[Item]],supercb[Bairro],mercado18)</f>
        <v>0</v>
      </c>
      <c r="AD109" s="1">
        <f>SUMIFS(super1[Qtde],super1[Item],tab_alimentos[[#This Row],[Item]],super1[Bairro],extras)+SUMIFS(supercb[Qtde],supercb[Item],tab_alimentos[[#This Row],[Item]],supercb[Bairro],extras)</f>
        <v>0</v>
      </c>
      <c r="AE109" s="1">
        <f t="shared" si="38"/>
        <v>0</v>
      </c>
      <c r="AF109" s="1">
        <f t="shared" si="39"/>
        <v>0</v>
      </c>
      <c r="AG109" s="3">
        <f t="shared" si="40"/>
        <v>0</v>
      </c>
      <c r="AH109" s="25" t="str">
        <f>higiene[[#This Row],[Item]]</f>
        <v>Fraldas Infantis (44un)</v>
      </c>
      <c r="AI109" s="1">
        <f>IFERROR(higiene[[#This Row],[Kg equivalente]],0)</f>
        <v>13.88112211745436</v>
      </c>
      <c r="AJ109" s="1">
        <f>IFERROR(higiene[[#This Row],[Preço por produto]],0)</f>
        <v>45.98</v>
      </c>
      <c r="AK109" s="1">
        <f>SUMIFS(super1[Qtde],super1[Item],tab_higiene[[#This Row],[Item]],super1[Bairro],mercado1)+SUMIFS(supercb[Qtde],supercb[Item],tab_higiene[[#This Row],[Item]],supercb[Bairro],mercado1)</f>
        <v>0</v>
      </c>
      <c r="AL109" s="1">
        <f>SUMIFS(super1[Qtde],super1[Item],tab_higiene[[#This Row],[Item]],super1[Bairro],mercado2)+SUMIFS(supercb[Qtde],supercb[Item],tab_higiene[[#This Row],[Item]],supercb[Bairro],mercado2)</f>
        <v>0</v>
      </c>
      <c r="AM109" s="1">
        <f>SUMIFS(super1[Qtde],super1[Item],tab_higiene[[#This Row],[Item]],super1[Bairro],mercado3)+SUMIFS(supercb[Qtde],supercb[Item],tab_higiene[[#This Row],[Item]],supercb[Bairro],mercado3)</f>
        <v>0</v>
      </c>
      <c r="AN109" s="1">
        <f>SUMIFS(super1[Qtde],super1[Item],tab_higiene[[#This Row],[Item]],super1[Bairro],mercado4)+SUMIFS(supercb[Qtde],supercb[Item],tab_higiene[[#This Row],[Item]],supercb[Bairro],mercado4)</f>
        <v>0</v>
      </c>
      <c r="AO109" s="1">
        <f>SUMIFS(super1[Qtde],super1[Item],tab_higiene[[#This Row],[Item]],super1[Bairro],mercado5)+SUMIFS(supercb[Qtde],supercb[Item],tab_higiene[[#This Row],[Item]],supercb[Bairro],mercado5)</f>
        <v>0</v>
      </c>
      <c r="AP109" s="1">
        <f>SUMIFS(super1[Qtde],super1[Item],tab_higiene[[#This Row],[Item]],super1[Bairro],mercado6)+SUMIFS(supercb[Qtde],supercb[Item],tab_higiene[[#This Row],[Item]],supercb[Bairro],mercado6)</f>
        <v>0</v>
      </c>
      <c r="AQ109" s="1">
        <f>SUMIFS(super1[Qtde],super1[Item],tab_higiene[[#This Row],[Item]],super1[Bairro],mercado7)+SUMIFS(supercb[Qtde],supercb[Item],tab_higiene[[#This Row],[Item]],supercb[Bairro],mercado7)</f>
        <v>0</v>
      </c>
      <c r="AR109" s="1">
        <f>SUMIFS(super1[Qtde],super1[Item],tab_higiene[[#This Row],[Item]],super1[Bairro],mercado8)+SUMIFS(supercb[Qtde],supercb[Item],tab_higiene[[#This Row],[Item]],supercb[Bairro],mercado8)</f>
        <v>0</v>
      </c>
      <c r="AS109" s="1">
        <f>SUMIFS(super1[Qtde],super1[Item],tab_higiene[[#This Row],[Item]],super1[Bairro],mercado9)+SUMIFS(supercb[Qtde],supercb[Item],tab_higiene[[#This Row],[Item]],supercb[Bairro],mercado9)</f>
        <v>0</v>
      </c>
      <c r="AT109" s="1">
        <f>SUMIFS(super1[Qtde],super1[Item],tab_higiene[[#This Row],[Item]],super1[Bairro],mercado10)+SUMIFS(supercb[Qtde],supercb[Item],tab_higiene[[#This Row],[Item]],supercb[Bairro],mercado10)</f>
        <v>1</v>
      </c>
      <c r="AU109" s="1">
        <f>SUMIFS(super1[Qtde],super1[Item],tab_higiene[[#This Row],[Item]],super1[Bairro],mercado11)+SUMIFS(supercb[Qtde],supercb[Item],tab_higiene[[#This Row],[Item]],supercb[Bairro],mercado11)</f>
        <v>0</v>
      </c>
      <c r="AV109" s="1">
        <f>SUMIFS(super1[Qtde],super1[Item],tab_higiene[[#This Row],[Item]],super1[Bairro],mercado12)+SUMIFS(supercb[Qtde],supercb[Item],tab_higiene[[#This Row],[Item]],supercb[Bairro],mercado12)</f>
        <v>0</v>
      </c>
      <c r="AW109" s="1">
        <f>SUMIFS(super1[Qtde],super1[Item],tab_higiene[[#This Row],[Item]],super1[Bairro],mercado13)+SUMIFS(supercb[Qtde],supercb[Item],tab_higiene[[#This Row],[Item]],supercb[Bairro],mercado13)</f>
        <v>0</v>
      </c>
      <c r="AX109" s="1">
        <f>SUMIFS(super1[Qtde],super1[Item],tab_higiene[[#This Row],[Item]],super1[Bairro],mercado14)+SUMIFS(supercb[Qtde],supercb[Item],tab_higiene[[#This Row],[Item]],supercb[Bairro],mercado14)</f>
        <v>0</v>
      </c>
      <c r="AY109" s="1">
        <f>SUMIFS(super1[Qtde],super1[Item],tab_higiene[[#This Row],[Item]],super1[Bairro],mercado15)+SUMIFS(supercb[Qtde],supercb[Item],tab_higiene[[#This Row],[Item]],supercb[Bairro],mercado15)</f>
        <v>0</v>
      </c>
      <c r="AZ109" s="1">
        <f>SUMIFS(super1[Qtde],super1[Item],tab_higiene[[#This Row],[Item]],super1[Bairro],mercado16)+SUMIFS(supercb[Qtde],supercb[Item],tab_higiene[[#This Row],[Item]],supercb[Bairro],mercado16)</f>
        <v>0</v>
      </c>
      <c r="BA109" s="1">
        <f>SUMIFS(super1[Qtde],super1[Item],tab_higiene[[#This Row],[Item]],super1[Bairro],mercado17)+SUMIFS(supercb[Qtde],supercb[Item],tab_higiene[[#This Row],[Item]],supercb[Bairro],mercado17)</f>
        <v>0</v>
      </c>
      <c r="BB109" s="1">
        <f>SUMIFS(super1[Qtde],super1[Item],tab_higiene[[#This Row],[Item]],super1[Bairro],mercado18)+SUMIFS(supercb[Qtde],supercb[Item],tab_higiene[[#This Row],[Item]],supercb[Bairro],mercado18)</f>
        <v>0</v>
      </c>
      <c r="BC109" s="1">
        <f>SUMIFS(super1[Qtde],super1[Item],tab_higiene[[#This Row],[Item]],super1[Bairro],extras)+SUMIFS(supercb[Qtde],supercb[Item],tab_higiene[[#This Row],[Item]],supercb[Bairro],extras)</f>
        <v>0</v>
      </c>
      <c r="BD109" s="1">
        <f t="shared" si="41"/>
        <v>1</v>
      </c>
      <c r="BE109" s="1">
        <f t="shared" si="42"/>
        <v>45.98</v>
      </c>
      <c r="BF109" s="26">
        <f t="shared" si="43"/>
        <v>13.88112211745436</v>
      </c>
      <c r="BI109" s="33" t="str">
        <f>tab_alimentos[[#This Row],[Item]]</f>
        <v>Extrato de tomate (320g)</v>
      </c>
      <c r="BJ109" s="33">
        <f t="shared" si="25"/>
        <v>18</v>
      </c>
      <c r="BK109" s="33" t="str">
        <f t="shared" si="26"/>
        <v>Extrato de tomate</v>
      </c>
      <c r="BL109" s="33">
        <f>tab_alimentos[[#This Row],[kg]]</f>
        <v>0</v>
      </c>
      <c r="BN109" s="35">
        <f t="shared" si="36"/>
        <v>0</v>
      </c>
      <c r="BP109" s="33" t="str">
        <f>tab_higiene[[#This Row],[Item]]</f>
        <v>Fraldas Infantis (44un)</v>
      </c>
      <c r="BQ109" s="33">
        <f t="shared" si="33"/>
        <v>17</v>
      </c>
      <c r="BR109" s="33" t="str">
        <f t="shared" si="34"/>
        <v>Fraldas Infantis</v>
      </c>
      <c r="BS109" s="33">
        <f>higiene[[#This Row],[Quantidade]]</f>
        <v>0.75</v>
      </c>
      <c r="BT109" s="33">
        <f>tab_higiene[Qtde (tot)]</f>
        <v>1</v>
      </c>
      <c r="BU109" s="33">
        <f t="shared" si="37"/>
        <v>0.75</v>
      </c>
      <c r="BW109" s="33">
        <f t="shared" si="44"/>
        <v>0</v>
      </c>
    </row>
    <row r="110" spans="9:75" x14ac:dyDescent="0.25">
      <c r="I110" s="25" t="str">
        <f>alimentos[[#This Row],[Item]]</f>
        <v>Extrato de tomate (340g)</v>
      </c>
      <c r="J110" s="1">
        <f>IFERROR(alimentos[[#This Row],[kg/embalagem]],0)</f>
        <v>0.34</v>
      </c>
      <c r="K110" s="1">
        <f>IFERROR(alimentos[[#This Row],[Preço]],0)</f>
        <v>3.1733333333333333</v>
      </c>
      <c r="L110" s="1">
        <f>SUMIFS(super1[Qtde],super1[Item],tab_alimentos[[#This Row],[Item]],super1[Bairro],mercado1)+SUMIFS(supercb[Qtde],supercb[Item],tab_alimentos[[#This Row],[Item]],supercb[Bairro],mercado1)</f>
        <v>0</v>
      </c>
      <c r="M110" s="1">
        <f>SUMIFS(super1[Qtde],super1[Item],tab_alimentos[[#This Row],[Item]],super1[Bairro],mercado2)+SUMIFS(supercb[Qtde],supercb[Item],tab_alimentos[[#This Row],[Item]],supercb[Bairro],mercado2)</f>
        <v>1</v>
      </c>
      <c r="N110" s="1">
        <f>SUMIFS(super1[Qtde],super1[Item],tab_alimentos[[#This Row],[Item]],super1[Bairro],mercado3)+SUMIFS(supercb[Qtde],supercb[Item],tab_alimentos[[#This Row],[Item]],supercb[Bairro],mercado3)</f>
        <v>0</v>
      </c>
      <c r="O110" s="1">
        <f>SUMIFS(super1[Qtde],super1[Item],tab_alimentos[[#This Row],[Item]],super1[Bairro],mercado4)+SUMIFS(supercb[Qtde],supercb[Item],tab_alimentos[[#This Row],[Item]],supercb[Bairro],mercado4)</f>
        <v>0</v>
      </c>
      <c r="P110" s="1">
        <f>SUMIFS(super1[Qtde],super1[Item],tab_alimentos[[#This Row],[Item]],super1[Bairro],mercado5)+SUMIFS(supercb[Qtde],supercb[Item],tab_alimentos[[#This Row],[Item]],supercb[Bairro],mercado5)</f>
        <v>1</v>
      </c>
      <c r="Q110" s="1">
        <f>SUMIFS(super1[Qtde],super1[Item],tab_alimentos[[#This Row],[Item]],super1[Bairro],mercado6)+SUMIFS(supercb[Qtde],supercb[Item],tab_alimentos[[#This Row],[Item]],supercb[Bairro],mercado6)</f>
        <v>0</v>
      </c>
      <c r="R110" s="1">
        <f>SUMIFS(super1[Qtde],super1[Item],tab_alimentos[[#This Row],[Item]],super1[Bairro],mercado7)+SUMIFS(supercb[Qtde],supercb[Item],tab_alimentos[[#This Row],[Item]],supercb[Bairro],mercado7)</f>
        <v>0</v>
      </c>
      <c r="S110" s="1">
        <f>SUMIFS(super1[Qtde],super1[Item],tab_alimentos[[#This Row],[Item]],super1[Bairro],mercado8)+SUMIFS(supercb[Qtde],supercb[Item],tab_alimentos[[#This Row],[Item]],supercb[Bairro],mercado8)</f>
        <v>0</v>
      </c>
      <c r="T110" s="1">
        <f>SUMIFS(super1[Qtde],super1[Item],tab_alimentos[[#This Row],[Item]],super1[Bairro],mercado9)+SUMIFS(supercb[Qtde],supercb[Item],tab_alimentos[[#This Row],[Item]],supercb[Bairro],mercado9)</f>
        <v>0</v>
      </c>
      <c r="U110" s="1">
        <f>SUMIFS(super1[Qtde],super1[Item],tab_alimentos[[#This Row],[Item]],super1[Bairro],mercado10)+SUMIFS(supercb[Qtde],supercb[Item],tab_alimentos[[#This Row],[Item]],supercb[Bairro],mercado10)</f>
        <v>0</v>
      </c>
      <c r="V110" s="1">
        <f>SUMIFS(super1[Qtde],super1[Item],tab_alimentos[[#This Row],[Item]],super1[Bairro],mercado11)+SUMIFS(supercb[Qtde],supercb[Item],tab_alimentos[[#This Row],[Item]],supercb[Bairro],mercado11)</f>
        <v>1</v>
      </c>
      <c r="W110" s="1">
        <f>SUMIFS(super1[Qtde],super1[Item],tab_alimentos[[#This Row],[Item]],super1[Bairro],mercado12)+SUMIFS(supercb[Qtde],supercb[Item],tab_alimentos[[#This Row],[Item]],supercb[Bairro],mercado12)</f>
        <v>0</v>
      </c>
      <c r="X110" s="1">
        <f>SUMIFS(super1[Qtde],super1[Item],tab_alimentos[[#This Row],[Item]],super1[Bairro],mercado13)+SUMIFS(supercb[Qtde],supercb[Item],tab_alimentos[[#This Row],[Item]],supercb[Bairro],mercado13)</f>
        <v>0</v>
      </c>
      <c r="Y110" s="1">
        <f>SUMIFS(super1[Qtde],super1[Item],tab_alimentos[[#This Row],[Item]],super1[Bairro],mercado14)+SUMIFS(supercb[Qtde],supercb[Item],tab_alimentos[[#This Row],[Item]],supercb[Bairro],mercado14)</f>
        <v>0</v>
      </c>
      <c r="Z110" s="1">
        <f>SUMIFS(super1[Qtde],super1[Item],tab_alimentos[[#This Row],[Item]],super1[Bairro],mercado15)+SUMIFS(supercb[Qtde],supercb[Item],tab_alimentos[[#This Row],[Item]],supercb[Bairro],mercado15)</f>
        <v>0</v>
      </c>
      <c r="AA110" s="1">
        <f>SUMIFS(super1[Qtde],super1[Item],tab_alimentos[[#This Row],[Item]],super1[Bairro],mercado16)+SUMIFS(supercb[Qtde],supercb[Item],tab_alimentos[[#This Row],[Item]],supercb[Bairro],mercado16)</f>
        <v>0</v>
      </c>
      <c r="AB110" s="1">
        <f>SUMIFS(super1[Qtde],super1[Item],tab_alimentos[[#This Row],[Item]],super1[Bairro],mercado17)+SUMIFS(supercb[Qtde],supercb[Item],tab_alimentos[[#This Row],[Item]],supercb[Bairro],mercado17)</f>
        <v>0</v>
      </c>
      <c r="AC110" s="1">
        <f>SUMIFS(super1[Qtde],super1[Item],tab_alimentos[[#This Row],[Item]],super1[Bairro],mercado18)+SUMIFS(supercb[Qtde],supercb[Item],tab_alimentos[[#This Row],[Item]],supercb[Bairro],mercado18)</f>
        <v>0</v>
      </c>
      <c r="AD110" s="1">
        <f>SUMIFS(super1[Qtde],super1[Item],tab_alimentos[[#This Row],[Item]],super1[Bairro],extras)+SUMIFS(supercb[Qtde],supercb[Item],tab_alimentos[[#This Row],[Item]],supercb[Bairro],extras)</f>
        <v>0</v>
      </c>
      <c r="AE110" s="1">
        <f t="shared" si="38"/>
        <v>3</v>
      </c>
      <c r="AF110" s="1">
        <f t="shared" si="39"/>
        <v>9.52</v>
      </c>
      <c r="AG110" s="3">
        <f t="shared" si="40"/>
        <v>1.02</v>
      </c>
      <c r="AH110" s="25" t="str">
        <f>higiene[[#This Row],[Item]]</f>
        <v>Fraldas Infantis (46un)</v>
      </c>
      <c r="AI110" s="1">
        <f>IFERROR(higiene[[#This Row],[Kg equivalente]],0)</f>
        <v>9.797693284033576</v>
      </c>
      <c r="AJ110" s="1">
        <f>IFERROR(higiene[[#This Row],[Preço por produto]],0)</f>
        <v>32.454000000000001</v>
      </c>
      <c r="AK110" s="1">
        <f>SUMIFS(super1[Qtde],super1[Item],tab_higiene[[#This Row],[Item]],super1[Bairro],mercado1)+SUMIFS(supercb[Qtde],supercb[Item],tab_higiene[[#This Row],[Item]],supercb[Bairro],mercado1)</f>
        <v>0</v>
      </c>
      <c r="AL110" s="1">
        <f>SUMIFS(super1[Qtde],super1[Item],tab_higiene[[#This Row],[Item]],super1[Bairro],mercado2)+SUMIFS(supercb[Qtde],supercb[Item],tab_higiene[[#This Row],[Item]],supercb[Bairro],mercado2)</f>
        <v>0</v>
      </c>
      <c r="AM110" s="1">
        <f>SUMIFS(super1[Qtde],super1[Item],tab_higiene[[#This Row],[Item]],super1[Bairro],mercado3)+SUMIFS(supercb[Qtde],supercb[Item],tab_higiene[[#This Row],[Item]],supercb[Bairro],mercado3)</f>
        <v>0</v>
      </c>
      <c r="AN110" s="1">
        <f>SUMIFS(super1[Qtde],super1[Item],tab_higiene[[#This Row],[Item]],super1[Bairro],mercado4)+SUMIFS(supercb[Qtde],supercb[Item],tab_higiene[[#This Row],[Item]],supercb[Bairro],mercado4)</f>
        <v>0</v>
      </c>
      <c r="AO110" s="1">
        <f>SUMIFS(super1[Qtde],super1[Item],tab_higiene[[#This Row],[Item]],super1[Bairro],mercado5)+SUMIFS(supercb[Qtde],supercb[Item],tab_higiene[[#This Row],[Item]],supercb[Bairro],mercado5)</f>
        <v>0</v>
      </c>
      <c r="AP110" s="1">
        <f>SUMIFS(super1[Qtde],super1[Item],tab_higiene[[#This Row],[Item]],super1[Bairro],mercado6)+SUMIFS(supercb[Qtde],supercb[Item],tab_higiene[[#This Row],[Item]],supercb[Bairro],mercado6)</f>
        <v>0</v>
      </c>
      <c r="AQ110" s="1">
        <f>SUMIFS(super1[Qtde],super1[Item],tab_higiene[[#This Row],[Item]],super1[Bairro],mercado7)+SUMIFS(supercb[Qtde],supercb[Item],tab_higiene[[#This Row],[Item]],supercb[Bairro],mercado7)</f>
        <v>0</v>
      </c>
      <c r="AR110" s="1">
        <f>SUMIFS(super1[Qtde],super1[Item],tab_higiene[[#This Row],[Item]],super1[Bairro],mercado8)+SUMIFS(supercb[Qtde],supercb[Item],tab_higiene[[#This Row],[Item]],supercb[Bairro],mercado8)</f>
        <v>0</v>
      </c>
      <c r="AS110" s="1">
        <f>SUMIFS(super1[Qtde],super1[Item],tab_higiene[[#This Row],[Item]],super1[Bairro],mercado9)+SUMIFS(supercb[Qtde],supercb[Item],tab_higiene[[#This Row],[Item]],supercb[Bairro],mercado9)</f>
        <v>0</v>
      </c>
      <c r="AT110" s="1">
        <f>SUMIFS(super1[Qtde],super1[Item],tab_higiene[[#This Row],[Item]],super1[Bairro],mercado10)+SUMIFS(supercb[Qtde],supercb[Item],tab_higiene[[#This Row],[Item]],supercb[Bairro],mercado10)</f>
        <v>0</v>
      </c>
      <c r="AU110" s="1">
        <f>SUMIFS(super1[Qtde],super1[Item],tab_higiene[[#This Row],[Item]],super1[Bairro],mercado11)+SUMIFS(supercb[Qtde],supercb[Item],tab_higiene[[#This Row],[Item]],supercb[Bairro],mercado11)</f>
        <v>0</v>
      </c>
      <c r="AV110" s="1">
        <f>SUMIFS(super1[Qtde],super1[Item],tab_higiene[[#This Row],[Item]],super1[Bairro],mercado12)+SUMIFS(supercb[Qtde],supercb[Item],tab_higiene[[#This Row],[Item]],supercb[Bairro],mercado12)</f>
        <v>0</v>
      </c>
      <c r="AW110" s="1">
        <f>SUMIFS(super1[Qtde],super1[Item],tab_higiene[[#This Row],[Item]],super1[Bairro],mercado13)+SUMIFS(supercb[Qtde],supercb[Item],tab_higiene[[#This Row],[Item]],supercb[Bairro],mercado13)</f>
        <v>0</v>
      </c>
      <c r="AX110" s="1">
        <f>SUMIFS(super1[Qtde],super1[Item],tab_higiene[[#This Row],[Item]],super1[Bairro],mercado14)+SUMIFS(supercb[Qtde],supercb[Item],tab_higiene[[#This Row],[Item]],supercb[Bairro],mercado14)</f>
        <v>0</v>
      </c>
      <c r="AY110" s="1">
        <f>SUMIFS(super1[Qtde],super1[Item],tab_higiene[[#This Row],[Item]],super1[Bairro],mercado15)+SUMIFS(supercb[Qtde],supercb[Item],tab_higiene[[#This Row],[Item]],supercb[Bairro],mercado15)</f>
        <v>0</v>
      </c>
      <c r="AZ110" s="1">
        <f>SUMIFS(super1[Qtde],super1[Item],tab_higiene[[#This Row],[Item]],super1[Bairro],mercado16)+SUMIFS(supercb[Qtde],supercb[Item],tab_higiene[[#This Row],[Item]],supercb[Bairro],mercado16)</f>
        <v>0</v>
      </c>
      <c r="BA110" s="1">
        <f>SUMIFS(super1[Qtde],super1[Item],tab_higiene[[#This Row],[Item]],super1[Bairro],mercado17)+SUMIFS(supercb[Qtde],supercb[Item],tab_higiene[[#This Row],[Item]],supercb[Bairro],mercado17)</f>
        <v>0</v>
      </c>
      <c r="BB110" s="1">
        <f>SUMIFS(super1[Qtde],super1[Item],tab_higiene[[#This Row],[Item]],super1[Bairro],mercado18)+SUMIFS(supercb[Qtde],supercb[Item],tab_higiene[[#This Row],[Item]],supercb[Bairro],mercado18)</f>
        <v>0</v>
      </c>
      <c r="BC110" s="1">
        <f>SUMIFS(super1[Qtde],super1[Item],tab_higiene[[#This Row],[Item]],super1[Bairro],extras)+SUMIFS(supercb[Qtde],supercb[Item],tab_higiene[[#This Row],[Item]],supercb[Bairro],extras)</f>
        <v>0</v>
      </c>
      <c r="BD110" s="1">
        <f t="shared" si="41"/>
        <v>0</v>
      </c>
      <c r="BE110" s="1">
        <f t="shared" si="42"/>
        <v>0</v>
      </c>
      <c r="BF110" s="26">
        <f t="shared" si="43"/>
        <v>0</v>
      </c>
      <c r="BI110" s="33" t="str">
        <f>tab_alimentos[[#This Row],[Item]]</f>
        <v>Extrato de tomate (340g)</v>
      </c>
      <c r="BJ110" s="33">
        <f t="shared" si="25"/>
        <v>18</v>
      </c>
      <c r="BK110" s="33" t="str">
        <f t="shared" si="26"/>
        <v>Extrato de tomate</v>
      </c>
      <c r="BL110" s="33">
        <f>tab_alimentos[[#This Row],[kg]]</f>
        <v>1.02</v>
      </c>
      <c r="BN110" s="35">
        <f t="shared" si="36"/>
        <v>0</v>
      </c>
      <c r="BP110" s="33" t="str">
        <f>tab_higiene[[#This Row],[Item]]</f>
        <v>Fraldas Infantis (46un)</v>
      </c>
      <c r="BQ110" s="33">
        <f t="shared" si="33"/>
        <v>17</v>
      </c>
      <c r="BR110" s="33" t="str">
        <f t="shared" si="34"/>
        <v>Fraldas Infantis</v>
      </c>
      <c r="BS110" s="33">
        <f>higiene[[#This Row],[Quantidade]]</f>
        <v>3</v>
      </c>
      <c r="BT110" s="33">
        <f>tab_higiene[Qtde (tot)]</f>
        <v>0</v>
      </c>
      <c r="BU110" s="33">
        <f t="shared" si="37"/>
        <v>0</v>
      </c>
      <c r="BW110" s="33">
        <f t="shared" si="44"/>
        <v>0</v>
      </c>
    </row>
    <row r="111" spans="9:75" x14ac:dyDescent="0.25">
      <c r="I111" s="25" t="str">
        <f>alimentos[[#This Row],[Item]]</f>
        <v>Extrato de tomate (400g)</v>
      </c>
      <c r="J111" s="1">
        <f>IFERROR(alimentos[[#This Row],[kg/embalagem]],0)</f>
        <v>0.4</v>
      </c>
      <c r="K111" s="1">
        <f>IFERROR(alimentos[[#This Row],[Preço]],0)</f>
        <v>3.335</v>
      </c>
      <c r="L111" s="1">
        <f>SUMIFS(super1[Qtde],super1[Item],tab_alimentos[[#This Row],[Item]],super1[Bairro],mercado1)+SUMIFS(supercb[Qtde],supercb[Item],tab_alimentos[[#This Row],[Item]],supercb[Bairro],mercado1)</f>
        <v>0</v>
      </c>
      <c r="M111" s="1">
        <f>SUMIFS(super1[Qtde],super1[Item],tab_alimentos[[#This Row],[Item]],super1[Bairro],mercado2)+SUMIFS(supercb[Qtde],supercb[Item],tab_alimentos[[#This Row],[Item]],supercb[Bairro],mercado2)</f>
        <v>0</v>
      </c>
      <c r="N111" s="1">
        <f>SUMIFS(super1[Qtde],super1[Item],tab_alimentos[[#This Row],[Item]],super1[Bairro],mercado3)+SUMIFS(supercb[Qtde],supercb[Item],tab_alimentos[[#This Row],[Item]],supercb[Bairro],mercado3)</f>
        <v>0</v>
      </c>
      <c r="O111" s="1">
        <f>SUMIFS(super1[Qtde],super1[Item],tab_alimentos[[#This Row],[Item]],super1[Bairro],mercado4)+SUMIFS(supercb[Qtde],supercb[Item],tab_alimentos[[#This Row],[Item]],supercb[Bairro],mercado4)</f>
        <v>0</v>
      </c>
      <c r="P111" s="1">
        <f>SUMIFS(super1[Qtde],super1[Item],tab_alimentos[[#This Row],[Item]],super1[Bairro],mercado5)+SUMIFS(supercb[Qtde],supercb[Item],tab_alimentos[[#This Row],[Item]],supercb[Bairro],mercado5)</f>
        <v>0</v>
      </c>
      <c r="Q111" s="1">
        <f>SUMIFS(super1[Qtde],super1[Item],tab_alimentos[[#This Row],[Item]],super1[Bairro],mercado6)+SUMIFS(supercb[Qtde],supercb[Item],tab_alimentos[[#This Row],[Item]],supercb[Bairro],mercado6)</f>
        <v>0</v>
      </c>
      <c r="R111" s="1">
        <f>SUMIFS(super1[Qtde],super1[Item],tab_alimentos[[#This Row],[Item]],super1[Bairro],mercado7)+SUMIFS(supercb[Qtde],supercb[Item],tab_alimentos[[#This Row],[Item]],supercb[Bairro],mercado7)</f>
        <v>0</v>
      </c>
      <c r="S111" s="1">
        <f>SUMIFS(super1[Qtde],super1[Item],tab_alimentos[[#This Row],[Item]],super1[Bairro],mercado8)+SUMIFS(supercb[Qtde],supercb[Item],tab_alimentos[[#This Row],[Item]],supercb[Bairro],mercado8)</f>
        <v>0</v>
      </c>
      <c r="T111" s="1">
        <f>SUMIFS(super1[Qtde],super1[Item],tab_alimentos[[#This Row],[Item]],super1[Bairro],mercado9)+SUMIFS(supercb[Qtde],supercb[Item],tab_alimentos[[#This Row],[Item]],supercb[Bairro],mercado9)</f>
        <v>0</v>
      </c>
      <c r="U111" s="1">
        <f>SUMIFS(super1[Qtde],super1[Item],tab_alimentos[[#This Row],[Item]],super1[Bairro],mercado10)+SUMIFS(supercb[Qtde],supercb[Item],tab_alimentos[[#This Row],[Item]],supercb[Bairro],mercado10)</f>
        <v>0</v>
      </c>
      <c r="V111" s="1">
        <f>SUMIFS(super1[Qtde],super1[Item],tab_alimentos[[#This Row],[Item]],super1[Bairro],mercado11)+SUMIFS(supercb[Qtde],supercb[Item],tab_alimentos[[#This Row],[Item]],supercb[Bairro],mercado11)</f>
        <v>0</v>
      </c>
      <c r="W111" s="1">
        <f>SUMIFS(super1[Qtde],super1[Item],tab_alimentos[[#This Row],[Item]],super1[Bairro],mercado12)+SUMIFS(supercb[Qtde],supercb[Item],tab_alimentos[[#This Row],[Item]],supercb[Bairro],mercado12)</f>
        <v>0</v>
      </c>
      <c r="X111" s="1">
        <f>SUMIFS(super1[Qtde],super1[Item],tab_alimentos[[#This Row],[Item]],super1[Bairro],mercado13)+SUMIFS(supercb[Qtde],supercb[Item],tab_alimentos[[#This Row],[Item]],supercb[Bairro],mercado13)</f>
        <v>0</v>
      </c>
      <c r="Y111" s="1">
        <f>SUMIFS(super1[Qtde],super1[Item],tab_alimentos[[#This Row],[Item]],super1[Bairro],mercado14)+SUMIFS(supercb[Qtde],supercb[Item],tab_alimentos[[#This Row],[Item]],supercb[Bairro],mercado14)</f>
        <v>0</v>
      </c>
      <c r="Z111" s="1">
        <f>SUMIFS(super1[Qtde],super1[Item],tab_alimentos[[#This Row],[Item]],super1[Bairro],mercado15)+SUMIFS(supercb[Qtde],supercb[Item],tab_alimentos[[#This Row],[Item]],supercb[Bairro],mercado15)</f>
        <v>0</v>
      </c>
      <c r="AA111" s="1">
        <f>SUMIFS(super1[Qtde],super1[Item],tab_alimentos[[#This Row],[Item]],super1[Bairro],mercado16)+SUMIFS(supercb[Qtde],supercb[Item],tab_alimentos[[#This Row],[Item]],supercb[Bairro],mercado16)</f>
        <v>0</v>
      </c>
      <c r="AB111" s="1">
        <f>SUMIFS(super1[Qtde],super1[Item],tab_alimentos[[#This Row],[Item]],super1[Bairro],mercado17)+SUMIFS(supercb[Qtde],supercb[Item],tab_alimentos[[#This Row],[Item]],supercb[Bairro],mercado17)</f>
        <v>0</v>
      </c>
      <c r="AC111" s="1">
        <f>SUMIFS(super1[Qtde],super1[Item],tab_alimentos[[#This Row],[Item]],super1[Bairro],mercado18)+SUMIFS(supercb[Qtde],supercb[Item],tab_alimentos[[#This Row],[Item]],supercb[Bairro],mercado18)</f>
        <v>0</v>
      </c>
      <c r="AD111" s="1">
        <f>SUMIFS(super1[Qtde],super1[Item],tab_alimentos[[#This Row],[Item]],super1[Bairro],extras)+SUMIFS(supercb[Qtde],supercb[Item],tab_alimentos[[#This Row],[Item]],supercb[Bairro],extras)</f>
        <v>0</v>
      </c>
      <c r="AE111" s="1">
        <f t="shared" si="38"/>
        <v>0</v>
      </c>
      <c r="AF111" s="1">
        <f t="shared" si="39"/>
        <v>0</v>
      </c>
      <c r="AG111" s="3">
        <f t="shared" si="40"/>
        <v>0</v>
      </c>
      <c r="AH111" s="25" t="str">
        <f>higiene[[#This Row],[Item]]</f>
        <v>Fraldas Infantis (48un)</v>
      </c>
      <c r="AI111" s="1">
        <f>IFERROR(higiene[[#This Row],[Kg equivalente]],0)</f>
        <v>10.536127922991675</v>
      </c>
      <c r="AJ111" s="1">
        <f>IFERROR(higiene[[#This Row],[Preço por produto]],0)</f>
        <v>34.9</v>
      </c>
      <c r="AK111" s="1">
        <f>SUMIFS(super1[Qtde],super1[Item],tab_higiene[[#This Row],[Item]],super1[Bairro],mercado1)+SUMIFS(supercb[Qtde],supercb[Item],tab_higiene[[#This Row],[Item]],supercb[Bairro],mercado1)</f>
        <v>0</v>
      </c>
      <c r="AL111" s="1">
        <f>SUMIFS(super1[Qtde],super1[Item],tab_higiene[[#This Row],[Item]],super1[Bairro],mercado2)+SUMIFS(supercb[Qtde],supercb[Item],tab_higiene[[#This Row],[Item]],supercb[Bairro],mercado2)</f>
        <v>0</v>
      </c>
      <c r="AM111" s="1">
        <f>SUMIFS(super1[Qtde],super1[Item],tab_higiene[[#This Row],[Item]],super1[Bairro],mercado3)+SUMIFS(supercb[Qtde],supercb[Item],tab_higiene[[#This Row],[Item]],supercb[Bairro],mercado3)</f>
        <v>0</v>
      </c>
      <c r="AN111" s="1">
        <f>SUMIFS(super1[Qtde],super1[Item],tab_higiene[[#This Row],[Item]],super1[Bairro],mercado4)+SUMIFS(supercb[Qtde],supercb[Item],tab_higiene[[#This Row],[Item]],supercb[Bairro],mercado4)</f>
        <v>0</v>
      </c>
      <c r="AO111" s="1">
        <f>SUMIFS(super1[Qtde],super1[Item],tab_higiene[[#This Row],[Item]],super1[Bairro],mercado5)+SUMIFS(supercb[Qtde],supercb[Item],tab_higiene[[#This Row],[Item]],supercb[Bairro],mercado5)</f>
        <v>1</v>
      </c>
      <c r="AP111" s="1">
        <f>SUMIFS(super1[Qtde],super1[Item],tab_higiene[[#This Row],[Item]],super1[Bairro],mercado6)+SUMIFS(supercb[Qtde],supercb[Item],tab_higiene[[#This Row],[Item]],supercb[Bairro],mercado6)</f>
        <v>0</v>
      </c>
      <c r="AQ111" s="1">
        <f>SUMIFS(super1[Qtde],super1[Item],tab_higiene[[#This Row],[Item]],super1[Bairro],mercado7)+SUMIFS(supercb[Qtde],supercb[Item],tab_higiene[[#This Row],[Item]],supercb[Bairro],mercado7)</f>
        <v>0</v>
      </c>
      <c r="AR111" s="1">
        <f>SUMIFS(super1[Qtde],super1[Item],tab_higiene[[#This Row],[Item]],super1[Bairro],mercado8)+SUMIFS(supercb[Qtde],supercb[Item],tab_higiene[[#This Row],[Item]],supercb[Bairro],mercado8)</f>
        <v>0</v>
      </c>
      <c r="AS111" s="1">
        <f>SUMIFS(super1[Qtde],super1[Item],tab_higiene[[#This Row],[Item]],super1[Bairro],mercado9)+SUMIFS(supercb[Qtde],supercb[Item],tab_higiene[[#This Row],[Item]],supercb[Bairro],mercado9)</f>
        <v>0</v>
      </c>
      <c r="AT111" s="1">
        <f>SUMIFS(super1[Qtde],super1[Item],tab_higiene[[#This Row],[Item]],super1[Bairro],mercado10)+SUMIFS(supercb[Qtde],supercb[Item],tab_higiene[[#This Row],[Item]],supercb[Bairro],mercado10)</f>
        <v>0</v>
      </c>
      <c r="AU111" s="1">
        <f>SUMIFS(super1[Qtde],super1[Item],tab_higiene[[#This Row],[Item]],super1[Bairro],mercado11)+SUMIFS(supercb[Qtde],supercb[Item],tab_higiene[[#This Row],[Item]],supercb[Bairro],mercado11)</f>
        <v>0</v>
      </c>
      <c r="AV111" s="1">
        <f>SUMIFS(super1[Qtde],super1[Item],tab_higiene[[#This Row],[Item]],super1[Bairro],mercado12)+SUMIFS(supercb[Qtde],supercb[Item],tab_higiene[[#This Row],[Item]],supercb[Bairro],mercado12)</f>
        <v>0</v>
      </c>
      <c r="AW111" s="1">
        <f>SUMIFS(super1[Qtde],super1[Item],tab_higiene[[#This Row],[Item]],super1[Bairro],mercado13)+SUMIFS(supercb[Qtde],supercb[Item],tab_higiene[[#This Row],[Item]],supercb[Bairro],mercado13)</f>
        <v>1</v>
      </c>
      <c r="AX111" s="1">
        <f>SUMIFS(super1[Qtde],super1[Item],tab_higiene[[#This Row],[Item]],super1[Bairro],mercado14)+SUMIFS(supercb[Qtde],supercb[Item],tab_higiene[[#This Row],[Item]],supercb[Bairro],mercado14)</f>
        <v>0</v>
      </c>
      <c r="AY111" s="1">
        <f>SUMIFS(super1[Qtde],super1[Item],tab_higiene[[#This Row],[Item]],super1[Bairro],mercado15)+SUMIFS(supercb[Qtde],supercb[Item],tab_higiene[[#This Row],[Item]],supercb[Bairro],mercado15)</f>
        <v>0</v>
      </c>
      <c r="AZ111" s="1">
        <f>SUMIFS(super1[Qtde],super1[Item],tab_higiene[[#This Row],[Item]],super1[Bairro],mercado16)+SUMIFS(supercb[Qtde],supercb[Item],tab_higiene[[#This Row],[Item]],supercb[Bairro],mercado16)</f>
        <v>0</v>
      </c>
      <c r="BA111" s="1">
        <f>SUMIFS(super1[Qtde],super1[Item],tab_higiene[[#This Row],[Item]],super1[Bairro],mercado17)+SUMIFS(supercb[Qtde],supercb[Item],tab_higiene[[#This Row],[Item]],supercb[Bairro],mercado17)</f>
        <v>0</v>
      </c>
      <c r="BB111" s="1">
        <f>SUMIFS(super1[Qtde],super1[Item],tab_higiene[[#This Row],[Item]],super1[Bairro],mercado18)+SUMIFS(supercb[Qtde],supercb[Item],tab_higiene[[#This Row],[Item]],supercb[Bairro],mercado18)</f>
        <v>0</v>
      </c>
      <c r="BC111" s="1">
        <f>SUMIFS(super1[Qtde],super1[Item],tab_higiene[[#This Row],[Item]],super1[Bairro],extras)+SUMIFS(supercb[Qtde],supercb[Item],tab_higiene[[#This Row],[Item]],supercb[Bairro],extras)</f>
        <v>0</v>
      </c>
      <c r="BD111" s="1">
        <f t="shared" si="41"/>
        <v>2</v>
      </c>
      <c r="BE111" s="1">
        <f t="shared" si="42"/>
        <v>69.8</v>
      </c>
      <c r="BF111" s="26">
        <f t="shared" si="43"/>
        <v>21.072255845983349</v>
      </c>
      <c r="BI111" s="33" t="str">
        <f>tab_alimentos[[#This Row],[Item]]</f>
        <v>Extrato de tomate (400g)</v>
      </c>
      <c r="BJ111" s="33">
        <f t="shared" si="25"/>
        <v>18</v>
      </c>
      <c r="BK111" s="33" t="str">
        <f t="shared" si="26"/>
        <v>Extrato de tomate</v>
      </c>
      <c r="BL111" s="33">
        <f>tab_alimentos[[#This Row],[kg]]</f>
        <v>0</v>
      </c>
      <c r="BN111" s="35">
        <f t="shared" si="36"/>
        <v>0</v>
      </c>
      <c r="BP111" s="33" t="str">
        <f>tab_higiene[[#This Row],[Item]]</f>
        <v>Fraldas Infantis (48un)</v>
      </c>
      <c r="BQ111" s="33">
        <f t="shared" si="33"/>
        <v>17</v>
      </c>
      <c r="BR111" s="33" t="str">
        <f t="shared" si="34"/>
        <v>Fraldas Infantis</v>
      </c>
      <c r="BS111" s="33">
        <f>higiene[[#This Row],[Quantidade]]</f>
        <v>0</v>
      </c>
      <c r="BT111" s="33">
        <f>tab_higiene[Qtde (tot)]</f>
        <v>2</v>
      </c>
      <c r="BU111" s="33">
        <f t="shared" si="37"/>
        <v>0</v>
      </c>
      <c r="BW111" s="33">
        <f t="shared" si="44"/>
        <v>0</v>
      </c>
    </row>
    <row r="112" spans="9:75" x14ac:dyDescent="0.25">
      <c r="I112" s="25" t="str">
        <f>alimentos[[#This Row],[Item]]</f>
        <v>Extrato de tomate (520g)</v>
      </c>
      <c r="J112" s="1">
        <f>IFERROR(alimentos[[#This Row],[kg/embalagem]],0)</f>
        <v>0.52</v>
      </c>
      <c r="K112" s="1">
        <f>IFERROR(alimentos[[#This Row],[Preço]],0)</f>
        <v>2.7199999999999998</v>
      </c>
      <c r="L112" s="1">
        <f>SUMIFS(super1[Qtde],super1[Item],tab_alimentos[[#This Row],[Item]],super1[Bairro],mercado1)+SUMIFS(supercb[Qtde],supercb[Item],tab_alimentos[[#This Row],[Item]],supercb[Bairro],mercado1)</f>
        <v>0</v>
      </c>
      <c r="M112" s="1">
        <f>SUMIFS(super1[Qtde],super1[Item],tab_alimentos[[#This Row],[Item]],super1[Bairro],mercado2)+SUMIFS(supercb[Qtde],supercb[Item],tab_alimentos[[#This Row],[Item]],supercb[Bairro],mercado2)</f>
        <v>0</v>
      </c>
      <c r="N112" s="1">
        <f>SUMIFS(super1[Qtde],super1[Item],tab_alimentos[[#This Row],[Item]],super1[Bairro],mercado3)+SUMIFS(supercb[Qtde],supercb[Item],tab_alimentos[[#This Row],[Item]],supercb[Bairro],mercado3)</f>
        <v>0</v>
      </c>
      <c r="O112" s="1">
        <f>SUMIFS(super1[Qtde],super1[Item],tab_alimentos[[#This Row],[Item]],super1[Bairro],mercado4)+SUMIFS(supercb[Qtde],supercb[Item],tab_alimentos[[#This Row],[Item]],supercb[Bairro],mercado4)</f>
        <v>0</v>
      </c>
      <c r="P112" s="1">
        <f>SUMIFS(super1[Qtde],super1[Item],tab_alimentos[[#This Row],[Item]],super1[Bairro],mercado5)+SUMIFS(supercb[Qtde],supercb[Item],tab_alimentos[[#This Row],[Item]],supercb[Bairro],mercado5)</f>
        <v>0</v>
      </c>
      <c r="Q112" s="1">
        <f>SUMIFS(super1[Qtde],super1[Item],tab_alimentos[[#This Row],[Item]],super1[Bairro],mercado6)+SUMIFS(supercb[Qtde],supercb[Item],tab_alimentos[[#This Row],[Item]],supercb[Bairro],mercado6)</f>
        <v>0</v>
      </c>
      <c r="R112" s="1">
        <f>SUMIFS(super1[Qtde],super1[Item],tab_alimentos[[#This Row],[Item]],super1[Bairro],mercado7)+SUMIFS(supercb[Qtde],supercb[Item],tab_alimentos[[#This Row],[Item]],supercb[Bairro],mercado7)</f>
        <v>0</v>
      </c>
      <c r="S112" s="1">
        <f>SUMIFS(super1[Qtde],super1[Item],tab_alimentos[[#This Row],[Item]],super1[Bairro],mercado8)+SUMIFS(supercb[Qtde],supercb[Item],tab_alimentos[[#This Row],[Item]],supercb[Bairro],mercado8)</f>
        <v>0</v>
      </c>
      <c r="T112" s="1">
        <f>SUMIFS(super1[Qtde],super1[Item],tab_alimentos[[#This Row],[Item]],super1[Bairro],mercado9)+SUMIFS(supercb[Qtde],supercb[Item],tab_alimentos[[#This Row],[Item]],supercb[Bairro],mercado9)</f>
        <v>0</v>
      </c>
      <c r="U112" s="1">
        <f>SUMIFS(super1[Qtde],super1[Item],tab_alimentos[[#This Row],[Item]],super1[Bairro],mercado10)+SUMIFS(supercb[Qtde],supercb[Item],tab_alimentos[[#This Row],[Item]],supercb[Bairro],mercado10)</f>
        <v>0</v>
      </c>
      <c r="V112" s="1">
        <f>SUMIFS(super1[Qtde],super1[Item],tab_alimentos[[#This Row],[Item]],super1[Bairro],mercado11)+SUMIFS(supercb[Qtde],supercb[Item],tab_alimentos[[#This Row],[Item]],supercb[Bairro],mercado11)</f>
        <v>0</v>
      </c>
      <c r="W112" s="1">
        <f>SUMIFS(super1[Qtde],super1[Item],tab_alimentos[[#This Row],[Item]],super1[Bairro],mercado12)+SUMIFS(supercb[Qtde],supercb[Item],tab_alimentos[[#This Row],[Item]],supercb[Bairro],mercado12)</f>
        <v>0</v>
      </c>
      <c r="X112" s="1">
        <f>SUMIFS(super1[Qtde],super1[Item],tab_alimentos[[#This Row],[Item]],super1[Bairro],mercado13)+SUMIFS(supercb[Qtde],supercb[Item],tab_alimentos[[#This Row],[Item]],supercb[Bairro],mercado13)</f>
        <v>0</v>
      </c>
      <c r="Y112" s="1">
        <f>SUMIFS(super1[Qtde],super1[Item],tab_alimentos[[#This Row],[Item]],super1[Bairro],mercado14)+SUMIFS(supercb[Qtde],supercb[Item],tab_alimentos[[#This Row],[Item]],supercb[Bairro],mercado14)</f>
        <v>0</v>
      </c>
      <c r="Z112" s="1">
        <f>SUMIFS(super1[Qtde],super1[Item],tab_alimentos[[#This Row],[Item]],super1[Bairro],mercado15)+SUMIFS(supercb[Qtde],supercb[Item],tab_alimentos[[#This Row],[Item]],supercb[Bairro],mercado15)</f>
        <v>0</v>
      </c>
      <c r="AA112" s="1">
        <f>SUMIFS(super1[Qtde],super1[Item],tab_alimentos[[#This Row],[Item]],super1[Bairro],mercado16)+SUMIFS(supercb[Qtde],supercb[Item],tab_alimentos[[#This Row],[Item]],supercb[Bairro],mercado16)</f>
        <v>0</v>
      </c>
      <c r="AB112" s="1">
        <f>SUMIFS(super1[Qtde],super1[Item],tab_alimentos[[#This Row],[Item]],super1[Bairro],mercado17)+SUMIFS(supercb[Qtde],supercb[Item],tab_alimentos[[#This Row],[Item]],supercb[Bairro],mercado17)</f>
        <v>0</v>
      </c>
      <c r="AC112" s="1">
        <f>SUMIFS(super1[Qtde],super1[Item],tab_alimentos[[#This Row],[Item]],super1[Bairro],mercado18)+SUMIFS(supercb[Qtde],supercb[Item],tab_alimentos[[#This Row],[Item]],supercb[Bairro],mercado18)</f>
        <v>0</v>
      </c>
      <c r="AD112" s="1">
        <f>SUMIFS(super1[Qtde],super1[Item],tab_alimentos[[#This Row],[Item]],super1[Bairro],extras)+SUMIFS(supercb[Qtde],supercb[Item],tab_alimentos[[#This Row],[Item]],supercb[Bairro],extras)</f>
        <v>0</v>
      </c>
      <c r="AE112" s="1">
        <f t="shared" si="38"/>
        <v>0</v>
      </c>
      <c r="AF112" s="1">
        <f t="shared" si="39"/>
        <v>0</v>
      </c>
      <c r="AG112" s="3">
        <f t="shared" si="40"/>
        <v>0</v>
      </c>
      <c r="AH112" s="25" t="str">
        <f>higiene[[#This Row],[Item]]</f>
        <v>Fraldas Infantis (50un)</v>
      </c>
      <c r="AI112" s="1">
        <f>IFERROR(higiene[[#This Row],[Kg equivalente]],0)</f>
        <v>9.9981514198750219</v>
      </c>
      <c r="AJ112" s="1">
        <f>IFERROR(higiene[[#This Row],[Preço por produto]],0)</f>
        <v>33.118000000000002</v>
      </c>
      <c r="AK112" s="1">
        <f>SUMIFS(super1[Qtde],super1[Item],tab_higiene[[#This Row],[Item]],super1[Bairro],mercado1)+SUMIFS(supercb[Qtde],supercb[Item],tab_higiene[[#This Row],[Item]],supercb[Bairro],mercado1)</f>
        <v>0</v>
      </c>
      <c r="AL112" s="1">
        <f>SUMIFS(super1[Qtde],super1[Item],tab_higiene[[#This Row],[Item]],super1[Bairro],mercado2)+SUMIFS(supercb[Qtde],supercb[Item],tab_higiene[[#This Row],[Item]],supercb[Bairro],mercado2)</f>
        <v>0</v>
      </c>
      <c r="AM112" s="1">
        <f>SUMIFS(super1[Qtde],super1[Item],tab_higiene[[#This Row],[Item]],super1[Bairro],mercado3)+SUMIFS(supercb[Qtde],supercb[Item],tab_higiene[[#This Row],[Item]],supercb[Bairro],mercado3)</f>
        <v>0</v>
      </c>
      <c r="AN112" s="1">
        <f>SUMIFS(super1[Qtde],super1[Item],tab_higiene[[#This Row],[Item]],super1[Bairro],mercado4)+SUMIFS(supercb[Qtde],supercb[Item],tab_higiene[[#This Row],[Item]],supercb[Bairro],mercado4)</f>
        <v>0</v>
      </c>
      <c r="AO112" s="1">
        <f>SUMIFS(super1[Qtde],super1[Item],tab_higiene[[#This Row],[Item]],super1[Bairro],mercado5)+SUMIFS(supercb[Qtde],supercb[Item],tab_higiene[[#This Row],[Item]],supercb[Bairro],mercado5)</f>
        <v>0</v>
      </c>
      <c r="AP112" s="1">
        <f>SUMIFS(super1[Qtde],super1[Item],tab_higiene[[#This Row],[Item]],super1[Bairro],mercado6)+SUMIFS(supercb[Qtde],supercb[Item],tab_higiene[[#This Row],[Item]],supercb[Bairro],mercado6)</f>
        <v>0</v>
      </c>
      <c r="AQ112" s="1">
        <f>SUMIFS(super1[Qtde],super1[Item],tab_higiene[[#This Row],[Item]],super1[Bairro],mercado7)+SUMIFS(supercb[Qtde],supercb[Item],tab_higiene[[#This Row],[Item]],supercb[Bairro],mercado7)</f>
        <v>0</v>
      </c>
      <c r="AR112" s="1">
        <f>SUMIFS(super1[Qtde],super1[Item],tab_higiene[[#This Row],[Item]],super1[Bairro],mercado8)+SUMIFS(supercb[Qtde],supercb[Item],tab_higiene[[#This Row],[Item]],supercb[Bairro],mercado8)</f>
        <v>0</v>
      </c>
      <c r="AS112" s="1">
        <f>SUMIFS(super1[Qtde],super1[Item],tab_higiene[[#This Row],[Item]],super1[Bairro],mercado9)+SUMIFS(supercb[Qtde],supercb[Item],tab_higiene[[#This Row],[Item]],supercb[Bairro],mercado9)</f>
        <v>0</v>
      </c>
      <c r="AT112" s="1">
        <f>SUMIFS(super1[Qtde],super1[Item],tab_higiene[[#This Row],[Item]],super1[Bairro],mercado10)+SUMIFS(supercb[Qtde],supercb[Item],tab_higiene[[#This Row],[Item]],supercb[Bairro],mercado10)</f>
        <v>0</v>
      </c>
      <c r="AU112" s="1">
        <f>SUMIFS(super1[Qtde],super1[Item],tab_higiene[[#This Row],[Item]],super1[Bairro],mercado11)+SUMIFS(supercb[Qtde],supercb[Item],tab_higiene[[#This Row],[Item]],supercb[Bairro],mercado11)</f>
        <v>0</v>
      </c>
      <c r="AV112" s="1">
        <f>SUMIFS(super1[Qtde],super1[Item],tab_higiene[[#This Row],[Item]],super1[Bairro],mercado12)+SUMIFS(supercb[Qtde],supercb[Item],tab_higiene[[#This Row],[Item]],supercb[Bairro],mercado12)</f>
        <v>0</v>
      </c>
      <c r="AW112" s="1">
        <f>SUMIFS(super1[Qtde],super1[Item],tab_higiene[[#This Row],[Item]],super1[Bairro],mercado13)+SUMIFS(supercb[Qtde],supercb[Item],tab_higiene[[#This Row],[Item]],supercb[Bairro],mercado13)</f>
        <v>1</v>
      </c>
      <c r="AX112" s="1">
        <f>SUMIFS(super1[Qtde],super1[Item],tab_higiene[[#This Row],[Item]],super1[Bairro],mercado14)+SUMIFS(supercb[Qtde],supercb[Item],tab_higiene[[#This Row],[Item]],supercb[Bairro],mercado14)</f>
        <v>0</v>
      </c>
      <c r="AY112" s="1">
        <f>SUMIFS(super1[Qtde],super1[Item],tab_higiene[[#This Row],[Item]],super1[Bairro],mercado15)+SUMIFS(supercb[Qtde],supercb[Item],tab_higiene[[#This Row],[Item]],supercb[Bairro],mercado15)</f>
        <v>0</v>
      </c>
      <c r="AZ112" s="1">
        <f>SUMIFS(super1[Qtde],super1[Item],tab_higiene[[#This Row],[Item]],super1[Bairro],mercado16)+SUMIFS(supercb[Qtde],supercb[Item],tab_higiene[[#This Row],[Item]],supercb[Bairro],mercado16)</f>
        <v>0</v>
      </c>
      <c r="BA112" s="1">
        <f>SUMIFS(super1[Qtde],super1[Item],tab_higiene[[#This Row],[Item]],super1[Bairro],mercado17)+SUMIFS(supercb[Qtde],supercb[Item],tab_higiene[[#This Row],[Item]],supercb[Bairro],mercado17)</f>
        <v>0</v>
      </c>
      <c r="BB112" s="1">
        <f>SUMIFS(super1[Qtde],super1[Item],tab_higiene[[#This Row],[Item]],super1[Bairro],mercado18)+SUMIFS(supercb[Qtde],supercb[Item],tab_higiene[[#This Row],[Item]],supercb[Bairro],mercado18)</f>
        <v>0</v>
      </c>
      <c r="BC112" s="1">
        <f>SUMIFS(super1[Qtde],super1[Item],tab_higiene[[#This Row],[Item]],super1[Bairro],extras)+SUMIFS(supercb[Qtde],supercb[Item],tab_higiene[[#This Row],[Item]],supercb[Bairro],extras)</f>
        <v>0</v>
      </c>
      <c r="BD112" s="1">
        <f t="shared" si="41"/>
        <v>1</v>
      </c>
      <c r="BE112" s="1">
        <f t="shared" si="42"/>
        <v>33.118000000000002</v>
      </c>
      <c r="BF112" s="26">
        <f t="shared" si="43"/>
        <v>9.9981514198750219</v>
      </c>
      <c r="BI112" s="33" t="str">
        <f>tab_alimentos[[#This Row],[Item]]</f>
        <v>Extrato de tomate (520g)</v>
      </c>
      <c r="BJ112" s="33">
        <f t="shared" si="25"/>
        <v>18</v>
      </c>
      <c r="BK112" s="33" t="str">
        <f t="shared" si="26"/>
        <v>Extrato de tomate</v>
      </c>
      <c r="BL112" s="33">
        <f>tab_alimentos[[#This Row],[kg]]</f>
        <v>0</v>
      </c>
      <c r="BN112" s="35">
        <f t="shared" si="36"/>
        <v>0</v>
      </c>
      <c r="BP112" s="33" t="str">
        <f>tab_higiene[[#This Row],[Item]]</f>
        <v>Fraldas Infantis (50un)</v>
      </c>
      <c r="BQ112" s="33">
        <f t="shared" si="33"/>
        <v>17</v>
      </c>
      <c r="BR112" s="33" t="str">
        <f t="shared" si="34"/>
        <v>Fraldas Infantis</v>
      </c>
      <c r="BS112" s="33">
        <f>higiene[[#This Row],[Quantidade]]</f>
        <v>0</v>
      </c>
      <c r="BT112" s="33">
        <f>tab_higiene[Qtde (tot)]</f>
        <v>1</v>
      </c>
      <c r="BU112" s="33">
        <f t="shared" si="37"/>
        <v>0</v>
      </c>
      <c r="BW112" s="33">
        <f t="shared" si="44"/>
        <v>0</v>
      </c>
    </row>
    <row r="113" spans="9:75" x14ac:dyDescent="0.25">
      <c r="I113" s="25" t="str">
        <f>alimentos[[#This Row],[Item]]</f>
        <v>F</v>
      </c>
      <c r="J113" s="1">
        <f>IFERROR(alimentos[[#This Row],[kg/embalagem]],0)</f>
        <v>0</v>
      </c>
      <c r="K113" s="1">
        <f>IFERROR(alimentos[[#This Row],[Preço]],0)</f>
        <v>0</v>
      </c>
      <c r="L113" s="1">
        <f>SUMIFS(super1[Qtde],super1[Item],tab_alimentos[[#This Row],[Item]],super1[Bairro],mercado1)+SUMIFS(supercb[Qtde],supercb[Item],tab_alimentos[[#This Row],[Item]],supercb[Bairro],mercado1)</f>
        <v>0</v>
      </c>
      <c r="M113" s="1">
        <f>SUMIFS(super1[Qtde],super1[Item],tab_alimentos[[#This Row],[Item]],super1[Bairro],mercado2)+SUMIFS(supercb[Qtde],supercb[Item],tab_alimentos[[#This Row],[Item]],supercb[Bairro],mercado2)</f>
        <v>0</v>
      </c>
      <c r="N113" s="1">
        <f>SUMIFS(super1[Qtde],super1[Item],tab_alimentos[[#This Row],[Item]],super1[Bairro],mercado3)+SUMIFS(supercb[Qtde],supercb[Item],tab_alimentos[[#This Row],[Item]],supercb[Bairro],mercado3)</f>
        <v>0</v>
      </c>
      <c r="O113" s="1">
        <f>SUMIFS(super1[Qtde],super1[Item],tab_alimentos[[#This Row],[Item]],super1[Bairro],mercado4)+SUMIFS(supercb[Qtde],supercb[Item],tab_alimentos[[#This Row],[Item]],supercb[Bairro],mercado4)</f>
        <v>0</v>
      </c>
      <c r="P113" s="1">
        <f>SUMIFS(super1[Qtde],super1[Item],tab_alimentos[[#This Row],[Item]],super1[Bairro],mercado5)+SUMIFS(supercb[Qtde],supercb[Item],tab_alimentos[[#This Row],[Item]],supercb[Bairro],mercado5)</f>
        <v>0</v>
      </c>
      <c r="Q113" s="1">
        <f>SUMIFS(super1[Qtde],super1[Item],tab_alimentos[[#This Row],[Item]],super1[Bairro],mercado6)+SUMIFS(supercb[Qtde],supercb[Item],tab_alimentos[[#This Row],[Item]],supercb[Bairro],mercado6)</f>
        <v>0</v>
      </c>
      <c r="R113" s="1">
        <f>SUMIFS(super1[Qtde],super1[Item],tab_alimentos[[#This Row],[Item]],super1[Bairro],mercado7)+SUMIFS(supercb[Qtde],supercb[Item],tab_alimentos[[#This Row],[Item]],supercb[Bairro],mercado7)</f>
        <v>0</v>
      </c>
      <c r="S113" s="1">
        <f>SUMIFS(super1[Qtde],super1[Item],tab_alimentos[[#This Row],[Item]],super1[Bairro],mercado8)+SUMIFS(supercb[Qtde],supercb[Item],tab_alimentos[[#This Row],[Item]],supercb[Bairro],mercado8)</f>
        <v>0</v>
      </c>
      <c r="T113" s="1">
        <f>SUMIFS(super1[Qtde],super1[Item],tab_alimentos[[#This Row],[Item]],super1[Bairro],mercado9)+SUMIFS(supercb[Qtde],supercb[Item],tab_alimentos[[#This Row],[Item]],supercb[Bairro],mercado9)</f>
        <v>0</v>
      </c>
      <c r="U113" s="1">
        <f>SUMIFS(super1[Qtde],super1[Item],tab_alimentos[[#This Row],[Item]],super1[Bairro],mercado10)+SUMIFS(supercb[Qtde],supercb[Item],tab_alimentos[[#This Row],[Item]],supercb[Bairro],mercado10)</f>
        <v>0</v>
      </c>
      <c r="V113" s="1">
        <f>SUMIFS(super1[Qtde],super1[Item],tab_alimentos[[#This Row],[Item]],super1[Bairro],mercado11)+SUMIFS(supercb[Qtde],supercb[Item],tab_alimentos[[#This Row],[Item]],supercb[Bairro],mercado11)</f>
        <v>0</v>
      </c>
      <c r="W113" s="1">
        <f>SUMIFS(super1[Qtde],super1[Item],tab_alimentos[[#This Row],[Item]],super1[Bairro],mercado12)+SUMIFS(supercb[Qtde],supercb[Item],tab_alimentos[[#This Row],[Item]],supercb[Bairro],mercado12)</f>
        <v>0</v>
      </c>
      <c r="X113" s="1">
        <f>SUMIFS(super1[Qtde],super1[Item],tab_alimentos[[#This Row],[Item]],super1[Bairro],mercado13)+SUMIFS(supercb[Qtde],supercb[Item],tab_alimentos[[#This Row],[Item]],supercb[Bairro],mercado13)</f>
        <v>0</v>
      </c>
      <c r="Y113" s="1">
        <f>SUMIFS(super1[Qtde],super1[Item],tab_alimentos[[#This Row],[Item]],super1[Bairro],mercado14)+SUMIFS(supercb[Qtde],supercb[Item],tab_alimentos[[#This Row],[Item]],supercb[Bairro],mercado14)</f>
        <v>0</v>
      </c>
      <c r="Z113" s="1">
        <f>SUMIFS(super1[Qtde],super1[Item],tab_alimentos[[#This Row],[Item]],super1[Bairro],mercado15)+SUMIFS(supercb[Qtde],supercb[Item],tab_alimentos[[#This Row],[Item]],supercb[Bairro],mercado15)</f>
        <v>0</v>
      </c>
      <c r="AA113" s="1">
        <f>SUMIFS(super1[Qtde],super1[Item],tab_alimentos[[#This Row],[Item]],super1[Bairro],mercado16)+SUMIFS(supercb[Qtde],supercb[Item],tab_alimentos[[#This Row],[Item]],supercb[Bairro],mercado16)</f>
        <v>0</v>
      </c>
      <c r="AB113" s="1">
        <f>SUMIFS(super1[Qtde],super1[Item],tab_alimentos[[#This Row],[Item]],super1[Bairro],mercado17)+SUMIFS(supercb[Qtde],supercb[Item],tab_alimentos[[#This Row],[Item]],supercb[Bairro],mercado17)</f>
        <v>0</v>
      </c>
      <c r="AC113" s="1">
        <f>SUMIFS(super1[Qtde],super1[Item],tab_alimentos[[#This Row],[Item]],super1[Bairro],mercado18)+SUMIFS(supercb[Qtde],supercb[Item],tab_alimentos[[#This Row],[Item]],supercb[Bairro],mercado18)</f>
        <v>0</v>
      </c>
      <c r="AD113" s="1">
        <f>SUMIFS(super1[Qtde],super1[Item],tab_alimentos[[#This Row],[Item]],super1[Bairro],extras)+SUMIFS(supercb[Qtde],supercb[Item],tab_alimentos[[#This Row],[Item]],supercb[Bairro],extras)</f>
        <v>0</v>
      </c>
      <c r="AE113" s="1">
        <f t="shared" si="38"/>
        <v>0</v>
      </c>
      <c r="AF113" s="1">
        <f t="shared" si="39"/>
        <v>0</v>
      </c>
      <c r="AG113" s="3">
        <f t="shared" si="40"/>
        <v>0</v>
      </c>
      <c r="AH113" s="25" t="str">
        <f>higiene[[#This Row],[Item]]</f>
        <v>Fraldas Infantis (52un)</v>
      </c>
      <c r="AI113" s="1">
        <f>IFERROR(higiene[[#This Row],[Kg equivalente]],0)</f>
        <v>13.277332551666872</v>
      </c>
      <c r="AJ113" s="1">
        <f>IFERROR(higiene[[#This Row],[Preço por produto]],0)</f>
        <v>43.98</v>
      </c>
      <c r="AK113" s="1">
        <f>SUMIFS(super1[Qtde],super1[Item],tab_higiene[[#This Row],[Item]],super1[Bairro],mercado1)+SUMIFS(supercb[Qtde],supercb[Item],tab_higiene[[#This Row],[Item]],supercb[Bairro],mercado1)</f>
        <v>0</v>
      </c>
      <c r="AL113" s="1">
        <f>SUMIFS(super1[Qtde],super1[Item],tab_higiene[[#This Row],[Item]],super1[Bairro],mercado2)+SUMIFS(supercb[Qtde],supercb[Item],tab_higiene[[#This Row],[Item]],supercb[Bairro],mercado2)</f>
        <v>0</v>
      </c>
      <c r="AM113" s="1">
        <f>SUMIFS(super1[Qtde],super1[Item],tab_higiene[[#This Row],[Item]],super1[Bairro],mercado3)+SUMIFS(supercb[Qtde],supercb[Item],tab_higiene[[#This Row],[Item]],supercb[Bairro],mercado3)</f>
        <v>0</v>
      </c>
      <c r="AN113" s="1">
        <f>SUMIFS(super1[Qtde],super1[Item],tab_higiene[[#This Row],[Item]],super1[Bairro],mercado4)+SUMIFS(supercb[Qtde],supercb[Item],tab_higiene[[#This Row],[Item]],supercb[Bairro],mercado4)</f>
        <v>0</v>
      </c>
      <c r="AO113" s="1">
        <f>SUMIFS(super1[Qtde],super1[Item],tab_higiene[[#This Row],[Item]],super1[Bairro],mercado5)+SUMIFS(supercb[Qtde],supercb[Item],tab_higiene[[#This Row],[Item]],supercb[Bairro],mercado5)</f>
        <v>0</v>
      </c>
      <c r="AP113" s="1">
        <f>SUMIFS(super1[Qtde],super1[Item],tab_higiene[[#This Row],[Item]],super1[Bairro],mercado6)+SUMIFS(supercb[Qtde],supercb[Item],tab_higiene[[#This Row],[Item]],supercb[Bairro],mercado6)</f>
        <v>0</v>
      </c>
      <c r="AQ113" s="1">
        <f>SUMIFS(super1[Qtde],super1[Item],tab_higiene[[#This Row],[Item]],super1[Bairro],mercado7)+SUMIFS(supercb[Qtde],supercb[Item],tab_higiene[[#This Row],[Item]],supercb[Bairro],mercado7)</f>
        <v>0</v>
      </c>
      <c r="AR113" s="1">
        <f>SUMIFS(super1[Qtde],super1[Item],tab_higiene[[#This Row],[Item]],super1[Bairro],mercado8)+SUMIFS(supercb[Qtde],supercb[Item],tab_higiene[[#This Row],[Item]],supercb[Bairro],mercado8)</f>
        <v>0</v>
      </c>
      <c r="AS113" s="1">
        <f>SUMIFS(super1[Qtde],super1[Item],tab_higiene[[#This Row],[Item]],super1[Bairro],mercado9)+SUMIFS(supercb[Qtde],supercb[Item],tab_higiene[[#This Row],[Item]],supercb[Bairro],mercado9)</f>
        <v>0</v>
      </c>
      <c r="AT113" s="1">
        <f>SUMIFS(super1[Qtde],super1[Item],tab_higiene[[#This Row],[Item]],super1[Bairro],mercado10)+SUMIFS(supercb[Qtde],supercb[Item],tab_higiene[[#This Row],[Item]],supercb[Bairro],mercado10)</f>
        <v>0</v>
      </c>
      <c r="AU113" s="1">
        <f>SUMIFS(super1[Qtde],super1[Item],tab_higiene[[#This Row],[Item]],super1[Bairro],mercado11)+SUMIFS(supercb[Qtde],supercb[Item],tab_higiene[[#This Row],[Item]],supercb[Bairro],mercado11)</f>
        <v>0</v>
      </c>
      <c r="AV113" s="1">
        <f>SUMIFS(super1[Qtde],super1[Item],tab_higiene[[#This Row],[Item]],super1[Bairro],mercado12)+SUMIFS(supercb[Qtde],supercb[Item],tab_higiene[[#This Row],[Item]],supercb[Bairro],mercado12)</f>
        <v>0</v>
      </c>
      <c r="AW113" s="1">
        <f>SUMIFS(super1[Qtde],super1[Item],tab_higiene[[#This Row],[Item]],super1[Bairro],mercado13)+SUMIFS(supercb[Qtde],supercb[Item],tab_higiene[[#This Row],[Item]],supercb[Bairro],mercado13)</f>
        <v>0</v>
      </c>
      <c r="AX113" s="1">
        <f>SUMIFS(super1[Qtde],super1[Item],tab_higiene[[#This Row],[Item]],super1[Bairro],mercado14)+SUMIFS(supercb[Qtde],supercb[Item],tab_higiene[[#This Row],[Item]],supercb[Bairro],mercado14)</f>
        <v>0</v>
      </c>
      <c r="AY113" s="1">
        <f>SUMIFS(super1[Qtde],super1[Item],tab_higiene[[#This Row],[Item]],super1[Bairro],mercado15)+SUMIFS(supercb[Qtde],supercb[Item],tab_higiene[[#This Row],[Item]],supercb[Bairro],mercado15)</f>
        <v>0</v>
      </c>
      <c r="AZ113" s="1">
        <f>SUMIFS(super1[Qtde],super1[Item],tab_higiene[[#This Row],[Item]],super1[Bairro],mercado16)+SUMIFS(supercb[Qtde],supercb[Item],tab_higiene[[#This Row],[Item]],supercb[Bairro],mercado16)</f>
        <v>0</v>
      </c>
      <c r="BA113" s="1">
        <f>SUMIFS(super1[Qtde],super1[Item],tab_higiene[[#This Row],[Item]],super1[Bairro],mercado17)+SUMIFS(supercb[Qtde],supercb[Item],tab_higiene[[#This Row],[Item]],supercb[Bairro],mercado17)</f>
        <v>0</v>
      </c>
      <c r="BB113" s="1">
        <f>SUMIFS(super1[Qtde],super1[Item],tab_higiene[[#This Row],[Item]],super1[Bairro],mercado18)+SUMIFS(supercb[Qtde],supercb[Item],tab_higiene[[#This Row],[Item]],supercb[Bairro],mercado18)</f>
        <v>0</v>
      </c>
      <c r="BC113" s="1">
        <f>SUMIFS(super1[Qtde],super1[Item],tab_higiene[[#This Row],[Item]],super1[Bairro],extras)+SUMIFS(supercb[Qtde],supercb[Item],tab_higiene[[#This Row],[Item]],supercb[Bairro],extras)</f>
        <v>0</v>
      </c>
      <c r="BD113" s="1">
        <f t="shared" si="41"/>
        <v>0</v>
      </c>
      <c r="BE113" s="1">
        <f t="shared" si="42"/>
        <v>0</v>
      </c>
      <c r="BF113" s="26">
        <f t="shared" si="43"/>
        <v>0</v>
      </c>
      <c r="BI113" s="33" t="str">
        <f>tab_alimentos[[#This Row],[Item]]</f>
        <v>F</v>
      </c>
      <c r="BJ113" s="33">
        <f t="shared" si="25"/>
        <v>0</v>
      </c>
      <c r="BK113" s="33" t="str">
        <f t="shared" si="26"/>
        <v>F</v>
      </c>
      <c r="BL113" s="33">
        <f>tab_alimentos[[#This Row],[kg]]</f>
        <v>0</v>
      </c>
      <c r="BN113" s="35">
        <f t="shared" si="36"/>
        <v>0</v>
      </c>
      <c r="BP113" s="33" t="str">
        <f>tab_higiene[[#This Row],[Item]]</f>
        <v>Fraldas Infantis (52un)</v>
      </c>
      <c r="BQ113" s="33">
        <f t="shared" si="33"/>
        <v>17</v>
      </c>
      <c r="BR113" s="33" t="str">
        <f t="shared" si="34"/>
        <v>Fraldas Infantis</v>
      </c>
      <c r="BS113" s="33">
        <f>higiene[[#This Row],[Quantidade]]</f>
        <v>0</v>
      </c>
      <c r="BT113" s="33">
        <f>tab_higiene[Qtde (tot)]</f>
        <v>0</v>
      </c>
      <c r="BU113" s="33">
        <f t="shared" si="37"/>
        <v>0</v>
      </c>
      <c r="BW113" s="33">
        <f t="shared" si="44"/>
        <v>0</v>
      </c>
    </row>
    <row r="114" spans="9:75" x14ac:dyDescent="0.25">
      <c r="I114" s="25" t="str">
        <f>alimentos[[#This Row],[Item]]</f>
        <v>Farinha de Kibe (500g)</v>
      </c>
      <c r="J114" s="1">
        <f>IFERROR(alimentos[[#This Row],[kg/embalagem]],0)</f>
        <v>0.5</v>
      </c>
      <c r="K114" s="1">
        <f>IFERROR(alimentos[[#This Row],[Preço]],0)</f>
        <v>3.89</v>
      </c>
      <c r="L114" s="1">
        <f>SUMIFS(super1[Qtde],super1[Item],tab_alimentos[[#This Row],[Item]],super1[Bairro],mercado1)+SUMIFS(supercb[Qtde],supercb[Item],tab_alimentos[[#This Row],[Item]],supercb[Bairro],mercado1)</f>
        <v>0</v>
      </c>
      <c r="M114" s="1">
        <f>SUMIFS(super1[Qtde],super1[Item],tab_alimentos[[#This Row],[Item]],super1[Bairro],mercado2)+SUMIFS(supercb[Qtde],supercb[Item],tab_alimentos[[#This Row],[Item]],supercb[Bairro],mercado2)</f>
        <v>0</v>
      </c>
      <c r="N114" s="1">
        <f>SUMIFS(super1[Qtde],super1[Item],tab_alimentos[[#This Row],[Item]],super1[Bairro],mercado3)+SUMIFS(supercb[Qtde],supercb[Item],tab_alimentos[[#This Row],[Item]],supercb[Bairro],mercado3)</f>
        <v>0</v>
      </c>
      <c r="O114" s="1">
        <f>SUMIFS(super1[Qtde],super1[Item],tab_alimentos[[#This Row],[Item]],super1[Bairro],mercado4)+SUMIFS(supercb[Qtde],supercb[Item],tab_alimentos[[#This Row],[Item]],supercb[Bairro],mercado4)</f>
        <v>0</v>
      </c>
      <c r="P114" s="1">
        <f>SUMIFS(super1[Qtde],super1[Item],tab_alimentos[[#This Row],[Item]],super1[Bairro],mercado5)+SUMIFS(supercb[Qtde],supercb[Item],tab_alimentos[[#This Row],[Item]],supercb[Bairro],mercado5)</f>
        <v>0</v>
      </c>
      <c r="Q114" s="1">
        <f>SUMIFS(super1[Qtde],super1[Item],tab_alimentos[[#This Row],[Item]],super1[Bairro],mercado6)+SUMIFS(supercb[Qtde],supercb[Item],tab_alimentos[[#This Row],[Item]],supercb[Bairro],mercado6)</f>
        <v>0</v>
      </c>
      <c r="R114" s="1">
        <f>SUMIFS(super1[Qtde],super1[Item],tab_alimentos[[#This Row],[Item]],super1[Bairro],mercado7)+SUMIFS(supercb[Qtde],supercb[Item],tab_alimentos[[#This Row],[Item]],supercb[Bairro],mercado7)</f>
        <v>0</v>
      </c>
      <c r="S114" s="1">
        <f>SUMIFS(super1[Qtde],super1[Item],tab_alimentos[[#This Row],[Item]],super1[Bairro],mercado8)+SUMIFS(supercb[Qtde],supercb[Item],tab_alimentos[[#This Row],[Item]],supercb[Bairro],mercado8)</f>
        <v>0</v>
      </c>
      <c r="T114" s="1">
        <f>SUMIFS(super1[Qtde],super1[Item],tab_alimentos[[#This Row],[Item]],super1[Bairro],mercado9)+SUMIFS(supercb[Qtde],supercb[Item],tab_alimentos[[#This Row],[Item]],supercb[Bairro],mercado9)</f>
        <v>0</v>
      </c>
      <c r="U114" s="1">
        <f>SUMIFS(super1[Qtde],super1[Item],tab_alimentos[[#This Row],[Item]],super1[Bairro],mercado10)+SUMIFS(supercb[Qtde],supercb[Item],tab_alimentos[[#This Row],[Item]],supercb[Bairro],mercado10)</f>
        <v>0</v>
      </c>
      <c r="V114" s="1">
        <f>SUMIFS(super1[Qtde],super1[Item],tab_alimentos[[#This Row],[Item]],super1[Bairro],mercado11)+SUMIFS(supercb[Qtde],supercb[Item],tab_alimentos[[#This Row],[Item]],supercb[Bairro],mercado11)</f>
        <v>0</v>
      </c>
      <c r="W114" s="1">
        <f>SUMIFS(super1[Qtde],super1[Item],tab_alimentos[[#This Row],[Item]],super1[Bairro],mercado12)+SUMIFS(supercb[Qtde],supercb[Item],tab_alimentos[[#This Row],[Item]],supercb[Bairro],mercado12)</f>
        <v>0</v>
      </c>
      <c r="X114" s="1">
        <f>SUMIFS(super1[Qtde],super1[Item],tab_alimentos[[#This Row],[Item]],super1[Bairro],mercado13)+SUMIFS(supercb[Qtde],supercb[Item],tab_alimentos[[#This Row],[Item]],supercb[Bairro],mercado13)</f>
        <v>0</v>
      </c>
      <c r="Y114" s="1">
        <f>SUMIFS(super1[Qtde],super1[Item],tab_alimentos[[#This Row],[Item]],super1[Bairro],mercado14)+SUMIFS(supercb[Qtde],supercb[Item],tab_alimentos[[#This Row],[Item]],supercb[Bairro],mercado14)</f>
        <v>0</v>
      </c>
      <c r="Z114" s="1">
        <f>SUMIFS(super1[Qtde],super1[Item],tab_alimentos[[#This Row],[Item]],super1[Bairro],mercado15)+SUMIFS(supercb[Qtde],supercb[Item],tab_alimentos[[#This Row],[Item]],supercb[Bairro],mercado15)</f>
        <v>0</v>
      </c>
      <c r="AA114" s="1">
        <f>SUMIFS(super1[Qtde],super1[Item],tab_alimentos[[#This Row],[Item]],super1[Bairro],mercado16)+SUMIFS(supercb[Qtde],supercb[Item],tab_alimentos[[#This Row],[Item]],supercb[Bairro],mercado16)</f>
        <v>0</v>
      </c>
      <c r="AB114" s="1">
        <f>SUMIFS(super1[Qtde],super1[Item],tab_alimentos[[#This Row],[Item]],super1[Bairro],mercado17)+SUMIFS(supercb[Qtde],supercb[Item],tab_alimentos[[#This Row],[Item]],supercb[Bairro],mercado17)</f>
        <v>0</v>
      </c>
      <c r="AC114" s="1">
        <f>SUMIFS(super1[Qtde],super1[Item],tab_alimentos[[#This Row],[Item]],super1[Bairro],mercado18)+SUMIFS(supercb[Qtde],supercb[Item],tab_alimentos[[#This Row],[Item]],supercb[Bairro],mercado18)</f>
        <v>0</v>
      </c>
      <c r="AD114" s="1">
        <f>SUMIFS(super1[Qtde],super1[Item],tab_alimentos[[#This Row],[Item]],super1[Bairro],extras)+SUMIFS(supercb[Qtde],supercb[Item],tab_alimentos[[#This Row],[Item]],supercb[Bairro],extras)</f>
        <v>0</v>
      </c>
      <c r="AE114" s="1">
        <f t="shared" si="38"/>
        <v>0</v>
      </c>
      <c r="AF114" s="1">
        <f t="shared" si="39"/>
        <v>0</v>
      </c>
      <c r="AG114" s="3">
        <f t="shared" si="40"/>
        <v>0</v>
      </c>
      <c r="AH114" s="25" t="str">
        <f>higiene[[#This Row],[Item]]</f>
        <v>Fraldas Infantis (58un)</v>
      </c>
      <c r="AI114" s="1">
        <f>IFERROR(higiene[[#This Row],[Kg equivalente]],0)</f>
        <v>13.277332551666872</v>
      </c>
      <c r="AJ114" s="1">
        <f>IFERROR(higiene[[#This Row],[Preço por produto]],0)</f>
        <v>43.98</v>
      </c>
      <c r="AK114" s="1">
        <f>SUMIFS(super1[Qtde],super1[Item],tab_higiene[[#This Row],[Item]],super1[Bairro],mercado1)+SUMIFS(supercb[Qtde],supercb[Item],tab_higiene[[#This Row],[Item]],supercb[Bairro],mercado1)</f>
        <v>0</v>
      </c>
      <c r="AL114" s="1">
        <f>SUMIFS(super1[Qtde],super1[Item],tab_higiene[[#This Row],[Item]],super1[Bairro],mercado2)+SUMIFS(supercb[Qtde],supercb[Item],tab_higiene[[#This Row],[Item]],supercb[Bairro],mercado2)</f>
        <v>0</v>
      </c>
      <c r="AM114" s="1">
        <f>SUMIFS(super1[Qtde],super1[Item],tab_higiene[[#This Row],[Item]],super1[Bairro],mercado3)+SUMIFS(supercb[Qtde],supercb[Item],tab_higiene[[#This Row],[Item]],supercb[Bairro],mercado3)</f>
        <v>0</v>
      </c>
      <c r="AN114" s="1">
        <f>SUMIFS(super1[Qtde],super1[Item],tab_higiene[[#This Row],[Item]],super1[Bairro],mercado4)+SUMIFS(supercb[Qtde],supercb[Item],tab_higiene[[#This Row],[Item]],supercb[Bairro],mercado4)</f>
        <v>0</v>
      </c>
      <c r="AO114" s="1">
        <f>SUMIFS(super1[Qtde],super1[Item],tab_higiene[[#This Row],[Item]],super1[Bairro],mercado5)+SUMIFS(supercb[Qtde],supercb[Item],tab_higiene[[#This Row],[Item]],supercb[Bairro],mercado5)</f>
        <v>0</v>
      </c>
      <c r="AP114" s="1">
        <f>SUMIFS(super1[Qtde],super1[Item],tab_higiene[[#This Row],[Item]],super1[Bairro],mercado6)+SUMIFS(supercb[Qtde],supercb[Item],tab_higiene[[#This Row],[Item]],supercb[Bairro],mercado6)</f>
        <v>0</v>
      </c>
      <c r="AQ114" s="1">
        <f>SUMIFS(super1[Qtde],super1[Item],tab_higiene[[#This Row],[Item]],super1[Bairro],mercado7)+SUMIFS(supercb[Qtde],supercb[Item],tab_higiene[[#This Row],[Item]],supercb[Bairro],mercado7)</f>
        <v>0</v>
      </c>
      <c r="AR114" s="1">
        <f>SUMIFS(super1[Qtde],super1[Item],tab_higiene[[#This Row],[Item]],super1[Bairro],mercado8)+SUMIFS(supercb[Qtde],supercb[Item],tab_higiene[[#This Row],[Item]],supercb[Bairro],mercado8)</f>
        <v>0</v>
      </c>
      <c r="AS114" s="1">
        <f>SUMIFS(super1[Qtde],super1[Item],tab_higiene[[#This Row],[Item]],super1[Bairro],mercado9)+SUMIFS(supercb[Qtde],supercb[Item],tab_higiene[[#This Row],[Item]],supercb[Bairro],mercado9)</f>
        <v>0</v>
      </c>
      <c r="AT114" s="1">
        <f>SUMIFS(super1[Qtde],super1[Item],tab_higiene[[#This Row],[Item]],super1[Bairro],mercado10)+SUMIFS(supercb[Qtde],supercb[Item],tab_higiene[[#This Row],[Item]],supercb[Bairro],mercado10)</f>
        <v>0</v>
      </c>
      <c r="AU114" s="1">
        <f>SUMIFS(super1[Qtde],super1[Item],tab_higiene[[#This Row],[Item]],super1[Bairro],mercado11)+SUMIFS(supercb[Qtde],supercb[Item],tab_higiene[[#This Row],[Item]],supercb[Bairro],mercado11)</f>
        <v>0</v>
      </c>
      <c r="AV114" s="1">
        <f>SUMIFS(super1[Qtde],super1[Item],tab_higiene[[#This Row],[Item]],super1[Bairro],mercado12)+SUMIFS(supercb[Qtde],supercb[Item],tab_higiene[[#This Row],[Item]],supercb[Bairro],mercado12)</f>
        <v>0</v>
      </c>
      <c r="AW114" s="1">
        <f>SUMIFS(super1[Qtde],super1[Item],tab_higiene[[#This Row],[Item]],super1[Bairro],mercado13)+SUMIFS(supercb[Qtde],supercb[Item],tab_higiene[[#This Row],[Item]],supercb[Bairro],mercado13)</f>
        <v>0</v>
      </c>
      <c r="AX114" s="1">
        <f>SUMIFS(super1[Qtde],super1[Item],tab_higiene[[#This Row],[Item]],super1[Bairro],mercado14)+SUMIFS(supercb[Qtde],supercb[Item],tab_higiene[[#This Row],[Item]],supercb[Bairro],mercado14)</f>
        <v>0</v>
      </c>
      <c r="AY114" s="1">
        <f>SUMIFS(super1[Qtde],super1[Item],tab_higiene[[#This Row],[Item]],super1[Bairro],mercado15)+SUMIFS(supercb[Qtde],supercb[Item],tab_higiene[[#This Row],[Item]],supercb[Bairro],mercado15)</f>
        <v>0</v>
      </c>
      <c r="AZ114" s="1">
        <f>SUMIFS(super1[Qtde],super1[Item],tab_higiene[[#This Row],[Item]],super1[Bairro],mercado16)+SUMIFS(supercb[Qtde],supercb[Item],tab_higiene[[#This Row],[Item]],supercb[Bairro],mercado16)</f>
        <v>0</v>
      </c>
      <c r="BA114" s="1">
        <f>SUMIFS(super1[Qtde],super1[Item],tab_higiene[[#This Row],[Item]],super1[Bairro],mercado17)+SUMIFS(supercb[Qtde],supercb[Item],tab_higiene[[#This Row],[Item]],supercb[Bairro],mercado17)</f>
        <v>0</v>
      </c>
      <c r="BB114" s="1">
        <f>SUMIFS(super1[Qtde],super1[Item],tab_higiene[[#This Row],[Item]],super1[Bairro],mercado18)+SUMIFS(supercb[Qtde],supercb[Item],tab_higiene[[#This Row],[Item]],supercb[Bairro],mercado18)</f>
        <v>0</v>
      </c>
      <c r="BC114" s="1">
        <f>SUMIFS(super1[Qtde],super1[Item],tab_higiene[[#This Row],[Item]],super1[Bairro],extras)+SUMIFS(supercb[Qtde],supercb[Item],tab_higiene[[#This Row],[Item]],supercb[Bairro],extras)</f>
        <v>0</v>
      </c>
      <c r="BD114" s="1">
        <f t="shared" si="41"/>
        <v>0</v>
      </c>
      <c r="BE114" s="1">
        <f t="shared" si="42"/>
        <v>0</v>
      </c>
      <c r="BF114" s="26">
        <f t="shared" si="43"/>
        <v>0</v>
      </c>
      <c r="BI114" s="33" t="str">
        <f>tab_alimentos[[#This Row],[Item]]</f>
        <v>Farinha de Kibe (500g)</v>
      </c>
      <c r="BJ114" s="33">
        <f t="shared" si="25"/>
        <v>16</v>
      </c>
      <c r="BK114" s="33" t="str">
        <f t="shared" si="26"/>
        <v>Farinha de Kibe</v>
      </c>
      <c r="BL114" s="33">
        <f>tab_alimentos[[#This Row],[kg]]</f>
        <v>0</v>
      </c>
      <c r="BN114" s="35">
        <f t="shared" si="36"/>
        <v>0</v>
      </c>
      <c r="BP114" s="33" t="str">
        <f>tab_higiene[[#This Row],[Item]]</f>
        <v>Fraldas Infantis (58un)</v>
      </c>
      <c r="BQ114" s="33">
        <f t="shared" si="33"/>
        <v>17</v>
      </c>
      <c r="BR114" s="33" t="str">
        <f t="shared" si="34"/>
        <v>Fraldas Infantis</v>
      </c>
      <c r="BS114" s="33">
        <f>higiene[[#This Row],[Quantidade]]</f>
        <v>4</v>
      </c>
      <c r="BT114" s="33">
        <f>tab_higiene[Qtde (tot)]</f>
        <v>0</v>
      </c>
      <c r="BU114" s="33">
        <f t="shared" si="37"/>
        <v>0</v>
      </c>
      <c r="BW114" s="33">
        <f t="shared" si="44"/>
        <v>0</v>
      </c>
    </row>
    <row r="115" spans="9:75" x14ac:dyDescent="0.25">
      <c r="I115" s="25" t="str">
        <f>alimentos[[#This Row],[Item]]</f>
        <v>Farinha de Mandioca (1kg)</v>
      </c>
      <c r="J115" s="1">
        <f>IFERROR(alimentos[[#This Row],[kg/embalagem]],0)</f>
        <v>1</v>
      </c>
      <c r="K115" s="1">
        <f>IFERROR(alimentos[[#This Row],[Preço]],0)</f>
        <v>7.99</v>
      </c>
      <c r="L115" s="1">
        <f>SUMIFS(super1[Qtde],super1[Item],tab_alimentos[[#This Row],[Item]],super1[Bairro],mercado1)+SUMIFS(supercb[Qtde],supercb[Item],tab_alimentos[[#This Row],[Item]],supercb[Bairro],mercado1)</f>
        <v>0</v>
      </c>
      <c r="M115" s="1">
        <f>SUMIFS(super1[Qtde],super1[Item],tab_alimentos[[#This Row],[Item]],super1[Bairro],mercado2)+SUMIFS(supercb[Qtde],supercb[Item],tab_alimentos[[#This Row],[Item]],supercb[Bairro],mercado2)</f>
        <v>0</v>
      </c>
      <c r="N115" s="1">
        <f>SUMIFS(super1[Qtde],super1[Item],tab_alimentos[[#This Row],[Item]],super1[Bairro],mercado3)+SUMIFS(supercb[Qtde],supercb[Item],tab_alimentos[[#This Row],[Item]],supercb[Bairro],mercado3)</f>
        <v>0</v>
      </c>
      <c r="O115" s="1">
        <f>SUMIFS(super1[Qtde],super1[Item],tab_alimentos[[#This Row],[Item]],super1[Bairro],mercado4)+SUMIFS(supercb[Qtde],supercb[Item],tab_alimentos[[#This Row],[Item]],supercb[Bairro],mercado4)</f>
        <v>0</v>
      </c>
      <c r="P115" s="1">
        <f>SUMIFS(super1[Qtde],super1[Item],tab_alimentos[[#This Row],[Item]],super1[Bairro],mercado5)+SUMIFS(supercb[Qtde],supercb[Item],tab_alimentos[[#This Row],[Item]],supercb[Bairro],mercado5)</f>
        <v>0</v>
      </c>
      <c r="Q115" s="1">
        <f>SUMIFS(super1[Qtde],super1[Item],tab_alimentos[[#This Row],[Item]],super1[Bairro],mercado6)+SUMIFS(supercb[Qtde],supercb[Item],tab_alimentos[[#This Row],[Item]],supercb[Bairro],mercado6)</f>
        <v>0</v>
      </c>
      <c r="R115" s="1">
        <f>SUMIFS(super1[Qtde],super1[Item],tab_alimentos[[#This Row],[Item]],super1[Bairro],mercado7)+SUMIFS(supercb[Qtde],supercb[Item],tab_alimentos[[#This Row],[Item]],supercb[Bairro],mercado7)</f>
        <v>0</v>
      </c>
      <c r="S115" s="1">
        <f>SUMIFS(super1[Qtde],super1[Item],tab_alimentos[[#This Row],[Item]],super1[Bairro],mercado8)+SUMIFS(supercb[Qtde],supercb[Item],tab_alimentos[[#This Row],[Item]],supercb[Bairro],mercado8)</f>
        <v>0</v>
      </c>
      <c r="T115" s="1">
        <f>SUMIFS(super1[Qtde],super1[Item],tab_alimentos[[#This Row],[Item]],super1[Bairro],mercado9)+SUMIFS(supercb[Qtde],supercb[Item],tab_alimentos[[#This Row],[Item]],supercb[Bairro],mercado9)</f>
        <v>0</v>
      </c>
      <c r="U115" s="1">
        <f>SUMIFS(super1[Qtde],super1[Item],tab_alimentos[[#This Row],[Item]],super1[Bairro],mercado10)+SUMIFS(supercb[Qtde],supercb[Item],tab_alimentos[[#This Row],[Item]],supercb[Bairro],mercado10)</f>
        <v>0</v>
      </c>
      <c r="V115" s="1">
        <f>SUMIFS(super1[Qtde],super1[Item],tab_alimentos[[#This Row],[Item]],super1[Bairro],mercado11)+SUMIFS(supercb[Qtde],supercb[Item],tab_alimentos[[#This Row],[Item]],supercb[Bairro],mercado11)</f>
        <v>0</v>
      </c>
      <c r="W115" s="1">
        <f>SUMIFS(super1[Qtde],super1[Item],tab_alimentos[[#This Row],[Item]],super1[Bairro],mercado12)+SUMIFS(supercb[Qtde],supercb[Item],tab_alimentos[[#This Row],[Item]],supercb[Bairro],mercado12)</f>
        <v>0</v>
      </c>
      <c r="X115" s="1">
        <f>SUMIFS(super1[Qtde],super1[Item],tab_alimentos[[#This Row],[Item]],super1[Bairro],mercado13)+SUMIFS(supercb[Qtde],supercb[Item],tab_alimentos[[#This Row],[Item]],supercb[Bairro],mercado13)</f>
        <v>0</v>
      </c>
      <c r="Y115" s="1">
        <f>SUMIFS(super1[Qtde],super1[Item],tab_alimentos[[#This Row],[Item]],super1[Bairro],mercado14)+SUMIFS(supercb[Qtde],supercb[Item],tab_alimentos[[#This Row],[Item]],supercb[Bairro],mercado14)</f>
        <v>0</v>
      </c>
      <c r="Z115" s="1">
        <f>SUMIFS(super1[Qtde],super1[Item],tab_alimentos[[#This Row],[Item]],super1[Bairro],mercado15)+SUMIFS(supercb[Qtde],supercb[Item],tab_alimentos[[#This Row],[Item]],supercb[Bairro],mercado15)</f>
        <v>0</v>
      </c>
      <c r="AA115" s="1">
        <f>SUMIFS(super1[Qtde],super1[Item],tab_alimentos[[#This Row],[Item]],super1[Bairro],mercado16)+SUMIFS(supercb[Qtde],supercb[Item],tab_alimentos[[#This Row],[Item]],supercb[Bairro],mercado16)</f>
        <v>0</v>
      </c>
      <c r="AB115" s="1">
        <f>SUMIFS(super1[Qtde],super1[Item],tab_alimentos[[#This Row],[Item]],super1[Bairro],mercado17)+SUMIFS(supercb[Qtde],supercb[Item],tab_alimentos[[#This Row],[Item]],supercb[Bairro],mercado17)</f>
        <v>0</v>
      </c>
      <c r="AC115" s="1">
        <f>SUMIFS(super1[Qtde],super1[Item],tab_alimentos[[#This Row],[Item]],super1[Bairro],mercado18)+SUMIFS(supercb[Qtde],supercb[Item],tab_alimentos[[#This Row],[Item]],supercb[Bairro],mercado18)</f>
        <v>0</v>
      </c>
      <c r="AD115" s="1">
        <f>SUMIFS(super1[Qtde],super1[Item],tab_alimentos[[#This Row],[Item]],super1[Bairro],extras)+SUMIFS(supercb[Qtde],supercb[Item],tab_alimentos[[#This Row],[Item]],supercb[Bairro],extras)</f>
        <v>0</v>
      </c>
      <c r="AE115" s="1">
        <f t="shared" si="38"/>
        <v>0</v>
      </c>
      <c r="AF115" s="1">
        <f t="shared" si="39"/>
        <v>0</v>
      </c>
      <c r="AG115" s="3">
        <f t="shared" si="40"/>
        <v>0</v>
      </c>
      <c r="AH115" s="25" t="str">
        <f>higiene[[#This Row],[Item]]</f>
        <v>Fraldas Infantis (60un)</v>
      </c>
      <c r="AI115" s="1">
        <f>IFERROR(higiene[[#This Row],[Kg equivalente]],0)</f>
        <v>13.277332551666872</v>
      </c>
      <c r="AJ115" s="1">
        <f>IFERROR(higiene[[#This Row],[Preço por produto]],0)</f>
        <v>43.98</v>
      </c>
      <c r="AK115" s="1">
        <f>SUMIFS(super1[Qtde],super1[Item],tab_higiene[[#This Row],[Item]],super1[Bairro],mercado1)+SUMIFS(supercb[Qtde],supercb[Item],tab_higiene[[#This Row],[Item]],supercb[Bairro],mercado1)</f>
        <v>0</v>
      </c>
      <c r="AL115" s="1">
        <f>SUMIFS(super1[Qtde],super1[Item],tab_higiene[[#This Row],[Item]],super1[Bairro],mercado2)+SUMIFS(supercb[Qtde],supercb[Item],tab_higiene[[#This Row],[Item]],supercb[Bairro],mercado2)</f>
        <v>0</v>
      </c>
      <c r="AM115" s="1">
        <f>SUMIFS(super1[Qtde],super1[Item],tab_higiene[[#This Row],[Item]],super1[Bairro],mercado3)+SUMIFS(supercb[Qtde],supercb[Item],tab_higiene[[#This Row],[Item]],supercb[Bairro],mercado3)</f>
        <v>0</v>
      </c>
      <c r="AN115" s="1">
        <f>SUMIFS(super1[Qtde],super1[Item],tab_higiene[[#This Row],[Item]],super1[Bairro],mercado4)+SUMIFS(supercb[Qtde],supercb[Item],tab_higiene[[#This Row],[Item]],supercb[Bairro],mercado4)</f>
        <v>0</v>
      </c>
      <c r="AO115" s="1">
        <f>SUMIFS(super1[Qtde],super1[Item],tab_higiene[[#This Row],[Item]],super1[Bairro],mercado5)+SUMIFS(supercb[Qtde],supercb[Item],tab_higiene[[#This Row],[Item]],supercb[Bairro],mercado5)</f>
        <v>0</v>
      </c>
      <c r="AP115" s="1">
        <f>SUMIFS(super1[Qtde],super1[Item],tab_higiene[[#This Row],[Item]],super1[Bairro],mercado6)+SUMIFS(supercb[Qtde],supercb[Item],tab_higiene[[#This Row],[Item]],supercb[Bairro],mercado6)</f>
        <v>0</v>
      </c>
      <c r="AQ115" s="1">
        <f>SUMIFS(super1[Qtde],super1[Item],tab_higiene[[#This Row],[Item]],super1[Bairro],mercado7)+SUMIFS(supercb[Qtde],supercb[Item],tab_higiene[[#This Row],[Item]],supercb[Bairro],mercado7)</f>
        <v>0</v>
      </c>
      <c r="AR115" s="1">
        <f>SUMIFS(super1[Qtde],super1[Item],tab_higiene[[#This Row],[Item]],super1[Bairro],mercado8)+SUMIFS(supercb[Qtde],supercb[Item],tab_higiene[[#This Row],[Item]],supercb[Bairro],mercado8)</f>
        <v>0</v>
      </c>
      <c r="AS115" s="1">
        <f>SUMIFS(super1[Qtde],super1[Item],tab_higiene[[#This Row],[Item]],super1[Bairro],mercado9)+SUMIFS(supercb[Qtde],supercb[Item],tab_higiene[[#This Row],[Item]],supercb[Bairro],mercado9)</f>
        <v>0</v>
      </c>
      <c r="AT115" s="1">
        <f>SUMIFS(super1[Qtde],super1[Item],tab_higiene[[#This Row],[Item]],super1[Bairro],mercado10)+SUMIFS(supercb[Qtde],supercb[Item],tab_higiene[[#This Row],[Item]],supercb[Bairro],mercado10)</f>
        <v>0</v>
      </c>
      <c r="AU115" s="1">
        <f>SUMIFS(super1[Qtde],super1[Item],tab_higiene[[#This Row],[Item]],super1[Bairro],mercado11)+SUMIFS(supercb[Qtde],supercb[Item],tab_higiene[[#This Row],[Item]],supercb[Bairro],mercado11)</f>
        <v>0</v>
      </c>
      <c r="AV115" s="1">
        <f>SUMIFS(super1[Qtde],super1[Item],tab_higiene[[#This Row],[Item]],super1[Bairro],mercado12)+SUMIFS(supercb[Qtde],supercb[Item],tab_higiene[[#This Row],[Item]],supercb[Bairro],mercado12)</f>
        <v>0</v>
      </c>
      <c r="AW115" s="1">
        <f>SUMIFS(super1[Qtde],super1[Item],tab_higiene[[#This Row],[Item]],super1[Bairro],mercado13)+SUMIFS(supercb[Qtde],supercb[Item],tab_higiene[[#This Row],[Item]],supercb[Bairro],mercado13)</f>
        <v>0</v>
      </c>
      <c r="AX115" s="1">
        <f>SUMIFS(super1[Qtde],super1[Item],tab_higiene[[#This Row],[Item]],super1[Bairro],mercado14)+SUMIFS(supercb[Qtde],supercb[Item],tab_higiene[[#This Row],[Item]],supercb[Bairro],mercado14)</f>
        <v>0</v>
      </c>
      <c r="AY115" s="1">
        <f>SUMIFS(super1[Qtde],super1[Item],tab_higiene[[#This Row],[Item]],super1[Bairro],mercado15)+SUMIFS(supercb[Qtde],supercb[Item],tab_higiene[[#This Row],[Item]],supercb[Bairro],mercado15)</f>
        <v>0</v>
      </c>
      <c r="AZ115" s="1">
        <f>SUMIFS(super1[Qtde],super1[Item],tab_higiene[[#This Row],[Item]],super1[Bairro],mercado16)+SUMIFS(supercb[Qtde],supercb[Item],tab_higiene[[#This Row],[Item]],supercb[Bairro],mercado16)</f>
        <v>0</v>
      </c>
      <c r="BA115" s="1">
        <f>SUMIFS(super1[Qtde],super1[Item],tab_higiene[[#This Row],[Item]],super1[Bairro],mercado17)+SUMIFS(supercb[Qtde],supercb[Item],tab_higiene[[#This Row],[Item]],supercb[Bairro],mercado17)</f>
        <v>0</v>
      </c>
      <c r="BB115" s="1">
        <f>SUMIFS(super1[Qtde],super1[Item],tab_higiene[[#This Row],[Item]],super1[Bairro],mercado18)+SUMIFS(supercb[Qtde],supercb[Item],tab_higiene[[#This Row],[Item]],supercb[Bairro],mercado18)</f>
        <v>0</v>
      </c>
      <c r="BC115" s="1">
        <f>SUMIFS(super1[Qtde],super1[Item],tab_higiene[[#This Row],[Item]],super1[Bairro],extras)+SUMIFS(supercb[Qtde],supercb[Item],tab_higiene[[#This Row],[Item]],supercb[Bairro],extras)</f>
        <v>0</v>
      </c>
      <c r="BD115" s="1">
        <f t="shared" si="41"/>
        <v>0</v>
      </c>
      <c r="BE115" s="1">
        <f t="shared" si="42"/>
        <v>0</v>
      </c>
      <c r="BF115" s="26">
        <f t="shared" si="43"/>
        <v>0</v>
      </c>
      <c r="BI115" s="33" t="str">
        <f>tab_alimentos[[#This Row],[Item]]</f>
        <v>Farinha de Mandioca (1kg)</v>
      </c>
      <c r="BJ115" s="33">
        <f t="shared" si="25"/>
        <v>20</v>
      </c>
      <c r="BK115" s="33" t="str">
        <f t="shared" si="26"/>
        <v>Farinha de Mandioca</v>
      </c>
      <c r="BL115" s="33">
        <f>tab_alimentos[[#This Row],[kg]]</f>
        <v>0</v>
      </c>
      <c r="BN115" s="35">
        <f t="shared" si="36"/>
        <v>0</v>
      </c>
      <c r="BP115" s="33" t="str">
        <f>tab_higiene[[#This Row],[Item]]</f>
        <v>Fraldas Infantis (60un)</v>
      </c>
      <c r="BQ115" s="33">
        <f t="shared" si="33"/>
        <v>17</v>
      </c>
      <c r="BR115" s="33" t="str">
        <f t="shared" si="34"/>
        <v>Fraldas Infantis</v>
      </c>
      <c r="BS115" s="33">
        <f>higiene[[#This Row],[Quantidade]]</f>
        <v>8</v>
      </c>
      <c r="BT115" s="33">
        <f>tab_higiene[Qtde (tot)]</f>
        <v>0</v>
      </c>
      <c r="BU115" s="33">
        <f t="shared" si="37"/>
        <v>0</v>
      </c>
      <c r="BW115" s="33">
        <f t="shared" si="44"/>
        <v>0</v>
      </c>
    </row>
    <row r="116" spans="9:75" x14ac:dyDescent="0.25">
      <c r="I116" s="25" t="str">
        <f>alimentos[[#This Row],[Item]]</f>
        <v>Farinha de mandioca (500g)</v>
      </c>
      <c r="J116" s="1">
        <f>IFERROR(alimentos[[#This Row],[kg/embalagem]],0)</f>
        <v>0.5</v>
      </c>
      <c r="K116" s="1">
        <f>IFERROR(alimentos[[#This Row],[Preço]],0)</f>
        <v>4.0683333333333334</v>
      </c>
      <c r="L116" s="1">
        <f>SUMIFS(super1[Qtde],super1[Item],tab_alimentos[[#This Row],[Item]],super1[Bairro],mercado1)+SUMIFS(supercb[Qtde],supercb[Item],tab_alimentos[[#This Row],[Item]],supercb[Bairro],mercado1)</f>
        <v>0</v>
      </c>
      <c r="M116" s="1">
        <f>SUMIFS(super1[Qtde],super1[Item],tab_alimentos[[#This Row],[Item]],super1[Bairro],mercado2)+SUMIFS(supercb[Qtde],supercb[Item],tab_alimentos[[#This Row],[Item]],supercb[Bairro],mercado2)</f>
        <v>0</v>
      </c>
      <c r="N116" s="1">
        <f>SUMIFS(super1[Qtde],super1[Item],tab_alimentos[[#This Row],[Item]],super1[Bairro],mercado3)+SUMIFS(supercb[Qtde],supercb[Item],tab_alimentos[[#This Row],[Item]],supercb[Bairro],mercado3)</f>
        <v>1</v>
      </c>
      <c r="O116" s="1">
        <f>SUMIFS(super1[Qtde],super1[Item],tab_alimentos[[#This Row],[Item]],super1[Bairro],mercado4)+SUMIFS(supercb[Qtde],supercb[Item],tab_alimentos[[#This Row],[Item]],supercb[Bairro],mercado4)</f>
        <v>0</v>
      </c>
      <c r="P116" s="1">
        <f>SUMIFS(super1[Qtde],super1[Item],tab_alimentos[[#This Row],[Item]],super1[Bairro],mercado5)+SUMIFS(supercb[Qtde],supercb[Item],tab_alimentos[[#This Row],[Item]],supercb[Bairro],mercado5)</f>
        <v>2</v>
      </c>
      <c r="Q116" s="1">
        <f>SUMIFS(super1[Qtde],super1[Item],tab_alimentos[[#This Row],[Item]],super1[Bairro],mercado6)+SUMIFS(supercb[Qtde],supercb[Item],tab_alimentos[[#This Row],[Item]],supercb[Bairro],mercado6)</f>
        <v>0</v>
      </c>
      <c r="R116" s="1">
        <f>SUMIFS(super1[Qtde],super1[Item],tab_alimentos[[#This Row],[Item]],super1[Bairro],mercado7)+SUMIFS(supercb[Qtde],supercb[Item],tab_alimentos[[#This Row],[Item]],supercb[Bairro],mercado7)</f>
        <v>0</v>
      </c>
      <c r="S116" s="1">
        <f>SUMIFS(super1[Qtde],super1[Item],tab_alimentos[[#This Row],[Item]],super1[Bairro],mercado8)+SUMIFS(supercb[Qtde],supercb[Item],tab_alimentos[[#This Row],[Item]],supercb[Bairro],mercado8)</f>
        <v>0</v>
      </c>
      <c r="T116" s="1">
        <f>SUMIFS(super1[Qtde],super1[Item],tab_alimentos[[#This Row],[Item]],super1[Bairro],mercado9)+SUMIFS(supercb[Qtde],supercb[Item],tab_alimentos[[#This Row],[Item]],supercb[Bairro],mercado9)</f>
        <v>0</v>
      </c>
      <c r="U116" s="1">
        <f>SUMIFS(super1[Qtde],super1[Item],tab_alimentos[[#This Row],[Item]],super1[Bairro],mercado10)+SUMIFS(supercb[Qtde],supercb[Item],tab_alimentos[[#This Row],[Item]],supercb[Bairro],mercado10)</f>
        <v>0</v>
      </c>
      <c r="V116" s="1">
        <f>SUMIFS(super1[Qtde],super1[Item],tab_alimentos[[#This Row],[Item]],super1[Bairro],mercado11)+SUMIFS(supercb[Qtde],supercb[Item],tab_alimentos[[#This Row],[Item]],supercb[Bairro],mercado11)</f>
        <v>0</v>
      </c>
      <c r="W116" s="1">
        <f>SUMIFS(super1[Qtde],super1[Item],tab_alimentos[[#This Row],[Item]],super1[Bairro],mercado12)+SUMIFS(supercb[Qtde],supercb[Item],tab_alimentos[[#This Row],[Item]],supercb[Bairro],mercado12)</f>
        <v>0</v>
      </c>
      <c r="X116" s="1">
        <f>SUMIFS(super1[Qtde],super1[Item],tab_alimentos[[#This Row],[Item]],super1[Bairro],mercado13)+SUMIFS(supercb[Qtde],supercb[Item],tab_alimentos[[#This Row],[Item]],supercb[Bairro],mercado13)</f>
        <v>0</v>
      </c>
      <c r="Y116" s="1">
        <f>SUMIFS(super1[Qtde],super1[Item],tab_alimentos[[#This Row],[Item]],super1[Bairro],mercado14)+SUMIFS(supercb[Qtde],supercb[Item],tab_alimentos[[#This Row],[Item]],supercb[Bairro],mercado14)</f>
        <v>0</v>
      </c>
      <c r="Z116" s="1">
        <f>SUMIFS(super1[Qtde],super1[Item],tab_alimentos[[#This Row],[Item]],super1[Bairro],mercado15)+SUMIFS(supercb[Qtde],supercb[Item],tab_alimentos[[#This Row],[Item]],supercb[Bairro],mercado15)</f>
        <v>0</v>
      </c>
      <c r="AA116" s="1">
        <f>SUMIFS(super1[Qtde],super1[Item],tab_alimentos[[#This Row],[Item]],super1[Bairro],mercado16)+SUMIFS(supercb[Qtde],supercb[Item],tab_alimentos[[#This Row],[Item]],supercb[Bairro],mercado16)</f>
        <v>0</v>
      </c>
      <c r="AB116" s="1">
        <f>SUMIFS(super1[Qtde],super1[Item],tab_alimentos[[#This Row],[Item]],super1[Bairro],mercado17)+SUMIFS(supercb[Qtde],supercb[Item],tab_alimentos[[#This Row],[Item]],supercb[Bairro],mercado17)</f>
        <v>0</v>
      </c>
      <c r="AC116" s="1">
        <f>SUMIFS(super1[Qtde],super1[Item],tab_alimentos[[#This Row],[Item]],super1[Bairro],mercado18)+SUMIFS(supercb[Qtde],supercb[Item],tab_alimentos[[#This Row],[Item]],supercb[Bairro],mercado18)</f>
        <v>0</v>
      </c>
      <c r="AD116" s="1">
        <f>SUMIFS(super1[Qtde],super1[Item],tab_alimentos[[#This Row],[Item]],super1[Bairro],extras)+SUMIFS(supercb[Qtde],supercb[Item],tab_alimentos[[#This Row],[Item]],supercb[Bairro],extras)</f>
        <v>0</v>
      </c>
      <c r="AE116" s="1">
        <f t="shared" si="38"/>
        <v>3</v>
      </c>
      <c r="AF116" s="1">
        <f t="shared" si="39"/>
        <v>12.205</v>
      </c>
      <c r="AG116" s="3">
        <f t="shared" si="40"/>
        <v>1.5</v>
      </c>
      <c r="AH116" s="25" t="str">
        <f>higiene[[#This Row],[Item]]</f>
        <v>G</v>
      </c>
      <c r="AI116" s="1">
        <f>IFERROR(higiene[[#This Row],[Kg equivalente]],0)</f>
        <v>0</v>
      </c>
      <c r="AJ116" s="1" t="str">
        <f>IFERROR(higiene[[#This Row],[Preço por produto]],0)</f>
        <v/>
      </c>
      <c r="AK116" s="1">
        <f>SUMIFS(super1[Qtde],super1[Item],tab_higiene[[#This Row],[Item]],super1[Bairro],mercado1)+SUMIFS(supercb[Qtde],supercb[Item],tab_higiene[[#This Row],[Item]],supercb[Bairro],mercado1)</f>
        <v>0</v>
      </c>
      <c r="AL116" s="1">
        <f>SUMIFS(super1[Qtde],super1[Item],tab_higiene[[#This Row],[Item]],super1[Bairro],mercado2)+SUMIFS(supercb[Qtde],supercb[Item],tab_higiene[[#This Row],[Item]],supercb[Bairro],mercado2)</f>
        <v>0</v>
      </c>
      <c r="AM116" s="1">
        <f>SUMIFS(super1[Qtde],super1[Item],tab_higiene[[#This Row],[Item]],super1[Bairro],mercado3)+SUMIFS(supercb[Qtde],supercb[Item],tab_higiene[[#This Row],[Item]],supercb[Bairro],mercado3)</f>
        <v>0</v>
      </c>
      <c r="AN116" s="1">
        <f>SUMIFS(super1[Qtde],super1[Item],tab_higiene[[#This Row],[Item]],super1[Bairro],mercado4)+SUMIFS(supercb[Qtde],supercb[Item],tab_higiene[[#This Row],[Item]],supercb[Bairro],mercado4)</f>
        <v>0</v>
      </c>
      <c r="AO116" s="1">
        <f>SUMIFS(super1[Qtde],super1[Item],tab_higiene[[#This Row],[Item]],super1[Bairro],mercado5)+SUMIFS(supercb[Qtde],supercb[Item],tab_higiene[[#This Row],[Item]],supercb[Bairro],mercado5)</f>
        <v>0</v>
      </c>
      <c r="AP116" s="1">
        <f>SUMIFS(super1[Qtde],super1[Item],tab_higiene[[#This Row],[Item]],super1[Bairro],mercado6)+SUMIFS(supercb[Qtde],supercb[Item],tab_higiene[[#This Row],[Item]],supercb[Bairro],mercado6)</f>
        <v>0</v>
      </c>
      <c r="AQ116" s="1">
        <f>SUMIFS(super1[Qtde],super1[Item],tab_higiene[[#This Row],[Item]],super1[Bairro],mercado7)+SUMIFS(supercb[Qtde],supercb[Item],tab_higiene[[#This Row],[Item]],supercb[Bairro],mercado7)</f>
        <v>0</v>
      </c>
      <c r="AR116" s="1">
        <f>SUMIFS(super1[Qtde],super1[Item],tab_higiene[[#This Row],[Item]],super1[Bairro],mercado8)+SUMIFS(supercb[Qtde],supercb[Item],tab_higiene[[#This Row],[Item]],supercb[Bairro],mercado8)</f>
        <v>0</v>
      </c>
      <c r="AS116" s="1">
        <f>SUMIFS(super1[Qtde],super1[Item],tab_higiene[[#This Row],[Item]],super1[Bairro],mercado9)+SUMIFS(supercb[Qtde],supercb[Item],tab_higiene[[#This Row],[Item]],supercb[Bairro],mercado9)</f>
        <v>0</v>
      </c>
      <c r="AT116" s="1">
        <f>SUMIFS(super1[Qtde],super1[Item],tab_higiene[[#This Row],[Item]],super1[Bairro],mercado10)+SUMIFS(supercb[Qtde],supercb[Item],tab_higiene[[#This Row],[Item]],supercb[Bairro],mercado10)</f>
        <v>0</v>
      </c>
      <c r="AU116" s="1">
        <f>SUMIFS(super1[Qtde],super1[Item],tab_higiene[[#This Row],[Item]],super1[Bairro],mercado11)+SUMIFS(supercb[Qtde],supercb[Item],tab_higiene[[#This Row],[Item]],supercb[Bairro],mercado11)</f>
        <v>0</v>
      </c>
      <c r="AV116" s="1">
        <f>SUMIFS(super1[Qtde],super1[Item],tab_higiene[[#This Row],[Item]],super1[Bairro],mercado12)+SUMIFS(supercb[Qtde],supercb[Item],tab_higiene[[#This Row],[Item]],supercb[Bairro],mercado12)</f>
        <v>0</v>
      </c>
      <c r="AW116" s="1">
        <f>SUMIFS(super1[Qtde],super1[Item],tab_higiene[[#This Row],[Item]],super1[Bairro],mercado13)+SUMIFS(supercb[Qtde],supercb[Item],tab_higiene[[#This Row],[Item]],supercb[Bairro],mercado13)</f>
        <v>0</v>
      </c>
      <c r="AX116" s="1">
        <f>SUMIFS(super1[Qtde],super1[Item],tab_higiene[[#This Row],[Item]],super1[Bairro],mercado14)+SUMIFS(supercb[Qtde],supercb[Item],tab_higiene[[#This Row],[Item]],supercb[Bairro],mercado14)</f>
        <v>0</v>
      </c>
      <c r="AY116" s="1">
        <f>SUMIFS(super1[Qtde],super1[Item],tab_higiene[[#This Row],[Item]],super1[Bairro],mercado15)+SUMIFS(supercb[Qtde],supercb[Item],tab_higiene[[#This Row],[Item]],supercb[Bairro],mercado15)</f>
        <v>0</v>
      </c>
      <c r="AZ116" s="1">
        <f>SUMIFS(super1[Qtde],super1[Item],tab_higiene[[#This Row],[Item]],super1[Bairro],mercado16)+SUMIFS(supercb[Qtde],supercb[Item],tab_higiene[[#This Row],[Item]],supercb[Bairro],mercado16)</f>
        <v>0</v>
      </c>
      <c r="BA116" s="1">
        <f>SUMIFS(super1[Qtde],super1[Item],tab_higiene[[#This Row],[Item]],super1[Bairro],mercado17)+SUMIFS(supercb[Qtde],supercb[Item],tab_higiene[[#This Row],[Item]],supercb[Bairro],mercado17)</f>
        <v>0</v>
      </c>
      <c r="BB116" s="1">
        <f>SUMIFS(super1[Qtde],super1[Item],tab_higiene[[#This Row],[Item]],super1[Bairro],mercado18)+SUMIFS(supercb[Qtde],supercb[Item],tab_higiene[[#This Row],[Item]],supercb[Bairro],mercado18)</f>
        <v>0</v>
      </c>
      <c r="BC116" s="1">
        <f>SUMIFS(super1[Qtde],super1[Item],tab_higiene[[#This Row],[Item]],super1[Bairro],extras)+SUMIFS(supercb[Qtde],supercb[Item],tab_higiene[[#This Row],[Item]],supercb[Bairro],extras)</f>
        <v>0</v>
      </c>
      <c r="BD116" s="1">
        <f t="shared" si="41"/>
        <v>0</v>
      </c>
      <c r="BE116" s="1">
        <f t="shared" si="42"/>
        <v>0</v>
      </c>
      <c r="BF116" s="26">
        <f t="shared" si="43"/>
        <v>0</v>
      </c>
      <c r="BI116" s="33" t="str">
        <f>tab_alimentos[[#This Row],[Item]]</f>
        <v>Farinha de mandioca (500g)</v>
      </c>
      <c r="BJ116" s="33">
        <f t="shared" si="25"/>
        <v>20</v>
      </c>
      <c r="BK116" s="33" t="str">
        <f t="shared" si="26"/>
        <v>Farinha de mandioca</v>
      </c>
      <c r="BL116" s="33">
        <f>tab_alimentos[[#This Row],[kg]]</f>
        <v>1.5</v>
      </c>
      <c r="BN116" s="35">
        <f t="shared" si="36"/>
        <v>0</v>
      </c>
      <c r="BP116" s="33" t="str">
        <f>tab_higiene[[#This Row],[Item]]</f>
        <v>G</v>
      </c>
      <c r="BQ116" s="33">
        <f t="shared" si="33"/>
        <v>0</v>
      </c>
      <c r="BR116" s="33" t="str">
        <f t="shared" si="34"/>
        <v>G</v>
      </c>
      <c r="BS116" s="33">
        <f>higiene[[#This Row],[Quantidade]]</f>
        <v>16</v>
      </c>
      <c r="BT116" s="33">
        <f>tab_higiene[Qtde (tot)]</f>
        <v>0</v>
      </c>
      <c r="BU116" s="33">
        <f t="shared" si="37"/>
        <v>0</v>
      </c>
      <c r="BW116" s="33">
        <f t="shared" si="44"/>
        <v>0</v>
      </c>
    </row>
    <row r="117" spans="9:75" x14ac:dyDescent="0.25">
      <c r="I117" s="25" t="str">
        <f>alimentos[[#This Row],[Item]]</f>
        <v>Farinha de milho(500g)</v>
      </c>
      <c r="J117" s="1">
        <f>IFERROR(alimentos[[#This Row],[kg/embalagem]],0)</f>
        <v>0.5</v>
      </c>
      <c r="K117" s="1">
        <f>IFERROR(alimentos[[#This Row],[Preço]],0)</f>
        <v>3.49</v>
      </c>
      <c r="L117" s="1">
        <f>SUMIFS(super1[Qtde],super1[Item],tab_alimentos[[#This Row],[Item]],super1[Bairro],mercado1)+SUMIFS(supercb[Qtde],supercb[Item],tab_alimentos[[#This Row],[Item]],supercb[Bairro],mercado1)</f>
        <v>1</v>
      </c>
      <c r="M117" s="1">
        <f>SUMIFS(super1[Qtde],super1[Item],tab_alimentos[[#This Row],[Item]],super1[Bairro],mercado2)+SUMIFS(supercb[Qtde],supercb[Item],tab_alimentos[[#This Row],[Item]],supercb[Bairro],mercado2)</f>
        <v>0</v>
      </c>
      <c r="N117" s="1">
        <f>SUMIFS(super1[Qtde],super1[Item],tab_alimentos[[#This Row],[Item]],super1[Bairro],mercado3)+SUMIFS(supercb[Qtde],supercb[Item],tab_alimentos[[#This Row],[Item]],supercb[Bairro],mercado3)</f>
        <v>0</v>
      </c>
      <c r="O117" s="1">
        <f>SUMIFS(super1[Qtde],super1[Item],tab_alimentos[[#This Row],[Item]],super1[Bairro],mercado4)+SUMIFS(supercb[Qtde],supercb[Item],tab_alimentos[[#This Row],[Item]],supercb[Bairro],mercado4)</f>
        <v>0</v>
      </c>
      <c r="P117" s="1">
        <f>SUMIFS(super1[Qtde],super1[Item],tab_alimentos[[#This Row],[Item]],super1[Bairro],mercado5)+SUMIFS(supercb[Qtde],supercb[Item],tab_alimentos[[#This Row],[Item]],supercb[Bairro],mercado5)</f>
        <v>1</v>
      </c>
      <c r="Q117" s="1">
        <f>SUMIFS(super1[Qtde],super1[Item],tab_alimentos[[#This Row],[Item]],super1[Bairro],mercado6)+SUMIFS(supercb[Qtde],supercb[Item],tab_alimentos[[#This Row],[Item]],supercb[Bairro],mercado6)</f>
        <v>0</v>
      </c>
      <c r="R117" s="1">
        <f>SUMIFS(super1[Qtde],super1[Item],tab_alimentos[[#This Row],[Item]],super1[Bairro],mercado7)+SUMIFS(supercb[Qtde],supercb[Item],tab_alimentos[[#This Row],[Item]],supercb[Bairro],mercado7)</f>
        <v>0</v>
      </c>
      <c r="S117" s="1">
        <f>SUMIFS(super1[Qtde],super1[Item],tab_alimentos[[#This Row],[Item]],super1[Bairro],mercado8)+SUMIFS(supercb[Qtde],supercb[Item],tab_alimentos[[#This Row],[Item]],supercb[Bairro],mercado8)</f>
        <v>0</v>
      </c>
      <c r="T117" s="1">
        <f>SUMIFS(super1[Qtde],super1[Item],tab_alimentos[[#This Row],[Item]],super1[Bairro],mercado9)+SUMIFS(supercb[Qtde],supercb[Item],tab_alimentos[[#This Row],[Item]],supercb[Bairro],mercado9)</f>
        <v>0</v>
      </c>
      <c r="U117" s="1">
        <f>SUMIFS(super1[Qtde],super1[Item],tab_alimentos[[#This Row],[Item]],super1[Bairro],mercado10)+SUMIFS(supercb[Qtde],supercb[Item],tab_alimentos[[#This Row],[Item]],supercb[Bairro],mercado10)</f>
        <v>0</v>
      </c>
      <c r="V117" s="1">
        <f>SUMIFS(super1[Qtde],super1[Item],tab_alimentos[[#This Row],[Item]],super1[Bairro],mercado11)+SUMIFS(supercb[Qtde],supercb[Item],tab_alimentos[[#This Row],[Item]],supercb[Bairro],mercado11)</f>
        <v>0</v>
      </c>
      <c r="W117" s="1">
        <f>SUMIFS(super1[Qtde],super1[Item],tab_alimentos[[#This Row],[Item]],super1[Bairro],mercado12)+SUMIFS(supercb[Qtde],supercb[Item],tab_alimentos[[#This Row],[Item]],supercb[Bairro],mercado12)</f>
        <v>0</v>
      </c>
      <c r="X117" s="1">
        <f>SUMIFS(super1[Qtde],super1[Item],tab_alimentos[[#This Row],[Item]],super1[Bairro],mercado13)+SUMIFS(supercb[Qtde],supercb[Item],tab_alimentos[[#This Row],[Item]],supercb[Bairro],mercado13)</f>
        <v>0</v>
      </c>
      <c r="Y117" s="1">
        <f>SUMIFS(super1[Qtde],super1[Item],tab_alimentos[[#This Row],[Item]],super1[Bairro],mercado14)+SUMIFS(supercb[Qtde],supercb[Item],tab_alimentos[[#This Row],[Item]],supercb[Bairro],mercado14)</f>
        <v>0</v>
      </c>
      <c r="Z117" s="1">
        <f>SUMIFS(super1[Qtde],super1[Item],tab_alimentos[[#This Row],[Item]],super1[Bairro],mercado15)+SUMIFS(supercb[Qtde],supercb[Item],tab_alimentos[[#This Row],[Item]],supercb[Bairro],mercado15)</f>
        <v>0</v>
      </c>
      <c r="AA117" s="1">
        <f>SUMIFS(super1[Qtde],super1[Item],tab_alimentos[[#This Row],[Item]],super1[Bairro],mercado16)+SUMIFS(supercb[Qtde],supercb[Item],tab_alimentos[[#This Row],[Item]],supercb[Bairro],mercado16)</f>
        <v>0</v>
      </c>
      <c r="AB117" s="1">
        <f>SUMIFS(super1[Qtde],super1[Item],tab_alimentos[[#This Row],[Item]],super1[Bairro],mercado17)+SUMIFS(supercb[Qtde],supercb[Item],tab_alimentos[[#This Row],[Item]],supercb[Bairro],mercado17)</f>
        <v>0</v>
      </c>
      <c r="AC117" s="1">
        <f>SUMIFS(super1[Qtde],super1[Item],tab_alimentos[[#This Row],[Item]],super1[Bairro],mercado18)+SUMIFS(supercb[Qtde],supercb[Item],tab_alimentos[[#This Row],[Item]],supercb[Bairro],mercado18)</f>
        <v>0</v>
      </c>
      <c r="AD117" s="1">
        <f>SUMIFS(super1[Qtde],super1[Item],tab_alimentos[[#This Row],[Item]],super1[Bairro],extras)+SUMIFS(supercb[Qtde],supercb[Item],tab_alimentos[[#This Row],[Item]],supercb[Bairro],extras)</f>
        <v>0</v>
      </c>
      <c r="AE117" s="1">
        <f t="shared" si="38"/>
        <v>2</v>
      </c>
      <c r="AF117" s="1">
        <f t="shared" si="39"/>
        <v>6.98</v>
      </c>
      <c r="AG117" s="3">
        <f t="shared" si="40"/>
        <v>1</v>
      </c>
      <c r="AH117" s="25" t="str">
        <f>higiene[[#This Row],[Item]]</f>
        <v>Guardanapo</v>
      </c>
      <c r="AI117" s="1">
        <f>IFERROR(higiene[[#This Row],[Kg equivalente]],0)</f>
        <v>0.51523376280532351</v>
      </c>
      <c r="AJ117" s="1">
        <f>IFERROR(higiene[[#This Row],[Preço por produto]],0)</f>
        <v>1.7066666666666668</v>
      </c>
      <c r="AK117" s="1">
        <f>SUMIFS(super1[Qtde],super1[Item],tab_higiene[[#This Row],[Item]],super1[Bairro],mercado1)+SUMIFS(supercb[Qtde],supercb[Item],tab_higiene[[#This Row],[Item]],supercb[Bairro],mercado1)</f>
        <v>0</v>
      </c>
      <c r="AL117" s="1">
        <f>SUMIFS(super1[Qtde],super1[Item],tab_higiene[[#This Row],[Item]],super1[Bairro],mercado2)+SUMIFS(supercb[Qtde],supercb[Item],tab_higiene[[#This Row],[Item]],supercb[Bairro],mercado2)</f>
        <v>0</v>
      </c>
      <c r="AM117" s="1">
        <f>SUMIFS(super1[Qtde],super1[Item],tab_higiene[[#This Row],[Item]],super1[Bairro],mercado3)+SUMIFS(supercb[Qtde],supercb[Item],tab_higiene[[#This Row],[Item]],supercb[Bairro],mercado3)</f>
        <v>0</v>
      </c>
      <c r="AN117" s="1">
        <f>SUMIFS(super1[Qtde],super1[Item],tab_higiene[[#This Row],[Item]],super1[Bairro],mercado4)+SUMIFS(supercb[Qtde],supercb[Item],tab_higiene[[#This Row],[Item]],supercb[Bairro],mercado4)</f>
        <v>0</v>
      </c>
      <c r="AO117" s="1">
        <f>SUMIFS(super1[Qtde],super1[Item],tab_higiene[[#This Row],[Item]],super1[Bairro],mercado5)+SUMIFS(supercb[Qtde],supercb[Item],tab_higiene[[#This Row],[Item]],supercb[Bairro],mercado5)</f>
        <v>0</v>
      </c>
      <c r="AP117" s="1">
        <f>SUMIFS(super1[Qtde],super1[Item],tab_higiene[[#This Row],[Item]],super1[Bairro],mercado6)+SUMIFS(supercb[Qtde],supercb[Item],tab_higiene[[#This Row],[Item]],supercb[Bairro],mercado6)</f>
        <v>1</v>
      </c>
      <c r="AQ117" s="1">
        <f>SUMIFS(super1[Qtde],super1[Item],tab_higiene[[#This Row],[Item]],super1[Bairro],mercado7)+SUMIFS(supercb[Qtde],supercb[Item],tab_higiene[[#This Row],[Item]],supercb[Bairro],mercado7)</f>
        <v>0</v>
      </c>
      <c r="AR117" s="1">
        <f>SUMIFS(super1[Qtde],super1[Item],tab_higiene[[#This Row],[Item]],super1[Bairro],mercado8)+SUMIFS(supercb[Qtde],supercb[Item],tab_higiene[[#This Row],[Item]],supercb[Bairro],mercado8)</f>
        <v>0</v>
      </c>
      <c r="AS117" s="1">
        <f>SUMIFS(super1[Qtde],super1[Item],tab_higiene[[#This Row],[Item]],super1[Bairro],mercado9)+SUMIFS(supercb[Qtde],supercb[Item],tab_higiene[[#This Row],[Item]],supercb[Bairro],mercado9)</f>
        <v>1</v>
      </c>
      <c r="AT117" s="1">
        <f>SUMIFS(super1[Qtde],super1[Item],tab_higiene[[#This Row],[Item]],super1[Bairro],mercado10)+SUMIFS(supercb[Qtde],supercb[Item],tab_higiene[[#This Row],[Item]],supercb[Bairro],mercado10)</f>
        <v>0</v>
      </c>
      <c r="AU117" s="1">
        <f>SUMIFS(super1[Qtde],super1[Item],tab_higiene[[#This Row],[Item]],super1[Bairro],mercado11)+SUMIFS(supercb[Qtde],supercb[Item],tab_higiene[[#This Row],[Item]],supercb[Bairro],mercado11)</f>
        <v>0</v>
      </c>
      <c r="AV117" s="1">
        <f>SUMIFS(super1[Qtde],super1[Item],tab_higiene[[#This Row],[Item]],super1[Bairro],mercado12)+SUMIFS(supercb[Qtde],supercb[Item],tab_higiene[[#This Row],[Item]],supercb[Bairro],mercado12)</f>
        <v>0</v>
      </c>
      <c r="AW117" s="1">
        <f>SUMIFS(super1[Qtde],super1[Item],tab_higiene[[#This Row],[Item]],super1[Bairro],mercado13)+SUMIFS(supercb[Qtde],supercb[Item],tab_higiene[[#This Row],[Item]],supercb[Bairro],mercado13)</f>
        <v>0</v>
      </c>
      <c r="AX117" s="1">
        <f>SUMIFS(super1[Qtde],super1[Item],tab_higiene[[#This Row],[Item]],super1[Bairro],mercado14)+SUMIFS(supercb[Qtde],supercb[Item],tab_higiene[[#This Row],[Item]],supercb[Bairro],mercado14)</f>
        <v>0</v>
      </c>
      <c r="AY117" s="1">
        <f>SUMIFS(super1[Qtde],super1[Item],tab_higiene[[#This Row],[Item]],super1[Bairro],mercado15)+SUMIFS(supercb[Qtde],supercb[Item],tab_higiene[[#This Row],[Item]],supercb[Bairro],mercado15)</f>
        <v>0</v>
      </c>
      <c r="AZ117" s="1">
        <f>SUMIFS(super1[Qtde],super1[Item],tab_higiene[[#This Row],[Item]],super1[Bairro],mercado16)+SUMIFS(supercb[Qtde],supercb[Item],tab_higiene[[#This Row],[Item]],supercb[Bairro],mercado16)</f>
        <v>0</v>
      </c>
      <c r="BA117" s="1">
        <f>SUMIFS(super1[Qtde],super1[Item],tab_higiene[[#This Row],[Item]],super1[Bairro],mercado17)+SUMIFS(supercb[Qtde],supercb[Item],tab_higiene[[#This Row],[Item]],supercb[Bairro],mercado17)</f>
        <v>0</v>
      </c>
      <c r="BB117" s="1">
        <f>SUMIFS(super1[Qtde],super1[Item],tab_higiene[[#This Row],[Item]],super1[Bairro],mercado18)+SUMIFS(supercb[Qtde],supercb[Item],tab_higiene[[#This Row],[Item]],supercb[Bairro],mercado18)</f>
        <v>0</v>
      </c>
      <c r="BC117" s="1">
        <f>SUMIFS(super1[Qtde],super1[Item],tab_higiene[[#This Row],[Item]],super1[Bairro],extras)+SUMIFS(supercb[Qtde],supercb[Item],tab_higiene[[#This Row],[Item]],supercb[Bairro],extras)</f>
        <v>0</v>
      </c>
      <c r="BD117" s="1">
        <f t="shared" si="41"/>
        <v>2</v>
      </c>
      <c r="BE117" s="1">
        <f t="shared" si="42"/>
        <v>3.4133333333333336</v>
      </c>
      <c r="BF117" s="26">
        <f t="shared" si="43"/>
        <v>1.030467525610647</v>
      </c>
      <c r="BI117" s="33" t="str">
        <f>tab_alimentos[[#This Row],[Item]]</f>
        <v>Farinha de milho(500g)</v>
      </c>
      <c r="BJ117" s="33">
        <f t="shared" si="25"/>
        <v>0</v>
      </c>
      <c r="BK117" s="33" t="str">
        <f t="shared" si="26"/>
        <v>Farinha de milho(500g)</v>
      </c>
      <c r="BL117" s="33">
        <f>tab_alimentos[[#This Row],[kg]]</f>
        <v>1</v>
      </c>
      <c r="BN117" s="35">
        <f t="shared" si="36"/>
        <v>0</v>
      </c>
      <c r="BP117" s="33" t="str">
        <f>tab_higiene[[#This Row],[Item]]</f>
        <v>Guardanapo</v>
      </c>
      <c r="BQ117" s="33">
        <f t="shared" si="33"/>
        <v>0</v>
      </c>
      <c r="BR117" s="33" t="str">
        <f t="shared" si="34"/>
        <v>Guardanapo</v>
      </c>
      <c r="BS117" s="33">
        <f>higiene[[#This Row],[Quantidade]]</f>
        <v>24</v>
      </c>
      <c r="BT117" s="33">
        <f>tab_higiene[Qtde (tot)]</f>
        <v>2</v>
      </c>
      <c r="BU117" s="33">
        <f t="shared" si="37"/>
        <v>48</v>
      </c>
      <c r="BW117" s="33">
        <f t="shared" si="44"/>
        <v>0</v>
      </c>
    </row>
    <row r="118" spans="9:75" x14ac:dyDescent="0.25">
      <c r="I118" s="25" t="str">
        <f>alimentos[[#This Row],[Item]]</f>
        <v>Farinha de rosca (500g)</v>
      </c>
      <c r="J118" s="1">
        <f>IFERROR(alimentos[[#This Row],[kg/embalagem]],0)</f>
        <v>0.5</v>
      </c>
      <c r="K118" s="1">
        <f>IFERROR(alimentos[[#This Row],[Preço]],0)</f>
        <v>4.3000000000000007</v>
      </c>
      <c r="L118" s="1">
        <f>SUMIFS(super1[Qtde],super1[Item],tab_alimentos[[#This Row],[Item]],super1[Bairro],mercado1)+SUMIFS(supercb[Qtde],supercb[Item],tab_alimentos[[#This Row],[Item]],supercb[Bairro],mercado1)</f>
        <v>0</v>
      </c>
      <c r="M118" s="1">
        <f>SUMIFS(super1[Qtde],super1[Item],tab_alimentos[[#This Row],[Item]],super1[Bairro],mercado2)+SUMIFS(supercb[Qtde],supercb[Item],tab_alimentos[[#This Row],[Item]],supercb[Bairro],mercado2)</f>
        <v>0</v>
      </c>
      <c r="N118" s="1">
        <f>SUMIFS(super1[Qtde],super1[Item],tab_alimentos[[#This Row],[Item]],super1[Bairro],mercado3)+SUMIFS(supercb[Qtde],supercb[Item],tab_alimentos[[#This Row],[Item]],supercb[Bairro],mercado3)</f>
        <v>0</v>
      </c>
      <c r="O118" s="1">
        <f>SUMIFS(super1[Qtde],super1[Item],tab_alimentos[[#This Row],[Item]],super1[Bairro],mercado4)+SUMIFS(supercb[Qtde],supercb[Item],tab_alimentos[[#This Row],[Item]],supercb[Bairro],mercado4)</f>
        <v>0</v>
      </c>
      <c r="P118" s="1">
        <f>SUMIFS(super1[Qtde],super1[Item],tab_alimentos[[#This Row],[Item]],super1[Bairro],mercado5)+SUMIFS(supercb[Qtde],supercb[Item],tab_alimentos[[#This Row],[Item]],supercb[Bairro],mercado5)</f>
        <v>0</v>
      </c>
      <c r="Q118" s="1">
        <f>SUMIFS(super1[Qtde],super1[Item],tab_alimentos[[#This Row],[Item]],super1[Bairro],mercado6)+SUMIFS(supercb[Qtde],supercb[Item],tab_alimentos[[#This Row],[Item]],supercb[Bairro],mercado6)</f>
        <v>0</v>
      </c>
      <c r="R118" s="1">
        <f>SUMIFS(super1[Qtde],super1[Item],tab_alimentos[[#This Row],[Item]],super1[Bairro],mercado7)+SUMIFS(supercb[Qtde],supercb[Item],tab_alimentos[[#This Row],[Item]],supercb[Bairro],mercado7)</f>
        <v>0</v>
      </c>
      <c r="S118" s="1">
        <f>SUMIFS(super1[Qtde],super1[Item],tab_alimentos[[#This Row],[Item]],super1[Bairro],mercado8)+SUMIFS(supercb[Qtde],supercb[Item],tab_alimentos[[#This Row],[Item]],supercb[Bairro],mercado8)</f>
        <v>0</v>
      </c>
      <c r="T118" s="1">
        <f>SUMIFS(super1[Qtde],super1[Item],tab_alimentos[[#This Row],[Item]],super1[Bairro],mercado9)+SUMIFS(supercb[Qtde],supercb[Item],tab_alimentos[[#This Row],[Item]],supercb[Bairro],mercado9)</f>
        <v>0</v>
      </c>
      <c r="U118" s="1">
        <f>SUMIFS(super1[Qtde],super1[Item],tab_alimentos[[#This Row],[Item]],super1[Bairro],mercado10)+SUMIFS(supercb[Qtde],supercb[Item],tab_alimentos[[#This Row],[Item]],supercb[Bairro],mercado10)</f>
        <v>0</v>
      </c>
      <c r="V118" s="1">
        <f>SUMIFS(super1[Qtde],super1[Item],tab_alimentos[[#This Row],[Item]],super1[Bairro],mercado11)+SUMIFS(supercb[Qtde],supercb[Item],tab_alimentos[[#This Row],[Item]],supercb[Bairro],mercado11)</f>
        <v>0</v>
      </c>
      <c r="W118" s="1">
        <f>SUMIFS(super1[Qtde],super1[Item],tab_alimentos[[#This Row],[Item]],super1[Bairro],mercado12)+SUMIFS(supercb[Qtde],supercb[Item],tab_alimentos[[#This Row],[Item]],supercb[Bairro],mercado12)</f>
        <v>0</v>
      </c>
      <c r="X118" s="1">
        <f>SUMIFS(super1[Qtde],super1[Item],tab_alimentos[[#This Row],[Item]],super1[Bairro],mercado13)+SUMIFS(supercb[Qtde],supercb[Item],tab_alimentos[[#This Row],[Item]],supercb[Bairro],mercado13)</f>
        <v>0</v>
      </c>
      <c r="Y118" s="1">
        <f>SUMIFS(super1[Qtde],super1[Item],tab_alimentos[[#This Row],[Item]],super1[Bairro],mercado14)+SUMIFS(supercb[Qtde],supercb[Item],tab_alimentos[[#This Row],[Item]],supercb[Bairro],mercado14)</f>
        <v>0</v>
      </c>
      <c r="Z118" s="1">
        <f>SUMIFS(super1[Qtde],super1[Item],tab_alimentos[[#This Row],[Item]],super1[Bairro],mercado15)+SUMIFS(supercb[Qtde],supercb[Item],tab_alimentos[[#This Row],[Item]],supercb[Bairro],mercado15)</f>
        <v>0</v>
      </c>
      <c r="AA118" s="1">
        <f>SUMIFS(super1[Qtde],super1[Item],tab_alimentos[[#This Row],[Item]],super1[Bairro],mercado16)+SUMIFS(supercb[Qtde],supercb[Item],tab_alimentos[[#This Row],[Item]],supercb[Bairro],mercado16)</f>
        <v>0</v>
      </c>
      <c r="AB118" s="1">
        <f>SUMIFS(super1[Qtde],super1[Item],tab_alimentos[[#This Row],[Item]],super1[Bairro],mercado17)+SUMIFS(supercb[Qtde],supercb[Item],tab_alimentos[[#This Row],[Item]],supercb[Bairro],mercado17)</f>
        <v>0</v>
      </c>
      <c r="AC118" s="1">
        <f>SUMIFS(super1[Qtde],super1[Item],tab_alimentos[[#This Row],[Item]],super1[Bairro],mercado18)+SUMIFS(supercb[Qtde],supercb[Item],tab_alimentos[[#This Row],[Item]],supercb[Bairro],mercado18)</f>
        <v>0</v>
      </c>
      <c r="AD118" s="1">
        <f>SUMIFS(super1[Qtde],super1[Item],tab_alimentos[[#This Row],[Item]],super1[Bairro],extras)+SUMIFS(supercb[Qtde],supercb[Item],tab_alimentos[[#This Row],[Item]],supercb[Bairro],extras)</f>
        <v>0</v>
      </c>
      <c r="AE118" s="1">
        <f t="shared" si="38"/>
        <v>0</v>
      </c>
      <c r="AF118" s="1">
        <f t="shared" si="39"/>
        <v>0</v>
      </c>
      <c r="AG118" s="3">
        <f t="shared" si="40"/>
        <v>0</v>
      </c>
      <c r="AH118" s="25" t="str">
        <f>higiene[[#This Row],[Item]]</f>
        <v>H</v>
      </c>
      <c r="AI118" s="1">
        <f>IFERROR(higiene[[#This Row],[Kg equivalente]],0)</f>
        <v>0</v>
      </c>
      <c r="AJ118" s="1" t="str">
        <f>IFERROR(higiene[[#This Row],[Preço por produto]],0)</f>
        <v/>
      </c>
      <c r="AK118" s="1">
        <f>SUMIFS(super1[Qtde],super1[Item],tab_higiene[[#This Row],[Item]],super1[Bairro],mercado1)+SUMIFS(supercb[Qtde],supercb[Item],tab_higiene[[#This Row],[Item]],supercb[Bairro],mercado1)</f>
        <v>0</v>
      </c>
      <c r="AL118" s="1">
        <f>SUMIFS(super1[Qtde],super1[Item],tab_higiene[[#This Row],[Item]],super1[Bairro],mercado2)+SUMIFS(supercb[Qtde],supercb[Item],tab_higiene[[#This Row],[Item]],supercb[Bairro],mercado2)</f>
        <v>0</v>
      </c>
      <c r="AM118" s="1">
        <f>SUMIFS(super1[Qtde],super1[Item],tab_higiene[[#This Row],[Item]],super1[Bairro],mercado3)+SUMIFS(supercb[Qtde],supercb[Item],tab_higiene[[#This Row],[Item]],supercb[Bairro],mercado3)</f>
        <v>0</v>
      </c>
      <c r="AN118" s="1">
        <f>SUMIFS(super1[Qtde],super1[Item],tab_higiene[[#This Row],[Item]],super1[Bairro],mercado4)+SUMIFS(supercb[Qtde],supercb[Item],tab_higiene[[#This Row],[Item]],supercb[Bairro],mercado4)</f>
        <v>0</v>
      </c>
      <c r="AO118" s="1">
        <f>SUMIFS(super1[Qtde],super1[Item],tab_higiene[[#This Row],[Item]],super1[Bairro],mercado5)+SUMIFS(supercb[Qtde],supercb[Item],tab_higiene[[#This Row],[Item]],supercb[Bairro],mercado5)</f>
        <v>0</v>
      </c>
      <c r="AP118" s="1">
        <f>SUMIFS(super1[Qtde],super1[Item],tab_higiene[[#This Row],[Item]],super1[Bairro],mercado6)+SUMIFS(supercb[Qtde],supercb[Item],tab_higiene[[#This Row],[Item]],supercb[Bairro],mercado6)</f>
        <v>0</v>
      </c>
      <c r="AQ118" s="1">
        <f>SUMIFS(super1[Qtde],super1[Item],tab_higiene[[#This Row],[Item]],super1[Bairro],mercado7)+SUMIFS(supercb[Qtde],supercb[Item],tab_higiene[[#This Row],[Item]],supercb[Bairro],mercado7)</f>
        <v>0</v>
      </c>
      <c r="AR118" s="1">
        <f>SUMIFS(super1[Qtde],super1[Item],tab_higiene[[#This Row],[Item]],super1[Bairro],mercado8)+SUMIFS(supercb[Qtde],supercb[Item],tab_higiene[[#This Row],[Item]],supercb[Bairro],mercado8)</f>
        <v>0</v>
      </c>
      <c r="AS118" s="1">
        <f>SUMIFS(super1[Qtde],super1[Item],tab_higiene[[#This Row],[Item]],super1[Bairro],mercado9)+SUMIFS(supercb[Qtde],supercb[Item],tab_higiene[[#This Row],[Item]],supercb[Bairro],mercado9)</f>
        <v>0</v>
      </c>
      <c r="AT118" s="1">
        <f>SUMIFS(super1[Qtde],super1[Item],tab_higiene[[#This Row],[Item]],super1[Bairro],mercado10)+SUMIFS(supercb[Qtde],supercb[Item],tab_higiene[[#This Row],[Item]],supercb[Bairro],mercado10)</f>
        <v>0</v>
      </c>
      <c r="AU118" s="1">
        <f>SUMIFS(super1[Qtde],super1[Item],tab_higiene[[#This Row],[Item]],super1[Bairro],mercado11)+SUMIFS(supercb[Qtde],supercb[Item],tab_higiene[[#This Row],[Item]],supercb[Bairro],mercado11)</f>
        <v>0</v>
      </c>
      <c r="AV118" s="1">
        <f>SUMIFS(super1[Qtde],super1[Item],tab_higiene[[#This Row],[Item]],super1[Bairro],mercado12)+SUMIFS(supercb[Qtde],supercb[Item],tab_higiene[[#This Row],[Item]],supercb[Bairro],mercado12)</f>
        <v>0</v>
      </c>
      <c r="AW118" s="1">
        <f>SUMIFS(super1[Qtde],super1[Item],tab_higiene[[#This Row],[Item]],super1[Bairro],mercado13)+SUMIFS(supercb[Qtde],supercb[Item],tab_higiene[[#This Row],[Item]],supercb[Bairro],mercado13)</f>
        <v>0</v>
      </c>
      <c r="AX118" s="1">
        <f>SUMIFS(super1[Qtde],super1[Item],tab_higiene[[#This Row],[Item]],super1[Bairro],mercado14)+SUMIFS(supercb[Qtde],supercb[Item],tab_higiene[[#This Row],[Item]],supercb[Bairro],mercado14)</f>
        <v>0</v>
      </c>
      <c r="AY118" s="1">
        <f>SUMIFS(super1[Qtde],super1[Item],tab_higiene[[#This Row],[Item]],super1[Bairro],mercado15)+SUMIFS(supercb[Qtde],supercb[Item],tab_higiene[[#This Row],[Item]],supercb[Bairro],mercado15)</f>
        <v>0</v>
      </c>
      <c r="AZ118" s="1">
        <f>SUMIFS(super1[Qtde],super1[Item],tab_higiene[[#This Row],[Item]],super1[Bairro],mercado16)+SUMIFS(supercb[Qtde],supercb[Item],tab_higiene[[#This Row],[Item]],supercb[Bairro],mercado16)</f>
        <v>0</v>
      </c>
      <c r="BA118" s="1">
        <f>SUMIFS(super1[Qtde],super1[Item],tab_higiene[[#This Row],[Item]],super1[Bairro],mercado17)+SUMIFS(supercb[Qtde],supercb[Item],tab_higiene[[#This Row],[Item]],supercb[Bairro],mercado17)</f>
        <v>0</v>
      </c>
      <c r="BB118" s="1">
        <f>SUMIFS(super1[Qtde],super1[Item],tab_higiene[[#This Row],[Item]],super1[Bairro],mercado18)+SUMIFS(supercb[Qtde],supercb[Item],tab_higiene[[#This Row],[Item]],supercb[Bairro],mercado18)</f>
        <v>0</v>
      </c>
      <c r="BC118" s="1">
        <f>SUMIFS(super1[Qtde],super1[Item],tab_higiene[[#This Row],[Item]],super1[Bairro],extras)+SUMIFS(supercb[Qtde],supercb[Item],tab_higiene[[#This Row],[Item]],supercb[Bairro],extras)</f>
        <v>0</v>
      </c>
      <c r="BD118" s="1">
        <f t="shared" si="41"/>
        <v>0</v>
      </c>
      <c r="BE118" s="1">
        <f t="shared" si="42"/>
        <v>0</v>
      </c>
      <c r="BF118" s="26">
        <f t="shared" si="43"/>
        <v>0</v>
      </c>
      <c r="BI118" s="33" t="str">
        <f>tab_alimentos[[#This Row],[Item]]</f>
        <v>Farinha de rosca (500g)</v>
      </c>
      <c r="BJ118" s="33">
        <f t="shared" si="25"/>
        <v>17</v>
      </c>
      <c r="BK118" s="33" t="str">
        <f t="shared" si="26"/>
        <v>Farinha de rosca</v>
      </c>
      <c r="BL118" s="33">
        <f>tab_alimentos[[#This Row],[kg]]</f>
        <v>0</v>
      </c>
      <c r="BN118" s="35">
        <f t="shared" si="36"/>
        <v>0</v>
      </c>
      <c r="BP118" s="33" t="str">
        <f>tab_higiene[[#This Row],[Item]]</f>
        <v>H</v>
      </c>
      <c r="BQ118" s="33">
        <f t="shared" si="33"/>
        <v>0</v>
      </c>
      <c r="BR118" s="33" t="str">
        <f t="shared" si="34"/>
        <v>H</v>
      </c>
      <c r="BS118" s="33">
        <f>higiene[[#This Row],[Quantidade]]</f>
        <v>2</v>
      </c>
      <c r="BT118" s="33">
        <f>tab_higiene[Qtde (tot)]</f>
        <v>0</v>
      </c>
      <c r="BU118" s="33">
        <f t="shared" si="37"/>
        <v>0</v>
      </c>
      <c r="BW118" s="33">
        <f t="shared" si="44"/>
        <v>0</v>
      </c>
    </row>
    <row r="119" spans="9:75" x14ac:dyDescent="0.25">
      <c r="I119" s="25" t="str">
        <f>alimentos[[#This Row],[Item]]</f>
        <v>Farinha de trigo (1kg)</v>
      </c>
      <c r="J119" s="1">
        <f>IFERROR(alimentos[[#This Row],[kg/embalagem]],0)</f>
        <v>1</v>
      </c>
      <c r="K119" s="1">
        <f>IFERROR(alimentos[[#This Row],[Preço]],0)</f>
        <v>2.74</v>
      </c>
      <c r="L119" s="1">
        <f>SUMIFS(super1[Qtde],super1[Item],tab_alimentos[[#This Row],[Item]],super1[Bairro],mercado1)+SUMIFS(supercb[Qtde],supercb[Item],tab_alimentos[[#This Row],[Item]],supercb[Bairro],mercado1)</f>
        <v>1</v>
      </c>
      <c r="M119" s="1">
        <f>SUMIFS(super1[Qtde],super1[Item],tab_alimentos[[#This Row],[Item]],super1[Bairro],mercado2)+SUMIFS(supercb[Qtde],supercb[Item],tab_alimentos[[#This Row],[Item]],supercb[Bairro],mercado2)</f>
        <v>0</v>
      </c>
      <c r="N119" s="1">
        <f>SUMIFS(super1[Qtde],super1[Item],tab_alimentos[[#This Row],[Item]],super1[Bairro],mercado3)+SUMIFS(supercb[Qtde],supercb[Item],tab_alimentos[[#This Row],[Item]],supercb[Bairro],mercado3)</f>
        <v>0</v>
      </c>
      <c r="O119" s="1">
        <f>SUMIFS(super1[Qtde],super1[Item],tab_alimentos[[#This Row],[Item]],super1[Bairro],mercado4)+SUMIFS(supercb[Qtde],supercb[Item],tab_alimentos[[#This Row],[Item]],supercb[Bairro],mercado4)</f>
        <v>2</v>
      </c>
      <c r="P119" s="1">
        <f>SUMIFS(super1[Qtde],super1[Item],tab_alimentos[[#This Row],[Item]],super1[Bairro],mercado5)+SUMIFS(supercb[Qtde],supercb[Item],tab_alimentos[[#This Row],[Item]],supercb[Bairro],mercado5)</f>
        <v>0</v>
      </c>
      <c r="Q119" s="1">
        <f>SUMIFS(super1[Qtde],super1[Item],tab_alimentos[[#This Row],[Item]],super1[Bairro],mercado6)+SUMIFS(supercb[Qtde],supercb[Item],tab_alimentos[[#This Row],[Item]],supercb[Bairro],mercado6)</f>
        <v>1</v>
      </c>
      <c r="R119" s="1">
        <f>SUMIFS(super1[Qtde],super1[Item],tab_alimentos[[#This Row],[Item]],super1[Bairro],mercado7)+SUMIFS(supercb[Qtde],supercb[Item],tab_alimentos[[#This Row],[Item]],supercb[Bairro],mercado7)</f>
        <v>1</v>
      </c>
      <c r="S119" s="1">
        <f>SUMIFS(super1[Qtde],super1[Item],tab_alimentos[[#This Row],[Item]],super1[Bairro],mercado8)+SUMIFS(supercb[Qtde],supercb[Item],tab_alimentos[[#This Row],[Item]],supercb[Bairro],mercado8)</f>
        <v>4</v>
      </c>
      <c r="T119" s="1">
        <f>SUMIFS(super1[Qtde],super1[Item],tab_alimentos[[#This Row],[Item]],super1[Bairro],mercado9)+SUMIFS(supercb[Qtde],supercb[Item],tab_alimentos[[#This Row],[Item]],supercb[Bairro],mercado9)</f>
        <v>3</v>
      </c>
      <c r="U119" s="1">
        <f>SUMIFS(super1[Qtde],super1[Item],tab_alimentos[[#This Row],[Item]],super1[Bairro],mercado10)+SUMIFS(supercb[Qtde],supercb[Item],tab_alimentos[[#This Row],[Item]],supercb[Bairro],mercado10)</f>
        <v>3</v>
      </c>
      <c r="V119" s="1">
        <f>SUMIFS(super1[Qtde],super1[Item],tab_alimentos[[#This Row],[Item]],super1[Bairro],mercado11)+SUMIFS(supercb[Qtde],supercb[Item],tab_alimentos[[#This Row],[Item]],supercb[Bairro],mercado11)</f>
        <v>0</v>
      </c>
      <c r="W119" s="1">
        <f>SUMIFS(super1[Qtde],super1[Item],tab_alimentos[[#This Row],[Item]],super1[Bairro],mercado12)+SUMIFS(supercb[Qtde],supercb[Item],tab_alimentos[[#This Row],[Item]],supercb[Bairro],mercado12)</f>
        <v>0</v>
      </c>
      <c r="X119" s="1">
        <f>SUMIFS(super1[Qtde],super1[Item],tab_alimentos[[#This Row],[Item]],super1[Bairro],mercado13)+SUMIFS(supercb[Qtde],supercb[Item],tab_alimentos[[#This Row],[Item]],supercb[Bairro],mercado13)</f>
        <v>0</v>
      </c>
      <c r="Y119" s="1">
        <f>SUMIFS(super1[Qtde],super1[Item],tab_alimentos[[#This Row],[Item]],super1[Bairro],mercado14)+SUMIFS(supercb[Qtde],supercb[Item],tab_alimentos[[#This Row],[Item]],supercb[Bairro],mercado14)</f>
        <v>0</v>
      </c>
      <c r="Z119" s="1">
        <f>SUMIFS(super1[Qtde],super1[Item],tab_alimentos[[#This Row],[Item]],super1[Bairro],mercado15)+SUMIFS(supercb[Qtde],supercb[Item],tab_alimentos[[#This Row],[Item]],supercb[Bairro],mercado15)</f>
        <v>0</v>
      </c>
      <c r="AA119" s="1">
        <f>SUMIFS(super1[Qtde],super1[Item],tab_alimentos[[#This Row],[Item]],super1[Bairro],mercado16)+SUMIFS(supercb[Qtde],supercb[Item],tab_alimentos[[#This Row],[Item]],supercb[Bairro],mercado16)</f>
        <v>0</v>
      </c>
      <c r="AB119" s="1">
        <f>SUMIFS(super1[Qtde],super1[Item],tab_alimentos[[#This Row],[Item]],super1[Bairro],mercado17)+SUMIFS(supercb[Qtde],supercb[Item],tab_alimentos[[#This Row],[Item]],supercb[Bairro],mercado17)</f>
        <v>0</v>
      </c>
      <c r="AC119" s="1">
        <f>SUMIFS(super1[Qtde],super1[Item],tab_alimentos[[#This Row],[Item]],super1[Bairro],mercado18)+SUMIFS(supercb[Qtde],supercb[Item],tab_alimentos[[#This Row],[Item]],supercb[Bairro],mercado18)</f>
        <v>0</v>
      </c>
      <c r="AD119" s="1">
        <f>SUMIFS(super1[Qtde],super1[Item],tab_alimentos[[#This Row],[Item]],super1[Bairro],extras)+SUMIFS(supercb[Qtde],supercb[Item],tab_alimentos[[#This Row],[Item]],supercb[Bairro],extras)</f>
        <v>0</v>
      </c>
      <c r="AE119" s="1">
        <f t="shared" si="38"/>
        <v>15</v>
      </c>
      <c r="AF119" s="1">
        <f t="shared" si="39"/>
        <v>41.1</v>
      </c>
      <c r="AG119" s="3">
        <f t="shared" si="40"/>
        <v>15</v>
      </c>
      <c r="AH119" s="25" t="str">
        <f>higiene[[#This Row],[Item]]</f>
        <v>I</v>
      </c>
      <c r="AI119" s="1">
        <f>IFERROR(higiene[[#This Row],[Kg equivalente]],0)</f>
        <v>0</v>
      </c>
      <c r="AJ119" s="1" t="str">
        <f>IFERROR(higiene[[#This Row],[Preço por produto]],0)</f>
        <v/>
      </c>
      <c r="AK119" s="1">
        <f>SUMIFS(super1[Qtde],super1[Item],tab_higiene[[#This Row],[Item]],super1[Bairro],mercado1)+SUMIFS(supercb[Qtde],supercb[Item],tab_higiene[[#This Row],[Item]],supercb[Bairro],mercado1)</f>
        <v>0</v>
      </c>
      <c r="AL119" s="1">
        <f>SUMIFS(super1[Qtde],super1[Item],tab_higiene[[#This Row],[Item]],super1[Bairro],mercado2)+SUMIFS(supercb[Qtde],supercb[Item],tab_higiene[[#This Row],[Item]],supercb[Bairro],mercado2)</f>
        <v>0</v>
      </c>
      <c r="AM119" s="1">
        <f>SUMIFS(super1[Qtde],super1[Item],tab_higiene[[#This Row],[Item]],super1[Bairro],mercado3)+SUMIFS(supercb[Qtde],supercb[Item],tab_higiene[[#This Row],[Item]],supercb[Bairro],mercado3)</f>
        <v>0</v>
      </c>
      <c r="AN119" s="1">
        <f>SUMIFS(super1[Qtde],super1[Item],tab_higiene[[#This Row],[Item]],super1[Bairro],mercado4)+SUMIFS(supercb[Qtde],supercb[Item],tab_higiene[[#This Row],[Item]],supercb[Bairro],mercado4)</f>
        <v>0</v>
      </c>
      <c r="AO119" s="1">
        <f>SUMIFS(super1[Qtde],super1[Item],tab_higiene[[#This Row],[Item]],super1[Bairro],mercado5)+SUMIFS(supercb[Qtde],supercb[Item],tab_higiene[[#This Row],[Item]],supercb[Bairro],mercado5)</f>
        <v>0</v>
      </c>
      <c r="AP119" s="1">
        <f>SUMIFS(super1[Qtde],super1[Item],tab_higiene[[#This Row],[Item]],super1[Bairro],mercado6)+SUMIFS(supercb[Qtde],supercb[Item],tab_higiene[[#This Row],[Item]],supercb[Bairro],mercado6)</f>
        <v>0</v>
      </c>
      <c r="AQ119" s="1">
        <f>SUMIFS(super1[Qtde],super1[Item],tab_higiene[[#This Row],[Item]],super1[Bairro],mercado7)+SUMIFS(supercb[Qtde],supercb[Item],tab_higiene[[#This Row],[Item]],supercb[Bairro],mercado7)</f>
        <v>0</v>
      </c>
      <c r="AR119" s="1">
        <f>SUMIFS(super1[Qtde],super1[Item],tab_higiene[[#This Row],[Item]],super1[Bairro],mercado8)+SUMIFS(supercb[Qtde],supercb[Item],tab_higiene[[#This Row],[Item]],supercb[Bairro],mercado8)</f>
        <v>0</v>
      </c>
      <c r="AS119" s="1">
        <f>SUMIFS(super1[Qtde],super1[Item],tab_higiene[[#This Row],[Item]],super1[Bairro],mercado9)+SUMIFS(supercb[Qtde],supercb[Item],tab_higiene[[#This Row],[Item]],supercb[Bairro],mercado9)</f>
        <v>0</v>
      </c>
      <c r="AT119" s="1">
        <f>SUMIFS(super1[Qtde],super1[Item],tab_higiene[[#This Row],[Item]],super1[Bairro],mercado10)+SUMIFS(supercb[Qtde],supercb[Item],tab_higiene[[#This Row],[Item]],supercb[Bairro],mercado10)</f>
        <v>0</v>
      </c>
      <c r="AU119" s="1">
        <f>SUMIFS(super1[Qtde],super1[Item],tab_higiene[[#This Row],[Item]],super1[Bairro],mercado11)+SUMIFS(supercb[Qtde],supercb[Item],tab_higiene[[#This Row],[Item]],supercb[Bairro],mercado11)</f>
        <v>0</v>
      </c>
      <c r="AV119" s="1">
        <f>SUMIFS(super1[Qtde],super1[Item],tab_higiene[[#This Row],[Item]],super1[Bairro],mercado12)+SUMIFS(supercb[Qtde],supercb[Item],tab_higiene[[#This Row],[Item]],supercb[Bairro],mercado12)</f>
        <v>0</v>
      </c>
      <c r="AW119" s="1">
        <f>SUMIFS(super1[Qtde],super1[Item],tab_higiene[[#This Row],[Item]],super1[Bairro],mercado13)+SUMIFS(supercb[Qtde],supercb[Item],tab_higiene[[#This Row],[Item]],supercb[Bairro],mercado13)</f>
        <v>0</v>
      </c>
      <c r="AX119" s="1">
        <f>SUMIFS(super1[Qtde],super1[Item],tab_higiene[[#This Row],[Item]],super1[Bairro],mercado14)+SUMIFS(supercb[Qtde],supercb[Item],tab_higiene[[#This Row],[Item]],supercb[Bairro],mercado14)</f>
        <v>0</v>
      </c>
      <c r="AY119" s="1">
        <f>SUMIFS(super1[Qtde],super1[Item],tab_higiene[[#This Row],[Item]],super1[Bairro],mercado15)+SUMIFS(supercb[Qtde],supercb[Item],tab_higiene[[#This Row],[Item]],supercb[Bairro],mercado15)</f>
        <v>0</v>
      </c>
      <c r="AZ119" s="1">
        <f>SUMIFS(super1[Qtde],super1[Item],tab_higiene[[#This Row],[Item]],super1[Bairro],mercado16)+SUMIFS(supercb[Qtde],supercb[Item],tab_higiene[[#This Row],[Item]],supercb[Bairro],mercado16)</f>
        <v>0</v>
      </c>
      <c r="BA119" s="1">
        <f>SUMIFS(super1[Qtde],super1[Item],tab_higiene[[#This Row],[Item]],super1[Bairro],mercado17)+SUMIFS(supercb[Qtde],supercb[Item],tab_higiene[[#This Row],[Item]],supercb[Bairro],mercado17)</f>
        <v>0</v>
      </c>
      <c r="BB119" s="1">
        <f>SUMIFS(super1[Qtde],super1[Item],tab_higiene[[#This Row],[Item]],super1[Bairro],mercado18)+SUMIFS(supercb[Qtde],supercb[Item],tab_higiene[[#This Row],[Item]],supercb[Bairro],mercado18)</f>
        <v>0</v>
      </c>
      <c r="BC119" s="1">
        <f>SUMIFS(super1[Qtde],super1[Item],tab_higiene[[#This Row],[Item]],super1[Bairro],extras)+SUMIFS(supercb[Qtde],supercb[Item],tab_higiene[[#This Row],[Item]],supercb[Bairro],extras)</f>
        <v>0</v>
      </c>
      <c r="BD119" s="1">
        <f t="shared" si="41"/>
        <v>0</v>
      </c>
      <c r="BE119" s="1">
        <f t="shared" si="42"/>
        <v>0</v>
      </c>
      <c r="BF119" s="26">
        <f t="shared" si="43"/>
        <v>0</v>
      </c>
      <c r="BI119" s="33" t="str">
        <f>tab_alimentos[[#This Row],[Item]]</f>
        <v>Farinha de trigo (1kg)</v>
      </c>
      <c r="BJ119" s="33">
        <f t="shared" si="25"/>
        <v>17</v>
      </c>
      <c r="BK119" s="33" t="str">
        <f t="shared" si="26"/>
        <v>Farinha de trigo</v>
      </c>
      <c r="BL119" s="33">
        <f>tab_alimentos[[#This Row],[kg]]</f>
        <v>15</v>
      </c>
      <c r="BN119" s="35">
        <f t="shared" si="36"/>
        <v>0</v>
      </c>
      <c r="BP119" s="33" t="str">
        <f>tab_higiene[[#This Row],[Item]]</f>
        <v>I</v>
      </c>
      <c r="BQ119" s="33">
        <f t="shared" si="33"/>
        <v>0</v>
      </c>
      <c r="BR119" s="33" t="str">
        <f t="shared" si="34"/>
        <v>I</v>
      </c>
      <c r="BS119" s="33">
        <f>higiene[[#This Row],[Quantidade]]</f>
        <v>0.18</v>
      </c>
      <c r="BT119" s="33">
        <f>tab_higiene[Qtde (tot)]</f>
        <v>0</v>
      </c>
      <c r="BU119" s="33">
        <f t="shared" si="37"/>
        <v>0</v>
      </c>
      <c r="BW119" s="33">
        <f t="shared" si="44"/>
        <v>0</v>
      </c>
    </row>
    <row r="120" spans="9:75" x14ac:dyDescent="0.25">
      <c r="I120" s="25" t="str">
        <f>alimentos[[#This Row],[Item]]</f>
        <v>Farofa (150g)</v>
      </c>
      <c r="J120" s="1">
        <f>IFERROR(alimentos[[#This Row],[kg/embalagem]],0)</f>
        <v>0.15</v>
      </c>
      <c r="K120" s="1">
        <f>IFERROR(alimentos[[#This Row],[Preço]],0)</f>
        <v>2.35</v>
      </c>
      <c r="L120" s="1">
        <f>SUMIFS(super1[Qtde],super1[Item],tab_alimentos[[#This Row],[Item]],super1[Bairro],mercado1)+SUMIFS(supercb[Qtde],supercb[Item],tab_alimentos[[#This Row],[Item]],supercb[Bairro],mercado1)</f>
        <v>0</v>
      </c>
      <c r="M120" s="1">
        <f>SUMIFS(super1[Qtde],super1[Item],tab_alimentos[[#This Row],[Item]],super1[Bairro],mercado2)+SUMIFS(supercb[Qtde],supercb[Item],tab_alimentos[[#This Row],[Item]],supercb[Bairro],mercado2)</f>
        <v>0</v>
      </c>
      <c r="N120" s="1">
        <f>SUMIFS(super1[Qtde],super1[Item],tab_alimentos[[#This Row],[Item]],super1[Bairro],mercado3)+SUMIFS(supercb[Qtde],supercb[Item],tab_alimentos[[#This Row],[Item]],supercb[Bairro],mercado3)</f>
        <v>0</v>
      </c>
      <c r="O120" s="1">
        <f>SUMIFS(super1[Qtde],super1[Item],tab_alimentos[[#This Row],[Item]],super1[Bairro],mercado4)+SUMIFS(supercb[Qtde],supercb[Item],tab_alimentos[[#This Row],[Item]],supercb[Bairro],mercado4)</f>
        <v>0</v>
      </c>
      <c r="P120" s="1">
        <f>SUMIFS(super1[Qtde],super1[Item],tab_alimentos[[#This Row],[Item]],super1[Bairro],mercado5)+SUMIFS(supercb[Qtde],supercb[Item],tab_alimentos[[#This Row],[Item]],supercb[Bairro],mercado5)</f>
        <v>0</v>
      </c>
      <c r="Q120" s="1">
        <f>SUMIFS(super1[Qtde],super1[Item],tab_alimentos[[#This Row],[Item]],super1[Bairro],mercado6)+SUMIFS(supercb[Qtde],supercb[Item],tab_alimentos[[#This Row],[Item]],supercb[Bairro],mercado6)</f>
        <v>0</v>
      </c>
      <c r="R120" s="1">
        <f>SUMIFS(super1[Qtde],super1[Item],tab_alimentos[[#This Row],[Item]],super1[Bairro],mercado7)+SUMIFS(supercb[Qtde],supercb[Item],tab_alimentos[[#This Row],[Item]],supercb[Bairro],mercado7)</f>
        <v>0</v>
      </c>
      <c r="S120" s="1">
        <f>SUMIFS(super1[Qtde],super1[Item],tab_alimentos[[#This Row],[Item]],super1[Bairro],mercado8)+SUMIFS(supercb[Qtde],supercb[Item],tab_alimentos[[#This Row],[Item]],supercb[Bairro],mercado8)</f>
        <v>0</v>
      </c>
      <c r="T120" s="1">
        <f>SUMIFS(super1[Qtde],super1[Item],tab_alimentos[[#This Row],[Item]],super1[Bairro],mercado9)+SUMIFS(supercb[Qtde],supercb[Item],tab_alimentos[[#This Row],[Item]],supercb[Bairro],mercado9)</f>
        <v>0</v>
      </c>
      <c r="U120" s="1">
        <f>SUMIFS(super1[Qtde],super1[Item],tab_alimentos[[#This Row],[Item]],super1[Bairro],mercado10)+SUMIFS(supercb[Qtde],supercb[Item],tab_alimentos[[#This Row],[Item]],supercb[Bairro],mercado10)</f>
        <v>0</v>
      </c>
      <c r="V120" s="1">
        <f>SUMIFS(super1[Qtde],super1[Item],tab_alimentos[[#This Row],[Item]],super1[Bairro],mercado11)+SUMIFS(supercb[Qtde],supercb[Item],tab_alimentos[[#This Row],[Item]],supercb[Bairro],mercado11)</f>
        <v>0</v>
      </c>
      <c r="W120" s="1">
        <f>SUMIFS(super1[Qtde],super1[Item],tab_alimentos[[#This Row],[Item]],super1[Bairro],mercado12)+SUMIFS(supercb[Qtde],supercb[Item],tab_alimentos[[#This Row],[Item]],supercb[Bairro],mercado12)</f>
        <v>0</v>
      </c>
      <c r="X120" s="1">
        <f>SUMIFS(super1[Qtde],super1[Item],tab_alimentos[[#This Row],[Item]],super1[Bairro],mercado13)+SUMIFS(supercb[Qtde],supercb[Item],tab_alimentos[[#This Row],[Item]],supercb[Bairro],mercado13)</f>
        <v>0</v>
      </c>
      <c r="Y120" s="1">
        <f>SUMIFS(super1[Qtde],super1[Item],tab_alimentos[[#This Row],[Item]],super1[Bairro],mercado14)+SUMIFS(supercb[Qtde],supercb[Item],tab_alimentos[[#This Row],[Item]],supercb[Bairro],mercado14)</f>
        <v>0</v>
      </c>
      <c r="Z120" s="1">
        <f>SUMIFS(super1[Qtde],super1[Item],tab_alimentos[[#This Row],[Item]],super1[Bairro],mercado15)+SUMIFS(supercb[Qtde],supercb[Item],tab_alimentos[[#This Row],[Item]],supercb[Bairro],mercado15)</f>
        <v>0</v>
      </c>
      <c r="AA120" s="1">
        <f>SUMIFS(super1[Qtde],super1[Item],tab_alimentos[[#This Row],[Item]],super1[Bairro],mercado16)+SUMIFS(supercb[Qtde],supercb[Item],tab_alimentos[[#This Row],[Item]],supercb[Bairro],mercado16)</f>
        <v>0</v>
      </c>
      <c r="AB120" s="1">
        <f>SUMIFS(super1[Qtde],super1[Item],tab_alimentos[[#This Row],[Item]],super1[Bairro],mercado17)+SUMIFS(supercb[Qtde],supercb[Item],tab_alimentos[[#This Row],[Item]],supercb[Bairro],mercado17)</f>
        <v>0</v>
      </c>
      <c r="AC120" s="1">
        <f>SUMIFS(super1[Qtde],super1[Item],tab_alimentos[[#This Row],[Item]],super1[Bairro],mercado18)+SUMIFS(supercb[Qtde],supercb[Item],tab_alimentos[[#This Row],[Item]],supercb[Bairro],mercado18)</f>
        <v>0</v>
      </c>
      <c r="AD120" s="1">
        <f>SUMIFS(super1[Qtde],super1[Item],tab_alimentos[[#This Row],[Item]],super1[Bairro],extras)+SUMIFS(supercb[Qtde],supercb[Item],tab_alimentos[[#This Row],[Item]],supercb[Bairro],extras)</f>
        <v>0</v>
      </c>
      <c r="AE120" s="1">
        <f t="shared" si="38"/>
        <v>0</v>
      </c>
      <c r="AF120" s="1">
        <f t="shared" si="39"/>
        <v>0</v>
      </c>
      <c r="AG120" s="3">
        <f t="shared" si="40"/>
        <v>0</v>
      </c>
      <c r="AH120" s="25" t="str">
        <f>higiene[[#This Row],[Item]]</f>
        <v>J</v>
      </c>
      <c r="AI120" s="1">
        <f>IFERROR(higiene[[#This Row],[Kg equivalente]],0)</f>
        <v>0</v>
      </c>
      <c r="AJ120" s="1" t="str">
        <f>IFERROR(higiene[[#This Row],[Preço por produto]],0)</f>
        <v/>
      </c>
      <c r="AK120" s="1">
        <f>SUMIFS(super1[Qtde],super1[Item],tab_higiene[[#This Row],[Item]],super1[Bairro],mercado1)+SUMIFS(supercb[Qtde],supercb[Item],tab_higiene[[#This Row],[Item]],supercb[Bairro],mercado1)</f>
        <v>0</v>
      </c>
      <c r="AL120" s="1">
        <f>SUMIFS(super1[Qtde],super1[Item],tab_higiene[[#This Row],[Item]],super1[Bairro],mercado2)+SUMIFS(supercb[Qtde],supercb[Item],tab_higiene[[#This Row],[Item]],supercb[Bairro],mercado2)</f>
        <v>0</v>
      </c>
      <c r="AM120" s="1">
        <f>SUMIFS(super1[Qtde],super1[Item],tab_higiene[[#This Row],[Item]],super1[Bairro],mercado3)+SUMIFS(supercb[Qtde],supercb[Item],tab_higiene[[#This Row],[Item]],supercb[Bairro],mercado3)</f>
        <v>0</v>
      </c>
      <c r="AN120" s="1">
        <f>SUMIFS(super1[Qtde],super1[Item],tab_higiene[[#This Row],[Item]],super1[Bairro],mercado4)+SUMIFS(supercb[Qtde],supercb[Item],tab_higiene[[#This Row],[Item]],supercb[Bairro],mercado4)</f>
        <v>0</v>
      </c>
      <c r="AO120" s="1">
        <f>SUMIFS(super1[Qtde],super1[Item],tab_higiene[[#This Row],[Item]],super1[Bairro],mercado5)+SUMIFS(supercb[Qtde],supercb[Item],tab_higiene[[#This Row],[Item]],supercb[Bairro],mercado5)</f>
        <v>0</v>
      </c>
      <c r="AP120" s="1">
        <f>SUMIFS(super1[Qtde],super1[Item],tab_higiene[[#This Row],[Item]],super1[Bairro],mercado6)+SUMIFS(supercb[Qtde],supercb[Item],tab_higiene[[#This Row],[Item]],supercb[Bairro],mercado6)</f>
        <v>0</v>
      </c>
      <c r="AQ120" s="1">
        <f>SUMIFS(super1[Qtde],super1[Item],tab_higiene[[#This Row],[Item]],super1[Bairro],mercado7)+SUMIFS(supercb[Qtde],supercb[Item],tab_higiene[[#This Row],[Item]],supercb[Bairro],mercado7)</f>
        <v>0</v>
      </c>
      <c r="AR120" s="1">
        <f>SUMIFS(super1[Qtde],super1[Item],tab_higiene[[#This Row],[Item]],super1[Bairro],mercado8)+SUMIFS(supercb[Qtde],supercb[Item],tab_higiene[[#This Row],[Item]],supercb[Bairro],mercado8)</f>
        <v>0</v>
      </c>
      <c r="AS120" s="1">
        <f>SUMIFS(super1[Qtde],super1[Item],tab_higiene[[#This Row],[Item]],super1[Bairro],mercado9)+SUMIFS(supercb[Qtde],supercb[Item],tab_higiene[[#This Row],[Item]],supercb[Bairro],mercado9)</f>
        <v>0</v>
      </c>
      <c r="AT120" s="1">
        <f>SUMIFS(super1[Qtde],super1[Item],tab_higiene[[#This Row],[Item]],super1[Bairro],mercado10)+SUMIFS(supercb[Qtde],supercb[Item],tab_higiene[[#This Row],[Item]],supercb[Bairro],mercado10)</f>
        <v>0</v>
      </c>
      <c r="AU120" s="1">
        <f>SUMIFS(super1[Qtde],super1[Item],tab_higiene[[#This Row],[Item]],super1[Bairro],mercado11)+SUMIFS(supercb[Qtde],supercb[Item],tab_higiene[[#This Row],[Item]],supercb[Bairro],mercado11)</f>
        <v>0</v>
      </c>
      <c r="AV120" s="1">
        <f>SUMIFS(super1[Qtde],super1[Item],tab_higiene[[#This Row],[Item]],super1[Bairro],mercado12)+SUMIFS(supercb[Qtde],supercb[Item],tab_higiene[[#This Row],[Item]],supercb[Bairro],mercado12)</f>
        <v>0</v>
      </c>
      <c r="AW120" s="1">
        <f>SUMIFS(super1[Qtde],super1[Item],tab_higiene[[#This Row],[Item]],super1[Bairro],mercado13)+SUMIFS(supercb[Qtde],supercb[Item],tab_higiene[[#This Row],[Item]],supercb[Bairro],mercado13)</f>
        <v>0</v>
      </c>
      <c r="AX120" s="1">
        <f>SUMIFS(super1[Qtde],super1[Item],tab_higiene[[#This Row],[Item]],super1[Bairro],mercado14)+SUMIFS(supercb[Qtde],supercb[Item],tab_higiene[[#This Row],[Item]],supercb[Bairro],mercado14)</f>
        <v>0</v>
      </c>
      <c r="AY120" s="1">
        <f>SUMIFS(super1[Qtde],super1[Item],tab_higiene[[#This Row],[Item]],super1[Bairro],mercado15)+SUMIFS(supercb[Qtde],supercb[Item],tab_higiene[[#This Row],[Item]],supercb[Bairro],mercado15)</f>
        <v>0</v>
      </c>
      <c r="AZ120" s="1">
        <f>SUMIFS(super1[Qtde],super1[Item],tab_higiene[[#This Row],[Item]],super1[Bairro],mercado16)+SUMIFS(supercb[Qtde],supercb[Item],tab_higiene[[#This Row],[Item]],supercb[Bairro],mercado16)</f>
        <v>0</v>
      </c>
      <c r="BA120" s="1">
        <f>SUMIFS(super1[Qtde],super1[Item],tab_higiene[[#This Row],[Item]],super1[Bairro],mercado17)+SUMIFS(supercb[Qtde],supercb[Item],tab_higiene[[#This Row],[Item]],supercb[Bairro],mercado17)</f>
        <v>0</v>
      </c>
      <c r="BB120" s="1">
        <f>SUMIFS(super1[Qtde],super1[Item],tab_higiene[[#This Row],[Item]],super1[Bairro],mercado18)+SUMIFS(supercb[Qtde],supercb[Item],tab_higiene[[#This Row],[Item]],supercb[Bairro],mercado18)</f>
        <v>0</v>
      </c>
      <c r="BC120" s="1">
        <f>SUMIFS(super1[Qtde],super1[Item],tab_higiene[[#This Row],[Item]],super1[Bairro],extras)+SUMIFS(supercb[Qtde],supercb[Item],tab_higiene[[#This Row],[Item]],supercb[Bairro],extras)</f>
        <v>0</v>
      </c>
      <c r="BD120" s="1">
        <f t="shared" si="41"/>
        <v>0</v>
      </c>
      <c r="BE120" s="1">
        <f t="shared" si="42"/>
        <v>0</v>
      </c>
      <c r="BF120" s="26">
        <f t="shared" si="43"/>
        <v>0</v>
      </c>
      <c r="BI120" s="33" t="str">
        <f>tab_alimentos[[#This Row],[Item]]</f>
        <v>Farofa (150g)</v>
      </c>
      <c r="BJ120" s="33">
        <f t="shared" si="25"/>
        <v>7</v>
      </c>
      <c r="BK120" s="33" t="str">
        <f t="shared" si="26"/>
        <v>Farofa</v>
      </c>
      <c r="BL120" s="33">
        <f>tab_alimentos[[#This Row],[kg]]</f>
        <v>0</v>
      </c>
      <c r="BN120" s="35">
        <f t="shared" si="36"/>
        <v>0</v>
      </c>
      <c r="BP120" s="33" t="str">
        <f>tab_higiene[[#This Row],[Item]]</f>
        <v>J</v>
      </c>
      <c r="BQ120" s="33">
        <f t="shared" si="33"/>
        <v>0</v>
      </c>
      <c r="BR120" s="33" t="str">
        <f t="shared" si="34"/>
        <v>J</v>
      </c>
      <c r="BS120" s="33">
        <f>higiene[[#This Row],[Quantidade]]</f>
        <v>0.05</v>
      </c>
      <c r="BT120" s="33">
        <f>tab_higiene[Qtde (tot)]</f>
        <v>0</v>
      </c>
      <c r="BU120" s="33">
        <f t="shared" si="37"/>
        <v>0</v>
      </c>
      <c r="BW120" s="33">
        <f t="shared" si="44"/>
        <v>0</v>
      </c>
    </row>
    <row r="121" spans="9:75" x14ac:dyDescent="0.25">
      <c r="I121" s="25" t="str">
        <f>alimentos[[#This Row],[Item]]</f>
        <v>Farofa (250g)</v>
      </c>
      <c r="J121" s="1">
        <f>IFERROR(alimentos[[#This Row],[kg/embalagem]],0)</f>
        <v>0.25</v>
      </c>
      <c r="K121" s="1">
        <f>IFERROR(alimentos[[#This Row],[Preço]],0)</f>
        <v>2.5619999999999998</v>
      </c>
      <c r="L121" s="1">
        <f>SUMIFS(super1[Qtde],super1[Item],tab_alimentos[[#This Row],[Item]],super1[Bairro],mercado1)+SUMIFS(supercb[Qtde],supercb[Item],tab_alimentos[[#This Row],[Item]],supercb[Bairro],mercado1)</f>
        <v>0</v>
      </c>
      <c r="M121" s="1">
        <f>SUMIFS(super1[Qtde],super1[Item],tab_alimentos[[#This Row],[Item]],super1[Bairro],mercado2)+SUMIFS(supercb[Qtde],supercb[Item],tab_alimentos[[#This Row],[Item]],supercb[Bairro],mercado2)</f>
        <v>0</v>
      </c>
      <c r="N121" s="1">
        <f>SUMIFS(super1[Qtde],super1[Item],tab_alimentos[[#This Row],[Item]],super1[Bairro],mercado3)+SUMIFS(supercb[Qtde],supercb[Item],tab_alimentos[[#This Row],[Item]],supercb[Bairro],mercado3)</f>
        <v>0</v>
      </c>
      <c r="O121" s="1">
        <f>SUMIFS(super1[Qtde],super1[Item],tab_alimentos[[#This Row],[Item]],super1[Bairro],mercado4)+SUMIFS(supercb[Qtde],supercb[Item],tab_alimentos[[#This Row],[Item]],supercb[Bairro],mercado4)</f>
        <v>0</v>
      </c>
      <c r="P121" s="1">
        <f>SUMIFS(super1[Qtde],super1[Item],tab_alimentos[[#This Row],[Item]],super1[Bairro],mercado5)+SUMIFS(supercb[Qtde],supercb[Item],tab_alimentos[[#This Row],[Item]],supercb[Bairro],mercado5)</f>
        <v>0</v>
      </c>
      <c r="Q121" s="1">
        <f>SUMIFS(super1[Qtde],super1[Item],tab_alimentos[[#This Row],[Item]],super1[Bairro],mercado6)+SUMIFS(supercb[Qtde],supercb[Item],tab_alimentos[[#This Row],[Item]],supercb[Bairro],mercado6)</f>
        <v>0</v>
      </c>
      <c r="R121" s="1">
        <f>SUMIFS(super1[Qtde],super1[Item],tab_alimentos[[#This Row],[Item]],super1[Bairro],mercado7)+SUMIFS(supercb[Qtde],supercb[Item],tab_alimentos[[#This Row],[Item]],supercb[Bairro],mercado7)</f>
        <v>0</v>
      </c>
      <c r="S121" s="1">
        <f>SUMIFS(super1[Qtde],super1[Item],tab_alimentos[[#This Row],[Item]],super1[Bairro],mercado8)+SUMIFS(supercb[Qtde],supercb[Item],tab_alimentos[[#This Row],[Item]],supercb[Bairro],mercado8)</f>
        <v>0</v>
      </c>
      <c r="T121" s="1">
        <f>SUMIFS(super1[Qtde],super1[Item],tab_alimentos[[#This Row],[Item]],super1[Bairro],mercado9)+SUMIFS(supercb[Qtde],supercb[Item],tab_alimentos[[#This Row],[Item]],supercb[Bairro],mercado9)</f>
        <v>0</v>
      </c>
      <c r="U121" s="1">
        <f>SUMIFS(super1[Qtde],super1[Item],tab_alimentos[[#This Row],[Item]],super1[Bairro],mercado10)+SUMIFS(supercb[Qtde],supercb[Item],tab_alimentos[[#This Row],[Item]],supercb[Bairro],mercado10)</f>
        <v>0</v>
      </c>
      <c r="V121" s="1">
        <f>SUMIFS(super1[Qtde],super1[Item],tab_alimentos[[#This Row],[Item]],super1[Bairro],mercado11)+SUMIFS(supercb[Qtde],supercb[Item],tab_alimentos[[#This Row],[Item]],supercb[Bairro],mercado11)</f>
        <v>0</v>
      </c>
      <c r="W121" s="1">
        <f>SUMIFS(super1[Qtde],super1[Item],tab_alimentos[[#This Row],[Item]],super1[Bairro],mercado12)+SUMIFS(supercb[Qtde],supercb[Item],tab_alimentos[[#This Row],[Item]],supercb[Bairro],mercado12)</f>
        <v>0</v>
      </c>
      <c r="X121" s="1">
        <f>SUMIFS(super1[Qtde],super1[Item],tab_alimentos[[#This Row],[Item]],super1[Bairro],mercado13)+SUMIFS(supercb[Qtde],supercb[Item],tab_alimentos[[#This Row],[Item]],supercb[Bairro],mercado13)</f>
        <v>0</v>
      </c>
      <c r="Y121" s="1">
        <f>SUMIFS(super1[Qtde],super1[Item],tab_alimentos[[#This Row],[Item]],super1[Bairro],mercado14)+SUMIFS(supercb[Qtde],supercb[Item],tab_alimentos[[#This Row],[Item]],supercb[Bairro],mercado14)</f>
        <v>0</v>
      </c>
      <c r="Z121" s="1">
        <f>SUMIFS(super1[Qtde],super1[Item],tab_alimentos[[#This Row],[Item]],super1[Bairro],mercado15)+SUMIFS(supercb[Qtde],supercb[Item],tab_alimentos[[#This Row],[Item]],supercb[Bairro],mercado15)</f>
        <v>0</v>
      </c>
      <c r="AA121" s="1">
        <f>SUMIFS(super1[Qtde],super1[Item],tab_alimentos[[#This Row],[Item]],super1[Bairro],mercado16)+SUMIFS(supercb[Qtde],supercb[Item],tab_alimentos[[#This Row],[Item]],supercb[Bairro],mercado16)</f>
        <v>0</v>
      </c>
      <c r="AB121" s="1">
        <f>SUMIFS(super1[Qtde],super1[Item],tab_alimentos[[#This Row],[Item]],super1[Bairro],mercado17)+SUMIFS(supercb[Qtde],supercb[Item],tab_alimentos[[#This Row],[Item]],supercb[Bairro],mercado17)</f>
        <v>0</v>
      </c>
      <c r="AC121" s="1">
        <f>SUMIFS(super1[Qtde],super1[Item],tab_alimentos[[#This Row],[Item]],super1[Bairro],mercado18)+SUMIFS(supercb[Qtde],supercb[Item],tab_alimentos[[#This Row],[Item]],supercb[Bairro],mercado18)</f>
        <v>0</v>
      </c>
      <c r="AD121" s="1">
        <f>SUMIFS(super1[Qtde],super1[Item],tab_alimentos[[#This Row],[Item]],super1[Bairro],extras)+SUMIFS(supercb[Qtde],supercb[Item],tab_alimentos[[#This Row],[Item]],supercb[Bairro],extras)</f>
        <v>0</v>
      </c>
      <c r="AE121" s="1">
        <f t="shared" si="38"/>
        <v>0</v>
      </c>
      <c r="AF121" s="1">
        <f t="shared" si="39"/>
        <v>0</v>
      </c>
      <c r="AG121" s="3">
        <f t="shared" si="40"/>
        <v>0</v>
      </c>
      <c r="AH121" s="25" t="str">
        <f>higiene[[#This Row],[Item]]</f>
        <v>L</v>
      </c>
      <c r="AI121" s="1">
        <f>IFERROR(higiene[[#This Row],[Kg equivalente]],0)</f>
        <v>0</v>
      </c>
      <c r="AJ121" s="1" t="str">
        <f>IFERROR(higiene[[#This Row],[Preço por produto]],0)</f>
        <v/>
      </c>
      <c r="AK121" s="1">
        <f>SUMIFS(super1[Qtde],super1[Item],tab_higiene[[#This Row],[Item]],super1[Bairro],mercado1)+SUMIFS(supercb[Qtde],supercb[Item],tab_higiene[[#This Row],[Item]],supercb[Bairro],mercado1)</f>
        <v>0</v>
      </c>
      <c r="AL121" s="1">
        <f>SUMIFS(super1[Qtde],super1[Item],tab_higiene[[#This Row],[Item]],super1[Bairro],mercado2)+SUMIFS(supercb[Qtde],supercb[Item],tab_higiene[[#This Row],[Item]],supercb[Bairro],mercado2)</f>
        <v>0</v>
      </c>
      <c r="AM121" s="1">
        <f>SUMIFS(super1[Qtde],super1[Item],tab_higiene[[#This Row],[Item]],super1[Bairro],mercado3)+SUMIFS(supercb[Qtde],supercb[Item],tab_higiene[[#This Row],[Item]],supercb[Bairro],mercado3)</f>
        <v>0</v>
      </c>
      <c r="AN121" s="1">
        <f>SUMIFS(super1[Qtde],super1[Item],tab_higiene[[#This Row],[Item]],super1[Bairro],mercado4)+SUMIFS(supercb[Qtde],supercb[Item],tab_higiene[[#This Row],[Item]],supercb[Bairro],mercado4)</f>
        <v>0</v>
      </c>
      <c r="AO121" s="1">
        <f>SUMIFS(super1[Qtde],super1[Item],tab_higiene[[#This Row],[Item]],super1[Bairro],mercado5)+SUMIFS(supercb[Qtde],supercb[Item],tab_higiene[[#This Row],[Item]],supercb[Bairro],mercado5)</f>
        <v>0</v>
      </c>
      <c r="AP121" s="1">
        <f>SUMIFS(super1[Qtde],super1[Item],tab_higiene[[#This Row],[Item]],super1[Bairro],mercado6)+SUMIFS(supercb[Qtde],supercb[Item],tab_higiene[[#This Row],[Item]],supercb[Bairro],mercado6)</f>
        <v>0</v>
      </c>
      <c r="AQ121" s="1">
        <f>SUMIFS(super1[Qtde],super1[Item],tab_higiene[[#This Row],[Item]],super1[Bairro],mercado7)+SUMIFS(supercb[Qtde],supercb[Item],tab_higiene[[#This Row],[Item]],supercb[Bairro],mercado7)</f>
        <v>0</v>
      </c>
      <c r="AR121" s="1">
        <f>SUMIFS(super1[Qtde],super1[Item],tab_higiene[[#This Row],[Item]],super1[Bairro],mercado8)+SUMIFS(supercb[Qtde],supercb[Item],tab_higiene[[#This Row],[Item]],supercb[Bairro],mercado8)</f>
        <v>0</v>
      </c>
      <c r="AS121" s="1">
        <f>SUMIFS(super1[Qtde],super1[Item],tab_higiene[[#This Row],[Item]],super1[Bairro],mercado9)+SUMIFS(supercb[Qtde],supercb[Item],tab_higiene[[#This Row],[Item]],supercb[Bairro],mercado9)</f>
        <v>0</v>
      </c>
      <c r="AT121" s="1">
        <f>SUMIFS(super1[Qtde],super1[Item],tab_higiene[[#This Row],[Item]],super1[Bairro],mercado10)+SUMIFS(supercb[Qtde],supercb[Item],tab_higiene[[#This Row],[Item]],supercb[Bairro],mercado10)</f>
        <v>0</v>
      </c>
      <c r="AU121" s="1">
        <f>SUMIFS(super1[Qtde],super1[Item],tab_higiene[[#This Row],[Item]],super1[Bairro],mercado11)+SUMIFS(supercb[Qtde],supercb[Item],tab_higiene[[#This Row],[Item]],supercb[Bairro],mercado11)</f>
        <v>0</v>
      </c>
      <c r="AV121" s="1">
        <f>SUMIFS(super1[Qtde],super1[Item],tab_higiene[[#This Row],[Item]],super1[Bairro],mercado12)+SUMIFS(supercb[Qtde],supercb[Item],tab_higiene[[#This Row],[Item]],supercb[Bairro],mercado12)</f>
        <v>0</v>
      </c>
      <c r="AW121" s="1">
        <f>SUMIFS(super1[Qtde],super1[Item],tab_higiene[[#This Row],[Item]],super1[Bairro],mercado13)+SUMIFS(supercb[Qtde],supercb[Item],tab_higiene[[#This Row],[Item]],supercb[Bairro],mercado13)</f>
        <v>0</v>
      </c>
      <c r="AX121" s="1">
        <f>SUMIFS(super1[Qtde],super1[Item],tab_higiene[[#This Row],[Item]],super1[Bairro],mercado14)+SUMIFS(supercb[Qtde],supercb[Item],tab_higiene[[#This Row],[Item]],supercb[Bairro],mercado14)</f>
        <v>0</v>
      </c>
      <c r="AY121" s="1">
        <f>SUMIFS(super1[Qtde],super1[Item],tab_higiene[[#This Row],[Item]],super1[Bairro],mercado15)+SUMIFS(supercb[Qtde],supercb[Item],tab_higiene[[#This Row],[Item]],supercb[Bairro],mercado15)</f>
        <v>0</v>
      </c>
      <c r="AZ121" s="1">
        <f>SUMIFS(super1[Qtde],super1[Item],tab_higiene[[#This Row],[Item]],super1[Bairro],mercado16)+SUMIFS(supercb[Qtde],supercb[Item],tab_higiene[[#This Row],[Item]],supercb[Bairro],mercado16)</f>
        <v>0</v>
      </c>
      <c r="BA121" s="1">
        <f>SUMIFS(super1[Qtde],super1[Item],tab_higiene[[#This Row],[Item]],super1[Bairro],mercado17)+SUMIFS(supercb[Qtde],supercb[Item],tab_higiene[[#This Row],[Item]],supercb[Bairro],mercado17)</f>
        <v>0</v>
      </c>
      <c r="BB121" s="1">
        <f>SUMIFS(super1[Qtde],super1[Item],tab_higiene[[#This Row],[Item]],super1[Bairro],mercado18)+SUMIFS(supercb[Qtde],supercb[Item],tab_higiene[[#This Row],[Item]],supercb[Bairro],mercado18)</f>
        <v>0</v>
      </c>
      <c r="BC121" s="1">
        <f>SUMIFS(super1[Qtde],super1[Item],tab_higiene[[#This Row],[Item]],super1[Bairro],extras)+SUMIFS(supercb[Qtde],supercb[Item],tab_higiene[[#This Row],[Item]],supercb[Bairro],extras)</f>
        <v>0</v>
      </c>
      <c r="BD121" s="1">
        <f t="shared" si="41"/>
        <v>0</v>
      </c>
      <c r="BE121" s="1">
        <f t="shared" si="42"/>
        <v>0</v>
      </c>
      <c r="BF121" s="26">
        <f t="shared" si="43"/>
        <v>0</v>
      </c>
      <c r="BI121" s="33" t="str">
        <f>tab_alimentos[[#This Row],[Item]]</f>
        <v>Farofa (250g)</v>
      </c>
      <c r="BJ121" s="33">
        <f t="shared" si="25"/>
        <v>7</v>
      </c>
      <c r="BK121" s="33" t="str">
        <f t="shared" si="26"/>
        <v>Farofa</v>
      </c>
      <c r="BL121" s="33">
        <f>tab_alimentos[[#This Row],[kg]]</f>
        <v>0</v>
      </c>
      <c r="BN121" s="35">
        <f t="shared" si="36"/>
        <v>0</v>
      </c>
      <c r="BP121" s="33" t="str">
        <f>tab_higiene[[#This Row],[Item]]</f>
        <v>L</v>
      </c>
      <c r="BQ121" s="33">
        <f t="shared" si="33"/>
        <v>0</v>
      </c>
      <c r="BR121" s="33" t="str">
        <f t="shared" si="34"/>
        <v>L</v>
      </c>
      <c r="BS121" s="33">
        <f>higiene[[#This Row],[Quantidade]]</f>
        <v>7.0000000000000007E-2</v>
      </c>
      <c r="BT121" s="33">
        <f>tab_higiene[Qtde (tot)]</f>
        <v>0</v>
      </c>
      <c r="BU121" s="33">
        <f t="shared" si="37"/>
        <v>0</v>
      </c>
      <c r="BW121" s="33">
        <f t="shared" si="44"/>
        <v>0</v>
      </c>
    </row>
    <row r="122" spans="9:75" x14ac:dyDescent="0.25">
      <c r="I122" s="25" t="str">
        <f>alimentos[[#This Row],[Item]]</f>
        <v>Farofa (300g)</v>
      </c>
      <c r="J122" s="1">
        <f>IFERROR(alimentos[[#This Row],[kg/embalagem]],0)</f>
        <v>0.3</v>
      </c>
      <c r="K122" s="1">
        <f>IFERROR(alimentos[[#This Row],[Preço]],0)</f>
        <v>3.39</v>
      </c>
      <c r="L122" s="1">
        <f>SUMIFS(super1[Qtde],super1[Item],tab_alimentos[[#This Row],[Item]],super1[Bairro],mercado1)+SUMIFS(supercb[Qtde],supercb[Item],tab_alimentos[[#This Row],[Item]],supercb[Bairro],mercado1)</f>
        <v>0</v>
      </c>
      <c r="M122" s="1">
        <f>SUMIFS(super1[Qtde],super1[Item],tab_alimentos[[#This Row],[Item]],super1[Bairro],mercado2)+SUMIFS(supercb[Qtde],supercb[Item],tab_alimentos[[#This Row],[Item]],supercb[Bairro],mercado2)</f>
        <v>0</v>
      </c>
      <c r="N122" s="1">
        <f>SUMIFS(super1[Qtde],super1[Item],tab_alimentos[[#This Row],[Item]],super1[Bairro],mercado3)+SUMIFS(supercb[Qtde],supercb[Item],tab_alimentos[[#This Row],[Item]],supercb[Bairro],mercado3)</f>
        <v>0</v>
      </c>
      <c r="O122" s="1">
        <f>SUMIFS(super1[Qtde],super1[Item],tab_alimentos[[#This Row],[Item]],super1[Bairro],mercado4)+SUMIFS(supercb[Qtde],supercb[Item],tab_alimentos[[#This Row],[Item]],supercb[Bairro],mercado4)</f>
        <v>0</v>
      </c>
      <c r="P122" s="1">
        <f>SUMIFS(super1[Qtde],super1[Item],tab_alimentos[[#This Row],[Item]],super1[Bairro],mercado5)+SUMIFS(supercb[Qtde],supercb[Item],tab_alimentos[[#This Row],[Item]],supercb[Bairro],mercado5)</f>
        <v>0</v>
      </c>
      <c r="Q122" s="1">
        <f>SUMIFS(super1[Qtde],super1[Item],tab_alimentos[[#This Row],[Item]],super1[Bairro],mercado6)+SUMIFS(supercb[Qtde],supercb[Item],tab_alimentos[[#This Row],[Item]],supercb[Bairro],mercado6)</f>
        <v>0</v>
      </c>
      <c r="R122" s="1">
        <f>SUMIFS(super1[Qtde],super1[Item],tab_alimentos[[#This Row],[Item]],super1[Bairro],mercado7)+SUMIFS(supercb[Qtde],supercb[Item],tab_alimentos[[#This Row],[Item]],supercb[Bairro],mercado7)</f>
        <v>0</v>
      </c>
      <c r="S122" s="1">
        <f>SUMIFS(super1[Qtde],super1[Item],tab_alimentos[[#This Row],[Item]],super1[Bairro],mercado8)+SUMIFS(supercb[Qtde],supercb[Item],tab_alimentos[[#This Row],[Item]],supercb[Bairro],mercado8)</f>
        <v>0</v>
      </c>
      <c r="T122" s="1">
        <f>SUMIFS(super1[Qtde],super1[Item],tab_alimentos[[#This Row],[Item]],super1[Bairro],mercado9)+SUMIFS(supercb[Qtde],supercb[Item],tab_alimentos[[#This Row],[Item]],supercb[Bairro],mercado9)</f>
        <v>0</v>
      </c>
      <c r="U122" s="1">
        <f>SUMIFS(super1[Qtde],super1[Item],tab_alimentos[[#This Row],[Item]],super1[Bairro],mercado10)+SUMIFS(supercb[Qtde],supercb[Item],tab_alimentos[[#This Row],[Item]],supercb[Bairro],mercado10)</f>
        <v>0</v>
      </c>
      <c r="V122" s="1">
        <f>SUMIFS(super1[Qtde],super1[Item],tab_alimentos[[#This Row],[Item]],super1[Bairro],mercado11)+SUMIFS(supercb[Qtde],supercb[Item],tab_alimentos[[#This Row],[Item]],supercb[Bairro],mercado11)</f>
        <v>0</v>
      </c>
      <c r="W122" s="1">
        <f>SUMIFS(super1[Qtde],super1[Item],tab_alimentos[[#This Row],[Item]],super1[Bairro],mercado12)+SUMIFS(supercb[Qtde],supercb[Item],tab_alimentos[[#This Row],[Item]],supercb[Bairro],mercado12)</f>
        <v>0</v>
      </c>
      <c r="X122" s="1">
        <f>SUMIFS(super1[Qtde],super1[Item],tab_alimentos[[#This Row],[Item]],super1[Bairro],mercado13)+SUMIFS(supercb[Qtde],supercb[Item],tab_alimentos[[#This Row],[Item]],supercb[Bairro],mercado13)</f>
        <v>0</v>
      </c>
      <c r="Y122" s="1">
        <f>SUMIFS(super1[Qtde],super1[Item],tab_alimentos[[#This Row],[Item]],super1[Bairro],mercado14)+SUMIFS(supercb[Qtde],supercb[Item],tab_alimentos[[#This Row],[Item]],supercb[Bairro],mercado14)</f>
        <v>0</v>
      </c>
      <c r="Z122" s="1">
        <f>SUMIFS(super1[Qtde],super1[Item],tab_alimentos[[#This Row],[Item]],super1[Bairro],mercado15)+SUMIFS(supercb[Qtde],supercb[Item],tab_alimentos[[#This Row],[Item]],supercb[Bairro],mercado15)</f>
        <v>0</v>
      </c>
      <c r="AA122" s="1">
        <f>SUMIFS(super1[Qtde],super1[Item],tab_alimentos[[#This Row],[Item]],super1[Bairro],mercado16)+SUMIFS(supercb[Qtde],supercb[Item],tab_alimentos[[#This Row],[Item]],supercb[Bairro],mercado16)</f>
        <v>0</v>
      </c>
      <c r="AB122" s="1">
        <f>SUMIFS(super1[Qtde],super1[Item],tab_alimentos[[#This Row],[Item]],super1[Bairro],mercado17)+SUMIFS(supercb[Qtde],supercb[Item],tab_alimentos[[#This Row],[Item]],supercb[Bairro],mercado17)</f>
        <v>0</v>
      </c>
      <c r="AC122" s="1">
        <f>SUMIFS(super1[Qtde],super1[Item],tab_alimentos[[#This Row],[Item]],super1[Bairro],mercado18)+SUMIFS(supercb[Qtde],supercb[Item],tab_alimentos[[#This Row],[Item]],supercb[Bairro],mercado18)</f>
        <v>0</v>
      </c>
      <c r="AD122" s="1">
        <f>SUMIFS(super1[Qtde],super1[Item],tab_alimentos[[#This Row],[Item]],super1[Bairro],extras)+SUMIFS(supercb[Qtde],supercb[Item],tab_alimentos[[#This Row],[Item]],supercb[Bairro],extras)</f>
        <v>0</v>
      </c>
      <c r="AE122" s="1">
        <f t="shared" si="38"/>
        <v>0</v>
      </c>
      <c r="AF122" s="1">
        <f t="shared" si="39"/>
        <v>0</v>
      </c>
      <c r="AG122" s="3">
        <f t="shared" si="40"/>
        <v>0</v>
      </c>
      <c r="AH122" s="25" t="str">
        <f>higiene[[#This Row],[Item]]</f>
        <v>Lâmina de barbear (1un)</v>
      </c>
      <c r="AI122" s="1">
        <f>IFERROR(higiene[[#This Row],[Kg equivalente]],0)</f>
        <v>6.8213126194841509</v>
      </c>
      <c r="AJ122" s="1">
        <f>IFERROR(higiene[[#This Row],[Preço por produto]],0)</f>
        <v>22.594999999999999</v>
      </c>
      <c r="AK122" s="1">
        <f>SUMIFS(super1[Qtde],super1[Item],tab_higiene[[#This Row],[Item]],super1[Bairro],mercado1)+SUMIFS(supercb[Qtde],supercb[Item],tab_higiene[[#This Row],[Item]],supercb[Bairro],mercado1)</f>
        <v>0</v>
      </c>
      <c r="AL122" s="1">
        <f>SUMIFS(super1[Qtde],super1[Item],tab_higiene[[#This Row],[Item]],super1[Bairro],mercado2)+SUMIFS(supercb[Qtde],supercb[Item],tab_higiene[[#This Row],[Item]],supercb[Bairro],mercado2)</f>
        <v>0</v>
      </c>
      <c r="AM122" s="1">
        <f>SUMIFS(super1[Qtde],super1[Item],tab_higiene[[#This Row],[Item]],super1[Bairro],mercado3)+SUMIFS(supercb[Qtde],supercb[Item],tab_higiene[[#This Row],[Item]],supercb[Bairro],mercado3)</f>
        <v>0</v>
      </c>
      <c r="AN122" s="1">
        <f>SUMIFS(super1[Qtde],super1[Item],tab_higiene[[#This Row],[Item]],super1[Bairro],mercado4)+SUMIFS(supercb[Qtde],supercb[Item],tab_higiene[[#This Row],[Item]],supercb[Bairro],mercado4)</f>
        <v>0</v>
      </c>
      <c r="AO122" s="1">
        <f>SUMIFS(super1[Qtde],super1[Item],tab_higiene[[#This Row],[Item]],super1[Bairro],mercado5)+SUMIFS(supercb[Qtde],supercb[Item],tab_higiene[[#This Row],[Item]],supercb[Bairro],mercado5)</f>
        <v>0</v>
      </c>
      <c r="AP122" s="1">
        <f>SUMIFS(super1[Qtde],super1[Item],tab_higiene[[#This Row],[Item]],super1[Bairro],mercado6)+SUMIFS(supercb[Qtde],supercb[Item],tab_higiene[[#This Row],[Item]],supercb[Bairro],mercado6)</f>
        <v>0</v>
      </c>
      <c r="AQ122" s="1">
        <f>SUMIFS(super1[Qtde],super1[Item],tab_higiene[[#This Row],[Item]],super1[Bairro],mercado7)+SUMIFS(supercb[Qtde],supercb[Item],tab_higiene[[#This Row],[Item]],supercb[Bairro],mercado7)</f>
        <v>0</v>
      </c>
      <c r="AR122" s="1">
        <f>SUMIFS(super1[Qtde],super1[Item],tab_higiene[[#This Row],[Item]],super1[Bairro],mercado8)+SUMIFS(supercb[Qtde],supercb[Item],tab_higiene[[#This Row],[Item]],supercb[Bairro],mercado8)</f>
        <v>0</v>
      </c>
      <c r="AS122" s="1">
        <f>SUMIFS(super1[Qtde],super1[Item],tab_higiene[[#This Row],[Item]],super1[Bairro],mercado9)+SUMIFS(supercb[Qtde],supercb[Item],tab_higiene[[#This Row],[Item]],supercb[Bairro],mercado9)</f>
        <v>0</v>
      </c>
      <c r="AT122" s="1">
        <f>SUMIFS(super1[Qtde],super1[Item],tab_higiene[[#This Row],[Item]],super1[Bairro],mercado10)+SUMIFS(supercb[Qtde],supercb[Item],tab_higiene[[#This Row],[Item]],supercb[Bairro],mercado10)</f>
        <v>0</v>
      </c>
      <c r="AU122" s="1">
        <f>SUMIFS(super1[Qtde],super1[Item],tab_higiene[[#This Row],[Item]],super1[Bairro],mercado11)+SUMIFS(supercb[Qtde],supercb[Item],tab_higiene[[#This Row],[Item]],supercb[Bairro],mercado11)</f>
        <v>0</v>
      </c>
      <c r="AV122" s="1">
        <f>SUMIFS(super1[Qtde],super1[Item],tab_higiene[[#This Row],[Item]],super1[Bairro],mercado12)+SUMIFS(supercb[Qtde],supercb[Item],tab_higiene[[#This Row],[Item]],supercb[Bairro],mercado12)</f>
        <v>0</v>
      </c>
      <c r="AW122" s="1">
        <f>SUMIFS(super1[Qtde],super1[Item],tab_higiene[[#This Row],[Item]],super1[Bairro],mercado13)+SUMIFS(supercb[Qtde],supercb[Item],tab_higiene[[#This Row],[Item]],supercb[Bairro],mercado13)</f>
        <v>0</v>
      </c>
      <c r="AX122" s="1">
        <f>SUMIFS(super1[Qtde],super1[Item],tab_higiene[[#This Row],[Item]],super1[Bairro],mercado14)+SUMIFS(supercb[Qtde],supercb[Item],tab_higiene[[#This Row],[Item]],supercb[Bairro],mercado14)</f>
        <v>0</v>
      </c>
      <c r="AY122" s="1">
        <f>SUMIFS(super1[Qtde],super1[Item],tab_higiene[[#This Row],[Item]],super1[Bairro],mercado15)+SUMIFS(supercb[Qtde],supercb[Item],tab_higiene[[#This Row],[Item]],supercb[Bairro],mercado15)</f>
        <v>0</v>
      </c>
      <c r="AZ122" s="1">
        <f>SUMIFS(super1[Qtde],super1[Item],tab_higiene[[#This Row],[Item]],super1[Bairro],mercado16)+SUMIFS(supercb[Qtde],supercb[Item],tab_higiene[[#This Row],[Item]],supercb[Bairro],mercado16)</f>
        <v>0</v>
      </c>
      <c r="BA122" s="1">
        <f>SUMIFS(super1[Qtde],super1[Item],tab_higiene[[#This Row],[Item]],super1[Bairro],mercado17)+SUMIFS(supercb[Qtde],supercb[Item],tab_higiene[[#This Row],[Item]],supercb[Bairro],mercado17)</f>
        <v>0</v>
      </c>
      <c r="BB122" s="1">
        <f>SUMIFS(super1[Qtde],super1[Item],tab_higiene[[#This Row],[Item]],super1[Bairro],mercado18)+SUMIFS(supercb[Qtde],supercb[Item],tab_higiene[[#This Row],[Item]],supercb[Bairro],mercado18)</f>
        <v>0</v>
      </c>
      <c r="BC122" s="1">
        <f>SUMIFS(super1[Qtde],super1[Item],tab_higiene[[#This Row],[Item]],super1[Bairro],extras)+SUMIFS(supercb[Qtde],supercb[Item],tab_higiene[[#This Row],[Item]],supercb[Bairro],extras)</f>
        <v>0</v>
      </c>
      <c r="BD122" s="1">
        <f t="shared" si="41"/>
        <v>0</v>
      </c>
      <c r="BE122" s="1">
        <f t="shared" si="42"/>
        <v>0</v>
      </c>
      <c r="BF122" s="26">
        <f t="shared" si="43"/>
        <v>0</v>
      </c>
      <c r="BI122" s="33" t="str">
        <f>tab_alimentos[[#This Row],[Item]]</f>
        <v>Farofa (300g)</v>
      </c>
      <c r="BJ122" s="33">
        <f t="shared" si="25"/>
        <v>7</v>
      </c>
      <c r="BK122" s="33" t="str">
        <f t="shared" si="26"/>
        <v>Farofa</v>
      </c>
      <c r="BL122" s="33">
        <f>tab_alimentos[[#This Row],[kg]]</f>
        <v>0</v>
      </c>
      <c r="BN122" s="35">
        <f t="shared" si="36"/>
        <v>0</v>
      </c>
      <c r="BP122" s="33" t="str">
        <f>tab_higiene[[#This Row],[Item]]</f>
        <v>Lâmina de barbear (1un)</v>
      </c>
      <c r="BQ122" s="33">
        <f t="shared" si="33"/>
        <v>18</v>
      </c>
      <c r="BR122" s="33" t="str">
        <f t="shared" si="34"/>
        <v>Lâmina de barbear</v>
      </c>
      <c r="BS122" s="33">
        <f>higiene[[#This Row],[Quantidade]]</f>
        <v>0.09</v>
      </c>
      <c r="BT122" s="33">
        <f>tab_higiene[Qtde (tot)]</f>
        <v>0</v>
      </c>
      <c r="BU122" s="33">
        <f t="shared" si="37"/>
        <v>0</v>
      </c>
      <c r="BW122" s="33">
        <f t="shared" si="44"/>
        <v>0</v>
      </c>
    </row>
    <row r="123" spans="9:75" x14ac:dyDescent="0.25">
      <c r="I123" s="25" t="str">
        <f>alimentos[[#This Row],[Item]]</f>
        <v>Farofa (500g)</v>
      </c>
      <c r="J123" s="1">
        <f>IFERROR(alimentos[[#This Row],[kg/embalagem]],0)</f>
        <v>0.5</v>
      </c>
      <c r="K123" s="1">
        <f>IFERROR(alimentos[[#This Row],[Preço]],0)</f>
        <v>4.4060000000000006</v>
      </c>
      <c r="L123" s="1">
        <f>SUMIFS(super1[Qtde],super1[Item],tab_alimentos[[#This Row],[Item]],super1[Bairro],mercado1)+SUMIFS(supercb[Qtde],supercb[Item],tab_alimentos[[#This Row],[Item]],supercb[Bairro],mercado1)</f>
        <v>0</v>
      </c>
      <c r="M123" s="1">
        <f>SUMIFS(super1[Qtde],super1[Item],tab_alimentos[[#This Row],[Item]],super1[Bairro],mercado2)+SUMIFS(supercb[Qtde],supercb[Item],tab_alimentos[[#This Row],[Item]],supercb[Bairro],mercado2)</f>
        <v>1</v>
      </c>
      <c r="N123" s="1">
        <f>SUMIFS(super1[Qtde],super1[Item],tab_alimentos[[#This Row],[Item]],super1[Bairro],mercado3)+SUMIFS(supercb[Qtde],supercb[Item],tab_alimentos[[#This Row],[Item]],supercb[Bairro],mercado3)</f>
        <v>1</v>
      </c>
      <c r="O123" s="1">
        <f>SUMIFS(super1[Qtde],super1[Item],tab_alimentos[[#This Row],[Item]],super1[Bairro],mercado4)+SUMIFS(supercb[Qtde],supercb[Item],tab_alimentos[[#This Row],[Item]],supercb[Bairro],mercado4)</f>
        <v>0</v>
      </c>
      <c r="P123" s="1">
        <f>SUMIFS(super1[Qtde],super1[Item],tab_alimentos[[#This Row],[Item]],super1[Bairro],mercado5)+SUMIFS(supercb[Qtde],supercb[Item],tab_alimentos[[#This Row],[Item]],supercb[Bairro],mercado5)</f>
        <v>0</v>
      </c>
      <c r="Q123" s="1">
        <f>SUMIFS(super1[Qtde],super1[Item],tab_alimentos[[#This Row],[Item]],super1[Bairro],mercado6)+SUMIFS(supercb[Qtde],supercb[Item],tab_alimentos[[#This Row],[Item]],supercb[Bairro],mercado6)</f>
        <v>0</v>
      </c>
      <c r="R123" s="1">
        <f>SUMIFS(super1[Qtde],super1[Item],tab_alimentos[[#This Row],[Item]],super1[Bairro],mercado7)+SUMIFS(supercb[Qtde],supercb[Item],tab_alimentos[[#This Row],[Item]],supercb[Bairro],mercado7)</f>
        <v>1</v>
      </c>
      <c r="S123" s="1">
        <f>SUMIFS(super1[Qtde],super1[Item],tab_alimentos[[#This Row],[Item]],super1[Bairro],mercado8)+SUMIFS(supercb[Qtde],supercb[Item],tab_alimentos[[#This Row],[Item]],supercb[Bairro],mercado8)</f>
        <v>1</v>
      </c>
      <c r="T123" s="1">
        <f>SUMIFS(super1[Qtde],super1[Item],tab_alimentos[[#This Row],[Item]],super1[Bairro],mercado9)+SUMIFS(supercb[Qtde],supercb[Item],tab_alimentos[[#This Row],[Item]],supercb[Bairro],mercado9)</f>
        <v>0</v>
      </c>
      <c r="U123" s="1">
        <f>SUMIFS(super1[Qtde],super1[Item],tab_alimentos[[#This Row],[Item]],super1[Bairro],mercado10)+SUMIFS(supercb[Qtde],supercb[Item],tab_alimentos[[#This Row],[Item]],supercb[Bairro],mercado10)</f>
        <v>0</v>
      </c>
      <c r="V123" s="1">
        <f>SUMIFS(super1[Qtde],super1[Item],tab_alimentos[[#This Row],[Item]],super1[Bairro],mercado11)+SUMIFS(supercb[Qtde],supercb[Item],tab_alimentos[[#This Row],[Item]],supercb[Bairro],mercado11)</f>
        <v>0</v>
      </c>
      <c r="W123" s="1">
        <f>SUMIFS(super1[Qtde],super1[Item],tab_alimentos[[#This Row],[Item]],super1[Bairro],mercado12)+SUMIFS(supercb[Qtde],supercb[Item],tab_alimentos[[#This Row],[Item]],supercb[Bairro],mercado12)</f>
        <v>0</v>
      </c>
      <c r="X123" s="1">
        <f>SUMIFS(super1[Qtde],super1[Item],tab_alimentos[[#This Row],[Item]],super1[Bairro],mercado13)+SUMIFS(supercb[Qtde],supercb[Item],tab_alimentos[[#This Row],[Item]],supercb[Bairro],mercado13)</f>
        <v>0</v>
      </c>
      <c r="Y123" s="1">
        <f>SUMIFS(super1[Qtde],super1[Item],tab_alimentos[[#This Row],[Item]],super1[Bairro],mercado14)+SUMIFS(supercb[Qtde],supercb[Item],tab_alimentos[[#This Row],[Item]],supercb[Bairro],mercado14)</f>
        <v>0</v>
      </c>
      <c r="Z123" s="1">
        <f>SUMIFS(super1[Qtde],super1[Item],tab_alimentos[[#This Row],[Item]],super1[Bairro],mercado15)+SUMIFS(supercb[Qtde],supercb[Item],tab_alimentos[[#This Row],[Item]],supercb[Bairro],mercado15)</f>
        <v>0</v>
      </c>
      <c r="AA123" s="1">
        <f>SUMIFS(super1[Qtde],super1[Item],tab_alimentos[[#This Row],[Item]],super1[Bairro],mercado16)+SUMIFS(supercb[Qtde],supercb[Item],tab_alimentos[[#This Row],[Item]],supercb[Bairro],mercado16)</f>
        <v>0</v>
      </c>
      <c r="AB123" s="1">
        <f>SUMIFS(super1[Qtde],super1[Item],tab_alimentos[[#This Row],[Item]],super1[Bairro],mercado17)+SUMIFS(supercb[Qtde],supercb[Item],tab_alimentos[[#This Row],[Item]],supercb[Bairro],mercado17)</f>
        <v>0</v>
      </c>
      <c r="AC123" s="1">
        <f>SUMIFS(super1[Qtde],super1[Item],tab_alimentos[[#This Row],[Item]],super1[Bairro],mercado18)+SUMIFS(supercb[Qtde],supercb[Item],tab_alimentos[[#This Row],[Item]],supercb[Bairro],mercado18)</f>
        <v>0</v>
      </c>
      <c r="AD123" s="1">
        <f>SUMIFS(super1[Qtde],super1[Item],tab_alimentos[[#This Row],[Item]],super1[Bairro],extras)+SUMIFS(supercb[Qtde],supercb[Item],tab_alimentos[[#This Row],[Item]],supercb[Bairro],extras)</f>
        <v>0</v>
      </c>
      <c r="AE123" s="1">
        <f t="shared" si="38"/>
        <v>4</v>
      </c>
      <c r="AF123" s="1">
        <f t="shared" si="39"/>
        <v>17.624000000000002</v>
      </c>
      <c r="AG123" s="3">
        <f t="shared" si="40"/>
        <v>2</v>
      </c>
      <c r="AH123" s="25" t="str">
        <f>higiene[[#This Row],[Item]]</f>
        <v>Lâmina de barbear (2un)</v>
      </c>
      <c r="AI123" s="1">
        <f>IFERROR(higiene[[#This Row],[Kg equivalente]],0)</f>
        <v>1.8083497495335281</v>
      </c>
      <c r="AJ123" s="1">
        <f>IFERROR(higiene[[#This Row],[Preço por produto]],0)</f>
        <v>5.99</v>
      </c>
      <c r="AK123" s="1">
        <f>SUMIFS(super1[Qtde],super1[Item],tab_higiene[[#This Row],[Item]],super1[Bairro],mercado1)+SUMIFS(supercb[Qtde],supercb[Item],tab_higiene[[#This Row],[Item]],supercb[Bairro],mercado1)</f>
        <v>1</v>
      </c>
      <c r="AL123" s="1">
        <f>SUMIFS(super1[Qtde],super1[Item],tab_higiene[[#This Row],[Item]],super1[Bairro],mercado2)+SUMIFS(supercb[Qtde],supercb[Item],tab_higiene[[#This Row],[Item]],supercb[Bairro],mercado2)</f>
        <v>0</v>
      </c>
      <c r="AM123" s="1">
        <f>SUMIFS(super1[Qtde],super1[Item],tab_higiene[[#This Row],[Item]],super1[Bairro],mercado3)+SUMIFS(supercb[Qtde],supercb[Item],tab_higiene[[#This Row],[Item]],supercb[Bairro],mercado3)</f>
        <v>0</v>
      </c>
      <c r="AN123" s="1">
        <f>SUMIFS(super1[Qtde],super1[Item],tab_higiene[[#This Row],[Item]],super1[Bairro],mercado4)+SUMIFS(supercb[Qtde],supercb[Item],tab_higiene[[#This Row],[Item]],supercb[Bairro],mercado4)</f>
        <v>2</v>
      </c>
      <c r="AO123" s="1">
        <f>SUMIFS(super1[Qtde],super1[Item],tab_higiene[[#This Row],[Item]],super1[Bairro],mercado5)+SUMIFS(supercb[Qtde],supercb[Item],tab_higiene[[#This Row],[Item]],supercb[Bairro],mercado5)</f>
        <v>4</v>
      </c>
      <c r="AP123" s="1">
        <f>SUMIFS(super1[Qtde],super1[Item],tab_higiene[[#This Row],[Item]],super1[Bairro],mercado6)+SUMIFS(supercb[Qtde],supercb[Item],tab_higiene[[#This Row],[Item]],supercb[Bairro],mercado6)</f>
        <v>1</v>
      </c>
      <c r="AQ123" s="1">
        <f>SUMIFS(super1[Qtde],super1[Item],tab_higiene[[#This Row],[Item]],super1[Bairro],mercado7)+SUMIFS(supercb[Qtde],supercb[Item],tab_higiene[[#This Row],[Item]],supercb[Bairro],mercado7)</f>
        <v>6</v>
      </c>
      <c r="AR123" s="1">
        <f>SUMIFS(super1[Qtde],super1[Item],tab_higiene[[#This Row],[Item]],super1[Bairro],mercado8)+SUMIFS(supercb[Qtde],supercb[Item],tab_higiene[[#This Row],[Item]],supercb[Bairro],mercado8)</f>
        <v>3</v>
      </c>
      <c r="AS123" s="1">
        <f>SUMIFS(super1[Qtde],super1[Item],tab_higiene[[#This Row],[Item]],super1[Bairro],mercado9)+SUMIFS(supercb[Qtde],supercb[Item],tab_higiene[[#This Row],[Item]],supercb[Bairro],mercado9)</f>
        <v>3</v>
      </c>
      <c r="AT123" s="1">
        <f>SUMIFS(super1[Qtde],super1[Item],tab_higiene[[#This Row],[Item]],super1[Bairro],mercado10)+SUMIFS(supercb[Qtde],supercb[Item],tab_higiene[[#This Row],[Item]],supercb[Bairro],mercado10)</f>
        <v>11</v>
      </c>
      <c r="AU123" s="1">
        <f>SUMIFS(super1[Qtde],super1[Item],tab_higiene[[#This Row],[Item]],super1[Bairro],mercado11)+SUMIFS(supercb[Qtde],supercb[Item],tab_higiene[[#This Row],[Item]],supercb[Bairro],mercado11)</f>
        <v>4</v>
      </c>
      <c r="AV123" s="1">
        <f>SUMIFS(super1[Qtde],super1[Item],tab_higiene[[#This Row],[Item]],super1[Bairro],mercado12)+SUMIFS(supercb[Qtde],supercb[Item],tab_higiene[[#This Row],[Item]],supercb[Bairro],mercado12)</f>
        <v>0</v>
      </c>
      <c r="AW123" s="1">
        <f>SUMIFS(super1[Qtde],super1[Item],tab_higiene[[#This Row],[Item]],super1[Bairro],mercado13)+SUMIFS(supercb[Qtde],supercb[Item],tab_higiene[[#This Row],[Item]],supercb[Bairro],mercado13)</f>
        <v>0</v>
      </c>
      <c r="AX123" s="1">
        <f>SUMIFS(super1[Qtde],super1[Item],tab_higiene[[#This Row],[Item]],super1[Bairro],mercado14)+SUMIFS(supercb[Qtde],supercb[Item],tab_higiene[[#This Row],[Item]],supercb[Bairro],mercado14)</f>
        <v>0</v>
      </c>
      <c r="AY123" s="1">
        <f>SUMIFS(super1[Qtde],super1[Item],tab_higiene[[#This Row],[Item]],super1[Bairro],mercado15)+SUMIFS(supercb[Qtde],supercb[Item],tab_higiene[[#This Row],[Item]],supercb[Bairro],mercado15)</f>
        <v>0</v>
      </c>
      <c r="AZ123" s="1">
        <f>SUMIFS(super1[Qtde],super1[Item],tab_higiene[[#This Row],[Item]],super1[Bairro],mercado16)+SUMIFS(supercb[Qtde],supercb[Item],tab_higiene[[#This Row],[Item]],supercb[Bairro],mercado16)</f>
        <v>0</v>
      </c>
      <c r="BA123" s="1">
        <f>SUMIFS(super1[Qtde],super1[Item],tab_higiene[[#This Row],[Item]],super1[Bairro],mercado17)+SUMIFS(supercb[Qtde],supercb[Item],tab_higiene[[#This Row],[Item]],supercb[Bairro],mercado17)</f>
        <v>0</v>
      </c>
      <c r="BB123" s="1">
        <f>SUMIFS(super1[Qtde],super1[Item],tab_higiene[[#This Row],[Item]],super1[Bairro],mercado18)+SUMIFS(supercb[Qtde],supercb[Item],tab_higiene[[#This Row],[Item]],supercb[Bairro],mercado18)</f>
        <v>0</v>
      </c>
      <c r="BC123" s="1">
        <f>SUMIFS(super1[Qtde],super1[Item],tab_higiene[[#This Row],[Item]],super1[Bairro],extras)+SUMIFS(supercb[Qtde],supercb[Item],tab_higiene[[#This Row],[Item]],supercb[Bairro],extras)</f>
        <v>0</v>
      </c>
      <c r="BD123" s="1">
        <f t="shared" si="41"/>
        <v>35</v>
      </c>
      <c r="BE123" s="1">
        <f t="shared" si="42"/>
        <v>209.65</v>
      </c>
      <c r="BF123" s="26">
        <f t="shared" si="43"/>
        <v>63.292241233673487</v>
      </c>
      <c r="BI123" s="33" t="str">
        <f>tab_alimentos[[#This Row],[Item]]</f>
        <v>Farofa (500g)</v>
      </c>
      <c r="BJ123" s="33">
        <f t="shared" si="25"/>
        <v>7</v>
      </c>
      <c r="BK123" s="33" t="str">
        <f t="shared" si="26"/>
        <v>Farofa</v>
      </c>
      <c r="BL123" s="33">
        <f>tab_alimentos[[#This Row],[kg]]</f>
        <v>2</v>
      </c>
      <c r="BN123" s="35">
        <f t="shared" si="36"/>
        <v>0</v>
      </c>
      <c r="BP123" s="33" t="str">
        <f>tab_higiene[[#This Row],[Item]]</f>
        <v>Lâmina de barbear (2un)</v>
      </c>
      <c r="BQ123" s="33">
        <f t="shared" si="33"/>
        <v>18</v>
      </c>
      <c r="BR123" s="33" t="str">
        <f t="shared" si="34"/>
        <v>Lâmina de barbear</v>
      </c>
      <c r="BS123" s="33">
        <f>higiene[[#This Row],[Quantidade]]</f>
        <v>0.1</v>
      </c>
      <c r="BT123" s="33">
        <f>tab_higiene[Qtde (tot)]</f>
        <v>35</v>
      </c>
      <c r="BU123" s="33">
        <f t="shared" si="37"/>
        <v>3.5</v>
      </c>
      <c r="BW123" s="33">
        <f t="shared" si="44"/>
        <v>0</v>
      </c>
    </row>
    <row r="124" spans="9:75" x14ac:dyDescent="0.25">
      <c r="I124" s="25" t="str">
        <f>alimentos[[#This Row],[Item]]</f>
        <v>farofa de mandioca (250g)</v>
      </c>
      <c r="J124" s="1">
        <f>IFERROR(alimentos[[#This Row],[kg/embalagem]],0)</f>
        <v>0.25</v>
      </c>
      <c r="K124" s="1">
        <f>IFERROR(alimentos[[#This Row],[Preço]],0)</f>
        <v>2.57</v>
      </c>
      <c r="L124" s="1">
        <f>SUMIFS(super1[Qtde],super1[Item],tab_alimentos[[#This Row],[Item]],super1[Bairro],mercado1)+SUMIFS(supercb[Qtde],supercb[Item],tab_alimentos[[#This Row],[Item]],supercb[Bairro],mercado1)</f>
        <v>0</v>
      </c>
      <c r="M124" s="1">
        <f>SUMIFS(super1[Qtde],super1[Item],tab_alimentos[[#This Row],[Item]],super1[Bairro],mercado2)+SUMIFS(supercb[Qtde],supercb[Item],tab_alimentos[[#This Row],[Item]],supercb[Bairro],mercado2)</f>
        <v>0</v>
      </c>
      <c r="N124" s="1">
        <f>SUMIFS(super1[Qtde],super1[Item],tab_alimentos[[#This Row],[Item]],super1[Bairro],mercado3)+SUMIFS(supercb[Qtde],supercb[Item],tab_alimentos[[#This Row],[Item]],supercb[Bairro],mercado3)</f>
        <v>0</v>
      </c>
      <c r="O124" s="1">
        <f>SUMIFS(super1[Qtde],super1[Item],tab_alimentos[[#This Row],[Item]],super1[Bairro],mercado4)+SUMIFS(supercb[Qtde],supercb[Item],tab_alimentos[[#This Row],[Item]],supercb[Bairro],mercado4)</f>
        <v>0</v>
      </c>
      <c r="P124" s="1">
        <f>SUMIFS(super1[Qtde],super1[Item],tab_alimentos[[#This Row],[Item]],super1[Bairro],mercado5)+SUMIFS(supercb[Qtde],supercb[Item],tab_alimentos[[#This Row],[Item]],supercb[Bairro],mercado5)</f>
        <v>0</v>
      </c>
      <c r="Q124" s="1">
        <f>SUMIFS(super1[Qtde],super1[Item],tab_alimentos[[#This Row],[Item]],super1[Bairro],mercado6)+SUMIFS(supercb[Qtde],supercb[Item],tab_alimentos[[#This Row],[Item]],supercb[Bairro],mercado6)</f>
        <v>0</v>
      </c>
      <c r="R124" s="1">
        <f>SUMIFS(super1[Qtde],super1[Item],tab_alimentos[[#This Row],[Item]],super1[Bairro],mercado7)+SUMIFS(supercb[Qtde],supercb[Item],tab_alimentos[[#This Row],[Item]],supercb[Bairro],mercado7)</f>
        <v>0</v>
      </c>
      <c r="S124" s="1">
        <f>SUMIFS(super1[Qtde],super1[Item],tab_alimentos[[#This Row],[Item]],super1[Bairro],mercado8)+SUMIFS(supercb[Qtde],supercb[Item],tab_alimentos[[#This Row],[Item]],supercb[Bairro],mercado8)</f>
        <v>5</v>
      </c>
      <c r="T124" s="1">
        <f>SUMIFS(super1[Qtde],super1[Item],tab_alimentos[[#This Row],[Item]],super1[Bairro],mercado9)+SUMIFS(supercb[Qtde],supercb[Item],tab_alimentos[[#This Row],[Item]],supercb[Bairro],mercado9)</f>
        <v>0</v>
      </c>
      <c r="U124" s="1">
        <f>SUMIFS(super1[Qtde],super1[Item],tab_alimentos[[#This Row],[Item]],super1[Bairro],mercado10)+SUMIFS(supercb[Qtde],supercb[Item],tab_alimentos[[#This Row],[Item]],supercb[Bairro],mercado10)</f>
        <v>0</v>
      </c>
      <c r="V124" s="1">
        <f>SUMIFS(super1[Qtde],super1[Item],tab_alimentos[[#This Row],[Item]],super1[Bairro],mercado11)+SUMIFS(supercb[Qtde],supercb[Item],tab_alimentos[[#This Row],[Item]],supercb[Bairro],mercado11)</f>
        <v>0</v>
      </c>
      <c r="W124" s="1">
        <f>SUMIFS(super1[Qtde],super1[Item],tab_alimentos[[#This Row],[Item]],super1[Bairro],mercado12)+SUMIFS(supercb[Qtde],supercb[Item],tab_alimentos[[#This Row],[Item]],supercb[Bairro],mercado12)</f>
        <v>0</v>
      </c>
      <c r="X124" s="1">
        <f>SUMIFS(super1[Qtde],super1[Item],tab_alimentos[[#This Row],[Item]],super1[Bairro],mercado13)+SUMIFS(supercb[Qtde],supercb[Item],tab_alimentos[[#This Row],[Item]],supercb[Bairro],mercado13)</f>
        <v>0</v>
      </c>
      <c r="Y124" s="1">
        <f>SUMIFS(super1[Qtde],super1[Item],tab_alimentos[[#This Row],[Item]],super1[Bairro],mercado14)+SUMIFS(supercb[Qtde],supercb[Item],tab_alimentos[[#This Row],[Item]],supercb[Bairro],mercado14)</f>
        <v>0</v>
      </c>
      <c r="Z124" s="1">
        <f>SUMIFS(super1[Qtde],super1[Item],tab_alimentos[[#This Row],[Item]],super1[Bairro],mercado15)+SUMIFS(supercb[Qtde],supercb[Item],tab_alimentos[[#This Row],[Item]],supercb[Bairro],mercado15)</f>
        <v>0</v>
      </c>
      <c r="AA124" s="1">
        <f>SUMIFS(super1[Qtde],super1[Item],tab_alimentos[[#This Row],[Item]],super1[Bairro],mercado16)+SUMIFS(supercb[Qtde],supercb[Item],tab_alimentos[[#This Row],[Item]],supercb[Bairro],mercado16)</f>
        <v>0</v>
      </c>
      <c r="AB124" s="1">
        <f>SUMIFS(super1[Qtde],super1[Item],tab_alimentos[[#This Row],[Item]],super1[Bairro],mercado17)+SUMIFS(supercb[Qtde],supercb[Item],tab_alimentos[[#This Row],[Item]],supercb[Bairro],mercado17)</f>
        <v>0</v>
      </c>
      <c r="AC124" s="1">
        <f>SUMIFS(super1[Qtde],super1[Item],tab_alimentos[[#This Row],[Item]],super1[Bairro],mercado18)+SUMIFS(supercb[Qtde],supercb[Item],tab_alimentos[[#This Row],[Item]],supercb[Bairro],mercado18)</f>
        <v>0</v>
      </c>
      <c r="AD124" s="1">
        <f>SUMIFS(super1[Qtde],super1[Item],tab_alimentos[[#This Row],[Item]],super1[Bairro],extras)+SUMIFS(supercb[Qtde],supercb[Item],tab_alimentos[[#This Row],[Item]],supercb[Bairro],extras)</f>
        <v>0</v>
      </c>
      <c r="AE124" s="1">
        <f t="shared" si="38"/>
        <v>5</v>
      </c>
      <c r="AF124" s="1">
        <f t="shared" si="39"/>
        <v>12.85</v>
      </c>
      <c r="AG124" s="3">
        <f t="shared" si="40"/>
        <v>1.25</v>
      </c>
      <c r="AH124" s="25" t="str">
        <f>higiene[[#This Row],[Item]]</f>
        <v>Lâmina de barbear (3un)</v>
      </c>
      <c r="AI124" s="1">
        <f>IFERROR(higiene[[#This Row],[Kg equivalente]],0)</f>
        <v>6.3337525451107544</v>
      </c>
      <c r="AJ124" s="1">
        <f>IFERROR(higiene[[#This Row],[Preço por produto]],0)</f>
        <v>20.98</v>
      </c>
      <c r="AK124" s="1">
        <f>SUMIFS(super1[Qtde],super1[Item],tab_higiene[[#This Row],[Item]],super1[Bairro],mercado1)+SUMIFS(supercb[Qtde],supercb[Item],tab_higiene[[#This Row],[Item]],supercb[Bairro],mercado1)</f>
        <v>0</v>
      </c>
      <c r="AL124" s="1">
        <f>SUMIFS(super1[Qtde],super1[Item],tab_higiene[[#This Row],[Item]],super1[Bairro],mercado2)+SUMIFS(supercb[Qtde],supercb[Item],tab_higiene[[#This Row],[Item]],supercb[Bairro],mercado2)</f>
        <v>0</v>
      </c>
      <c r="AM124" s="1">
        <f>SUMIFS(super1[Qtde],super1[Item],tab_higiene[[#This Row],[Item]],super1[Bairro],mercado3)+SUMIFS(supercb[Qtde],supercb[Item],tab_higiene[[#This Row],[Item]],supercb[Bairro],mercado3)</f>
        <v>0</v>
      </c>
      <c r="AN124" s="1">
        <f>SUMIFS(super1[Qtde],super1[Item],tab_higiene[[#This Row],[Item]],super1[Bairro],mercado4)+SUMIFS(supercb[Qtde],supercb[Item],tab_higiene[[#This Row],[Item]],supercb[Bairro],mercado4)</f>
        <v>0</v>
      </c>
      <c r="AO124" s="1">
        <f>SUMIFS(super1[Qtde],super1[Item],tab_higiene[[#This Row],[Item]],super1[Bairro],mercado5)+SUMIFS(supercb[Qtde],supercb[Item],tab_higiene[[#This Row],[Item]],supercb[Bairro],mercado5)</f>
        <v>0</v>
      </c>
      <c r="AP124" s="1">
        <f>SUMIFS(super1[Qtde],super1[Item],tab_higiene[[#This Row],[Item]],super1[Bairro],mercado6)+SUMIFS(supercb[Qtde],supercb[Item],tab_higiene[[#This Row],[Item]],supercb[Bairro],mercado6)</f>
        <v>0</v>
      </c>
      <c r="AQ124" s="1">
        <f>SUMIFS(super1[Qtde],super1[Item],tab_higiene[[#This Row],[Item]],super1[Bairro],mercado7)+SUMIFS(supercb[Qtde],supercb[Item],tab_higiene[[#This Row],[Item]],supercb[Bairro],mercado7)</f>
        <v>0</v>
      </c>
      <c r="AR124" s="1">
        <f>SUMIFS(super1[Qtde],super1[Item],tab_higiene[[#This Row],[Item]],super1[Bairro],mercado8)+SUMIFS(supercb[Qtde],supercb[Item],tab_higiene[[#This Row],[Item]],supercb[Bairro],mercado8)</f>
        <v>0</v>
      </c>
      <c r="AS124" s="1">
        <f>SUMIFS(super1[Qtde],super1[Item],tab_higiene[[#This Row],[Item]],super1[Bairro],mercado9)+SUMIFS(supercb[Qtde],supercb[Item],tab_higiene[[#This Row],[Item]],supercb[Bairro],mercado9)</f>
        <v>0</v>
      </c>
      <c r="AT124" s="1">
        <f>SUMIFS(super1[Qtde],super1[Item],tab_higiene[[#This Row],[Item]],super1[Bairro],mercado10)+SUMIFS(supercb[Qtde],supercb[Item],tab_higiene[[#This Row],[Item]],supercb[Bairro],mercado10)</f>
        <v>0</v>
      </c>
      <c r="AU124" s="1">
        <f>SUMIFS(super1[Qtde],super1[Item],tab_higiene[[#This Row],[Item]],super1[Bairro],mercado11)+SUMIFS(supercb[Qtde],supercb[Item],tab_higiene[[#This Row],[Item]],supercb[Bairro],mercado11)</f>
        <v>0</v>
      </c>
      <c r="AV124" s="1">
        <f>SUMIFS(super1[Qtde],super1[Item],tab_higiene[[#This Row],[Item]],super1[Bairro],mercado12)+SUMIFS(supercb[Qtde],supercb[Item],tab_higiene[[#This Row],[Item]],supercb[Bairro],mercado12)</f>
        <v>0</v>
      </c>
      <c r="AW124" s="1">
        <f>SUMIFS(super1[Qtde],super1[Item],tab_higiene[[#This Row],[Item]],super1[Bairro],mercado13)+SUMIFS(supercb[Qtde],supercb[Item],tab_higiene[[#This Row],[Item]],supercb[Bairro],mercado13)</f>
        <v>0</v>
      </c>
      <c r="AX124" s="1">
        <f>SUMIFS(super1[Qtde],super1[Item],tab_higiene[[#This Row],[Item]],super1[Bairro],mercado14)+SUMIFS(supercb[Qtde],supercb[Item],tab_higiene[[#This Row],[Item]],supercb[Bairro],mercado14)</f>
        <v>0</v>
      </c>
      <c r="AY124" s="1">
        <f>SUMIFS(super1[Qtde],super1[Item],tab_higiene[[#This Row],[Item]],super1[Bairro],mercado15)+SUMIFS(supercb[Qtde],supercb[Item],tab_higiene[[#This Row],[Item]],supercb[Bairro],mercado15)</f>
        <v>0</v>
      </c>
      <c r="AZ124" s="1">
        <f>SUMIFS(super1[Qtde],super1[Item],tab_higiene[[#This Row],[Item]],super1[Bairro],mercado16)+SUMIFS(supercb[Qtde],supercb[Item],tab_higiene[[#This Row],[Item]],supercb[Bairro],mercado16)</f>
        <v>0</v>
      </c>
      <c r="BA124" s="1">
        <f>SUMIFS(super1[Qtde],super1[Item],tab_higiene[[#This Row],[Item]],super1[Bairro],mercado17)+SUMIFS(supercb[Qtde],supercb[Item],tab_higiene[[#This Row],[Item]],supercb[Bairro],mercado17)</f>
        <v>0</v>
      </c>
      <c r="BB124" s="1">
        <f>SUMIFS(super1[Qtde],super1[Item],tab_higiene[[#This Row],[Item]],super1[Bairro],mercado18)+SUMIFS(supercb[Qtde],supercb[Item],tab_higiene[[#This Row],[Item]],supercb[Bairro],mercado18)</f>
        <v>0</v>
      </c>
      <c r="BC124" s="1">
        <f>SUMIFS(super1[Qtde],super1[Item],tab_higiene[[#This Row],[Item]],super1[Bairro],extras)+SUMIFS(supercb[Qtde],supercb[Item],tab_higiene[[#This Row],[Item]],supercb[Bairro],extras)</f>
        <v>0</v>
      </c>
      <c r="BD124" s="1">
        <f t="shared" si="41"/>
        <v>0</v>
      </c>
      <c r="BE124" s="1">
        <f t="shared" si="42"/>
        <v>0</v>
      </c>
      <c r="BF124" s="26">
        <f t="shared" si="43"/>
        <v>0</v>
      </c>
      <c r="BI124" s="33" t="str">
        <f>tab_alimentos[[#This Row],[Item]]</f>
        <v>farofa de mandioca (250g)</v>
      </c>
      <c r="BJ124" s="33">
        <f t="shared" si="25"/>
        <v>19</v>
      </c>
      <c r="BK124" s="33" t="str">
        <f t="shared" si="26"/>
        <v>farofa de mandioca</v>
      </c>
      <c r="BL124" s="33">
        <f>tab_alimentos[[#This Row],[kg]]</f>
        <v>1.25</v>
      </c>
      <c r="BN124" s="35">
        <f t="shared" si="36"/>
        <v>0</v>
      </c>
      <c r="BP124" s="33" t="str">
        <f>tab_higiene[[#This Row],[Item]]</f>
        <v>Lâmina de barbear (3un)</v>
      </c>
      <c r="BQ124" s="33">
        <f t="shared" si="33"/>
        <v>18</v>
      </c>
      <c r="BR124" s="33" t="str">
        <f t="shared" si="34"/>
        <v>Lâmina de barbear</v>
      </c>
      <c r="BS124" s="33">
        <f>higiene[[#This Row],[Quantidade]]</f>
        <v>0</v>
      </c>
      <c r="BT124" s="33">
        <f>tab_higiene[Qtde (tot)]</f>
        <v>0</v>
      </c>
      <c r="BU124" s="33">
        <f t="shared" si="37"/>
        <v>0</v>
      </c>
      <c r="BW124" s="33">
        <f t="shared" si="44"/>
        <v>0</v>
      </c>
    </row>
    <row r="125" spans="9:75" x14ac:dyDescent="0.25">
      <c r="I125" s="25" t="str">
        <f>alimentos[[#This Row],[Item]]</f>
        <v>Feijão (1kg)</v>
      </c>
      <c r="J125" s="1">
        <f>IFERROR(alimentos[[#This Row],[kg/embalagem]],0)</f>
        <v>1</v>
      </c>
      <c r="K125" s="1">
        <f>IFERROR(alimentos[[#This Row],[Preço]],0)</f>
        <v>2.625</v>
      </c>
      <c r="L125" s="1">
        <f>SUMIFS(super1[Qtde],super1[Item],tab_alimentos[[#This Row],[Item]],super1[Bairro],mercado1)+SUMIFS(supercb[Qtde],supercb[Item],tab_alimentos[[#This Row],[Item]],supercb[Bairro],mercado1)</f>
        <v>39</v>
      </c>
      <c r="M125" s="1">
        <f>SUMIFS(super1[Qtde],super1[Item],tab_alimentos[[#This Row],[Item]],super1[Bairro],mercado2)+SUMIFS(supercb[Qtde],supercb[Item],tab_alimentos[[#This Row],[Item]],supercb[Bairro],mercado2)</f>
        <v>43</v>
      </c>
      <c r="N125" s="1">
        <f>SUMIFS(super1[Qtde],super1[Item],tab_alimentos[[#This Row],[Item]],super1[Bairro],mercado3)+SUMIFS(supercb[Qtde],supercb[Item],tab_alimentos[[#This Row],[Item]],supercb[Bairro],mercado3)</f>
        <v>9</v>
      </c>
      <c r="O125" s="1">
        <f>SUMIFS(super1[Qtde],super1[Item],tab_alimentos[[#This Row],[Item]],super1[Bairro],mercado4)+SUMIFS(supercb[Qtde],supercb[Item],tab_alimentos[[#This Row],[Item]],supercb[Bairro],mercado4)</f>
        <v>25</v>
      </c>
      <c r="P125" s="1">
        <f>SUMIFS(super1[Qtde],super1[Item],tab_alimentos[[#This Row],[Item]],super1[Bairro],mercado5)+SUMIFS(supercb[Qtde],supercb[Item],tab_alimentos[[#This Row],[Item]],supercb[Bairro],mercado5)</f>
        <v>66</v>
      </c>
      <c r="Q125" s="1">
        <f>SUMIFS(super1[Qtde],super1[Item],tab_alimentos[[#This Row],[Item]],super1[Bairro],mercado6)+SUMIFS(supercb[Qtde],supercb[Item],tab_alimentos[[#This Row],[Item]],supercb[Bairro],mercado6)</f>
        <v>37</v>
      </c>
      <c r="R125" s="1">
        <f>SUMIFS(super1[Qtde],super1[Item],tab_alimentos[[#This Row],[Item]],super1[Bairro],mercado7)+SUMIFS(supercb[Qtde],supercb[Item],tab_alimentos[[#This Row],[Item]],supercb[Bairro],mercado7)</f>
        <v>34</v>
      </c>
      <c r="S125" s="1">
        <f>SUMIFS(super1[Qtde],super1[Item],tab_alimentos[[#This Row],[Item]],super1[Bairro],mercado8)+SUMIFS(supercb[Qtde],supercb[Item],tab_alimentos[[#This Row],[Item]],supercb[Bairro],mercado8)</f>
        <v>43</v>
      </c>
      <c r="T125" s="1">
        <f>SUMIFS(super1[Qtde],super1[Item],tab_alimentos[[#This Row],[Item]],super1[Bairro],mercado9)+SUMIFS(supercb[Qtde],supercb[Item],tab_alimentos[[#This Row],[Item]],supercb[Bairro],mercado9)</f>
        <v>73</v>
      </c>
      <c r="U125" s="1">
        <f>SUMIFS(super1[Qtde],super1[Item],tab_alimentos[[#This Row],[Item]],super1[Bairro],mercado10)+SUMIFS(supercb[Qtde],supercb[Item],tab_alimentos[[#This Row],[Item]],supercb[Bairro],mercado10)</f>
        <v>147</v>
      </c>
      <c r="V125" s="1">
        <f>SUMIFS(super1[Qtde],super1[Item],tab_alimentos[[#This Row],[Item]],super1[Bairro],mercado11)+SUMIFS(supercb[Qtde],supercb[Item],tab_alimentos[[#This Row],[Item]],supercb[Bairro],mercado11)</f>
        <v>46</v>
      </c>
      <c r="W125" s="1">
        <f>SUMIFS(super1[Qtde],super1[Item],tab_alimentos[[#This Row],[Item]],super1[Bairro],mercado12)+SUMIFS(supercb[Qtde],supercb[Item],tab_alimentos[[#This Row],[Item]],supercb[Bairro],mercado12)</f>
        <v>0</v>
      </c>
      <c r="X125" s="1">
        <f>SUMIFS(super1[Qtde],super1[Item],tab_alimentos[[#This Row],[Item]],super1[Bairro],mercado13)+SUMIFS(supercb[Qtde],supercb[Item],tab_alimentos[[#This Row],[Item]],supercb[Bairro],mercado13)</f>
        <v>155</v>
      </c>
      <c r="Y125" s="1">
        <f>SUMIFS(super1[Qtde],super1[Item],tab_alimentos[[#This Row],[Item]],super1[Bairro],mercado14)+SUMIFS(supercb[Qtde],supercb[Item],tab_alimentos[[#This Row],[Item]],supercb[Bairro],mercado14)</f>
        <v>0</v>
      </c>
      <c r="Z125" s="1">
        <f>SUMIFS(super1[Qtde],super1[Item],tab_alimentos[[#This Row],[Item]],super1[Bairro],mercado15)+SUMIFS(supercb[Qtde],supercb[Item],tab_alimentos[[#This Row],[Item]],supercb[Bairro],mercado15)</f>
        <v>0</v>
      </c>
      <c r="AA125" s="1">
        <f>SUMIFS(super1[Qtde],super1[Item],tab_alimentos[[#This Row],[Item]],super1[Bairro],mercado16)+SUMIFS(supercb[Qtde],supercb[Item],tab_alimentos[[#This Row],[Item]],supercb[Bairro],mercado16)</f>
        <v>0</v>
      </c>
      <c r="AB125" s="1">
        <f>SUMIFS(super1[Qtde],super1[Item],tab_alimentos[[#This Row],[Item]],super1[Bairro],mercado17)+SUMIFS(supercb[Qtde],supercb[Item],tab_alimentos[[#This Row],[Item]],supercb[Bairro],mercado17)</f>
        <v>0</v>
      </c>
      <c r="AC125" s="1">
        <f>SUMIFS(super1[Qtde],super1[Item],tab_alimentos[[#This Row],[Item]],super1[Bairro],mercado18)+SUMIFS(supercb[Qtde],supercb[Item],tab_alimentos[[#This Row],[Item]],supercb[Bairro],mercado18)</f>
        <v>0</v>
      </c>
      <c r="AD125" s="1">
        <f>SUMIFS(super1[Qtde],super1[Item],tab_alimentos[[#This Row],[Item]],super1[Bairro],extras)+SUMIFS(supercb[Qtde],supercb[Item],tab_alimentos[[#This Row],[Item]],supercb[Bairro],extras)</f>
        <v>0</v>
      </c>
      <c r="AE125" s="1">
        <f t="shared" si="38"/>
        <v>717</v>
      </c>
      <c r="AF125" s="1">
        <f t="shared" si="39"/>
        <v>1882.125</v>
      </c>
      <c r="AG125" s="3">
        <f t="shared" si="40"/>
        <v>717</v>
      </c>
      <c r="AH125" s="25" t="str">
        <f>higiene[[#This Row],[Item]]</f>
        <v>Lâmina de barbear (4un)</v>
      </c>
      <c r="AI125" s="1">
        <f>IFERROR(higiene[[#This Row],[Kg equivalente]],0)</f>
        <v>4.6069143869585369</v>
      </c>
      <c r="AJ125" s="1">
        <f>IFERROR(higiene[[#This Row],[Preço por produto]],0)</f>
        <v>15.26</v>
      </c>
      <c r="AK125" s="1">
        <f>SUMIFS(super1[Qtde],super1[Item],tab_higiene[[#This Row],[Item]],super1[Bairro],mercado1)+SUMIFS(supercb[Qtde],supercb[Item],tab_higiene[[#This Row],[Item]],supercb[Bairro],mercado1)</f>
        <v>0</v>
      </c>
      <c r="AL125" s="1">
        <f>SUMIFS(super1[Qtde],super1[Item],tab_higiene[[#This Row],[Item]],super1[Bairro],mercado2)+SUMIFS(supercb[Qtde],supercb[Item],tab_higiene[[#This Row],[Item]],supercb[Bairro],mercado2)</f>
        <v>0</v>
      </c>
      <c r="AM125" s="1">
        <f>SUMIFS(super1[Qtde],super1[Item],tab_higiene[[#This Row],[Item]],super1[Bairro],mercado3)+SUMIFS(supercb[Qtde],supercb[Item],tab_higiene[[#This Row],[Item]],supercb[Bairro],mercado3)</f>
        <v>0</v>
      </c>
      <c r="AN125" s="1">
        <f>SUMIFS(super1[Qtde],super1[Item],tab_higiene[[#This Row],[Item]],super1[Bairro],mercado4)+SUMIFS(supercb[Qtde],supercb[Item],tab_higiene[[#This Row],[Item]],supercb[Bairro],mercado4)</f>
        <v>0</v>
      </c>
      <c r="AO125" s="1">
        <f>SUMIFS(super1[Qtde],super1[Item],tab_higiene[[#This Row],[Item]],super1[Bairro],mercado5)+SUMIFS(supercb[Qtde],supercb[Item],tab_higiene[[#This Row],[Item]],supercb[Bairro],mercado5)</f>
        <v>0</v>
      </c>
      <c r="AP125" s="1">
        <f>SUMIFS(super1[Qtde],super1[Item],tab_higiene[[#This Row],[Item]],super1[Bairro],mercado6)+SUMIFS(supercb[Qtde],supercb[Item],tab_higiene[[#This Row],[Item]],supercb[Bairro],mercado6)</f>
        <v>0</v>
      </c>
      <c r="AQ125" s="1">
        <f>SUMIFS(super1[Qtde],super1[Item],tab_higiene[[#This Row],[Item]],super1[Bairro],mercado7)+SUMIFS(supercb[Qtde],supercb[Item],tab_higiene[[#This Row],[Item]],supercb[Bairro],mercado7)</f>
        <v>0</v>
      </c>
      <c r="AR125" s="1">
        <f>SUMIFS(super1[Qtde],super1[Item],tab_higiene[[#This Row],[Item]],super1[Bairro],mercado8)+SUMIFS(supercb[Qtde],supercb[Item],tab_higiene[[#This Row],[Item]],supercb[Bairro],mercado8)</f>
        <v>0</v>
      </c>
      <c r="AS125" s="1">
        <f>SUMIFS(super1[Qtde],super1[Item],tab_higiene[[#This Row],[Item]],super1[Bairro],mercado9)+SUMIFS(supercb[Qtde],supercb[Item],tab_higiene[[#This Row],[Item]],supercb[Bairro],mercado9)</f>
        <v>1</v>
      </c>
      <c r="AT125" s="1">
        <f>SUMIFS(super1[Qtde],super1[Item],tab_higiene[[#This Row],[Item]],super1[Bairro],mercado10)+SUMIFS(supercb[Qtde],supercb[Item],tab_higiene[[#This Row],[Item]],supercb[Bairro],mercado10)</f>
        <v>1</v>
      </c>
      <c r="AU125" s="1">
        <f>SUMIFS(super1[Qtde],super1[Item],tab_higiene[[#This Row],[Item]],super1[Bairro],mercado11)+SUMIFS(supercb[Qtde],supercb[Item],tab_higiene[[#This Row],[Item]],supercb[Bairro],mercado11)</f>
        <v>0</v>
      </c>
      <c r="AV125" s="1">
        <f>SUMIFS(super1[Qtde],super1[Item],tab_higiene[[#This Row],[Item]],super1[Bairro],mercado12)+SUMIFS(supercb[Qtde],supercb[Item],tab_higiene[[#This Row],[Item]],supercb[Bairro],mercado12)</f>
        <v>0</v>
      </c>
      <c r="AW125" s="1">
        <f>SUMIFS(super1[Qtde],super1[Item],tab_higiene[[#This Row],[Item]],super1[Bairro],mercado13)+SUMIFS(supercb[Qtde],supercb[Item],tab_higiene[[#This Row],[Item]],supercb[Bairro],mercado13)</f>
        <v>0</v>
      </c>
      <c r="AX125" s="1">
        <f>SUMIFS(super1[Qtde],super1[Item],tab_higiene[[#This Row],[Item]],super1[Bairro],mercado14)+SUMIFS(supercb[Qtde],supercb[Item],tab_higiene[[#This Row],[Item]],supercb[Bairro],mercado14)</f>
        <v>0</v>
      </c>
      <c r="AY125" s="1">
        <f>SUMIFS(super1[Qtde],super1[Item],tab_higiene[[#This Row],[Item]],super1[Bairro],mercado15)+SUMIFS(supercb[Qtde],supercb[Item],tab_higiene[[#This Row],[Item]],supercb[Bairro],mercado15)</f>
        <v>0</v>
      </c>
      <c r="AZ125" s="1">
        <f>SUMIFS(super1[Qtde],super1[Item],tab_higiene[[#This Row],[Item]],super1[Bairro],mercado16)+SUMIFS(supercb[Qtde],supercb[Item],tab_higiene[[#This Row],[Item]],supercb[Bairro],mercado16)</f>
        <v>0</v>
      </c>
      <c r="BA125" s="1">
        <f>SUMIFS(super1[Qtde],super1[Item],tab_higiene[[#This Row],[Item]],super1[Bairro],mercado17)+SUMIFS(supercb[Qtde],supercb[Item],tab_higiene[[#This Row],[Item]],supercb[Bairro],mercado17)</f>
        <v>0</v>
      </c>
      <c r="BB125" s="1">
        <f>SUMIFS(super1[Qtde],super1[Item],tab_higiene[[#This Row],[Item]],super1[Bairro],mercado18)+SUMIFS(supercb[Qtde],supercb[Item],tab_higiene[[#This Row],[Item]],supercb[Bairro],mercado18)</f>
        <v>0</v>
      </c>
      <c r="BC125" s="1">
        <f>SUMIFS(super1[Qtde],super1[Item],tab_higiene[[#This Row],[Item]],super1[Bairro],extras)+SUMIFS(supercb[Qtde],supercb[Item],tab_higiene[[#This Row],[Item]],supercb[Bairro],extras)</f>
        <v>0</v>
      </c>
      <c r="BD125" s="1">
        <f t="shared" si="41"/>
        <v>2</v>
      </c>
      <c r="BE125" s="1">
        <f t="shared" si="42"/>
        <v>30.52</v>
      </c>
      <c r="BF125" s="26">
        <f t="shared" si="43"/>
        <v>9.2138287739170739</v>
      </c>
      <c r="BI125" s="33" t="str">
        <f>tab_alimentos[[#This Row],[Item]]</f>
        <v>Feijão (1kg)</v>
      </c>
      <c r="BJ125" s="33">
        <f t="shared" si="25"/>
        <v>7</v>
      </c>
      <c r="BK125" s="33" t="str">
        <f t="shared" si="26"/>
        <v>Feijão</v>
      </c>
      <c r="BL125" s="33">
        <f>tab_alimentos[[#This Row],[kg]]</f>
        <v>717</v>
      </c>
      <c r="BN125" s="35">
        <f t="shared" si="36"/>
        <v>0</v>
      </c>
      <c r="BP125" s="33" t="str">
        <f>tab_higiene[[#This Row],[Item]]</f>
        <v>Lâmina de barbear (4un)</v>
      </c>
      <c r="BQ125" s="33">
        <f t="shared" si="33"/>
        <v>18</v>
      </c>
      <c r="BR125" s="33" t="str">
        <f t="shared" si="34"/>
        <v>Lâmina de barbear</v>
      </c>
      <c r="BS125" s="33">
        <f>higiene[[#This Row],[Quantidade]]</f>
        <v>0.9</v>
      </c>
      <c r="BT125" s="33">
        <f>tab_higiene[Qtde (tot)]</f>
        <v>2</v>
      </c>
      <c r="BU125" s="33">
        <f t="shared" si="37"/>
        <v>1.8</v>
      </c>
      <c r="BW125" s="33">
        <f t="shared" si="44"/>
        <v>0</v>
      </c>
    </row>
    <row r="126" spans="9:75" x14ac:dyDescent="0.25">
      <c r="I126" s="25" t="str">
        <f>alimentos[[#This Row],[Item]]</f>
        <v>Feijão (2kg)</v>
      </c>
      <c r="J126" s="1">
        <f>IFERROR(alimentos[[#This Row],[kg/embalagem]],0)</f>
        <v>2</v>
      </c>
      <c r="K126" s="1">
        <f>IFERROR(alimentos[[#This Row],[Preço]],0)</f>
        <v>6.0200000000000005</v>
      </c>
      <c r="L126" s="1">
        <f>SUMIFS(super1[Qtde],super1[Item],tab_alimentos[[#This Row],[Item]],super1[Bairro],mercado1)+SUMIFS(supercb[Qtde],supercb[Item],tab_alimentos[[#This Row],[Item]],supercb[Bairro],mercado1)</f>
        <v>2</v>
      </c>
      <c r="M126" s="1">
        <f>SUMIFS(super1[Qtde],super1[Item],tab_alimentos[[#This Row],[Item]],super1[Bairro],mercado2)+SUMIFS(supercb[Qtde],supercb[Item],tab_alimentos[[#This Row],[Item]],supercb[Bairro],mercado2)</f>
        <v>3</v>
      </c>
      <c r="N126" s="1">
        <f>SUMIFS(super1[Qtde],super1[Item],tab_alimentos[[#This Row],[Item]],super1[Bairro],mercado3)+SUMIFS(supercb[Qtde],supercb[Item],tab_alimentos[[#This Row],[Item]],supercb[Bairro],mercado3)</f>
        <v>0</v>
      </c>
      <c r="O126" s="1">
        <f>SUMIFS(super1[Qtde],super1[Item],tab_alimentos[[#This Row],[Item]],super1[Bairro],mercado4)+SUMIFS(supercb[Qtde],supercb[Item],tab_alimentos[[#This Row],[Item]],supercb[Bairro],mercado4)</f>
        <v>0</v>
      </c>
      <c r="P126" s="1">
        <f>SUMIFS(super1[Qtde],super1[Item],tab_alimentos[[#This Row],[Item]],super1[Bairro],mercado5)+SUMIFS(supercb[Qtde],supercb[Item],tab_alimentos[[#This Row],[Item]],supercb[Bairro],mercado5)</f>
        <v>6</v>
      </c>
      <c r="Q126" s="1">
        <f>SUMIFS(super1[Qtde],super1[Item],tab_alimentos[[#This Row],[Item]],super1[Bairro],mercado6)+SUMIFS(supercb[Qtde],supercb[Item],tab_alimentos[[#This Row],[Item]],supercb[Bairro],mercado6)</f>
        <v>0</v>
      </c>
      <c r="R126" s="1">
        <f>SUMIFS(super1[Qtde],super1[Item],tab_alimentos[[#This Row],[Item]],super1[Bairro],mercado7)+SUMIFS(supercb[Qtde],supercb[Item],tab_alimentos[[#This Row],[Item]],supercb[Bairro],mercado7)</f>
        <v>2</v>
      </c>
      <c r="S126" s="1">
        <f>SUMIFS(super1[Qtde],super1[Item],tab_alimentos[[#This Row],[Item]],super1[Bairro],mercado8)+SUMIFS(supercb[Qtde],supercb[Item],tab_alimentos[[#This Row],[Item]],supercb[Bairro],mercado8)</f>
        <v>3</v>
      </c>
      <c r="T126" s="1">
        <f>SUMIFS(super1[Qtde],super1[Item],tab_alimentos[[#This Row],[Item]],super1[Bairro],mercado9)+SUMIFS(supercb[Qtde],supercb[Item],tab_alimentos[[#This Row],[Item]],supercb[Bairro],mercado9)</f>
        <v>1</v>
      </c>
      <c r="U126" s="1">
        <f>SUMIFS(super1[Qtde],super1[Item],tab_alimentos[[#This Row],[Item]],super1[Bairro],mercado10)+SUMIFS(supercb[Qtde],supercb[Item],tab_alimentos[[#This Row],[Item]],supercb[Bairro],mercado10)</f>
        <v>1</v>
      </c>
      <c r="V126" s="1">
        <f>SUMIFS(super1[Qtde],super1[Item],tab_alimentos[[#This Row],[Item]],super1[Bairro],mercado11)+SUMIFS(supercb[Qtde],supercb[Item],tab_alimentos[[#This Row],[Item]],supercb[Bairro],mercado11)</f>
        <v>2</v>
      </c>
      <c r="W126" s="1">
        <f>SUMIFS(super1[Qtde],super1[Item],tab_alimentos[[#This Row],[Item]],super1[Bairro],mercado12)+SUMIFS(supercb[Qtde],supercb[Item],tab_alimentos[[#This Row],[Item]],supercb[Bairro],mercado12)</f>
        <v>0</v>
      </c>
      <c r="X126" s="1">
        <f>SUMIFS(super1[Qtde],super1[Item],tab_alimentos[[#This Row],[Item]],super1[Bairro],mercado13)+SUMIFS(supercb[Qtde],supercb[Item],tab_alimentos[[#This Row],[Item]],supercb[Bairro],mercado13)</f>
        <v>2</v>
      </c>
      <c r="Y126" s="1">
        <f>SUMIFS(super1[Qtde],super1[Item],tab_alimentos[[#This Row],[Item]],super1[Bairro],mercado14)+SUMIFS(supercb[Qtde],supercb[Item],tab_alimentos[[#This Row],[Item]],supercb[Bairro],mercado14)</f>
        <v>0</v>
      </c>
      <c r="Z126" s="1">
        <f>SUMIFS(super1[Qtde],super1[Item],tab_alimentos[[#This Row],[Item]],super1[Bairro],mercado15)+SUMIFS(supercb[Qtde],supercb[Item],tab_alimentos[[#This Row],[Item]],supercb[Bairro],mercado15)</f>
        <v>0</v>
      </c>
      <c r="AA126" s="1">
        <f>SUMIFS(super1[Qtde],super1[Item],tab_alimentos[[#This Row],[Item]],super1[Bairro],mercado16)+SUMIFS(supercb[Qtde],supercb[Item],tab_alimentos[[#This Row],[Item]],supercb[Bairro],mercado16)</f>
        <v>0</v>
      </c>
      <c r="AB126" s="1">
        <f>SUMIFS(super1[Qtde],super1[Item],tab_alimentos[[#This Row],[Item]],super1[Bairro],mercado17)+SUMIFS(supercb[Qtde],supercb[Item],tab_alimentos[[#This Row],[Item]],supercb[Bairro],mercado17)</f>
        <v>0</v>
      </c>
      <c r="AC126" s="1">
        <f>SUMIFS(super1[Qtde],super1[Item],tab_alimentos[[#This Row],[Item]],super1[Bairro],mercado18)+SUMIFS(supercb[Qtde],supercb[Item],tab_alimentos[[#This Row],[Item]],supercb[Bairro],mercado18)</f>
        <v>0</v>
      </c>
      <c r="AD126" s="1">
        <f>SUMIFS(super1[Qtde],super1[Item],tab_alimentos[[#This Row],[Item]],super1[Bairro],extras)+SUMIFS(supercb[Qtde],supercb[Item],tab_alimentos[[#This Row],[Item]],supercb[Bairro],extras)</f>
        <v>0</v>
      </c>
      <c r="AE126" s="1">
        <f t="shared" si="38"/>
        <v>22</v>
      </c>
      <c r="AF126" s="1">
        <f t="shared" si="39"/>
        <v>132.44</v>
      </c>
      <c r="AG126" s="3">
        <f t="shared" si="40"/>
        <v>44</v>
      </c>
      <c r="AH126" s="25" t="str">
        <f>higiene[[#This Row],[Item]]</f>
        <v>Lâmina de Barbear (5un)</v>
      </c>
      <c r="AI126" s="1">
        <f>IFERROR(higiene[[#This Row],[Kg equivalente]],0)</f>
        <v>1.2136170272328517</v>
      </c>
      <c r="AJ126" s="1">
        <f>IFERROR(higiene[[#This Row],[Preço por produto]],0)</f>
        <v>4.0199999999999996</v>
      </c>
      <c r="AK126" s="1">
        <f>SUMIFS(super1[Qtde],super1[Item],tab_higiene[[#This Row],[Item]],super1[Bairro],mercado1)+SUMIFS(supercb[Qtde],supercb[Item],tab_higiene[[#This Row],[Item]],supercb[Bairro],mercado1)</f>
        <v>0</v>
      </c>
      <c r="AL126" s="1">
        <f>SUMIFS(super1[Qtde],super1[Item],tab_higiene[[#This Row],[Item]],super1[Bairro],mercado2)+SUMIFS(supercb[Qtde],supercb[Item],tab_higiene[[#This Row],[Item]],supercb[Bairro],mercado2)</f>
        <v>0</v>
      </c>
      <c r="AM126" s="1">
        <f>SUMIFS(super1[Qtde],super1[Item],tab_higiene[[#This Row],[Item]],super1[Bairro],mercado3)+SUMIFS(supercb[Qtde],supercb[Item],tab_higiene[[#This Row],[Item]],supercb[Bairro],mercado3)</f>
        <v>0</v>
      </c>
      <c r="AN126" s="1">
        <f>SUMIFS(super1[Qtde],super1[Item],tab_higiene[[#This Row],[Item]],super1[Bairro],mercado4)+SUMIFS(supercb[Qtde],supercb[Item],tab_higiene[[#This Row],[Item]],supercb[Bairro],mercado4)</f>
        <v>0</v>
      </c>
      <c r="AO126" s="1">
        <f>SUMIFS(super1[Qtde],super1[Item],tab_higiene[[#This Row],[Item]],super1[Bairro],mercado5)+SUMIFS(supercb[Qtde],supercb[Item],tab_higiene[[#This Row],[Item]],supercb[Bairro],mercado5)</f>
        <v>0</v>
      </c>
      <c r="AP126" s="1">
        <f>SUMIFS(super1[Qtde],super1[Item],tab_higiene[[#This Row],[Item]],super1[Bairro],mercado6)+SUMIFS(supercb[Qtde],supercb[Item],tab_higiene[[#This Row],[Item]],supercb[Bairro],mercado6)</f>
        <v>0</v>
      </c>
      <c r="AQ126" s="1">
        <f>SUMIFS(super1[Qtde],super1[Item],tab_higiene[[#This Row],[Item]],super1[Bairro],mercado7)+SUMIFS(supercb[Qtde],supercb[Item],tab_higiene[[#This Row],[Item]],supercb[Bairro],mercado7)</f>
        <v>0</v>
      </c>
      <c r="AR126" s="1">
        <f>SUMIFS(super1[Qtde],super1[Item],tab_higiene[[#This Row],[Item]],super1[Bairro],mercado8)+SUMIFS(supercb[Qtde],supercb[Item],tab_higiene[[#This Row],[Item]],supercb[Bairro],mercado8)</f>
        <v>0</v>
      </c>
      <c r="AS126" s="1">
        <f>SUMIFS(super1[Qtde],super1[Item],tab_higiene[[#This Row],[Item]],super1[Bairro],mercado9)+SUMIFS(supercb[Qtde],supercb[Item],tab_higiene[[#This Row],[Item]],supercb[Bairro],mercado9)</f>
        <v>1</v>
      </c>
      <c r="AT126" s="1">
        <f>SUMIFS(super1[Qtde],super1[Item],tab_higiene[[#This Row],[Item]],super1[Bairro],mercado10)+SUMIFS(supercb[Qtde],supercb[Item],tab_higiene[[#This Row],[Item]],supercb[Bairro],mercado10)</f>
        <v>1</v>
      </c>
      <c r="AU126" s="1">
        <f>SUMIFS(super1[Qtde],super1[Item],tab_higiene[[#This Row],[Item]],super1[Bairro],mercado11)+SUMIFS(supercb[Qtde],supercb[Item],tab_higiene[[#This Row],[Item]],supercb[Bairro],mercado11)</f>
        <v>1</v>
      </c>
      <c r="AV126" s="1">
        <f>SUMIFS(super1[Qtde],super1[Item],tab_higiene[[#This Row],[Item]],super1[Bairro],mercado12)+SUMIFS(supercb[Qtde],supercb[Item],tab_higiene[[#This Row],[Item]],supercb[Bairro],mercado12)</f>
        <v>0</v>
      </c>
      <c r="AW126" s="1">
        <f>SUMIFS(super1[Qtde],super1[Item],tab_higiene[[#This Row],[Item]],super1[Bairro],mercado13)+SUMIFS(supercb[Qtde],supercb[Item],tab_higiene[[#This Row],[Item]],supercb[Bairro],mercado13)</f>
        <v>0</v>
      </c>
      <c r="AX126" s="1">
        <f>SUMIFS(super1[Qtde],super1[Item],tab_higiene[[#This Row],[Item]],super1[Bairro],mercado14)+SUMIFS(supercb[Qtde],supercb[Item],tab_higiene[[#This Row],[Item]],supercb[Bairro],mercado14)</f>
        <v>0</v>
      </c>
      <c r="AY126" s="1">
        <f>SUMIFS(super1[Qtde],super1[Item],tab_higiene[[#This Row],[Item]],super1[Bairro],mercado15)+SUMIFS(supercb[Qtde],supercb[Item],tab_higiene[[#This Row],[Item]],supercb[Bairro],mercado15)</f>
        <v>0</v>
      </c>
      <c r="AZ126" s="1">
        <f>SUMIFS(super1[Qtde],super1[Item],tab_higiene[[#This Row],[Item]],super1[Bairro],mercado16)+SUMIFS(supercb[Qtde],supercb[Item],tab_higiene[[#This Row],[Item]],supercb[Bairro],mercado16)</f>
        <v>0</v>
      </c>
      <c r="BA126" s="1">
        <f>SUMIFS(super1[Qtde],super1[Item],tab_higiene[[#This Row],[Item]],super1[Bairro],mercado17)+SUMIFS(supercb[Qtde],supercb[Item],tab_higiene[[#This Row],[Item]],supercb[Bairro],mercado17)</f>
        <v>0</v>
      </c>
      <c r="BB126" s="1">
        <f>SUMIFS(super1[Qtde],super1[Item],tab_higiene[[#This Row],[Item]],super1[Bairro],mercado18)+SUMIFS(supercb[Qtde],supercb[Item],tab_higiene[[#This Row],[Item]],supercb[Bairro],mercado18)</f>
        <v>0</v>
      </c>
      <c r="BC126" s="1">
        <f>SUMIFS(super1[Qtde],super1[Item],tab_higiene[[#This Row],[Item]],super1[Bairro],extras)+SUMIFS(supercb[Qtde],supercb[Item],tab_higiene[[#This Row],[Item]],supercb[Bairro],extras)</f>
        <v>0</v>
      </c>
      <c r="BD126" s="1">
        <f t="shared" si="41"/>
        <v>3</v>
      </c>
      <c r="BE126" s="1">
        <f t="shared" si="42"/>
        <v>12.059999999999999</v>
      </c>
      <c r="BF126" s="26">
        <f t="shared" si="43"/>
        <v>3.6408510816985551</v>
      </c>
      <c r="BI126" s="33" t="str">
        <f>tab_alimentos[[#This Row],[Item]]</f>
        <v>Feijão (2kg)</v>
      </c>
      <c r="BJ126" s="33">
        <f t="shared" si="25"/>
        <v>7</v>
      </c>
      <c r="BK126" s="33" t="str">
        <f t="shared" si="26"/>
        <v>Feijão</v>
      </c>
      <c r="BL126" s="33">
        <f>tab_alimentos[[#This Row],[kg]]</f>
        <v>44</v>
      </c>
      <c r="BN126" s="35">
        <f t="shared" si="36"/>
        <v>0</v>
      </c>
      <c r="BP126" s="33" t="str">
        <f>tab_higiene[[#This Row],[Item]]</f>
        <v>Lâmina de Barbear (5un)</v>
      </c>
      <c r="BQ126" s="33">
        <f t="shared" si="33"/>
        <v>18</v>
      </c>
      <c r="BR126" s="33" t="str">
        <f t="shared" si="34"/>
        <v>Lâmina de Barbear</v>
      </c>
      <c r="BS126" s="33">
        <f>higiene[[#This Row],[Quantidade]]</f>
        <v>0</v>
      </c>
      <c r="BT126" s="33">
        <f>tab_higiene[Qtde (tot)]</f>
        <v>3</v>
      </c>
      <c r="BU126" s="33">
        <f t="shared" si="37"/>
        <v>0</v>
      </c>
      <c r="BW126" s="33">
        <f t="shared" si="44"/>
        <v>0</v>
      </c>
    </row>
    <row r="127" spans="9:75" x14ac:dyDescent="0.25">
      <c r="I127" s="25" t="str">
        <f>alimentos[[#This Row],[Item]]</f>
        <v>Feijão (500g)</v>
      </c>
      <c r="J127" s="1">
        <f>IFERROR(alimentos[[#This Row],[kg/embalagem]],0)</f>
        <v>0.5</v>
      </c>
      <c r="K127" s="1">
        <f>IFERROR(alimentos[[#This Row],[Preço]],0)</f>
        <v>5.2833333333333341</v>
      </c>
      <c r="L127" s="1">
        <f>SUMIFS(super1[Qtde],super1[Item],tab_alimentos[[#This Row],[Item]],super1[Bairro],mercado1)+SUMIFS(supercb[Qtde],supercb[Item],tab_alimentos[[#This Row],[Item]],supercb[Bairro],mercado1)</f>
        <v>0</v>
      </c>
      <c r="M127" s="1">
        <f>SUMIFS(super1[Qtde],super1[Item],tab_alimentos[[#This Row],[Item]],super1[Bairro],mercado2)+SUMIFS(supercb[Qtde],supercb[Item],tab_alimentos[[#This Row],[Item]],supercb[Bairro],mercado2)</f>
        <v>0</v>
      </c>
      <c r="N127" s="1">
        <f>SUMIFS(super1[Qtde],super1[Item],tab_alimentos[[#This Row],[Item]],super1[Bairro],mercado3)+SUMIFS(supercb[Qtde],supercb[Item],tab_alimentos[[#This Row],[Item]],supercb[Bairro],mercado3)</f>
        <v>0</v>
      </c>
      <c r="O127" s="1">
        <f>SUMIFS(super1[Qtde],super1[Item],tab_alimentos[[#This Row],[Item]],super1[Bairro],mercado4)+SUMIFS(supercb[Qtde],supercb[Item],tab_alimentos[[#This Row],[Item]],supercb[Bairro],mercado4)</f>
        <v>0</v>
      </c>
      <c r="P127" s="1">
        <f>SUMIFS(super1[Qtde],super1[Item],tab_alimentos[[#This Row],[Item]],super1[Bairro],mercado5)+SUMIFS(supercb[Qtde],supercb[Item],tab_alimentos[[#This Row],[Item]],supercb[Bairro],mercado5)</f>
        <v>1</v>
      </c>
      <c r="Q127" s="1">
        <f>SUMIFS(super1[Qtde],super1[Item],tab_alimentos[[#This Row],[Item]],super1[Bairro],mercado6)+SUMIFS(supercb[Qtde],supercb[Item],tab_alimentos[[#This Row],[Item]],supercb[Bairro],mercado6)</f>
        <v>0</v>
      </c>
      <c r="R127" s="1">
        <f>SUMIFS(super1[Qtde],super1[Item],tab_alimentos[[#This Row],[Item]],super1[Bairro],mercado7)+SUMIFS(supercb[Qtde],supercb[Item],tab_alimentos[[#This Row],[Item]],supercb[Bairro],mercado7)</f>
        <v>0</v>
      </c>
      <c r="S127" s="1">
        <f>SUMIFS(super1[Qtde],super1[Item],tab_alimentos[[#This Row],[Item]],super1[Bairro],mercado8)+SUMIFS(supercb[Qtde],supercb[Item],tab_alimentos[[#This Row],[Item]],supercb[Bairro],mercado8)</f>
        <v>0</v>
      </c>
      <c r="T127" s="1">
        <f>SUMIFS(super1[Qtde],super1[Item],tab_alimentos[[#This Row],[Item]],super1[Bairro],mercado9)+SUMIFS(supercb[Qtde],supercb[Item],tab_alimentos[[#This Row],[Item]],supercb[Bairro],mercado9)</f>
        <v>0</v>
      </c>
      <c r="U127" s="1">
        <f>SUMIFS(super1[Qtde],super1[Item],tab_alimentos[[#This Row],[Item]],super1[Bairro],mercado10)+SUMIFS(supercb[Qtde],supercb[Item],tab_alimentos[[#This Row],[Item]],supercb[Bairro],mercado10)</f>
        <v>1</v>
      </c>
      <c r="V127" s="1">
        <f>SUMIFS(super1[Qtde],super1[Item],tab_alimentos[[#This Row],[Item]],super1[Bairro],mercado11)+SUMIFS(supercb[Qtde],supercb[Item],tab_alimentos[[#This Row],[Item]],supercb[Bairro],mercado11)</f>
        <v>0</v>
      </c>
      <c r="W127" s="1">
        <f>SUMIFS(super1[Qtde],super1[Item],tab_alimentos[[#This Row],[Item]],super1[Bairro],mercado12)+SUMIFS(supercb[Qtde],supercb[Item],tab_alimentos[[#This Row],[Item]],supercb[Bairro],mercado12)</f>
        <v>0</v>
      </c>
      <c r="X127" s="1">
        <f>SUMIFS(super1[Qtde],super1[Item],tab_alimentos[[#This Row],[Item]],super1[Bairro],mercado13)+SUMIFS(supercb[Qtde],supercb[Item],tab_alimentos[[#This Row],[Item]],supercb[Bairro],mercado13)</f>
        <v>0</v>
      </c>
      <c r="Y127" s="1">
        <f>SUMIFS(super1[Qtde],super1[Item],tab_alimentos[[#This Row],[Item]],super1[Bairro],mercado14)+SUMIFS(supercb[Qtde],supercb[Item],tab_alimentos[[#This Row],[Item]],supercb[Bairro],mercado14)</f>
        <v>0</v>
      </c>
      <c r="Z127" s="1">
        <f>SUMIFS(super1[Qtde],super1[Item],tab_alimentos[[#This Row],[Item]],super1[Bairro],mercado15)+SUMIFS(supercb[Qtde],supercb[Item],tab_alimentos[[#This Row],[Item]],supercb[Bairro],mercado15)</f>
        <v>0</v>
      </c>
      <c r="AA127" s="1">
        <f>SUMIFS(super1[Qtde],super1[Item],tab_alimentos[[#This Row],[Item]],super1[Bairro],mercado16)+SUMIFS(supercb[Qtde],supercb[Item],tab_alimentos[[#This Row],[Item]],supercb[Bairro],mercado16)</f>
        <v>0</v>
      </c>
      <c r="AB127" s="1">
        <f>SUMIFS(super1[Qtde],super1[Item],tab_alimentos[[#This Row],[Item]],super1[Bairro],mercado17)+SUMIFS(supercb[Qtde],supercb[Item],tab_alimentos[[#This Row],[Item]],supercb[Bairro],mercado17)</f>
        <v>0</v>
      </c>
      <c r="AC127" s="1">
        <f>SUMIFS(super1[Qtde],super1[Item],tab_alimentos[[#This Row],[Item]],super1[Bairro],mercado18)+SUMIFS(supercb[Qtde],supercb[Item],tab_alimentos[[#This Row],[Item]],supercb[Bairro],mercado18)</f>
        <v>0</v>
      </c>
      <c r="AD127" s="1">
        <f>SUMIFS(super1[Qtde],super1[Item],tab_alimentos[[#This Row],[Item]],super1[Bairro],extras)+SUMIFS(supercb[Qtde],supercb[Item],tab_alimentos[[#This Row],[Item]],supercb[Bairro],extras)</f>
        <v>0</v>
      </c>
      <c r="AE127" s="1">
        <f t="shared" si="38"/>
        <v>2</v>
      </c>
      <c r="AF127" s="1">
        <f t="shared" si="39"/>
        <v>10.566666666666668</v>
      </c>
      <c r="AG127" s="3">
        <f t="shared" si="40"/>
        <v>1</v>
      </c>
      <c r="AH127" s="25" t="str">
        <f>higiene[[#This Row],[Item]]</f>
        <v>Lâmina de Barbear (7un)</v>
      </c>
      <c r="AI127" s="1">
        <f>IFERROR(higiene[[#This Row],[Kg equivalente]],0)</f>
        <v>2.3049666673937375</v>
      </c>
      <c r="AJ127" s="1">
        <f>IFERROR(higiene[[#This Row],[Preço por produto]],0)</f>
        <v>7.6350000000000007</v>
      </c>
      <c r="AK127" s="1">
        <f>SUMIFS(super1[Qtde],super1[Item],tab_higiene[[#This Row],[Item]],super1[Bairro],mercado1)+SUMIFS(supercb[Qtde],supercb[Item],tab_higiene[[#This Row],[Item]],supercb[Bairro],mercado1)</f>
        <v>0</v>
      </c>
      <c r="AL127" s="1">
        <f>SUMIFS(super1[Qtde],super1[Item],tab_higiene[[#This Row],[Item]],super1[Bairro],mercado2)+SUMIFS(supercb[Qtde],supercb[Item],tab_higiene[[#This Row],[Item]],supercb[Bairro],mercado2)</f>
        <v>0</v>
      </c>
      <c r="AM127" s="1">
        <f>SUMIFS(super1[Qtde],super1[Item],tab_higiene[[#This Row],[Item]],super1[Bairro],mercado3)+SUMIFS(supercb[Qtde],supercb[Item],tab_higiene[[#This Row],[Item]],supercb[Bairro],mercado3)</f>
        <v>1</v>
      </c>
      <c r="AN127" s="1">
        <f>SUMIFS(super1[Qtde],super1[Item],tab_higiene[[#This Row],[Item]],super1[Bairro],mercado4)+SUMIFS(supercb[Qtde],supercb[Item],tab_higiene[[#This Row],[Item]],supercb[Bairro],mercado4)</f>
        <v>0</v>
      </c>
      <c r="AO127" s="1">
        <f>SUMIFS(super1[Qtde],super1[Item],tab_higiene[[#This Row],[Item]],super1[Bairro],mercado5)+SUMIFS(supercb[Qtde],supercb[Item],tab_higiene[[#This Row],[Item]],supercb[Bairro],mercado5)</f>
        <v>4</v>
      </c>
      <c r="AP127" s="1">
        <f>SUMIFS(super1[Qtde],super1[Item],tab_higiene[[#This Row],[Item]],super1[Bairro],mercado6)+SUMIFS(supercb[Qtde],supercb[Item],tab_higiene[[#This Row],[Item]],supercb[Bairro],mercado6)</f>
        <v>1</v>
      </c>
      <c r="AQ127" s="1">
        <f>SUMIFS(super1[Qtde],super1[Item],tab_higiene[[#This Row],[Item]],super1[Bairro],mercado7)+SUMIFS(supercb[Qtde],supercb[Item],tab_higiene[[#This Row],[Item]],supercb[Bairro],mercado7)</f>
        <v>0</v>
      </c>
      <c r="AR127" s="1">
        <f>SUMIFS(super1[Qtde],super1[Item],tab_higiene[[#This Row],[Item]],super1[Bairro],mercado8)+SUMIFS(supercb[Qtde],supercb[Item],tab_higiene[[#This Row],[Item]],supercb[Bairro],mercado8)</f>
        <v>1</v>
      </c>
      <c r="AS127" s="1">
        <f>SUMIFS(super1[Qtde],super1[Item],tab_higiene[[#This Row],[Item]],super1[Bairro],mercado9)+SUMIFS(supercb[Qtde],supercb[Item],tab_higiene[[#This Row],[Item]],supercb[Bairro],mercado9)</f>
        <v>3</v>
      </c>
      <c r="AT127" s="1">
        <f>SUMIFS(super1[Qtde],super1[Item],tab_higiene[[#This Row],[Item]],super1[Bairro],mercado10)+SUMIFS(supercb[Qtde],supercb[Item],tab_higiene[[#This Row],[Item]],supercb[Bairro],mercado10)</f>
        <v>6</v>
      </c>
      <c r="AU127" s="1">
        <f>SUMIFS(super1[Qtde],super1[Item],tab_higiene[[#This Row],[Item]],super1[Bairro],mercado11)+SUMIFS(supercb[Qtde],supercb[Item],tab_higiene[[#This Row],[Item]],supercb[Bairro],mercado11)</f>
        <v>0</v>
      </c>
      <c r="AV127" s="1">
        <f>SUMIFS(super1[Qtde],super1[Item],tab_higiene[[#This Row],[Item]],super1[Bairro],mercado12)+SUMIFS(supercb[Qtde],supercb[Item],tab_higiene[[#This Row],[Item]],supercb[Bairro],mercado12)</f>
        <v>0</v>
      </c>
      <c r="AW127" s="1">
        <f>SUMIFS(super1[Qtde],super1[Item],tab_higiene[[#This Row],[Item]],super1[Bairro],mercado13)+SUMIFS(supercb[Qtde],supercb[Item],tab_higiene[[#This Row],[Item]],supercb[Bairro],mercado13)</f>
        <v>1</v>
      </c>
      <c r="AX127" s="1">
        <f>SUMIFS(super1[Qtde],super1[Item],tab_higiene[[#This Row],[Item]],super1[Bairro],mercado14)+SUMIFS(supercb[Qtde],supercb[Item],tab_higiene[[#This Row],[Item]],supercb[Bairro],mercado14)</f>
        <v>0</v>
      </c>
      <c r="AY127" s="1">
        <f>SUMIFS(super1[Qtde],super1[Item],tab_higiene[[#This Row],[Item]],super1[Bairro],mercado15)+SUMIFS(supercb[Qtde],supercb[Item],tab_higiene[[#This Row],[Item]],supercb[Bairro],mercado15)</f>
        <v>0</v>
      </c>
      <c r="AZ127" s="1">
        <f>SUMIFS(super1[Qtde],super1[Item],tab_higiene[[#This Row],[Item]],super1[Bairro],mercado16)+SUMIFS(supercb[Qtde],supercb[Item],tab_higiene[[#This Row],[Item]],supercb[Bairro],mercado16)</f>
        <v>0</v>
      </c>
      <c r="BA127" s="1">
        <f>SUMIFS(super1[Qtde],super1[Item],tab_higiene[[#This Row],[Item]],super1[Bairro],mercado17)+SUMIFS(supercb[Qtde],supercb[Item],tab_higiene[[#This Row],[Item]],supercb[Bairro],mercado17)</f>
        <v>0</v>
      </c>
      <c r="BB127" s="1">
        <f>SUMIFS(super1[Qtde],super1[Item],tab_higiene[[#This Row],[Item]],super1[Bairro],mercado18)+SUMIFS(supercb[Qtde],supercb[Item],tab_higiene[[#This Row],[Item]],supercb[Bairro],mercado18)</f>
        <v>0</v>
      </c>
      <c r="BC127" s="1">
        <f>SUMIFS(super1[Qtde],super1[Item],tab_higiene[[#This Row],[Item]],super1[Bairro],extras)+SUMIFS(supercb[Qtde],supercb[Item],tab_higiene[[#This Row],[Item]],supercb[Bairro],extras)</f>
        <v>0</v>
      </c>
      <c r="BD127" s="1">
        <f t="shared" si="41"/>
        <v>17</v>
      </c>
      <c r="BE127" s="1">
        <f t="shared" si="42"/>
        <v>129.79500000000002</v>
      </c>
      <c r="BF127" s="26">
        <f t="shared" si="43"/>
        <v>39.184433345693535</v>
      </c>
      <c r="BI127" s="33" t="str">
        <f>tab_alimentos[[#This Row],[Item]]</f>
        <v>Feijão (500g)</v>
      </c>
      <c r="BJ127" s="33">
        <f t="shared" si="25"/>
        <v>7</v>
      </c>
      <c r="BK127" s="33" t="str">
        <f t="shared" si="26"/>
        <v>Feijão</v>
      </c>
      <c r="BL127" s="33">
        <f>tab_alimentos[[#This Row],[kg]]</f>
        <v>1</v>
      </c>
      <c r="BN127" s="35">
        <f t="shared" si="36"/>
        <v>0</v>
      </c>
      <c r="BP127" s="33" t="str">
        <f>tab_higiene[[#This Row],[Item]]</f>
        <v>Lâmina de Barbear (7un)</v>
      </c>
      <c r="BQ127" s="33">
        <f t="shared" si="33"/>
        <v>18</v>
      </c>
      <c r="BR127" s="33" t="str">
        <f t="shared" si="34"/>
        <v>Lâmina de Barbear</v>
      </c>
      <c r="BS127" s="33">
        <f>higiene[[#This Row],[Quantidade]]</f>
        <v>0.45</v>
      </c>
      <c r="BT127" s="33">
        <f>tab_higiene[Qtde (tot)]</f>
        <v>17</v>
      </c>
      <c r="BU127" s="33">
        <f t="shared" si="37"/>
        <v>7.65</v>
      </c>
      <c r="BW127" s="33">
        <f t="shared" si="44"/>
        <v>0</v>
      </c>
    </row>
    <row r="128" spans="9:75" x14ac:dyDescent="0.25">
      <c r="I128" s="25" t="str">
        <f>alimentos[[#This Row],[Item]]</f>
        <v>Feijoada enlatada (830g)</v>
      </c>
      <c r="J128" s="1">
        <f>IFERROR(alimentos[[#This Row],[kg/embalagem]],0)</f>
        <v>0.83</v>
      </c>
      <c r="K128" s="1">
        <f>IFERROR(alimentos[[#This Row],[Preço]],0)</f>
        <v>11.89</v>
      </c>
      <c r="L128" s="1">
        <f>SUMIFS(super1[Qtde],super1[Item],tab_alimentos[[#This Row],[Item]],super1[Bairro],mercado1)+SUMIFS(supercb[Qtde],supercb[Item],tab_alimentos[[#This Row],[Item]],supercb[Bairro],mercado1)</f>
        <v>0</v>
      </c>
      <c r="M128" s="1">
        <f>SUMIFS(super1[Qtde],super1[Item],tab_alimentos[[#This Row],[Item]],super1[Bairro],mercado2)+SUMIFS(supercb[Qtde],supercb[Item],tab_alimentos[[#This Row],[Item]],supercb[Bairro],mercado2)</f>
        <v>0</v>
      </c>
      <c r="N128" s="1">
        <f>SUMIFS(super1[Qtde],super1[Item],tab_alimentos[[#This Row],[Item]],super1[Bairro],mercado3)+SUMIFS(supercb[Qtde],supercb[Item],tab_alimentos[[#This Row],[Item]],supercb[Bairro],mercado3)</f>
        <v>0</v>
      </c>
      <c r="O128" s="1">
        <f>SUMIFS(super1[Qtde],super1[Item],tab_alimentos[[#This Row],[Item]],super1[Bairro],mercado4)+SUMIFS(supercb[Qtde],supercb[Item],tab_alimentos[[#This Row],[Item]],supercb[Bairro],mercado4)</f>
        <v>0</v>
      </c>
      <c r="P128" s="1">
        <f>SUMIFS(super1[Qtde],super1[Item],tab_alimentos[[#This Row],[Item]],super1[Bairro],mercado5)+SUMIFS(supercb[Qtde],supercb[Item],tab_alimentos[[#This Row],[Item]],supercb[Bairro],mercado5)</f>
        <v>0</v>
      </c>
      <c r="Q128" s="1">
        <f>SUMIFS(super1[Qtde],super1[Item],tab_alimentos[[#This Row],[Item]],super1[Bairro],mercado6)+SUMIFS(supercb[Qtde],supercb[Item],tab_alimentos[[#This Row],[Item]],supercb[Bairro],mercado6)</f>
        <v>0</v>
      </c>
      <c r="R128" s="1">
        <f>SUMIFS(super1[Qtde],super1[Item],tab_alimentos[[#This Row],[Item]],super1[Bairro],mercado7)+SUMIFS(supercb[Qtde],supercb[Item],tab_alimentos[[#This Row],[Item]],supercb[Bairro],mercado7)</f>
        <v>0</v>
      </c>
      <c r="S128" s="1">
        <f>SUMIFS(super1[Qtde],super1[Item],tab_alimentos[[#This Row],[Item]],super1[Bairro],mercado8)+SUMIFS(supercb[Qtde],supercb[Item],tab_alimentos[[#This Row],[Item]],supercb[Bairro],mercado8)</f>
        <v>0</v>
      </c>
      <c r="T128" s="1">
        <f>SUMIFS(super1[Qtde],super1[Item],tab_alimentos[[#This Row],[Item]],super1[Bairro],mercado9)+SUMIFS(supercb[Qtde],supercb[Item],tab_alimentos[[#This Row],[Item]],supercb[Bairro],mercado9)</f>
        <v>0</v>
      </c>
      <c r="U128" s="1">
        <f>SUMIFS(super1[Qtde],super1[Item],tab_alimentos[[#This Row],[Item]],super1[Bairro],mercado10)+SUMIFS(supercb[Qtde],supercb[Item],tab_alimentos[[#This Row],[Item]],supercb[Bairro],mercado10)</f>
        <v>0</v>
      </c>
      <c r="V128" s="1">
        <f>SUMIFS(super1[Qtde],super1[Item],tab_alimentos[[#This Row],[Item]],super1[Bairro],mercado11)+SUMIFS(supercb[Qtde],supercb[Item],tab_alimentos[[#This Row],[Item]],supercb[Bairro],mercado11)</f>
        <v>0</v>
      </c>
      <c r="W128" s="1">
        <f>SUMIFS(super1[Qtde],super1[Item],tab_alimentos[[#This Row],[Item]],super1[Bairro],mercado12)+SUMIFS(supercb[Qtde],supercb[Item],tab_alimentos[[#This Row],[Item]],supercb[Bairro],mercado12)</f>
        <v>0</v>
      </c>
      <c r="X128" s="1">
        <f>SUMIFS(super1[Qtde],super1[Item],tab_alimentos[[#This Row],[Item]],super1[Bairro],mercado13)+SUMIFS(supercb[Qtde],supercb[Item],tab_alimentos[[#This Row],[Item]],supercb[Bairro],mercado13)</f>
        <v>0</v>
      </c>
      <c r="Y128" s="1">
        <f>SUMIFS(super1[Qtde],super1[Item],tab_alimentos[[#This Row],[Item]],super1[Bairro],mercado14)+SUMIFS(supercb[Qtde],supercb[Item],tab_alimentos[[#This Row],[Item]],supercb[Bairro],mercado14)</f>
        <v>0</v>
      </c>
      <c r="Z128" s="1">
        <f>SUMIFS(super1[Qtde],super1[Item],tab_alimentos[[#This Row],[Item]],super1[Bairro],mercado15)+SUMIFS(supercb[Qtde],supercb[Item],tab_alimentos[[#This Row],[Item]],supercb[Bairro],mercado15)</f>
        <v>0</v>
      </c>
      <c r="AA128" s="1">
        <f>SUMIFS(super1[Qtde],super1[Item],tab_alimentos[[#This Row],[Item]],super1[Bairro],mercado16)+SUMIFS(supercb[Qtde],supercb[Item],tab_alimentos[[#This Row],[Item]],supercb[Bairro],mercado16)</f>
        <v>0</v>
      </c>
      <c r="AB128" s="1">
        <f>SUMIFS(super1[Qtde],super1[Item],tab_alimentos[[#This Row],[Item]],super1[Bairro],mercado17)+SUMIFS(supercb[Qtde],supercb[Item],tab_alimentos[[#This Row],[Item]],supercb[Bairro],mercado17)</f>
        <v>0</v>
      </c>
      <c r="AC128" s="1">
        <f>SUMIFS(super1[Qtde],super1[Item],tab_alimentos[[#This Row],[Item]],super1[Bairro],mercado18)+SUMIFS(supercb[Qtde],supercb[Item],tab_alimentos[[#This Row],[Item]],supercb[Bairro],mercado18)</f>
        <v>0</v>
      </c>
      <c r="AD128" s="1">
        <f>SUMIFS(super1[Qtde],super1[Item],tab_alimentos[[#This Row],[Item]],super1[Bairro],extras)+SUMIFS(supercb[Qtde],supercb[Item],tab_alimentos[[#This Row],[Item]],supercb[Bairro],extras)</f>
        <v>0</v>
      </c>
      <c r="AE128" s="1">
        <f t="shared" si="38"/>
        <v>0</v>
      </c>
      <c r="AF128" s="1">
        <f t="shared" si="39"/>
        <v>0</v>
      </c>
      <c r="AG128" s="3">
        <f t="shared" si="40"/>
        <v>0</v>
      </c>
      <c r="AH128" s="25" t="str">
        <f>higiene[[#This Row],[Item]]</f>
        <v>Lâmina de barbear (8un)</v>
      </c>
      <c r="AI128" s="1">
        <f>IFERROR(higiene[[#This Row],[Kg equivalente]],0)</f>
        <v>1.8053308017045908</v>
      </c>
      <c r="AJ128" s="1">
        <f>IFERROR(higiene[[#This Row],[Preço por produto]],0)</f>
        <v>5.98</v>
      </c>
      <c r="AK128" s="1">
        <f>SUMIFS(super1[Qtde],super1[Item],tab_higiene[[#This Row],[Item]],super1[Bairro],mercado1)+SUMIFS(supercb[Qtde],supercb[Item],tab_higiene[[#This Row],[Item]],supercb[Bairro],mercado1)</f>
        <v>0</v>
      </c>
      <c r="AL128" s="1">
        <f>SUMIFS(super1[Qtde],super1[Item],tab_higiene[[#This Row],[Item]],super1[Bairro],mercado2)+SUMIFS(supercb[Qtde],supercb[Item],tab_higiene[[#This Row],[Item]],supercb[Bairro],mercado2)</f>
        <v>0</v>
      </c>
      <c r="AM128" s="1">
        <f>SUMIFS(super1[Qtde],super1[Item],tab_higiene[[#This Row],[Item]],super1[Bairro],mercado3)+SUMIFS(supercb[Qtde],supercb[Item],tab_higiene[[#This Row],[Item]],supercb[Bairro],mercado3)</f>
        <v>0</v>
      </c>
      <c r="AN128" s="1">
        <f>SUMIFS(super1[Qtde],super1[Item],tab_higiene[[#This Row],[Item]],super1[Bairro],mercado4)+SUMIFS(supercb[Qtde],supercb[Item],tab_higiene[[#This Row],[Item]],supercb[Bairro],mercado4)</f>
        <v>0</v>
      </c>
      <c r="AO128" s="1">
        <f>SUMIFS(super1[Qtde],super1[Item],tab_higiene[[#This Row],[Item]],super1[Bairro],mercado5)+SUMIFS(supercb[Qtde],supercb[Item],tab_higiene[[#This Row],[Item]],supercb[Bairro],mercado5)</f>
        <v>0</v>
      </c>
      <c r="AP128" s="1">
        <f>SUMIFS(super1[Qtde],super1[Item],tab_higiene[[#This Row],[Item]],super1[Bairro],mercado6)+SUMIFS(supercb[Qtde],supercb[Item],tab_higiene[[#This Row],[Item]],supercb[Bairro],mercado6)</f>
        <v>0</v>
      </c>
      <c r="AQ128" s="1">
        <f>SUMIFS(super1[Qtde],super1[Item],tab_higiene[[#This Row],[Item]],super1[Bairro],mercado7)+SUMIFS(supercb[Qtde],supercb[Item],tab_higiene[[#This Row],[Item]],supercb[Bairro],mercado7)</f>
        <v>0</v>
      </c>
      <c r="AR128" s="1">
        <f>SUMIFS(super1[Qtde],super1[Item],tab_higiene[[#This Row],[Item]],super1[Bairro],mercado8)+SUMIFS(supercb[Qtde],supercb[Item],tab_higiene[[#This Row],[Item]],supercb[Bairro],mercado8)</f>
        <v>0</v>
      </c>
      <c r="AS128" s="1">
        <f>SUMIFS(super1[Qtde],super1[Item],tab_higiene[[#This Row],[Item]],super1[Bairro],mercado9)+SUMIFS(supercb[Qtde],supercb[Item],tab_higiene[[#This Row],[Item]],supercb[Bairro],mercado9)</f>
        <v>0</v>
      </c>
      <c r="AT128" s="1">
        <f>SUMIFS(super1[Qtde],super1[Item],tab_higiene[[#This Row],[Item]],super1[Bairro],mercado10)+SUMIFS(supercb[Qtde],supercb[Item],tab_higiene[[#This Row],[Item]],supercb[Bairro],mercado10)</f>
        <v>0</v>
      </c>
      <c r="AU128" s="1">
        <f>SUMIFS(super1[Qtde],super1[Item],tab_higiene[[#This Row],[Item]],super1[Bairro],mercado11)+SUMIFS(supercb[Qtde],supercb[Item],tab_higiene[[#This Row],[Item]],supercb[Bairro],mercado11)</f>
        <v>0</v>
      </c>
      <c r="AV128" s="1">
        <f>SUMIFS(super1[Qtde],super1[Item],tab_higiene[[#This Row],[Item]],super1[Bairro],mercado12)+SUMIFS(supercb[Qtde],supercb[Item],tab_higiene[[#This Row],[Item]],supercb[Bairro],mercado12)</f>
        <v>0</v>
      </c>
      <c r="AW128" s="1">
        <f>SUMIFS(super1[Qtde],super1[Item],tab_higiene[[#This Row],[Item]],super1[Bairro],mercado13)+SUMIFS(supercb[Qtde],supercb[Item],tab_higiene[[#This Row],[Item]],supercb[Bairro],mercado13)</f>
        <v>0</v>
      </c>
      <c r="AX128" s="1">
        <f>SUMIFS(super1[Qtde],super1[Item],tab_higiene[[#This Row],[Item]],super1[Bairro],mercado14)+SUMIFS(supercb[Qtde],supercb[Item],tab_higiene[[#This Row],[Item]],supercb[Bairro],mercado14)</f>
        <v>0</v>
      </c>
      <c r="AY128" s="1">
        <f>SUMIFS(super1[Qtde],super1[Item],tab_higiene[[#This Row],[Item]],super1[Bairro],mercado15)+SUMIFS(supercb[Qtde],supercb[Item],tab_higiene[[#This Row],[Item]],supercb[Bairro],mercado15)</f>
        <v>0</v>
      </c>
      <c r="AZ128" s="1">
        <f>SUMIFS(super1[Qtde],super1[Item],tab_higiene[[#This Row],[Item]],super1[Bairro],mercado16)+SUMIFS(supercb[Qtde],supercb[Item],tab_higiene[[#This Row],[Item]],supercb[Bairro],mercado16)</f>
        <v>0</v>
      </c>
      <c r="BA128" s="1">
        <f>SUMIFS(super1[Qtde],super1[Item],tab_higiene[[#This Row],[Item]],super1[Bairro],mercado17)+SUMIFS(supercb[Qtde],supercb[Item],tab_higiene[[#This Row],[Item]],supercb[Bairro],mercado17)</f>
        <v>0</v>
      </c>
      <c r="BB128" s="1">
        <f>SUMIFS(super1[Qtde],super1[Item],tab_higiene[[#This Row],[Item]],super1[Bairro],mercado18)+SUMIFS(supercb[Qtde],supercb[Item],tab_higiene[[#This Row],[Item]],supercb[Bairro],mercado18)</f>
        <v>0</v>
      </c>
      <c r="BC128" s="1">
        <f>SUMIFS(super1[Qtde],super1[Item],tab_higiene[[#This Row],[Item]],super1[Bairro],extras)+SUMIFS(supercb[Qtde],supercb[Item],tab_higiene[[#This Row],[Item]],supercb[Bairro],extras)</f>
        <v>0</v>
      </c>
      <c r="BD128" s="1">
        <f t="shared" si="41"/>
        <v>0</v>
      </c>
      <c r="BE128" s="1">
        <f t="shared" si="42"/>
        <v>0</v>
      </c>
      <c r="BF128" s="26">
        <f t="shared" si="43"/>
        <v>0</v>
      </c>
      <c r="BI128" s="33" t="str">
        <f>tab_alimentos[[#This Row],[Item]]</f>
        <v>Feijoada enlatada (830g)</v>
      </c>
      <c r="BJ128" s="33">
        <f t="shared" si="25"/>
        <v>18</v>
      </c>
      <c r="BK128" s="33" t="str">
        <f t="shared" si="26"/>
        <v>Feijoada enlatada</v>
      </c>
      <c r="BL128" s="33">
        <f>tab_alimentos[[#This Row],[kg]]</f>
        <v>0</v>
      </c>
      <c r="BN128" s="35">
        <f t="shared" si="36"/>
        <v>0</v>
      </c>
      <c r="BP128" s="33" t="str">
        <f>tab_higiene[[#This Row],[Item]]</f>
        <v>Lâmina de barbear (8un)</v>
      </c>
      <c r="BQ128" s="33">
        <f t="shared" si="33"/>
        <v>18</v>
      </c>
      <c r="BR128" s="33" t="str">
        <f t="shared" si="34"/>
        <v>Lâmina de barbear</v>
      </c>
      <c r="BS128" s="33">
        <f>higiene[[#This Row],[Quantidade]]</f>
        <v>0</v>
      </c>
      <c r="BT128" s="33">
        <f>tab_higiene[Qtde (tot)]</f>
        <v>0</v>
      </c>
      <c r="BU128" s="33">
        <f t="shared" si="37"/>
        <v>0</v>
      </c>
      <c r="BW128" s="33">
        <f t="shared" si="44"/>
        <v>0</v>
      </c>
    </row>
    <row r="129" spans="9:75" x14ac:dyDescent="0.25">
      <c r="I129" s="25" t="str">
        <f>alimentos[[#This Row],[Item]]</f>
        <v>Fermento (100g)</v>
      </c>
      <c r="J129" s="1">
        <f>IFERROR(alimentos[[#This Row],[kg/embalagem]],0)</f>
        <v>0.1</v>
      </c>
      <c r="K129" s="1">
        <f>IFERROR(alimentos[[#This Row],[Preço]],0)</f>
        <v>2.5183333333333331</v>
      </c>
      <c r="L129" s="1">
        <f>SUMIFS(super1[Qtde],super1[Item],tab_alimentos[[#This Row],[Item]],super1[Bairro],mercado1)+SUMIFS(supercb[Qtde],supercb[Item],tab_alimentos[[#This Row],[Item]],supercb[Bairro],mercado1)</f>
        <v>0</v>
      </c>
      <c r="M129" s="1">
        <f>SUMIFS(super1[Qtde],super1[Item],tab_alimentos[[#This Row],[Item]],super1[Bairro],mercado2)+SUMIFS(supercb[Qtde],supercb[Item],tab_alimentos[[#This Row],[Item]],supercb[Bairro],mercado2)</f>
        <v>0</v>
      </c>
      <c r="N129" s="1">
        <f>SUMIFS(super1[Qtde],super1[Item],tab_alimentos[[#This Row],[Item]],super1[Bairro],mercado3)+SUMIFS(supercb[Qtde],supercb[Item],tab_alimentos[[#This Row],[Item]],supercb[Bairro],mercado3)</f>
        <v>0</v>
      </c>
      <c r="O129" s="1">
        <f>SUMIFS(super1[Qtde],super1[Item],tab_alimentos[[#This Row],[Item]],super1[Bairro],mercado4)+SUMIFS(supercb[Qtde],supercb[Item],tab_alimentos[[#This Row],[Item]],supercb[Bairro],mercado4)</f>
        <v>0</v>
      </c>
      <c r="P129" s="1">
        <f>SUMIFS(super1[Qtde],super1[Item],tab_alimentos[[#This Row],[Item]],super1[Bairro],mercado5)+SUMIFS(supercb[Qtde],supercb[Item],tab_alimentos[[#This Row],[Item]],supercb[Bairro],mercado5)</f>
        <v>0</v>
      </c>
      <c r="Q129" s="1">
        <f>SUMIFS(super1[Qtde],super1[Item],tab_alimentos[[#This Row],[Item]],super1[Bairro],mercado6)+SUMIFS(supercb[Qtde],supercb[Item],tab_alimentos[[#This Row],[Item]],supercb[Bairro],mercado6)</f>
        <v>0</v>
      </c>
      <c r="R129" s="1">
        <f>SUMIFS(super1[Qtde],super1[Item],tab_alimentos[[#This Row],[Item]],super1[Bairro],mercado7)+SUMIFS(supercb[Qtde],supercb[Item],tab_alimentos[[#This Row],[Item]],supercb[Bairro],mercado7)</f>
        <v>0</v>
      </c>
      <c r="S129" s="1">
        <f>SUMIFS(super1[Qtde],super1[Item],tab_alimentos[[#This Row],[Item]],super1[Bairro],mercado8)+SUMIFS(supercb[Qtde],supercb[Item],tab_alimentos[[#This Row],[Item]],supercb[Bairro],mercado8)</f>
        <v>0</v>
      </c>
      <c r="T129" s="1">
        <f>SUMIFS(super1[Qtde],super1[Item],tab_alimentos[[#This Row],[Item]],super1[Bairro],mercado9)+SUMIFS(supercb[Qtde],supercb[Item],tab_alimentos[[#This Row],[Item]],supercb[Bairro],mercado9)</f>
        <v>0</v>
      </c>
      <c r="U129" s="1">
        <f>SUMIFS(super1[Qtde],super1[Item],tab_alimentos[[#This Row],[Item]],super1[Bairro],mercado10)+SUMIFS(supercb[Qtde],supercb[Item],tab_alimentos[[#This Row],[Item]],supercb[Bairro],mercado10)</f>
        <v>0</v>
      </c>
      <c r="V129" s="1">
        <f>SUMIFS(super1[Qtde],super1[Item],tab_alimentos[[#This Row],[Item]],super1[Bairro],mercado11)+SUMIFS(supercb[Qtde],supercb[Item],tab_alimentos[[#This Row],[Item]],supercb[Bairro],mercado11)</f>
        <v>0</v>
      </c>
      <c r="W129" s="1">
        <f>SUMIFS(super1[Qtde],super1[Item],tab_alimentos[[#This Row],[Item]],super1[Bairro],mercado12)+SUMIFS(supercb[Qtde],supercb[Item],tab_alimentos[[#This Row],[Item]],supercb[Bairro],mercado12)</f>
        <v>0</v>
      </c>
      <c r="X129" s="1">
        <f>SUMIFS(super1[Qtde],super1[Item],tab_alimentos[[#This Row],[Item]],super1[Bairro],mercado13)+SUMIFS(supercb[Qtde],supercb[Item],tab_alimentos[[#This Row],[Item]],supercb[Bairro],mercado13)</f>
        <v>0</v>
      </c>
      <c r="Y129" s="1">
        <f>SUMIFS(super1[Qtde],super1[Item],tab_alimentos[[#This Row],[Item]],super1[Bairro],mercado14)+SUMIFS(supercb[Qtde],supercb[Item],tab_alimentos[[#This Row],[Item]],supercb[Bairro],mercado14)</f>
        <v>0</v>
      </c>
      <c r="Z129" s="1">
        <f>SUMIFS(super1[Qtde],super1[Item],tab_alimentos[[#This Row],[Item]],super1[Bairro],mercado15)+SUMIFS(supercb[Qtde],supercb[Item],tab_alimentos[[#This Row],[Item]],supercb[Bairro],mercado15)</f>
        <v>0</v>
      </c>
      <c r="AA129" s="1">
        <f>SUMIFS(super1[Qtde],super1[Item],tab_alimentos[[#This Row],[Item]],super1[Bairro],mercado16)+SUMIFS(supercb[Qtde],supercb[Item],tab_alimentos[[#This Row],[Item]],supercb[Bairro],mercado16)</f>
        <v>0</v>
      </c>
      <c r="AB129" s="1">
        <f>SUMIFS(super1[Qtde],super1[Item],tab_alimentos[[#This Row],[Item]],super1[Bairro],mercado17)+SUMIFS(supercb[Qtde],supercb[Item],tab_alimentos[[#This Row],[Item]],supercb[Bairro],mercado17)</f>
        <v>0</v>
      </c>
      <c r="AC129" s="1">
        <f>SUMIFS(super1[Qtde],super1[Item],tab_alimentos[[#This Row],[Item]],super1[Bairro],mercado18)+SUMIFS(supercb[Qtde],supercb[Item],tab_alimentos[[#This Row],[Item]],supercb[Bairro],mercado18)</f>
        <v>0</v>
      </c>
      <c r="AD129" s="1">
        <f>SUMIFS(super1[Qtde],super1[Item],tab_alimentos[[#This Row],[Item]],super1[Bairro],extras)+SUMIFS(supercb[Qtde],supercb[Item],tab_alimentos[[#This Row],[Item]],supercb[Bairro],extras)</f>
        <v>0</v>
      </c>
      <c r="AE129" s="1">
        <f t="shared" si="38"/>
        <v>0</v>
      </c>
      <c r="AF129" s="1">
        <f t="shared" si="39"/>
        <v>0</v>
      </c>
      <c r="AG129" s="3">
        <f t="shared" si="40"/>
        <v>0</v>
      </c>
      <c r="AH129" s="25" t="str">
        <f>higiene[[#This Row],[Item]]</f>
        <v>Lâmina refil (2un)</v>
      </c>
      <c r="AI129" s="1">
        <f>IFERROR(higiene[[#This Row],[Kg equivalente]],0)</f>
        <v>5.8144935185335136</v>
      </c>
      <c r="AJ129" s="1">
        <f>IFERROR(higiene[[#This Row],[Preço por produto]],0)</f>
        <v>19.259999999999998</v>
      </c>
      <c r="AK129" s="1">
        <f>SUMIFS(super1[Qtde],super1[Item],tab_higiene[[#This Row],[Item]],super1[Bairro],mercado1)+SUMIFS(supercb[Qtde],supercb[Item],tab_higiene[[#This Row],[Item]],supercb[Bairro],mercado1)</f>
        <v>0</v>
      </c>
      <c r="AL129" s="1">
        <f>SUMIFS(super1[Qtde],super1[Item],tab_higiene[[#This Row],[Item]],super1[Bairro],mercado2)+SUMIFS(supercb[Qtde],supercb[Item],tab_higiene[[#This Row],[Item]],supercb[Bairro],mercado2)</f>
        <v>0</v>
      </c>
      <c r="AM129" s="1">
        <f>SUMIFS(super1[Qtde],super1[Item],tab_higiene[[#This Row],[Item]],super1[Bairro],mercado3)+SUMIFS(supercb[Qtde],supercb[Item],tab_higiene[[#This Row],[Item]],supercb[Bairro],mercado3)</f>
        <v>0</v>
      </c>
      <c r="AN129" s="1">
        <f>SUMIFS(super1[Qtde],super1[Item],tab_higiene[[#This Row],[Item]],super1[Bairro],mercado4)+SUMIFS(supercb[Qtde],supercb[Item],tab_higiene[[#This Row],[Item]],supercb[Bairro],mercado4)</f>
        <v>0</v>
      </c>
      <c r="AO129" s="1">
        <f>SUMIFS(super1[Qtde],super1[Item],tab_higiene[[#This Row],[Item]],super1[Bairro],mercado5)+SUMIFS(supercb[Qtde],supercb[Item],tab_higiene[[#This Row],[Item]],supercb[Bairro],mercado5)</f>
        <v>0</v>
      </c>
      <c r="AP129" s="1">
        <f>SUMIFS(super1[Qtde],super1[Item],tab_higiene[[#This Row],[Item]],super1[Bairro],mercado6)+SUMIFS(supercb[Qtde],supercb[Item],tab_higiene[[#This Row],[Item]],supercb[Bairro],mercado6)</f>
        <v>0</v>
      </c>
      <c r="AQ129" s="1">
        <f>SUMIFS(super1[Qtde],super1[Item],tab_higiene[[#This Row],[Item]],super1[Bairro],mercado7)+SUMIFS(supercb[Qtde],supercb[Item],tab_higiene[[#This Row],[Item]],supercb[Bairro],mercado7)</f>
        <v>0</v>
      </c>
      <c r="AR129" s="1">
        <f>SUMIFS(super1[Qtde],super1[Item],tab_higiene[[#This Row],[Item]],super1[Bairro],mercado8)+SUMIFS(supercb[Qtde],supercb[Item],tab_higiene[[#This Row],[Item]],supercb[Bairro],mercado8)</f>
        <v>1</v>
      </c>
      <c r="AS129" s="1">
        <f>SUMIFS(super1[Qtde],super1[Item],tab_higiene[[#This Row],[Item]],super1[Bairro],mercado9)+SUMIFS(supercb[Qtde],supercb[Item],tab_higiene[[#This Row],[Item]],supercb[Bairro],mercado9)</f>
        <v>0</v>
      </c>
      <c r="AT129" s="1">
        <f>SUMIFS(super1[Qtde],super1[Item],tab_higiene[[#This Row],[Item]],super1[Bairro],mercado10)+SUMIFS(supercb[Qtde],supercb[Item],tab_higiene[[#This Row],[Item]],supercb[Bairro],mercado10)</f>
        <v>0</v>
      </c>
      <c r="AU129" s="1">
        <f>SUMIFS(super1[Qtde],super1[Item],tab_higiene[[#This Row],[Item]],super1[Bairro],mercado11)+SUMIFS(supercb[Qtde],supercb[Item],tab_higiene[[#This Row],[Item]],supercb[Bairro],mercado11)</f>
        <v>0</v>
      </c>
      <c r="AV129" s="1">
        <f>SUMIFS(super1[Qtde],super1[Item],tab_higiene[[#This Row],[Item]],super1[Bairro],mercado12)+SUMIFS(supercb[Qtde],supercb[Item],tab_higiene[[#This Row],[Item]],supercb[Bairro],mercado12)</f>
        <v>0</v>
      </c>
      <c r="AW129" s="1">
        <f>SUMIFS(super1[Qtde],super1[Item],tab_higiene[[#This Row],[Item]],super1[Bairro],mercado13)+SUMIFS(supercb[Qtde],supercb[Item],tab_higiene[[#This Row],[Item]],supercb[Bairro],mercado13)</f>
        <v>0</v>
      </c>
      <c r="AX129" s="1">
        <f>SUMIFS(super1[Qtde],super1[Item],tab_higiene[[#This Row],[Item]],super1[Bairro],mercado14)+SUMIFS(supercb[Qtde],supercb[Item],tab_higiene[[#This Row],[Item]],supercb[Bairro],mercado14)</f>
        <v>0</v>
      </c>
      <c r="AY129" s="1">
        <f>SUMIFS(super1[Qtde],super1[Item],tab_higiene[[#This Row],[Item]],super1[Bairro],mercado15)+SUMIFS(supercb[Qtde],supercb[Item],tab_higiene[[#This Row],[Item]],supercb[Bairro],mercado15)</f>
        <v>0</v>
      </c>
      <c r="AZ129" s="1">
        <f>SUMIFS(super1[Qtde],super1[Item],tab_higiene[[#This Row],[Item]],super1[Bairro],mercado16)+SUMIFS(supercb[Qtde],supercb[Item],tab_higiene[[#This Row],[Item]],supercb[Bairro],mercado16)</f>
        <v>0</v>
      </c>
      <c r="BA129" s="1">
        <f>SUMIFS(super1[Qtde],super1[Item],tab_higiene[[#This Row],[Item]],super1[Bairro],mercado17)+SUMIFS(supercb[Qtde],supercb[Item],tab_higiene[[#This Row],[Item]],supercb[Bairro],mercado17)</f>
        <v>0</v>
      </c>
      <c r="BB129" s="1">
        <f>SUMIFS(super1[Qtde],super1[Item],tab_higiene[[#This Row],[Item]],super1[Bairro],mercado18)+SUMIFS(supercb[Qtde],supercb[Item],tab_higiene[[#This Row],[Item]],supercb[Bairro],mercado18)</f>
        <v>0</v>
      </c>
      <c r="BC129" s="1">
        <f>SUMIFS(super1[Qtde],super1[Item],tab_higiene[[#This Row],[Item]],super1[Bairro],extras)+SUMIFS(supercb[Qtde],supercb[Item],tab_higiene[[#This Row],[Item]],supercb[Bairro],extras)</f>
        <v>0</v>
      </c>
      <c r="BD129" s="1">
        <f t="shared" si="41"/>
        <v>1</v>
      </c>
      <c r="BE129" s="1">
        <f t="shared" si="42"/>
        <v>19.259999999999998</v>
      </c>
      <c r="BF129" s="26">
        <f t="shared" si="43"/>
        <v>5.8144935185335136</v>
      </c>
      <c r="BI129" s="33" t="str">
        <f>tab_alimentos[[#This Row],[Item]]</f>
        <v>Fermento (100g)</v>
      </c>
      <c r="BJ129" s="33">
        <f t="shared" si="25"/>
        <v>9</v>
      </c>
      <c r="BK129" s="33" t="str">
        <f t="shared" si="26"/>
        <v>Fermento</v>
      </c>
      <c r="BL129" s="33">
        <f>tab_alimentos[[#This Row],[kg]]</f>
        <v>0</v>
      </c>
      <c r="BN129" s="35">
        <f t="shared" si="36"/>
        <v>0</v>
      </c>
      <c r="BP129" s="33" t="str">
        <f>tab_higiene[[#This Row],[Item]]</f>
        <v>Lâmina refil (2un)</v>
      </c>
      <c r="BQ129" s="33">
        <f t="shared" si="33"/>
        <v>13</v>
      </c>
      <c r="BR129" s="33" t="str">
        <f t="shared" si="34"/>
        <v>Lâmina refil</v>
      </c>
      <c r="BS129" s="33">
        <f>higiene[[#This Row],[Quantidade]]</f>
        <v>1</v>
      </c>
      <c r="BT129" s="33">
        <f>tab_higiene[Qtde (tot)]</f>
        <v>1</v>
      </c>
      <c r="BU129" s="33">
        <f t="shared" si="37"/>
        <v>1</v>
      </c>
      <c r="BW129" s="33">
        <f t="shared" si="44"/>
        <v>0</v>
      </c>
    </row>
    <row r="130" spans="9:75" x14ac:dyDescent="0.25">
      <c r="I130" s="25" t="str">
        <f>alimentos[[#This Row],[Item]]</f>
        <v>Fuba (1kg)</v>
      </c>
      <c r="J130" s="1">
        <f>IFERROR(alimentos[[#This Row],[kg/embalagem]],0)</f>
        <v>1</v>
      </c>
      <c r="K130" s="1">
        <f>IFERROR(alimentos[[#This Row],[Preço]],0)</f>
        <v>4.8033333333333337</v>
      </c>
      <c r="L130" s="1">
        <f>SUMIFS(super1[Qtde],super1[Item],tab_alimentos[[#This Row],[Item]],super1[Bairro],mercado1)+SUMIFS(supercb[Qtde],supercb[Item],tab_alimentos[[#This Row],[Item]],supercb[Bairro],mercado1)</f>
        <v>0</v>
      </c>
      <c r="M130" s="1">
        <f>SUMIFS(super1[Qtde],super1[Item],tab_alimentos[[#This Row],[Item]],super1[Bairro],mercado2)+SUMIFS(supercb[Qtde],supercb[Item],tab_alimentos[[#This Row],[Item]],supercb[Bairro],mercado2)</f>
        <v>0</v>
      </c>
      <c r="N130" s="1">
        <f>SUMIFS(super1[Qtde],super1[Item],tab_alimentos[[#This Row],[Item]],super1[Bairro],mercado3)+SUMIFS(supercb[Qtde],supercb[Item],tab_alimentos[[#This Row],[Item]],supercb[Bairro],mercado3)</f>
        <v>0</v>
      </c>
      <c r="O130" s="1">
        <f>SUMIFS(super1[Qtde],super1[Item],tab_alimentos[[#This Row],[Item]],super1[Bairro],mercado4)+SUMIFS(supercb[Qtde],supercb[Item],tab_alimentos[[#This Row],[Item]],supercb[Bairro],mercado4)</f>
        <v>0</v>
      </c>
      <c r="P130" s="1">
        <f>SUMIFS(super1[Qtde],super1[Item],tab_alimentos[[#This Row],[Item]],super1[Bairro],mercado5)+SUMIFS(supercb[Qtde],supercb[Item],tab_alimentos[[#This Row],[Item]],supercb[Bairro],mercado5)</f>
        <v>0</v>
      </c>
      <c r="Q130" s="1">
        <f>SUMIFS(super1[Qtde],super1[Item],tab_alimentos[[#This Row],[Item]],super1[Bairro],mercado6)+SUMIFS(supercb[Qtde],supercb[Item],tab_alimentos[[#This Row],[Item]],supercb[Bairro],mercado6)</f>
        <v>0</v>
      </c>
      <c r="R130" s="1">
        <f>SUMIFS(super1[Qtde],super1[Item],tab_alimentos[[#This Row],[Item]],super1[Bairro],mercado7)+SUMIFS(supercb[Qtde],supercb[Item],tab_alimentos[[#This Row],[Item]],supercb[Bairro],mercado7)</f>
        <v>0</v>
      </c>
      <c r="S130" s="1">
        <f>SUMIFS(super1[Qtde],super1[Item],tab_alimentos[[#This Row],[Item]],super1[Bairro],mercado8)+SUMIFS(supercb[Qtde],supercb[Item],tab_alimentos[[#This Row],[Item]],supercb[Bairro],mercado8)</f>
        <v>0</v>
      </c>
      <c r="T130" s="1">
        <f>SUMIFS(super1[Qtde],super1[Item],tab_alimentos[[#This Row],[Item]],super1[Bairro],mercado9)+SUMIFS(supercb[Qtde],supercb[Item],tab_alimentos[[#This Row],[Item]],supercb[Bairro],mercado9)</f>
        <v>1</v>
      </c>
      <c r="U130" s="1">
        <f>SUMIFS(super1[Qtde],super1[Item],tab_alimentos[[#This Row],[Item]],super1[Bairro],mercado10)+SUMIFS(supercb[Qtde],supercb[Item],tab_alimentos[[#This Row],[Item]],supercb[Bairro],mercado10)</f>
        <v>5</v>
      </c>
      <c r="V130" s="1">
        <f>SUMIFS(super1[Qtde],super1[Item],tab_alimentos[[#This Row],[Item]],super1[Bairro],mercado11)+SUMIFS(supercb[Qtde],supercb[Item],tab_alimentos[[#This Row],[Item]],supercb[Bairro],mercado11)</f>
        <v>0</v>
      </c>
      <c r="W130" s="1">
        <f>SUMIFS(super1[Qtde],super1[Item],tab_alimentos[[#This Row],[Item]],super1[Bairro],mercado12)+SUMIFS(supercb[Qtde],supercb[Item],tab_alimentos[[#This Row],[Item]],supercb[Bairro],mercado12)</f>
        <v>0</v>
      </c>
      <c r="X130" s="1">
        <f>SUMIFS(super1[Qtde],super1[Item],tab_alimentos[[#This Row],[Item]],super1[Bairro],mercado13)+SUMIFS(supercb[Qtde],supercb[Item],tab_alimentos[[#This Row],[Item]],supercb[Bairro],mercado13)</f>
        <v>1</v>
      </c>
      <c r="Y130" s="1">
        <f>SUMIFS(super1[Qtde],super1[Item],tab_alimentos[[#This Row],[Item]],super1[Bairro],mercado14)+SUMIFS(supercb[Qtde],supercb[Item],tab_alimentos[[#This Row],[Item]],supercb[Bairro],mercado14)</f>
        <v>0</v>
      </c>
      <c r="Z130" s="1">
        <f>SUMIFS(super1[Qtde],super1[Item],tab_alimentos[[#This Row],[Item]],super1[Bairro],mercado15)+SUMIFS(supercb[Qtde],supercb[Item],tab_alimentos[[#This Row],[Item]],supercb[Bairro],mercado15)</f>
        <v>0</v>
      </c>
      <c r="AA130" s="1">
        <f>SUMIFS(super1[Qtde],super1[Item],tab_alimentos[[#This Row],[Item]],super1[Bairro],mercado16)+SUMIFS(supercb[Qtde],supercb[Item],tab_alimentos[[#This Row],[Item]],supercb[Bairro],mercado16)</f>
        <v>0</v>
      </c>
      <c r="AB130" s="1">
        <f>SUMIFS(super1[Qtde],super1[Item],tab_alimentos[[#This Row],[Item]],super1[Bairro],mercado17)+SUMIFS(supercb[Qtde],supercb[Item],tab_alimentos[[#This Row],[Item]],supercb[Bairro],mercado17)</f>
        <v>0</v>
      </c>
      <c r="AC130" s="1">
        <f>SUMIFS(super1[Qtde],super1[Item],tab_alimentos[[#This Row],[Item]],super1[Bairro],mercado18)+SUMIFS(supercb[Qtde],supercb[Item],tab_alimentos[[#This Row],[Item]],supercb[Bairro],mercado18)</f>
        <v>0</v>
      </c>
      <c r="AD130" s="1">
        <f>SUMIFS(super1[Qtde],super1[Item],tab_alimentos[[#This Row],[Item]],super1[Bairro],extras)+SUMIFS(supercb[Qtde],supercb[Item],tab_alimentos[[#This Row],[Item]],supercb[Bairro],extras)</f>
        <v>0</v>
      </c>
      <c r="AE130" s="1">
        <f t="shared" si="38"/>
        <v>7</v>
      </c>
      <c r="AF130" s="1">
        <f t="shared" si="39"/>
        <v>33.623333333333335</v>
      </c>
      <c r="AG130" s="3">
        <f t="shared" si="40"/>
        <v>7</v>
      </c>
      <c r="AH130" s="25" t="str">
        <f>higiene[[#This Row],[Item]]</f>
        <v>Lâmina refil (4un)</v>
      </c>
      <c r="AI130" s="1">
        <f>IFERROR(higiene[[#This Row],[Kg equivalente]],0)</f>
        <v>12.069753420091894</v>
      </c>
      <c r="AJ130" s="1">
        <f>IFERROR(higiene[[#This Row],[Preço por produto]],0)</f>
        <v>39.979999999999997</v>
      </c>
      <c r="AK130" s="1">
        <f>SUMIFS(super1[Qtde],super1[Item],tab_higiene[[#This Row],[Item]],super1[Bairro],mercado1)+SUMIFS(supercb[Qtde],supercb[Item],tab_higiene[[#This Row],[Item]],supercb[Bairro],mercado1)</f>
        <v>0</v>
      </c>
      <c r="AL130" s="1">
        <f>SUMIFS(super1[Qtde],super1[Item],tab_higiene[[#This Row],[Item]],super1[Bairro],mercado2)+SUMIFS(supercb[Qtde],supercb[Item],tab_higiene[[#This Row],[Item]],supercb[Bairro],mercado2)</f>
        <v>0</v>
      </c>
      <c r="AM130" s="1">
        <f>SUMIFS(super1[Qtde],super1[Item],tab_higiene[[#This Row],[Item]],super1[Bairro],mercado3)+SUMIFS(supercb[Qtde],supercb[Item],tab_higiene[[#This Row],[Item]],supercb[Bairro],mercado3)</f>
        <v>0</v>
      </c>
      <c r="AN130" s="1">
        <f>SUMIFS(super1[Qtde],super1[Item],tab_higiene[[#This Row],[Item]],super1[Bairro],mercado4)+SUMIFS(supercb[Qtde],supercb[Item],tab_higiene[[#This Row],[Item]],supercb[Bairro],mercado4)</f>
        <v>0</v>
      </c>
      <c r="AO130" s="1">
        <f>SUMIFS(super1[Qtde],super1[Item],tab_higiene[[#This Row],[Item]],super1[Bairro],mercado5)+SUMIFS(supercb[Qtde],supercb[Item],tab_higiene[[#This Row],[Item]],supercb[Bairro],mercado5)</f>
        <v>0</v>
      </c>
      <c r="AP130" s="1">
        <f>SUMIFS(super1[Qtde],super1[Item],tab_higiene[[#This Row],[Item]],super1[Bairro],mercado6)+SUMIFS(supercb[Qtde],supercb[Item],tab_higiene[[#This Row],[Item]],supercb[Bairro],mercado6)</f>
        <v>0</v>
      </c>
      <c r="AQ130" s="1">
        <f>SUMIFS(super1[Qtde],super1[Item],tab_higiene[[#This Row],[Item]],super1[Bairro],mercado7)+SUMIFS(supercb[Qtde],supercb[Item],tab_higiene[[#This Row],[Item]],supercb[Bairro],mercado7)</f>
        <v>0</v>
      </c>
      <c r="AR130" s="1">
        <f>SUMIFS(super1[Qtde],super1[Item],tab_higiene[[#This Row],[Item]],super1[Bairro],mercado8)+SUMIFS(supercb[Qtde],supercb[Item],tab_higiene[[#This Row],[Item]],supercb[Bairro],mercado8)</f>
        <v>0</v>
      </c>
      <c r="AS130" s="1">
        <f>SUMIFS(super1[Qtde],super1[Item],tab_higiene[[#This Row],[Item]],super1[Bairro],mercado9)+SUMIFS(supercb[Qtde],supercb[Item],tab_higiene[[#This Row],[Item]],supercb[Bairro],mercado9)</f>
        <v>0</v>
      </c>
      <c r="AT130" s="1">
        <f>SUMIFS(super1[Qtde],super1[Item],tab_higiene[[#This Row],[Item]],super1[Bairro],mercado10)+SUMIFS(supercb[Qtde],supercb[Item],tab_higiene[[#This Row],[Item]],supercb[Bairro],mercado10)</f>
        <v>0</v>
      </c>
      <c r="AU130" s="1">
        <f>SUMIFS(super1[Qtde],super1[Item],tab_higiene[[#This Row],[Item]],super1[Bairro],mercado11)+SUMIFS(supercb[Qtde],supercb[Item],tab_higiene[[#This Row],[Item]],supercb[Bairro],mercado11)</f>
        <v>0</v>
      </c>
      <c r="AV130" s="1">
        <f>SUMIFS(super1[Qtde],super1[Item],tab_higiene[[#This Row],[Item]],super1[Bairro],mercado12)+SUMIFS(supercb[Qtde],supercb[Item],tab_higiene[[#This Row],[Item]],supercb[Bairro],mercado12)</f>
        <v>0</v>
      </c>
      <c r="AW130" s="1">
        <f>SUMIFS(super1[Qtde],super1[Item],tab_higiene[[#This Row],[Item]],super1[Bairro],mercado13)+SUMIFS(supercb[Qtde],supercb[Item],tab_higiene[[#This Row],[Item]],supercb[Bairro],mercado13)</f>
        <v>0</v>
      </c>
      <c r="AX130" s="1">
        <f>SUMIFS(super1[Qtde],super1[Item],tab_higiene[[#This Row],[Item]],super1[Bairro],mercado14)+SUMIFS(supercb[Qtde],supercb[Item],tab_higiene[[#This Row],[Item]],supercb[Bairro],mercado14)</f>
        <v>0</v>
      </c>
      <c r="AY130" s="1">
        <f>SUMIFS(super1[Qtde],super1[Item],tab_higiene[[#This Row],[Item]],super1[Bairro],mercado15)+SUMIFS(supercb[Qtde],supercb[Item],tab_higiene[[#This Row],[Item]],supercb[Bairro],mercado15)</f>
        <v>0</v>
      </c>
      <c r="AZ130" s="1">
        <f>SUMIFS(super1[Qtde],super1[Item],tab_higiene[[#This Row],[Item]],super1[Bairro],mercado16)+SUMIFS(supercb[Qtde],supercb[Item],tab_higiene[[#This Row],[Item]],supercb[Bairro],mercado16)</f>
        <v>0</v>
      </c>
      <c r="BA130" s="1">
        <f>SUMIFS(super1[Qtde],super1[Item],tab_higiene[[#This Row],[Item]],super1[Bairro],mercado17)+SUMIFS(supercb[Qtde],supercb[Item],tab_higiene[[#This Row],[Item]],supercb[Bairro],mercado17)</f>
        <v>0</v>
      </c>
      <c r="BB130" s="1">
        <f>SUMIFS(super1[Qtde],super1[Item],tab_higiene[[#This Row],[Item]],super1[Bairro],mercado18)+SUMIFS(supercb[Qtde],supercb[Item],tab_higiene[[#This Row],[Item]],supercb[Bairro],mercado18)</f>
        <v>0</v>
      </c>
      <c r="BC130" s="1">
        <f>SUMIFS(super1[Qtde],super1[Item],tab_higiene[[#This Row],[Item]],super1[Bairro],extras)+SUMIFS(supercb[Qtde],supercb[Item],tab_higiene[[#This Row],[Item]],supercb[Bairro],extras)</f>
        <v>0</v>
      </c>
      <c r="BD130" s="1">
        <f t="shared" si="41"/>
        <v>0</v>
      </c>
      <c r="BE130" s="1">
        <f t="shared" si="42"/>
        <v>0</v>
      </c>
      <c r="BF130" s="26">
        <f t="shared" si="43"/>
        <v>0</v>
      </c>
      <c r="BI130" s="33" t="str">
        <f>tab_alimentos[[#This Row],[Item]]</f>
        <v>Fuba (1kg)</v>
      </c>
      <c r="BJ130" s="33">
        <f t="shared" si="25"/>
        <v>5</v>
      </c>
      <c r="BK130" s="33" t="str">
        <f t="shared" si="26"/>
        <v>Fuba</v>
      </c>
      <c r="BL130" s="33">
        <f>tab_alimentos[[#This Row],[kg]]</f>
        <v>7</v>
      </c>
      <c r="BN130" s="35">
        <f t="shared" si="36"/>
        <v>0</v>
      </c>
      <c r="BP130" s="33" t="str">
        <f>tab_higiene[[#This Row],[Item]]</f>
        <v>Lâmina refil (4un)</v>
      </c>
      <c r="BQ130" s="33">
        <f t="shared" si="33"/>
        <v>13</v>
      </c>
      <c r="BR130" s="33" t="str">
        <f t="shared" si="34"/>
        <v>Lâmina refil</v>
      </c>
      <c r="BS130" s="33">
        <f>higiene[[#This Row],[Quantidade]]</f>
        <v>5</v>
      </c>
      <c r="BT130" s="33">
        <f>tab_higiene[Qtde (tot)]</f>
        <v>0</v>
      </c>
      <c r="BU130" s="33">
        <f t="shared" si="37"/>
        <v>0</v>
      </c>
      <c r="BW130" s="33">
        <f t="shared" si="44"/>
        <v>0</v>
      </c>
    </row>
    <row r="131" spans="9:75" x14ac:dyDescent="0.25">
      <c r="I131" s="25" t="str">
        <f>alimentos[[#This Row],[Item]]</f>
        <v>Fuba (500g)</v>
      </c>
      <c r="J131" s="1">
        <f>IFERROR(alimentos[[#This Row],[kg/embalagem]],0)</f>
        <v>0.5</v>
      </c>
      <c r="K131" s="1">
        <f>IFERROR(alimentos[[#This Row],[Preço]],0)</f>
        <v>1.7400000000000002</v>
      </c>
      <c r="L131" s="1">
        <f>SUMIFS(super1[Qtde],super1[Item],tab_alimentos[[#This Row],[Item]],super1[Bairro],mercado1)+SUMIFS(supercb[Qtde],supercb[Item],tab_alimentos[[#This Row],[Item]],supercb[Bairro],mercado1)</f>
        <v>0</v>
      </c>
      <c r="M131" s="1">
        <f>SUMIFS(super1[Qtde],super1[Item],tab_alimentos[[#This Row],[Item]],super1[Bairro],mercado2)+SUMIFS(supercb[Qtde],supercb[Item],tab_alimentos[[#This Row],[Item]],supercb[Bairro],mercado2)</f>
        <v>0</v>
      </c>
      <c r="N131" s="1">
        <f>SUMIFS(super1[Qtde],super1[Item],tab_alimentos[[#This Row],[Item]],super1[Bairro],mercado3)+SUMIFS(supercb[Qtde],supercb[Item],tab_alimentos[[#This Row],[Item]],supercb[Bairro],mercado3)</f>
        <v>2</v>
      </c>
      <c r="O131" s="1">
        <f>SUMIFS(super1[Qtde],super1[Item],tab_alimentos[[#This Row],[Item]],super1[Bairro],mercado4)+SUMIFS(supercb[Qtde],supercb[Item],tab_alimentos[[#This Row],[Item]],supercb[Bairro],mercado4)</f>
        <v>1</v>
      </c>
      <c r="P131" s="1">
        <f>SUMIFS(super1[Qtde],super1[Item],tab_alimentos[[#This Row],[Item]],super1[Bairro],mercado5)+SUMIFS(supercb[Qtde],supercb[Item],tab_alimentos[[#This Row],[Item]],supercb[Bairro],mercado5)</f>
        <v>2</v>
      </c>
      <c r="Q131" s="1">
        <f>SUMIFS(super1[Qtde],super1[Item],tab_alimentos[[#This Row],[Item]],super1[Bairro],mercado6)+SUMIFS(supercb[Qtde],supercb[Item],tab_alimentos[[#This Row],[Item]],supercb[Bairro],mercado6)</f>
        <v>3</v>
      </c>
      <c r="R131" s="1">
        <f>SUMIFS(super1[Qtde],super1[Item],tab_alimentos[[#This Row],[Item]],super1[Bairro],mercado7)+SUMIFS(supercb[Qtde],supercb[Item],tab_alimentos[[#This Row],[Item]],supercb[Bairro],mercado7)</f>
        <v>3</v>
      </c>
      <c r="S131" s="1">
        <f>SUMIFS(super1[Qtde],super1[Item],tab_alimentos[[#This Row],[Item]],super1[Bairro],mercado8)+SUMIFS(supercb[Qtde],supercb[Item],tab_alimentos[[#This Row],[Item]],supercb[Bairro],mercado8)</f>
        <v>6</v>
      </c>
      <c r="T131" s="1">
        <f>SUMIFS(super1[Qtde],super1[Item],tab_alimentos[[#This Row],[Item]],super1[Bairro],mercado9)+SUMIFS(supercb[Qtde],supercb[Item],tab_alimentos[[#This Row],[Item]],supercb[Bairro],mercado9)</f>
        <v>3</v>
      </c>
      <c r="U131" s="1">
        <f>SUMIFS(super1[Qtde],super1[Item],tab_alimentos[[#This Row],[Item]],super1[Bairro],mercado10)+SUMIFS(supercb[Qtde],supercb[Item],tab_alimentos[[#This Row],[Item]],supercb[Bairro],mercado10)</f>
        <v>4</v>
      </c>
      <c r="V131" s="1">
        <f>SUMIFS(super1[Qtde],super1[Item],tab_alimentos[[#This Row],[Item]],super1[Bairro],mercado11)+SUMIFS(supercb[Qtde],supercb[Item],tab_alimentos[[#This Row],[Item]],supercb[Bairro],mercado11)</f>
        <v>5</v>
      </c>
      <c r="W131" s="1">
        <f>SUMIFS(super1[Qtde],super1[Item],tab_alimentos[[#This Row],[Item]],super1[Bairro],mercado12)+SUMIFS(supercb[Qtde],supercb[Item],tab_alimentos[[#This Row],[Item]],supercb[Bairro],mercado12)</f>
        <v>0</v>
      </c>
      <c r="X131" s="1">
        <f>SUMIFS(super1[Qtde],super1[Item],tab_alimentos[[#This Row],[Item]],super1[Bairro],mercado13)+SUMIFS(supercb[Qtde],supercb[Item],tab_alimentos[[#This Row],[Item]],supercb[Bairro],mercado13)</f>
        <v>5</v>
      </c>
      <c r="Y131" s="1">
        <f>SUMIFS(super1[Qtde],super1[Item],tab_alimentos[[#This Row],[Item]],super1[Bairro],mercado14)+SUMIFS(supercb[Qtde],supercb[Item],tab_alimentos[[#This Row],[Item]],supercb[Bairro],mercado14)</f>
        <v>0</v>
      </c>
      <c r="Z131" s="1">
        <f>SUMIFS(super1[Qtde],super1[Item],tab_alimentos[[#This Row],[Item]],super1[Bairro],mercado15)+SUMIFS(supercb[Qtde],supercb[Item],tab_alimentos[[#This Row],[Item]],supercb[Bairro],mercado15)</f>
        <v>0</v>
      </c>
      <c r="AA131" s="1">
        <f>SUMIFS(super1[Qtde],super1[Item],tab_alimentos[[#This Row],[Item]],super1[Bairro],mercado16)+SUMIFS(supercb[Qtde],supercb[Item],tab_alimentos[[#This Row],[Item]],supercb[Bairro],mercado16)</f>
        <v>0</v>
      </c>
      <c r="AB131" s="1">
        <f>SUMIFS(super1[Qtde],super1[Item],tab_alimentos[[#This Row],[Item]],super1[Bairro],mercado17)+SUMIFS(supercb[Qtde],supercb[Item],tab_alimentos[[#This Row],[Item]],supercb[Bairro],mercado17)</f>
        <v>0</v>
      </c>
      <c r="AC131" s="1">
        <f>SUMIFS(super1[Qtde],super1[Item],tab_alimentos[[#This Row],[Item]],super1[Bairro],mercado18)+SUMIFS(supercb[Qtde],supercb[Item],tab_alimentos[[#This Row],[Item]],supercb[Bairro],mercado18)</f>
        <v>0</v>
      </c>
      <c r="AD131" s="1">
        <f>SUMIFS(super1[Qtde],super1[Item],tab_alimentos[[#This Row],[Item]],super1[Bairro],extras)+SUMIFS(supercb[Qtde],supercb[Item],tab_alimentos[[#This Row],[Item]],supercb[Bairro],extras)</f>
        <v>0</v>
      </c>
      <c r="AE131" s="1">
        <f t="shared" si="38"/>
        <v>34</v>
      </c>
      <c r="AF131" s="1">
        <f t="shared" si="39"/>
        <v>59.160000000000011</v>
      </c>
      <c r="AG131" s="3">
        <f t="shared" si="40"/>
        <v>17</v>
      </c>
      <c r="AH131" s="25" t="str">
        <f>higiene[[#This Row],[Item]]</f>
        <v>Lâmina refil (5un)</v>
      </c>
      <c r="AI131" s="1">
        <f>IFERROR(higiene[[#This Row],[Kg equivalente]],0)</f>
        <v>6.7126304976424036</v>
      </c>
      <c r="AJ131" s="1">
        <f>IFERROR(higiene[[#This Row],[Preço por produto]],0)</f>
        <v>22.234999999999999</v>
      </c>
      <c r="AK131" s="1">
        <f>SUMIFS(super1[Qtde],super1[Item],tab_higiene[[#This Row],[Item]],super1[Bairro],mercado1)+SUMIFS(supercb[Qtde],supercb[Item],tab_higiene[[#This Row],[Item]],supercb[Bairro],mercado1)</f>
        <v>0</v>
      </c>
      <c r="AL131" s="1">
        <f>SUMIFS(super1[Qtde],super1[Item],tab_higiene[[#This Row],[Item]],super1[Bairro],mercado2)+SUMIFS(supercb[Qtde],supercb[Item],tab_higiene[[#This Row],[Item]],supercb[Bairro],mercado2)</f>
        <v>0</v>
      </c>
      <c r="AM131" s="1">
        <f>SUMIFS(super1[Qtde],super1[Item],tab_higiene[[#This Row],[Item]],super1[Bairro],mercado3)+SUMIFS(supercb[Qtde],supercb[Item],tab_higiene[[#This Row],[Item]],supercb[Bairro],mercado3)</f>
        <v>0</v>
      </c>
      <c r="AN131" s="1">
        <f>SUMIFS(super1[Qtde],super1[Item],tab_higiene[[#This Row],[Item]],super1[Bairro],mercado4)+SUMIFS(supercb[Qtde],supercb[Item],tab_higiene[[#This Row],[Item]],supercb[Bairro],mercado4)</f>
        <v>0</v>
      </c>
      <c r="AO131" s="1">
        <f>SUMIFS(super1[Qtde],super1[Item],tab_higiene[[#This Row],[Item]],super1[Bairro],mercado5)+SUMIFS(supercb[Qtde],supercb[Item],tab_higiene[[#This Row],[Item]],supercb[Bairro],mercado5)</f>
        <v>0</v>
      </c>
      <c r="AP131" s="1">
        <f>SUMIFS(super1[Qtde],super1[Item],tab_higiene[[#This Row],[Item]],super1[Bairro],mercado6)+SUMIFS(supercb[Qtde],supercb[Item],tab_higiene[[#This Row],[Item]],supercb[Bairro],mercado6)</f>
        <v>0</v>
      </c>
      <c r="AQ131" s="1">
        <f>SUMIFS(super1[Qtde],super1[Item],tab_higiene[[#This Row],[Item]],super1[Bairro],mercado7)+SUMIFS(supercb[Qtde],supercb[Item],tab_higiene[[#This Row],[Item]],supercb[Bairro],mercado7)</f>
        <v>0</v>
      </c>
      <c r="AR131" s="1">
        <f>SUMIFS(super1[Qtde],super1[Item],tab_higiene[[#This Row],[Item]],super1[Bairro],mercado8)+SUMIFS(supercb[Qtde],supercb[Item],tab_higiene[[#This Row],[Item]],supercb[Bairro],mercado8)</f>
        <v>0</v>
      </c>
      <c r="AS131" s="1">
        <f>SUMIFS(super1[Qtde],super1[Item],tab_higiene[[#This Row],[Item]],super1[Bairro],mercado9)+SUMIFS(supercb[Qtde],supercb[Item],tab_higiene[[#This Row],[Item]],supercb[Bairro],mercado9)</f>
        <v>0</v>
      </c>
      <c r="AT131" s="1">
        <f>SUMIFS(super1[Qtde],super1[Item],tab_higiene[[#This Row],[Item]],super1[Bairro],mercado10)+SUMIFS(supercb[Qtde],supercb[Item],tab_higiene[[#This Row],[Item]],supercb[Bairro],mercado10)</f>
        <v>0</v>
      </c>
      <c r="AU131" s="1">
        <f>SUMIFS(super1[Qtde],super1[Item],tab_higiene[[#This Row],[Item]],super1[Bairro],mercado11)+SUMIFS(supercb[Qtde],supercb[Item],tab_higiene[[#This Row],[Item]],supercb[Bairro],mercado11)</f>
        <v>0</v>
      </c>
      <c r="AV131" s="1">
        <f>SUMIFS(super1[Qtde],super1[Item],tab_higiene[[#This Row],[Item]],super1[Bairro],mercado12)+SUMIFS(supercb[Qtde],supercb[Item],tab_higiene[[#This Row],[Item]],supercb[Bairro],mercado12)</f>
        <v>0</v>
      </c>
      <c r="AW131" s="1">
        <f>SUMIFS(super1[Qtde],super1[Item],tab_higiene[[#This Row],[Item]],super1[Bairro],mercado13)+SUMIFS(supercb[Qtde],supercb[Item],tab_higiene[[#This Row],[Item]],supercb[Bairro],mercado13)</f>
        <v>0</v>
      </c>
      <c r="AX131" s="1">
        <f>SUMIFS(super1[Qtde],super1[Item],tab_higiene[[#This Row],[Item]],super1[Bairro],mercado14)+SUMIFS(supercb[Qtde],supercb[Item],tab_higiene[[#This Row],[Item]],supercb[Bairro],mercado14)</f>
        <v>0</v>
      </c>
      <c r="AY131" s="1">
        <f>SUMIFS(super1[Qtde],super1[Item],tab_higiene[[#This Row],[Item]],super1[Bairro],mercado15)+SUMIFS(supercb[Qtde],supercb[Item],tab_higiene[[#This Row],[Item]],supercb[Bairro],mercado15)</f>
        <v>0</v>
      </c>
      <c r="AZ131" s="1">
        <f>SUMIFS(super1[Qtde],super1[Item],tab_higiene[[#This Row],[Item]],super1[Bairro],mercado16)+SUMIFS(supercb[Qtde],supercb[Item],tab_higiene[[#This Row],[Item]],supercb[Bairro],mercado16)</f>
        <v>0</v>
      </c>
      <c r="BA131" s="1">
        <f>SUMIFS(super1[Qtde],super1[Item],tab_higiene[[#This Row],[Item]],super1[Bairro],mercado17)+SUMIFS(supercb[Qtde],supercb[Item],tab_higiene[[#This Row],[Item]],supercb[Bairro],mercado17)</f>
        <v>0</v>
      </c>
      <c r="BB131" s="1">
        <f>SUMIFS(super1[Qtde],super1[Item],tab_higiene[[#This Row],[Item]],super1[Bairro],mercado18)+SUMIFS(supercb[Qtde],supercb[Item],tab_higiene[[#This Row],[Item]],supercb[Bairro],mercado18)</f>
        <v>0</v>
      </c>
      <c r="BC131" s="1">
        <f>SUMIFS(super1[Qtde],super1[Item],tab_higiene[[#This Row],[Item]],super1[Bairro],extras)+SUMIFS(supercb[Qtde],supercb[Item],tab_higiene[[#This Row],[Item]],supercb[Bairro],extras)</f>
        <v>0</v>
      </c>
      <c r="BD131" s="1">
        <f t="shared" si="41"/>
        <v>0</v>
      </c>
      <c r="BE131" s="1">
        <f t="shared" si="42"/>
        <v>0</v>
      </c>
      <c r="BF131" s="26">
        <f t="shared" si="43"/>
        <v>0</v>
      </c>
      <c r="BI131" s="33" t="str">
        <f>tab_alimentos[[#This Row],[Item]]</f>
        <v>Fuba (500g)</v>
      </c>
      <c r="BJ131" s="33">
        <f t="shared" si="25"/>
        <v>5</v>
      </c>
      <c r="BK131" s="33" t="str">
        <f t="shared" si="26"/>
        <v>Fuba</v>
      </c>
      <c r="BL131" s="33">
        <f>tab_alimentos[[#This Row],[kg]]</f>
        <v>17</v>
      </c>
      <c r="BN131" s="35">
        <f t="shared" si="36"/>
        <v>0</v>
      </c>
      <c r="BP131" s="33" t="str">
        <f>tab_higiene[[#This Row],[Item]]</f>
        <v>Lâmina refil (5un)</v>
      </c>
      <c r="BQ131" s="33">
        <f t="shared" si="33"/>
        <v>13</v>
      </c>
      <c r="BR131" s="33" t="str">
        <f t="shared" si="34"/>
        <v>Lâmina refil</v>
      </c>
      <c r="BS131" s="33">
        <f>higiene[[#This Row],[Quantidade]]</f>
        <v>1</v>
      </c>
      <c r="BT131" s="33">
        <f>tab_higiene[Qtde (tot)]</f>
        <v>0</v>
      </c>
      <c r="BU131" s="33">
        <f t="shared" si="37"/>
        <v>0</v>
      </c>
      <c r="BW131" s="33">
        <f t="shared" si="44"/>
        <v>0</v>
      </c>
    </row>
    <row r="132" spans="9:75" x14ac:dyDescent="0.25">
      <c r="I132" s="25" t="str">
        <f>alimentos[[#This Row],[Item]]</f>
        <v>G</v>
      </c>
      <c r="J132" s="1">
        <f>IFERROR(alimentos[[#This Row],[kg/embalagem]],0)</f>
        <v>0</v>
      </c>
      <c r="K132" s="1">
        <f>IFERROR(alimentos[[#This Row],[Preço]],0)</f>
        <v>0</v>
      </c>
      <c r="L132" s="1">
        <f>SUMIFS(super1[Qtde],super1[Item],tab_alimentos[[#This Row],[Item]],super1[Bairro],mercado1)+SUMIFS(supercb[Qtde],supercb[Item],tab_alimentos[[#This Row],[Item]],supercb[Bairro],mercado1)</f>
        <v>0</v>
      </c>
      <c r="M132" s="1">
        <f>SUMIFS(super1[Qtde],super1[Item],tab_alimentos[[#This Row],[Item]],super1[Bairro],mercado2)+SUMIFS(supercb[Qtde],supercb[Item],tab_alimentos[[#This Row],[Item]],supercb[Bairro],mercado2)</f>
        <v>0</v>
      </c>
      <c r="N132" s="1">
        <f>SUMIFS(super1[Qtde],super1[Item],tab_alimentos[[#This Row],[Item]],super1[Bairro],mercado3)+SUMIFS(supercb[Qtde],supercb[Item],tab_alimentos[[#This Row],[Item]],supercb[Bairro],mercado3)</f>
        <v>0</v>
      </c>
      <c r="O132" s="1">
        <f>SUMIFS(super1[Qtde],super1[Item],tab_alimentos[[#This Row],[Item]],super1[Bairro],mercado4)+SUMIFS(supercb[Qtde],supercb[Item],tab_alimentos[[#This Row],[Item]],supercb[Bairro],mercado4)</f>
        <v>0</v>
      </c>
      <c r="P132" s="1">
        <f>SUMIFS(super1[Qtde],super1[Item],tab_alimentos[[#This Row],[Item]],super1[Bairro],mercado5)+SUMIFS(supercb[Qtde],supercb[Item],tab_alimentos[[#This Row],[Item]],supercb[Bairro],mercado5)</f>
        <v>0</v>
      </c>
      <c r="Q132" s="1">
        <f>SUMIFS(super1[Qtde],super1[Item],tab_alimentos[[#This Row],[Item]],super1[Bairro],mercado6)+SUMIFS(supercb[Qtde],supercb[Item],tab_alimentos[[#This Row],[Item]],supercb[Bairro],mercado6)</f>
        <v>0</v>
      </c>
      <c r="R132" s="1">
        <f>SUMIFS(super1[Qtde],super1[Item],tab_alimentos[[#This Row],[Item]],super1[Bairro],mercado7)+SUMIFS(supercb[Qtde],supercb[Item],tab_alimentos[[#This Row],[Item]],supercb[Bairro],mercado7)</f>
        <v>0</v>
      </c>
      <c r="S132" s="1">
        <f>SUMIFS(super1[Qtde],super1[Item],tab_alimentos[[#This Row],[Item]],super1[Bairro],mercado8)+SUMIFS(supercb[Qtde],supercb[Item],tab_alimentos[[#This Row],[Item]],supercb[Bairro],mercado8)</f>
        <v>0</v>
      </c>
      <c r="T132" s="1">
        <f>SUMIFS(super1[Qtde],super1[Item],tab_alimentos[[#This Row],[Item]],super1[Bairro],mercado9)+SUMIFS(supercb[Qtde],supercb[Item],tab_alimentos[[#This Row],[Item]],supercb[Bairro],mercado9)</f>
        <v>0</v>
      </c>
      <c r="U132" s="1">
        <f>SUMIFS(super1[Qtde],super1[Item],tab_alimentos[[#This Row],[Item]],super1[Bairro],mercado10)+SUMIFS(supercb[Qtde],supercb[Item],tab_alimentos[[#This Row],[Item]],supercb[Bairro],mercado10)</f>
        <v>0</v>
      </c>
      <c r="V132" s="1">
        <f>SUMIFS(super1[Qtde],super1[Item],tab_alimentos[[#This Row],[Item]],super1[Bairro],mercado11)+SUMIFS(supercb[Qtde],supercb[Item],tab_alimentos[[#This Row],[Item]],supercb[Bairro],mercado11)</f>
        <v>0</v>
      </c>
      <c r="W132" s="1">
        <f>SUMIFS(super1[Qtde],super1[Item],tab_alimentos[[#This Row],[Item]],super1[Bairro],mercado12)+SUMIFS(supercb[Qtde],supercb[Item],tab_alimentos[[#This Row],[Item]],supercb[Bairro],mercado12)</f>
        <v>0</v>
      </c>
      <c r="X132" s="1">
        <f>SUMIFS(super1[Qtde],super1[Item],tab_alimentos[[#This Row],[Item]],super1[Bairro],mercado13)+SUMIFS(supercb[Qtde],supercb[Item],tab_alimentos[[#This Row],[Item]],supercb[Bairro],mercado13)</f>
        <v>0</v>
      </c>
      <c r="Y132" s="1">
        <f>SUMIFS(super1[Qtde],super1[Item],tab_alimentos[[#This Row],[Item]],super1[Bairro],mercado14)+SUMIFS(supercb[Qtde],supercb[Item],tab_alimentos[[#This Row],[Item]],supercb[Bairro],mercado14)</f>
        <v>0</v>
      </c>
      <c r="Z132" s="1">
        <f>SUMIFS(super1[Qtde],super1[Item],tab_alimentos[[#This Row],[Item]],super1[Bairro],mercado15)+SUMIFS(supercb[Qtde],supercb[Item],tab_alimentos[[#This Row],[Item]],supercb[Bairro],mercado15)</f>
        <v>0</v>
      </c>
      <c r="AA132" s="1">
        <f>SUMIFS(super1[Qtde],super1[Item],tab_alimentos[[#This Row],[Item]],super1[Bairro],mercado16)+SUMIFS(supercb[Qtde],supercb[Item],tab_alimentos[[#This Row],[Item]],supercb[Bairro],mercado16)</f>
        <v>0</v>
      </c>
      <c r="AB132" s="1">
        <f>SUMIFS(super1[Qtde],super1[Item],tab_alimentos[[#This Row],[Item]],super1[Bairro],mercado17)+SUMIFS(supercb[Qtde],supercb[Item],tab_alimentos[[#This Row],[Item]],supercb[Bairro],mercado17)</f>
        <v>0</v>
      </c>
      <c r="AC132" s="1">
        <f>SUMIFS(super1[Qtde],super1[Item],tab_alimentos[[#This Row],[Item]],super1[Bairro],mercado18)+SUMIFS(supercb[Qtde],supercb[Item],tab_alimentos[[#This Row],[Item]],supercb[Bairro],mercado18)</f>
        <v>0</v>
      </c>
      <c r="AD132" s="1">
        <f>SUMIFS(super1[Qtde],super1[Item],tab_alimentos[[#This Row],[Item]],super1[Bairro],extras)+SUMIFS(supercb[Qtde],supercb[Item],tab_alimentos[[#This Row],[Item]],supercb[Bairro],extras)</f>
        <v>0</v>
      </c>
      <c r="AE132" s="1">
        <f t="shared" si="38"/>
        <v>0</v>
      </c>
      <c r="AF132" s="1">
        <f t="shared" si="39"/>
        <v>0</v>
      </c>
      <c r="AG132" s="3">
        <f t="shared" si="40"/>
        <v>0</v>
      </c>
      <c r="AH132" s="25" t="str">
        <f>higiene[[#This Row],[Item]]</f>
        <v>Lenços de papel (50un)</v>
      </c>
      <c r="AI132" s="1">
        <f>IFERROR(higiene[[#This Row],[Kg equivalente]],0)</f>
        <v>0.97059172700338781</v>
      </c>
      <c r="AJ132" s="1">
        <f>IFERROR(higiene[[#This Row],[Preço por produto]],0)</f>
        <v>3.2150000000000003</v>
      </c>
      <c r="AK132" s="1">
        <f>SUMIFS(super1[Qtde],super1[Item],tab_higiene[[#This Row],[Item]],super1[Bairro],mercado1)+SUMIFS(supercb[Qtde],supercb[Item],tab_higiene[[#This Row],[Item]],supercb[Bairro],mercado1)</f>
        <v>0</v>
      </c>
      <c r="AL132" s="1">
        <f>SUMIFS(super1[Qtde],super1[Item],tab_higiene[[#This Row],[Item]],super1[Bairro],mercado2)+SUMIFS(supercb[Qtde],supercb[Item],tab_higiene[[#This Row],[Item]],supercb[Bairro],mercado2)</f>
        <v>0</v>
      </c>
      <c r="AM132" s="1">
        <f>SUMIFS(super1[Qtde],super1[Item],tab_higiene[[#This Row],[Item]],super1[Bairro],mercado3)+SUMIFS(supercb[Qtde],supercb[Item],tab_higiene[[#This Row],[Item]],supercb[Bairro],mercado3)</f>
        <v>0</v>
      </c>
      <c r="AN132" s="1">
        <f>SUMIFS(super1[Qtde],super1[Item],tab_higiene[[#This Row],[Item]],super1[Bairro],mercado4)+SUMIFS(supercb[Qtde],supercb[Item],tab_higiene[[#This Row],[Item]],supercb[Bairro],mercado4)</f>
        <v>0</v>
      </c>
      <c r="AO132" s="1">
        <f>SUMIFS(super1[Qtde],super1[Item],tab_higiene[[#This Row],[Item]],super1[Bairro],mercado5)+SUMIFS(supercb[Qtde],supercb[Item],tab_higiene[[#This Row],[Item]],supercb[Bairro],mercado5)</f>
        <v>0</v>
      </c>
      <c r="AP132" s="1">
        <f>SUMIFS(super1[Qtde],super1[Item],tab_higiene[[#This Row],[Item]],super1[Bairro],mercado6)+SUMIFS(supercb[Qtde],supercb[Item],tab_higiene[[#This Row],[Item]],supercb[Bairro],mercado6)</f>
        <v>0</v>
      </c>
      <c r="AQ132" s="1">
        <f>SUMIFS(super1[Qtde],super1[Item],tab_higiene[[#This Row],[Item]],super1[Bairro],mercado7)+SUMIFS(supercb[Qtde],supercb[Item],tab_higiene[[#This Row],[Item]],supercb[Bairro],mercado7)</f>
        <v>0</v>
      </c>
      <c r="AR132" s="1">
        <f>SUMIFS(super1[Qtde],super1[Item],tab_higiene[[#This Row],[Item]],super1[Bairro],mercado8)+SUMIFS(supercb[Qtde],supercb[Item],tab_higiene[[#This Row],[Item]],supercb[Bairro],mercado8)</f>
        <v>0</v>
      </c>
      <c r="AS132" s="1">
        <f>SUMIFS(super1[Qtde],super1[Item],tab_higiene[[#This Row],[Item]],super1[Bairro],mercado9)+SUMIFS(supercb[Qtde],supercb[Item],tab_higiene[[#This Row],[Item]],supercb[Bairro],mercado9)</f>
        <v>0</v>
      </c>
      <c r="AT132" s="1">
        <f>SUMIFS(super1[Qtde],super1[Item],tab_higiene[[#This Row],[Item]],super1[Bairro],mercado10)+SUMIFS(supercb[Qtde],supercb[Item],tab_higiene[[#This Row],[Item]],supercb[Bairro],mercado10)</f>
        <v>0</v>
      </c>
      <c r="AU132" s="1">
        <f>SUMIFS(super1[Qtde],super1[Item],tab_higiene[[#This Row],[Item]],super1[Bairro],mercado11)+SUMIFS(supercb[Qtde],supercb[Item],tab_higiene[[#This Row],[Item]],supercb[Bairro],mercado11)</f>
        <v>0</v>
      </c>
      <c r="AV132" s="1">
        <f>SUMIFS(super1[Qtde],super1[Item],tab_higiene[[#This Row],[Item]],super1[Bairro],mercado12)+SUMIFS(supercb[Qtde],supercb[Item],tab_higiene[[#This Row],[Item]],supercb[Bairro],mercado12)</f>
        <v>0</v>
      </c>
      <c r="AW132" s="1">
        <f>SUMIFS(super1[Qtde],super1[Item],tab_higiene[[#This Row],[Item]],super1[Bairro],mercado13)+SUMIFS(supercb[Qtde],supercb[Item],tab_higiene[[#This Row],[Item]],supercb[Bairro],mercado13)</f>
        <v>0</v>
      </c>
      <c r="AX132" s="1">
        <f>SUMIFS(super1[Qtde],super1[Item],tab_higiene[[#This Row],[Item]],super1[Bairro],mercado14)+SUMIFS(supercb[Qtde],supercb[Item],tab_higiene[[#This Row],[Item]],supercb[Bairro],mercado14)</f>
        <v>0</v>
      </c>
      <c r="AY132" s="1">
        <f>SUMIFS(super1[Qtde],super1[Item],tab_higiene[[#This Row],[Item]],super1[Bairro],mercado15)+SUMIFS(supercb[Qtde],supercb[Item],tab_higiene[[#This Row],[Item]],supercb[Bairro],mercado15)</f>
        <v>0</v>
      </c>
      <c r="AZ132" s="1">
        <f>SUMIFS(super1[Qtde],super1[Item],tab_higiene[[#This Row],[Item]],super1[Bairro],mercado16)+SUMIFS(supercb[Qtde],supercb[Item],tab_higiene[[#This Row],[Item]],supercb[Bairro],mercado16)</f>
        <v>0</v>
      </c>
      <c r="BA132" s="1">
        <f>SUMIFS(super1[Qtde],super1[Item],tab_higiene[[#This Row],[Item]],super1[Bairro],mercado17)+SUMIFS(supercb[Qtde],supercb[Item],tab_higiene[[#This Row],[Item]],supercb[Bairro],mercado17)</f>
        <v>0</v>
      </c>
      <c r="BB132" s="1">
        <f>SUMIFS(super1[Qtde],super1[Item],tab_higiene[[#This Row],[Item]],super1[Bairro],mercado18)+SUMIFS(supercb[Qtde],supercb[Item],tab_higiene[[#This Row],[Item]],supercb[Bairro],mercado18)</f>
        <v>0</v>
      </c>
      <c r="BC132" s="1">
        <f>SUMIFS(super1[Qtde],super1[Item],tab_higiene[[#This Row],[Item]],super1[Bairro],extras)+SUMIFS(supercb[Qtde],supercb[Item],tab_higiene[[#This Row],[Item]],supercb[Bairro],extras)</f>
        <v>0</v>
      </c>
      <c r="BD132" s="1">
        <f t="shared" si="41"/>
        <v>0</v>
      </c>
      <c r="BE132" s="1">
        <f t="shared" si="42"/>
        <v>0</v>
      </c>
      <c r="BF132" s="26">
        <f t="shared" si="43"/>
        <v>0</v>
      </c>
      <c r="BI132" s="33" t="str">
        <f>tab_alimentos[[#This Row],[Item]]</f>
        <v>G</v>
      </c>
      <c r="BJ132" s="33">
        <f t="shared" ref="BJ132:BJ142" si="45">IFERROR(FIND(" (",BI132),0)</f>
        <v>0</v>
      </c>
      <c r="BK132" s="33" t="str">
        <f t="shared" ref="BK132:BK142" si="46">IF(BJ132=0,BI132,LEFT(BI132,BJ132-1))</f>
        <v>G</v>
      </c>
      <c r="BL132" s="33">
        <f>tab_alimentos[[#This Row],[kg]]</f>
        <v>0</v>
      </c>
      <c r="BN132" s="35">
        <f t="shared" si="36"/>
        <v>0</v>
      </c>
      <c r="BP132" s="33" t="str">
        <f>tab_higiene[[#This Row],[Item]]</f>
        <v>Lenços de papel (50un)</v>
      </c>
      <c r="BQ132" s="33">
        <f t="shared" si="33"/>
        <v>16</v>
      </c>
      <c r="BR132" s="33" t="str">
        <f t="shared" si="34"/>
        <v>Lenços de papel</v>
      </c>
      <c r="BS132" s="33">
        <f>higiene[[#This Row],[Quantidade]]</f>
        <v>2.8</v>
      </c>
      <c r="BT132" s="33">
        <f>tab_higiene[Qtde (tot)]</f>
        <v>0</v>
      </c>
      <c r="BU132" s="33">
        <f t="shared" si="37"/>
        <v>0</v>
      </c>
      <c r="BW132" s="33">
        <f t="shared" si="44"/>
        <v>0</v>
      </c>
    </row>
    <row r="133" spans="9:75" x14ac:dyDescent="0.25">
      <c r="I133" s="25" t="str">
        <f>alimentos[[#This Row],[Item]]</f>
        <v>Gelatina (30g)</v>
      </c>
      <c r="J133" s="1">
        <f>IFERROR(alimentos[[#This Row],[kg/embalagem]],0)</f>
        <v>0.03</v>
      </c>
      <c r="K133" s="1">
        <f>IFERROR(alimentos[[#This Row],[Preço]],0)</f>
        <v>0.99</v>
      </c>
      <c r="L133" s="1">
        <f>SUMIFS(super1[Qtde],super1[Item],tab_alimentos[[#This Row],[Item]],super1[Bairro],mercado1)+SUMIFS(supercb[Qtde],supercb[Item],tab_alimentos[[#This Row],[Item]],supercb[Bairro],mercado1)</f>
        <v>0</v>
      </c>
      <c r="M133" s="1">
        <f>SUMIFS(super1[Qtde],super1[Item],tab_alimentos[[#This Row],[Item]],super1[Bairro],mercado2)+SUMIFS(supercb[Qtde],supercb[Item],tab_alimentos[[#This Row],[Item]],supercb[Bairro],mercado2)</f>
        <v>2</v>
      </c>
      <c r="N133" s="1">
        <f>SUMIFS(super1[Qtde],super1[Item],tab_alimentos[[#This Row],[Item]],super1[Bairro],mercado3)+SUMIFS(supercb[Qtde],supercb[Item],tab_alimentos[[#This Row],[Item]],supercb[Bairro],mercado3)</f>
        <v>0</v>
      </c>
      <c r="O133" s="1">
        <f>SUMIFS(super1[Qtde],super1[Item],tab_alimentos[[#This Row],[Item]],super1[Bairro],mercado4)+SUMIFS(supercb[Qtde],supercb[Item],tab_alimentos[[#This Row],[Item]],supercb[Bairro],mercado4)</f>
        <v>0</v>
      </c>
      <c r="P133" s="1">
        <f>SUMIFS(super1[Qtde],super1[Item],tab_alimentos[[#This Row],[Item]],super1[Bairro],mercado5)+SUMIFS(supercb[Qtde],supercb[Item],tab_alimentos[[#This Row],[Item]],supercb[Bairro],mercado5)</f>
        <v>0</v>
      </c>
      <c r="Q133" s="1">
        <f>SUMIFS(super1[Qtde],super1[Item],tab_alimentos[[#This Row],[Item]],super1[Bairro],mercado6)+SUMIFS(supercb[Qtde],supercb[Item],tab_alimentos[[#This Row],[Item]],supercb[Bairro],mercado6)</f>
        <v>0</v>
      </c>
      <c r="R133" s="1">
        <f>SUMIFS(super1[Qtde],super1[Item],tab_alimentos[[#This Row],[Item]],super1[Bairro],mercado7)+SUMIFS(supercb[Qtde],supercb[Item],tab_alimentos[[#This Row],[Item]],supercb[Bairro],mercado7)</f>
        <v>3</v>
      </c>
      <c r="S133" s="1">
        <f>SUMIFS(super1[Qtde],super1[Item],tab_alimentos[[#This Row],[Item]],super1[Bairro],mercado8)+SUMIFS(supercb[Qtde],supercb[Item],tab_alimentos[[#This Row],[Item]],supercb[Bairro],mercado8)</f>
        <v>0</v>
      </c>
      <c r="T133" s="1">
        <f>SUMIFS(super1[Qtde],super1[Item],tab_alimentos[[#This Row],[Item]],super1[Bairro],mercado9)+SUMIFS(supercb[Qtde],supercb[Item],tab_alimentos[[#This Row],[Item]],supercb[Bairro],mercado9)</f>
        <v>0</v>
      </c>
      <c r="U133" s="1">
        <f>SUMIFS(super1[Qtde],super1[Item],tab_alimentos[[#This Row],[Item]],super1[Bairro],mercado10)+SUMIFS(supercb[Qtde],supercb[Item],tab_alimentos[[#This Row],[Item]],supercb[Bairro],mercado10)</f>
        <v>0</v>
      </c>
      <c r="V133" s="1">
        <f>SUMIFS(super1[Qtde],super1[Item],tab_alimentos[[#This Row],[Item]],super1[Bairro],mercado11)+SUMIFS(supercb[Qtde],supercb[Item],tab_alimentos[[#This Row],[Item]],supercb[Bairro],mercado11)</f>
        <v>0</v>
      </c>
      <c r="W133" s="1">
        <f>SUMIFS(super1[Qtde],super1[Item],tab_alimentos[[#This Row],[Item]],super1[Bairro],mercado12)+SUMIFS(supercb[Qtde],supercb[Item],tab_alimentos[[#This Row],[Item]],supercb[Bairro],mercado12)</f>
        <v>0</v>
      </c>
      <c r="X133" s="1">
        <f>SUMIFS(super1[Qtde],super1[Item],tab_alimentos[[#This Row],[Item]],super1[Bairro],mercado13)+SUMIFS(supercb[Qtde],supercb[Item],tab_alimentos[[#This Row],[Item]],supercb[Bairro],mercado13)</f>
        <v>0</v>
      </c>
      <c r="Y133" s="1">
        <f>SUMIFS(super1[Qtde],super1[Item],tab_alimentos[[#This Row],[Item]],super1[Bairro],mercado14)+SUMIFS(supercb[Qtde],supercb[Item],tab_alimentos[[#This Row],[Item]],supercb[Bairro],mercado14)</f>
        <v>0</v>
      </c>
      <c r="Z133" s="1">
        <f>SUMIFS(super1[Qtde],super1[Item],tab_alimentos[[#This Row],[Item]],super1[Bairro],mercado15)+SUMIFS(supercb[Qtde],supercb[Item],tab_alimentos[[#This Row],[Item]],supercb[Bairro],mercado15)</f>
        <v>0</v>
      </c>
      <c r="AA133" s="1">
        <f>SUMIFS(super1[Qtde],super1[Item],tab_alimentos[[#This Row],[Item]],super1[Bairro],mercado16)+SUMIFS(supercb[Qtde],supercb[Item],tab_alimentos[[#This Row],[Item]],supercb[Bairro],mercado16)</f>
        <v>0</v>
      </c>
      <c r="AB133" s="1">
        <f>SUMIFS(super1[Qtde],super1[Item],tab_alimentos[[#This Row],[Item]],super1[Bairro],mercado17)+SUMIFS(supercb[Qtde],supercb[Item],tab_alimentos[[#This Row],[Item]],supercb[Bairro],mercado17)</f>
        <v>0</v>
      </c>
      <c r="AC133" s="1">
        <f>SUMIFS(super1[Qtde],super1[Item],tab_alimentos[[#This Row],[Item]],super1[Bairro],mercado18)+SUMIFS(supercb[Qtde],supercb[Item],tab_alimentos[[#This Row],[Item]],supercb[Bairro],mercado18)</f>
        <v>0</v>
      </c>
      <c r="AD133" s="1">
        <f>SUMIFS(super1[Qtde],super1[Item],tab_alimentos[[#This Row],[Item]],super1[Bairro],extras)+SUMIFS(supercb[Qtde],supercb[Item],tab_alimentos[[#This Row],[Item]],supercb[Bairro],extras)</f>
        <v>0</v>
      </c>
      <c r="AE133" s="1">
        <f t="shared" ref="AE133:AE156" si="47">SUM(L133:AC133)</f>
        <v>5</v>
      </c>
      <c r="AF133" s="1">
        <f t="shared" ref="AF133:AF156" si="48">IFERROR(AE133*K133,0)</f>
        <v>4.95</v>
      </c>
      <c r="AG133" s="3">
        <f t="shared" ref="AG133:AG156" si="49">IFERROR(J133*AE133,0)</f>
        <v>0.15</v>
      </c>
      <c r="AH133" s="25" t="str">
        <f>higiene[[#This Row],[Item]]</f>
        <v>lenços papel 100 un</v>
      </c>
      <c r="AI133" s="1">
        <f>IFERROR(higiene[[#This Row],[Kg equivalente]],0)</f>
        <v>1.446076010061035</v>
      </c>
      <c r="AJ133" s="1">
        <f>IFERROR(higiene[[#This Row],[Preço por produto]],0)</f>
        <v>4.79</v>
      </c>
      <c r="AK133" s="1">
        <f>SUMIFS(super1[Qtde],super1[Item],tab_higiene[[#This Row],[Item]],super1[Bairro],mercado1)+SUMIFS(supercb[Qtde],supercb[Item],tab_higiene[[#This Row],[Item]],supercb[Bairro],mercado1)</f>
        <v>0</v>
      </c>
      <c r="AL133" s="1">
        <f>SUMIFS(super1[Qtde],super1[Item],tab_higiene[[#This Row],[Item]],super1[Bairro],mercado2)+SUMIFS(supercb[Qtde],supercb[Item],tab_higiene[[#This Row],[Item]],supercb[Bairro],mercado2)</f>
        <v>0</v>
      </c>
      <c r="AM133" s="1">
        <f>SUMIFS(super1[Qtde],super1[Item],tab_higiene[[#This Row],[Item]],super1[Bairro],mercado3)+SUMIFS(supercb[Qtde],supercb[Item],tab_higiene[[#This Row],[Item]],supercb[Bairro],mercado3)</f>
        <v>0</v>
      </c>
      <c r="AN133" s="1">
        <f>SUMIFS(super1[Qtde],super1[Item],tab_higiene[[#This Row],[Item]],super1[Bairro],mercado4)+SUMIFS(supercb[Qtde],supercb[Item],tab_higiene[[#This Row],[Item]],supercb[Bairro],mercado4)</f>
        <v>0</v>
      </c>
      <c r="AO133" s="1">
        <f>SUMIFS(super1[Qtde],super1[Item],tab_higiene[[#This Row],[Item]],super1[Bairro],mercado5)+SUMIFS(supercb[Qtde],supercb[Item],tab_higiene[[#This Row],[Item]],supercb[Bairro],mercado5)</f>
        <v>0</v>
      </c>
      <c r="AP133" s="1">
        <f>SUMIFS(super1[Qtde],super1[Item],tab_higiene[[#This Row],[Item]],super1[Bairro],mercado6)+SUMIFS(supercb[Qtde],supercb[Item],tab_higiene[[#This Row],[Item]],supercb[Bairro],mercado6)</f>
        <v>0</v>
      </c>
      <c r="AQ133" s="1">
        <f>SUMIFS(super1[Qtde],super1[Item],tab_higiene[[#This Row],[Item]],super1[Bairro],mercado7)+SUMIFS(supercb[Qtde],supercb[Item],tab_higiene[[#This Row],[Item]],supercb[Bairro],mercado7)</f>
        <v>0</v>
      </c>
      <c r="AR133" s="1">
        <f>SUMIFS(super1[Qtde],super1[Item],tab_higiene[[#This Row],[Item]],super1[Bairro],mercado8)+SUMIFS(supercb[Qtde],supercb[Item],tab_higiene[[#This Row],[Item]],supercb[Bairro],mercado8)</f>
        <v>0</v>
      </c>
      <c r="AS133" s="1">
        <f>SUMIFS(super1[Qtde],super1[Item],tab_higiene[[#This Row],[Item]],super1[Bairro],mercado9)+SUMIFS(supercb[Qtde],supercb[Item],tab_higiene[[#This Row],[Item]],supercb[Bairro],mercado9)</f>
        <v>0</v>
      </c>
      <c r="AT133" s="1">
        <f>SUMIFS(super1[Qtde],super1[Item],tab_higiene[[#This Row],[Item]],super1[Bairro],mercado10)+SUMIFS(supercb[Qtde],supercb[Item],tab_higiene[[#This Row],[Item]],supercb[Bairro],mercado10)</f>
        <v>0</v>
      </c>
      <c r="AU133" s="1">
        <f>SUMIFS(super1[Qtde],super1[Item],tab_higiene[[#This Row],[Item]],super1[Bairro],mercado11)+SUMIFS(supercb[Qtde],supercb[Item],tab_higiene[[#This Row],[Item]],supercb[Bairro],mercado11)</f>
        <v>0</v>
      </c>
      <c r="AV133" s="1">
        <f>SUMIFS(super1[Qtde],super1[Item],tab_higiene[[#This Row],[Item]],super1[Bairro],mercado12)+SUMIFS(supercb[Qtde],supercb[Item],tab_higiene[[#This Row],[Item]],supercb[Bairro],mercado12)</f>
        <v>0</v>
      </c>
      <c r="AW133" s="1">
        <f>SUMIFS(super1[Qtde],super1[Item],tab_higiene[[#This Row],[Item]],super1[Bairro],mercado13)+SUMIFS(supercb[Qtde],supercb[Item],tab_higiene[[#This Row],[Item]],supercb[Bairro],mercado13)</f>
        <v>0</v>
      </c>
      <c r="AX133" s="1">
        <f>SUMIFS(super1[Qtde],super1[Item],tab_higiene[[#This Row],[Item]],super1[Bairro],mercado14)+SUMIFS(supercb[Qtde],supercb[Item],tab_higiene[[#This Row],[Item]],supercb[Bairro],mercado14)</f>
        <v>0</v>
      </c>
      <c r="AY133" s="1">
        <f>SUMIFS(super1[Qtde],super1[Item],tab_higiene[[#This Row],[Item]],super1[Bairro],mercado15)+SUMIFS(supercb[Qtde],supercb[Item],tab_higiene[[#This Row],[Item]],supercb[Bairro],mercado15)</f>
        <v>0</v>
      </c>
      <c r="AZ133" s="1">
        <f>SUMIFS(super1[Qtde],super1[Item],tab_higiene[[#This Row],[Item]],super1[Bairro],mercado16)+SUMIFS(supercb[Qtde],supercb[Item],tab_higiene[[#This Row],[Item]],supercb[Bairro],mercado16)</f>
        <v>0</v>
      </c>
      <c r="BA133" s="1">
        <f>SUMIFS(super1[Qtde],super1[Item],tab_higiene[[#This Row],[Item]],super1[Bairro],mercado17)+SUMIFS(supercb[Qtde],supercb[Item],tab_higiene[[#This Row],[Item]],supercb[Bairro],mercado17)</f>
        <v>0</v>
      </c>
      <c r="BB133" s="1">
        <f>SUMIFS(super1[Qtde],super1[Item],tab_higiene[[#This Row],[Item]],super1[Bairro],mercado18)+SUMIFS(supercb[Qtde],supercb[Item],tab_higiene[[#This Row],[Item]],supercb[Bairro],mercado18)</f>
        <v>0</v>
      </c>
      <c r="BC133" s="1">
        <f>SUMIFS(super1[Qtde],super1[Item],tab_higiene[[#This Row],[Item]],super1[Bairro],extras)+SUMIFS(supercb[Qtde],supercb[Item],tab_higiene[[#This Row],[Item]],supercb[Bairro],extras)</f>
        <v>0</v>
      </c>
      <c r="BD133" s="1">
        <f t="shared" ref="BD133:BD186" si="50">SUM(AK133:BB133)</f>
        <v>0</v>
      </c>
      <c r="BE133" s="1">
        <f t="shared" ref="BE133:BE186" si="51">IFERROR(BD133*AJ133,0)</f>
        <v>0</v>
      </c>
      <c r="BF133" s="26">
        <f t="shared" ref="BF133:BF186" si="52">IFERROR(AI133*BD133,0)</f>
        <v>0</v>
      </c>
      <c r="BI133" s="33" t="str">
        <f>tab_alimentos[[#This Row],[Item]]</f>
        <v>Gelatina (30g)</v>
      </c>
      <c r="BJ133" s="33">
        <f t="shared" si="45"/>
        <v>9</v>
      </c>
      <c r="BK133" s="33" t="str">
        <f t="shared" si="46"/>
        <v>Gelatina</v>
      </c>
      <c r="BL133" s="33">
        <f>tab_alimentos[[#This Row],[kg]]</f>
        <v>0.15</v>
      </c>
      <c r="BN133" s="35">
        <f t="shared" si="36"/>
        <v>0</v>
      </c>
      <c r="BP133" s="33" t="str">
        <f>tab_higiene[[#This Row],[Item]]</f>
        <v>lenços papel 100 un</v>
      </c>
      <c r="BQ133" s="33">
        <f t="shared" ref="BQ133:BQ142" si="53">IFERROR(FIND(" (",BP133),0)</f>
        <v>0</v>
      </c>
      <c r="BR133" s="33" t="str">
        <f t="shared" ref="BR133:BR142" si="54">IF(BQ133=0,BP133,LEFT(BP133,BQ133-1))</f>
        <v>lenços papel 100 un</v>
      </c>
      <c r="BS133" s="33">
        <f>higiene[[#This Row],[Quantidade]]</f>
        <v>2</v>
      </c>
      <c r="BT133" s="33">
        <f>tab_higiene[Qtde (tot)]</f>
        <v>0</v>
      </c>
      <c r="BU133" s="33">
        <f t="shared" si="37"/>
        <v>0</v>
      </c>
      <c r="BW133" s="33">
        <f t="shared" ref="BW133" si="55">SUMIF($BR$5:$BR$142,BV133,$BU$5:$BU$142)</f>
        <v>0</v>
      </c>
    </row>
    <row r="134" spans="9:75" x14ac:dyDescent="0.25">
      <c r="I134" s="25" t="str">
        <f>alimentos[[#This Row],[Item]]</f>
        <v>Gelatina (35g)</v>
      </c>
      <c r="J134" s="1">
        <f>IFERROR(alimentos[[#This Row],[kg/embalagem]],0)</f>
        <v>3.5000000000000003E-2</v>
      </c>
      <c r="K134" s="1">
        <f>IFERROR(alimentos[[#This Row],[Preço]],0)</f>
        <v>1.1850000000000001</v>
      </c>
      <c r="L134" s="1">
        <f>SUMIFS(super1[Qtde],super1[Item],tab_alimentos[[#This Row],[Item]],super1[Bairro],mercado1)+SUMIFS(supercb[Qtde],supercb[Item],tab_alimentos[[#This Row],[Item]],supercb[Bairro],mercado1)</f>
        <v>0</v>
      </c>
      <c r="M134" s="1">
        <f>SUMIFS(super1[Qtde],super1[Item],tab_alimentos[[#This Row],[Item]],super1[Bairro],mercado2)+SUMIFS(supercb[Qtde],supercb[Item],tab_alimentos[[#This Row],[Item]],supercb[Bairro],mercado2)</f>
        <v>0</v>
      </c>
      <c r="N134" s="1">
        <f>SUMIFS(super1[Qtde],super1[Item],tab_alimentos[[#This Row],[Item]],super1[Bairro],mercado3)+SUMIFS(supercb[Qtde],supercb[Item],tab_alimentos[[#This Row],[Item]],supercb[Bairro],mercado3)</f>
        <v>1</v>
      </c>
      <c r="O134" s="1">
        <f>SUMIFS(super1[Qtde],super1[Item],tab_alimentos[[#This Row],[Item]],super1[Bairro],mercado4)+SUMIFS(supercb[Qtde],supercb[Item],tab_alimentos[[#This Row],[Item]],supercb[Bairro],mercado4)</f>
        <v>0</v>
      </c>
      <c r="P134" s="1">
        <f>SUMIFS(super1[Qtde],super1[Item],tab_alimentos[[#This Row],[Item]],super1[Bairro],mercado5)+SUMIFS(supercb[Qtde],supercb[Item],tab_alimentos[[#This Row],[Item]],supercb[Bairro],mercado5)</f>
        <v>0</v>
      </c>
      <c r="Q134" s="1">
        <f>SUMIFS(super1[Qtde],super1[Item],tab_alimentos[[#This Row],[Item]],super1[Bairro],mercado6)+SUMIFS(supercb[Qtde],supercb[Item],tab_alimentos[[#This Row],[Item]],supercb[Bairro],mercado6)</f>
        <v>0</v>
      </c>
      <c r="R134" s="1">
        <f>SUMIFS(super1[Qtde],super1[Item],tab_alimentos[[#This Row],[Item]],super1[Bairro],mercado7)+SUMIFS(supercb[Qtde],supercb[Item],tab_alimentos[[#This Row],[Item]],supercb[Bairro],mercado7)</f>
        <v>0</v>
      </c>
      <c r="S134" s="1">
        <f>SUMIFS(super1[Qtde],super1[Item],tab_alimentos[[#This Row],[Item]],super1[Bairro],mercado8)+SUMIFS(supercb[Qtde],supercb[Item],tab_alimentos[[#This Row],[Item]],supercb[Bairro],mercado8)</f>
        <v>0</v>
      </c>
      <c r="T134" s="1">
        <f>SUMIFS(super1[Qtde],super1[Item],tab_alimentos[[#This Row],[Item]],super1[Bairro],mercado9)+SUMIFS(supercb[Qtde],supercb[Item],tab_alimentos[[#This Row],[Item]],supercb[Bairro],mercado9)</f>
        <v>0</v>
      </c>
      <c r="U134" s="1">
        <f>SUMIFS(super1[Qtde],super1[Item],tab_alimentos[[#This Row],[Item]],super1[Bairro],mercado10)+SUMIFS(supercb[Qtde],supercb[Item],tab_alimentos[[#This Row],[Item]],supercb[Bairro],mercado10)</f>
        <v>1</v>
      </c>
      <c r="V134" s="1">
        <f>SUMIFS(super1[Qtde],super1[Item],tab_alimentos[[#This Row],[Item]],super1[Bairro],mercado11)+SUMIFS(supercb[Qtde],supercb[Item],tab_alimentos[[#This Row],[Item]],supercb[Bairro],mercado11)</f>
        <v>0</v>
      </c>
      <c r="W134" s="1">
        <f>SUMIFS(super1[Qtde],super1[Item],tab_alimentos[[#This Row],[Item]],super1[Bairro],mercado12)+SUMIFS(supercb[Qtde],supercb[Item],tab_alimentos[[#This Row],[Item]],supercb[Bairro],mercado12)</f>
        <v>0</v>
      </c>
      <c r="X134" s="1">
        <f>SUMIFS(super1[Qtde],super1[Item],tab_alimentos[[#This Row],[Item]],super1[Bairro],mercado13)+SUMIFS(supercb[Qtde],supercb[Item],tab_alimentos[[#This Row],[Item]],supercb[Bairro],mercado13)</f>
        <v>0</v>
      </c>
      <c r="Y134" s="1">
        <f>SUMIFS(super1[Qtde],super1[Item],tab_alimentos[[#This Row],[Item]],super1[Bairro],mercado14)+SUMIFS(supercb[Qtde],supercb[Item],tab_alimentos[[#This Row],[Item]],supercb[Bairro],mercado14)</f>
        <v>0</v>
      </c>
      <c r="Z134" s="1">
        <f>SUMIFS(super1[Qtde],super1[Item],tab_alimentos[[#This Row],[Item]],super1[Bairro],mercado15)+SUMIFS(supercb[Qtde],supercb[Item],tab_alimentos[[#This Row],[Item]],supercb[Bairro],mercado15)</f>
        <v>0</v>
      </c>
      <c r="AA134" s="1">
        <f>SUMIFS(super1[Qtde],super1[Item],tab_alimentos[[#This Row],[Item]],super1[Bairro],mercado16)+SUMIFS(supercb[Qtde],supercb[Item],tab_alimentos[[#This Row],[Item]],supercb[Bairro],mercado16)</f>
        <v>0</v>
      </c>
      <c r="AB134" s="1">
        <f>SUMIFS(super1[Qtde],super1[Item],tab_alimentos[[#This Row],[Item]],super1[Bairro],mercado17)+SUMIFS(supercb[Qtde],supercb[Item],tab_alimentos[[#This Row],[Item]],supercb[Bairro],mercado17)</f>
        <v>0</v>
      </c>
      <c r="AC134" s="1">
        <f>SUMIFS(super1[Qtde],super1[Item],tab_alimentos[[#This Row],[Item]],super1[Bairro],mercado18)+SUMIFS(supercb[Qtde],supercb[Item],tab_alimentos[[#This Row],[Item]],supercb[Bairro],mercado18)</f>
        <v>0</v>
      </c>
      <c r="AD134" s="1">
        <f>SUMIFS(super1[Qtde],super1[Item],tab_alimentos[[#This Row],[Item]],super1[Bairro],extras)+SUMIFS(supercb[Qtde],supercb[Item],tab_alimentos[[#This Row],[Item]],supercb[Bairro],extras)</f>
        <v>0</v>
      </c>
      <c r="AE134" s="1">
        <f t="shared" si="47"/>
        <v>2</v>
      </c>
      <c r="AF134" s="1">
        <f t="shared" si="48"/>
        <v>2.37</v>
      </c>
      <c r="AG134" s="3">
        <f t="shared" si="49"/>
        <v>7.0000000000000007E-2</v>
      </c>
      <c r="AH134" s="25" t="str">
        <f>higiene[[#This Row],[Item]]</f>
        <v>Lenços Umidecidos (1pcte)</v>
      </c>
      <c r="AI134" s="18">
        <f>IFERROR(higiene[[#This Row],[Kg equivalente]],0)</f>
        <v>0.75171800940542322</v>
      </c>
      <c r="AJ134" s="18">
        <f>IFERROR(higiene[[#This Row],[Preço por produto]],0)</f>
        <v>2.4900000000000002</v>
      </c>
      <c r="AK134" s="1">
        <f>SUMIFS(super1[Qtde],super1[Item],tab_higiene[[#This Row],[Item]],super1[Bairro],mercado1)+SUMIFS(supercb[Qtde],supercb[Item],tab_higiene[[#This Row],[Item]],supercb[Bairro],mercado1)</f>
        <v>0</v>
      </c>
      <c r="AL134" s="1">
        <f>SUMIFS(super1[Qtde],super1[Item],tab_higiene[[#This Row],[Item]],super1[Bairro],mercado2)+SUMIFS(supercb[Qtde],supercb[Item],tab_higiene[[#This Row],[Item]],supercb[Bairro],mercado2)</f>
        <v>0</v>
      </c>
      <c r="AM134" s="1">
        <f>SUMIFS(super1[Qtde],super1[Item],tab_higiene[[#This Row],[Item]],super1[Bairro],mercado3)+SUMIFS(supercb[Qtde],supercb[Item],tab_higiene[[#This Row],[Item]],supercb[Bairro],mercado3)</f>
        <v>0</v>
      </c>
      <c r="AN134" s="1">
        <f>SUMIFS(super1[Qtde],super1[Item],tab_higiene[[#This Row],[Item]],super1[Bairro],mercado4)+SUMIFS(supercb[Qtde],supercb[Item],tab_higiene[[#This Row],[Item]],supercb[Bairro],mercado4)</f>
        <v>1</v>
      </c>
      <c r="AO134" s="1">
        <f>SUMIFS(super1[Qtde],super1[Item],tab_higiene[[#This Row],[Item]],super1[Bairro],mercado5)+SUMIFS(supercb[Qtde],supercb[Item],tab_higiene[[#This Row],[Item]],supercb[Bairro],mercado5)</f>
        <v>0</v>
      </c>
      <c r="AP134" s="1">
        <f>SUMIFS(super1[Qtde],super1[Item],tab_higiene[[#This Row],[Item]],super1[Bairro],mercado6)+SUMIFS(supercb[Qtde],supercb[Item],tab_higiene[[#This Row],[Item]],supercb[Bairro],mercado6)</f>
        <v>0</v>
      </c>
      <c r="AQ134" s="1">
        <f>SUMIFS(super1[Qtde],super1[Item],tab_higiene[[#This Row],[Item]],super1[Bairro],mercado7)+SUMIFS(supercb[Qtde],supercb[Item],tab_higiene[[#This Row],[Item]],supercb[Bairro],mercado7)</f>
        <v>0</v>
      </c>
      <c r="AR134" s="1">
        <f>SUMIFS(super1[Qtde],super1[Item],tab_higiene[[#This Row],[Item]],super1[Bairro],mercado8)+SUMIFS(supercb[Qtde],supercb[Item],tab_higiene[[#This Row],[Item]],supercb[Bairro],mercado8)</f>
        <v>2</v>
      </c>
      <c r="AS134" s="1">
        <f>SUMIFS(super1[Qtde],super1[Item],tab_higiene[[#This Row],[Item]],super1[Bairro],mercado9)+SUMIFS(supercb[Qtde],supercb[Item],tab_higiene[[#This Row],[Item]],supercb[Bairro],mercado9)</f>
        <v>0</v>
      </c>
      <c r="AT134" s="1">
        <f>SUMIFS(super1[Qtde],super1[Item],tab_higiene[[#This Row],[Item]],super1[Bairro],mercado10)+SUMIFS(supercb[Qtde],supercb[Item],tab_higiene[[#This Row],[Item]],supercb[Bairro],mercado10)</f>
        <v>0</v>
      </c>
      <c r="AU134" s="1">
        <f>SUMIFS(super1[Qtde],super1[Item],tab_higiene[[#This Row],[Item]],super1[Bairro],mercado11)+SUMIFS(supercb[Qtde],supercb[Item],tab_higiene[[#This Row],[Item]],supercb[Bairro],mercado11)</f>
        <v>0</v>
      </c>
      <c r="AV134" s="1">
        <f>SUMIFS(super1[Qtde],super1[Item],tab_higiene[[#This Row],[Item]],super1[Bairro],mercado12)+SUMIFS(supercb[Qtde],supercb[Item],tab_higiene[[#This Row],[Item]],supercb[Bairro],mercado12)</f>
        <v>0</v>
      </c>
      <c r="AW134" s="1">
        <f>SUMIFS(super1[Qtde],super1[Item],tab_higiene[[#This Row],[Item]],super1[Bairro],mercado13)+SUMIFS(supercb[Qtde],supercb[Item],tab_higiene[[#This Row],[Item]],supercb[Bairro],mercado13)</f>
        <v>0</v>
      </c>
      <c r="AX134" s="1">
        <f>SUMIFS(super1[Qtde],super1[Item],tab_higiene[[#This Row],[Item]],super1[Bairro],mercado14)+SUMIFS(supercb[Qtde],supercb[Item],tab_higiene[[#This Row],[Item]],supercb[Bairro],mercado14)</f>
        <v>0</v>
      </c>
      <c r="AY134" s="1">
        <f>SUMIFS(super1[Qtde],super1[Item],tab_higiene[[#This Row],[Item]],super1[Bairro],mercado15)+SUMIFS(supercb[Qtde],supercb[Item],tab_higiene[[#This Row],[Item]],supercb[Bairro],mercado15)</f>
        <v>0</v>
      </c>
      <c r="AZ134" s="1">
        <f>SUMIFS(super1[Qtde],super1[Item],tab_higiene[[#This Row],[Item]],super1[Bairro],mercado16)+SUMIFS(supercb[Qtde],supercb[Item],tab_higiene[[#This Row],[Item]],supercb[Bairro],mercado16)</f>
        <v>0</v>
      </c>
      <c r="BA134" s="1">
        <f>SUMIFS(super1[Qtde],super1[Item],tab_higiene[[#This Row],[Item]],super1[Bairro],mercado17)+SUMIFS(supercb[Qtde],supercb[Item],tab_higiene[[#This Row],[Item]],supercb[Bairro],mercado17)</f>
        <v>0</v>
      </c>
      <c r="BB134" s="1">
        <f>SUMIFS(super1[Qtde],super1[Item],tab_higiene[[#This Row],[Item]],super1[Bairro],mercado18)+SUMIFS(supercb[Qtde],supercb[Item],tab_higiene[[#This Row],[Item]],supercb[Bairro],mercado18)</f>
        <v>0</v>
      </c>
      <c r="BC134" s="1">
        <f>SUMIFS(super1[Qtde],super1[Item],tab_higiene[[#This Row],[Item]],super1[Bairro],extras)+SUMIFS(supercb[Qtde],supercb[Item],tab_higiene[[#This Row],[Item]],supercb[Bairro],extras)</f>
        <v>0</v>
      </c>
      <c r="BD134" s="1">
        <f t="shared" si="50"/>
        <v>3</v>
      </c>
      <c r="BE134" s="1">
        <f t="shared" si="51"/>
        <v>7.4700000000000006</v>
      </c>
      <c r="BF134" s="26">
        <f t="shared" si="52"/>
        <v>2.2551540282162694</v>
      </c>
      <c r="BI134" s="33" t="str">
        <f>tab_alimentos[[#This Row],[Item]]</f>
        <v>Gelatina (35g)</v>
      </c>
      <c r="BJ134" s="33">
        <f t="shared" si="45"/>
        <v>9</v>
      </c>
      <c r="BK134" s="33" t="str">
        <f t="shared" si="46"/>
        <v>Gelatina</v>
      </c>
      <c r="BL134" s="33">
        <f>tab_alimentos[[#This Row],[kg]]</f>
        <v>7.0000000000000007E-2</v>
      </c>
      <c r="BN134" s="35">
        <f t="shared" ref="BN134:BN141" si="56">SUMIF($BJ$5:$BJ$158,BM134,$BK$5:$BK$158)</f>
        <v>0</v>
      </c>
      <c r="BP134" s="33" t="str">
        <f>tab_higiene[[#This Row],[Item]]</f>
        <v>Lenços Umidecidos (1pcte)</v>
      </c>
      <c r="BQ134" s="33">
        <f t="shared" si="53"/>
        <v>18</v>
      </c>
      <c r="BR134" s="33" t="str">
        <f t="shared" si="54"/>
        <v>Lenços Umidecidos</v>
      </c>
      <c r="BS134" s="33">
        <f>higiene[[#This Row],[Quantidade]]</f>
        <v>3</v>
      </c>
      <c r="BT134" s="33">
        <f>tab_higiene[Qtde (tot)]</f>
        <v>3</v>
      </c>
      <c r="BU134" s="33">
        <f t="shared" ref="BU134:BU142" si="57">BS134*BT134</f>
        <v>9</v>
      </c>
      <c r="BW134" s="33">
        <f t="shared" ref="BW134:BW142" si="58">SUMIF($BR$5:$BR$142,BV134,$BU$5:$BU$142)</f>
        <v>0</v>
      </c>
    </row>
    <row r="135" spans="9:75" x14ac:dyDescent="0.25">
      <c r="I135" s="25" t="str">
        <f>alimentos[[#This Row],[Item]]</f>
        <v>Geleia de goiaba (100g)</v>
      </c>
      <c r="J135" s="1">
        <f>IFERROR(alimentos[[#This Row],[kg/embalagem]],0)</f>
        <v>0.1</v>
      </c>
      <c r="K135" s="18">
        <f>IFERROR(alimentos[[#This Row],[Preço]],0)</f>
        <v>4.58</v>
      </c>
      <c r="L135" s="1">
        <f>SUMIFS(super1[Qtde],super1[Item],tab_alimentos[[#This Row],[Item]],super1[Bairro],mercado1)+SUMIFS(supercb[Qtde],supercb[Item],tab_alimentos[[#This Row],[Item]],supercb[Bairro],mercado1)</f>
        <v>0</v>
      </c>
      <c r="M135" s="1">
        <f>SUMIFS(super1[Qtde],super1[Item],tab_alimentos[[#This Row],[Item]],super1[Bairro],mercado2)+SUMIFS(supercb[Qtde],supercb[Item],tab_alimentos[[#This Row],[Item]],supercb[Bairro],mercado2)</f>
        <v>0</v>
      </c>
      <c r="N135" s="1">
        <f>SUMIFS(super1[Qtde],super1[Item],tab_alimentos[[#This Row],[Item]],super1[Bairro],mercado3)+SUMIFS(supercb[Qtde],supercb[Item],tab_alimentos[[#This Row],[Item]],supercb[Bairro],mercado3)</f>
        <v>0</v>
      </c>
      <c r="O135" s="1">
        <f>SUMIFS(super1[Qtde],super1[Item],tab_alimentos[[#This Row],[Item]],super1[Bairro],mercado4)+SUMIFS(supercb[Qtde],supercb[Item],tab_alimentos[[#This Row],[Item]],supercb[Bairro],mercado4)</f>
        <v>0</v>
      </c>
      <c r="P135" s="1">
        <f>SUMIFS(super1[Qtde],super1[Item],tab_alimentos[[#This Row],[Item]],super1[Bairro],mercado5)+SUMIFS(supercb[Qtde],supercb[Item],tab_alimentos[[#This Row],[Item]],supercb[Bairro],mercado5)</f>
        <v>0</v>
      </c>
      <c r="Q135" s="1">
        <f>SUMIFS(super1[Qtde],super1[Item],tab_alimentos[[#This Row],[Item]],super1[Bairro],mercado6)+SUMIFS(supercb[Qtde],supercb[Item],tab_alimentos[[#This Row],[Item]],supercb[Bairro],mercado6)</f>
        <v>0</v>
      </c>
      <c r="R135" s="1">
        <f>SUMIFS(super1[Qtde],super1[Item],tab_alimentos[[#This Row],[Item]],super1[Bairro],mercado7)+SUMIFS(supercb[Qtde],supercb[Item],tab_alimentos[[#This Row],[Item]],supercb[Bairro],mercado7)</f>
        <v>0</v>
      </c>
      <c r="S135" s="1">
        <f>SUMIFS(super1[Qtde],super1[Item],tab_alimentos[[#This Row],[Item]],super1[Bairro],mercado8)+SUMIFS(supercb[Qtde],supercb[Item],tab_alimentos[[#This Row],[Item]],supercb[Bairro],mercado8)</f>
        <v>0</v>
      </c>
      <c r="T135" s="1">
        <f>SUMIFS(super1[Qtde],super1[Item],tab_alimentos[[#This Row],[Item]],super1[Bairro],mercado9)+SUMIFS(supercb[Qtde],supercb[Item],tab_alimentos[[#This Row],[Item]],supercb[Bairro],mercado9)</f>
        <v>0</v>
      </c>
      <c r="U135" s="1">
        <f>SUMIFS(super1[Qtde],super1[Item],tab_alimentos[[#This Row],[Item]],super1[Bairro],mercado10)+SUMIFS(supercb[Qtde],supercb[Item],tab_alimentos[[#This Row],[Item]],supercb[Bairro],mercado10)</f>
        <v>0</v>
      </c>
      <c r="V135" s="1">
        <f>SUMIFS(super1[Qtde],super1[Item],tab_alimentos[[#This Row],[Item]],super1[Bairro],mercado11)+SUMIFS(supercb[Qtde],supercb[Item],tab_alimentos[[#This Row],[Item]],supercb[Bairro],mercado11)</f>
        <v>0</v>
      </c>
      <c r="W135" s="1">
        <f>SUMIFS(super1[Qtde],super1[Item],tab_alimentos[[#This Row],[Item]],super1[Bairro],mercado12)+SUMIFS(supercb[Qtde],supercb[Item],tab_alimentos[[#This Row],[Item]],supercb[Bairro],mercado12)</f>
        <v>0</v>
      </c>
      <c r="X135" s="1">
        <f>SUMIFS(super1[Qtde],super1[Item],tab_alimentos[[#This Row],[Item]],super1[Bairro],mercado13)+SUMIFS(supercb[Qtde],supercb[Item],tab_alimentos[[#This Row],[Item]],supercb[Bairro],mercado13)</f>
        <v>0</v>
      </c>
      <c r="Y135" s="1">
        <f>SUMIFS(super1[Qtde],super1[Item],tab_alimentos[[#This Row],[Item]],super1[Bairro],mercado14)+SUMIFS(supercb[Qtde],supercb[Item],tab_alimentos[[#This Row],[Item]],supercb[Bairro],mercado14)</f>
        <v>0</v>
      </c>
      <c r="Z135" s="1">
        <f>SUMIFS(super1[Qtde],super1[Item],tab_alimentos[[#This Row],[Item]],super1[Bairro],mercado15)+SUMIFS(supercb[Qtde],supercb[Item],tab_alimentos[[#This Row],[Item]],supercb[Bairro],mercado15)</f>
        <v>0</v>
      </c>
      <c r="AA135" s="1">
        <f>SUMIFS(super1[Qtde],super1[Item],tab_alimentos[[#This Row],[Item]],super1[Bairro],mercado16)+SUMIFS(supercb[Qtde],supercb[Item],tab_alimentos[[#This Row],[Item]],supercb[Bairro],mercado16)</f>
        <v>0</v>
      </c>
      <c r="AB135" s="1">
        <f>SUMIFS(super1[Qtde],super1[Item],tab_alimentos[[#This Row],[Item]],super1[Bairro],mercado17)+SUMIFS(supercb[Qtde],supercb[Item],tab_alimentos[[#This Row],[Item]],supercb[Bairro],mercado17)</f>
        <v>0</v>
      </c>
      <c r="AC135" s="1">
        <f>SUMIFS(super1[Qtde],super1[Item],tab_alimentos[[#This Row],[Item]],super1[Bairro],mercado18)+SUMIFS(supercb[Qtde],supercb[Item],tab_alimentos[[#This Row],[Item]],supercb[Bairro],mercado18)</f>
        <v>0</v>
      </c>
      <c r="AD135" s="1">
        <f>SUMIFS(super1[Qtde],super1[Item],tab_alimentos[[#This Row],[Item]],super1[Bairro],extras)+SUMIFS(supercb[Qtde],supercb[Item],tab_alimentos[[#This Row],[Item]],supercb[Bairro],extras)</f>
        <v>0</v>
      </c>
      <c r="AE135" s="1">
        <f t="shared" si="47"/>
        <v>0</v>
      </c>
      <c r="AF135" s="1">
        <f t="shared" si="48"/>
        <v>0</v>
      </c>
      <c r="AG135" s="26">
        <f t="shared" si="49"/>
        <v>0</v>
      </c>
      <c r="AH135" s="25" t="str">
        <f>higiene[[#This Row],[Item]]</f>
        <v>Limpador(1L)</v>
      </c>
      <c r="AI135" s="18">
        <f>IFERROR(higiene[[#This Row],[Kg equivalente]],0)</f>
        <v>2.3215708804528932</v>
      </c>
      <c r="AJ135" s="18">
        <f>IFERROR(higiene[[#This Row],[Preço por produto]],0)</f>
        <v>7.69</v>
      </c>
      <c r="AK135" s="1">
        <f>SUMIFS(super1[Qtde],super1[Item],tab_higiene[[#This Row],[Item]],super1[Bairro],mercado1)+SUMIFS(supercb[Qtde],supercb[Item],tab_higiene[[#This Row],[Item]],supercb[Bairro],mercado1)</f>
        <v>0</v>
      </c>
      <c r="AL135" s="1">
        <f>SUMIFS(super1[Qtde],super1[Item],tab_higiene[[#This Row],[Item]],super1[Bairro],mercado2)+SUMIFS(supercb[Qtde],supercb[Item],tab_higiene[[#This Row],[Item]],supercb[Bairro],mercado2)</f>
        <v>0</v>
      </c>
      <c r="AM135" s="1">
        <f>SUMIFS(super1[Qtde],super1[Item],tab_higiene[[#This Row],[Item]],super1[Bairro],mercado3)+SUMIFS(supercb[Qtde],supercb[Item],tab_higiene[[#This Row],[Item]],supercb[Bairro],mercado3)</f>
        <v>0</v>
      </c>
      <c r="AN135" s="1">
        <f>SUMIFS(super1[Qtde],super1[Item],tab_higiene[[#This Row],[Item]],super1[Bairro],mercado4)+SUMIFS(supercb[Qtde],supercb[Item],tab_higiene[[#This Row],[Item]],supercb[Bairro],mercado4)</f>
        <v>0</v>
      </c>
      <c r="AO135" s="1">
        <f>SUMIFS(super1[Qtde],super1[Item],tab_higiene[[#This Row],[Item]],super1[Bairro],mercado5)+SUMIFS(supercb[Qtde],supercb[Item],tab_higiene[[#This Row],[Item]],supercb[Bairro],mercado5)</f>
        <v>0</v>
      </c>
      <c r="AP135" s="1">
        <f>SUMIFS(super1[Qtde],super1[Item],tab_higiene[[#This Row],[Item]],super1[Bairro],mercado6)+SUMIFS(supercb[Qtde],supercb[Item],tab_higiene[[#This Row],[Item]],supercb[Bairro],mercado6)</f>
        <v>0</v>
      </c>
      <c r="AQ135" s="1">
        <f>SUMIFS(super1[Qtde],super1[Item],tab_higiene[[#This Row],[Item]],super1[Bairro],mercado7)+SUMIFS(supercb[Qtde],supercb[Item],tab_higiene[[#This Row],[Item]],supercb[Bairro],mercado7)</f>
        <v>0</v>
      </c>
      <c r="AR135" s="1">
        <f>SUMIFS(super1[Qtde],super1[Item],tab_higiene[[#This Row],[Item]],super1[Bairro],mercado8)+SUMIFS(supercb[Qtde],supercb[Item],tab_higiene[[#This Row],[Item]],supercb[Bairro],mercado8)</f>
        <v>0</v>
      </c>
      <c r="AS135" s="1">
        <f>SUMIFS(super1[Qtde],super1[Item],tab_higiene[[#This Row],[Item]],super1[Bairro],mercado9)+SUMIFS(supercb[Qtde],supercb[Item],tab_higiene[[#This Row],[Item]],supercb[Bairro],mercado9)</f>
        <v>0</v>
      </c>
      <c r="AT135" s="1">
        <f>SUMIFS(super1[Qtde],super1[Item],tab_higiene[[#This Row],[Item]],super1[Bairro],mercado10)+SUMIFS(supercb[Qtde],supercb[Item],tab_higiene[[#This Row],[Item]],supercb[Bairro],mercado10)</f>
        <v>2</v>
      </c>
      <c r="AU135" s="1">
        <f>SUMIFS(super1[Qtde],super1[Item],tab_higiene[[#This Row],[Item]],super1[Bairro],mercado11)+SUMIFS(supercb[Qtde],supercb[Item],tab_higiene[[#This Row],[Item]],supercb[Bairro],mercado11)</f>
        <v>1</v>
      </c>
      <c r="AV135" s="1">
        <f>SUMIFS(super1[Qtde],super1[Item],tab_higiene[[#This Row],[Item]],super1[Bairro],mercado12)+SUMIFS(supercb[Qtde],supercb[Item],tab_higiene[[#This Row],[Item]],supercb[Bairro],mercado12)</f>
        <v>0</v>
      </c>
      <c r="AW135" s="1">
        <f>SUMIFS(super1[Qtde],super1[Item],tab_higiene[[#This Row],[Item]],super1[Bairro],mercado13)+SUMIFS(supercb[Qtde],supercb[Item],tab_higiene[[#This Row],[Item]],supercb[Bairro],mercado13)</f>
        <v>0</v>
      </c>
      <c r="AX135" s="1">
        <f>SUMIFS(super1[Qtde],super1[Item],tab_higiene[[#This Row],[Item]],super1[Bairro],mercado14)+SUMIFS(supercb[Qtde],supercb[Item],tab_higiene[[#This Row],[Item]],supercb[Bairro],mercado14)</f>
        <v>0</v>
      </c>
      <c r="AY135" s="1">
        <f>SUMIFS(super1[Qtde],super1[Item],tab_higiene[[#This Row],[Item]],super1[Bairro],mercado15)+SUMIFS(supercb[Qtde],supercb[Item],tab_higiene[[#This Row],[Item]],supercb[Bairro],mercado15)</f>
        <v>0</v>
      </c>
      <c r="AZ135" s="1">
        <f>SUMIFS(super1[Qtde],super1[Item],tab_higiene[[#This Row],[Item]],super1[Bairro],mercado16)+SUMIFS(supercb[Qtde],supercb[Item],tab_higiene[[#This Row],[Item]],supercb[Bairro],mercado16)</f>
        <v>0</v>
      </c>
      <c r="BA135" s="1">
        <f>SUMIFS(super1[Qtde],super1[Item],tab_higiene[[#This Row],[Item]],super1[Bairro],mercado17)+SUMIFS(supercb[Qtde],supercb[Item],tab_higiene[[#This Row],[Item]],supercb[Bairro],mercado17)</f>
        <v>0</v>
      </c>
      <c r="BB135" s="1">
        <f>SUMIFS(super1[Qtde],super1[Item],tab_higiene[[#This Row],[Item]],super1[Bairro],mercado18)+SUMIFS(supercb[Qtde],supercb[Item],tab_higiene[[#This Row],[Item]],supercb[Bairro],mercado18)</f>
        <v>0</v>
      </c>
      <c r="BC135" s="1">
        <f>SUMIFS(super1[Qtde],super1[Item],tab_higiene[[#This Row],[Item]],super1[Bairro],extras)+SUMIFS(supercb[Qtde],supercb[Item],tab_higiene[[#This Row],[Item]],supercb[Bairro],extras)</f>
        <v>0</v>
      </c>
      <c r="BD135" s="1">
        <f t="shared" si="50"/>
        <v>3</v>
      </c>
      <c r="BE135" s="1">
        <f t="shared" si="51"/>
        <v>23.07</v>
      </c>
      <c r="BF135" s="26">
        <f t="shared" si="52"/>
        <v>6.9647126413586795</v>
      </c>
      <c r="BI135" s="33" t="str">
        <f>tab_alimentos[[#This Row],[Item]]</f>
        <v>Geleia de goiaba (100g)</v>
      </c>
      <c r="BJ135" s="33">
        <f t="shared" si="45"/>
        <v>17</v>
      </c>
      <c r="BK135" s="33" t="str">
        <f t="shared" si="46"/>
        <v>Geleia de goiaba</v>
      </c>
      <c r="BL135" s="33">
        <f>tab_alimentos[[#This Row],[kg]]</f>
        <v>0</v>
      </c>
      <c r="BN135" s="35">
        <f t="shared" si="56"/>
        <v>0</v>
      </c>
      <c r="BP135" s="33" t="str">
        <f>tab_higiene[[#This Row],[Item]]</f>
        <v>Limpador(1L)</v>
      </c>
      <c r="BQ135" s="33">
        <f t="shared" si="53"/>
        <v>0</v>
      </c>
      <c r="BR135" s="33" t="str">
        <f t="shared" si="54"/>
        <v>Limpador(1L)</v>
      </c>
      <c r="BS135" s="33">
        <f>higiene[[#This Row],[Quantidade]]</f>
        <v>1</v>
      </c>
      <c r="BT135" s="33">
        <f>tab_higiene[Qtde (tot)]</f>
        <v>3</v>
      </c>
      <c r="BU135" s="33">
        <f t="shared" si="57"/>
        <v>3</v>
      </c>
      <c r="BW135" s="33">
        <f t="shared" si="58"/>
        <v>0</v>
      </c>
    </row>
    <row r="136" spans="9:75" x14ac:dyDescent="0.25">
      <c r="I136" s="25" t="str">
        <f>alimentos[[#This Row],[Item]]</f>
        <v>Goiabada (300g)</v>
      </c>
      <c r="J136" s="1">
        <f>IFERROR(alimentos[[#This Row],[kg/embalagem]],0)</f>
        <v>0.3</v>
      </c>
      <c r="K136" s="18">
        <f>IFERROR(alimentos[[#This Row],[Preço]],0)</f>
        <v>2.6840000000000002</v>
      </c>
      <c r="L136" s="1">
        <f>SUMIFS(super1[Qtde],super1[Item],tab_alimentos[[#This Row],[Item]],super1[Bairro],mercado1)+SUMIFS(supercb[Qtde],supercb[Item],tab_alimentos[[#This Row],[Item]],supercb[Bairro],mercado1)</f>
        <v>0</v>
      </c>
      <c r="M136" s="1">
        <f>SUMIFS(super1[Qtde],super1[Item],tab_alimentos[[#This Row],[Item]],super1[Bairro],mercado2)+SUMIFS(supercb[Qtde],supercb[Item],tab_alimentos[[#This Row],[Item]],supercb[Bairro],mercado2)</f>
        <v>0</v>
      </c>
      <c r="N136" s="1">
        <f>SUMIFS(super1[Qtde],super1[Item],tab_alimentos[[#This Row],[Item]],super1[Bairro],mercado3)+SUMIFS(supercb[Qtde],supercb[Item],tab_alimentos[[#This Row],[Item]],supercb[Bairro],mercado3)</f>
        <v>0</v>
      </c>
      <c r="O136" s="1">
        <f>SUMIFS(super1[Qtde],super1[Item],tab_alimentos[[#This Row],[Item]],super1[Bairro],mercado4)+SUMIFS(supercb[Qtde],supercb[Item],tab_alimentos[[#This Row],[Item]],supercb[Bairro],mercado4)</f>
        <v>0</v>
      </c>
      <c r="P136" s="1">
        <f>SUMIFS(super1[Qtde],super1[Item],tab_alimentos[[#This Row],[Item]],super1[Bairro],mercado5)+SUMIFS(supercb[Qtde],supercb[Item],tab_alimentos[[#This Row],[Item]],supercb[Bairro],mercado5)</f>
        <v>0</v>
      </c>
      <c r="Q136" s="1">
        <f>SUMIFS(super1[Qtde],super1[Item],tab_alimentos[[#This Row],[Item]],super1[Bairro],mercado6)+SUMIFS(supercb[Qtde],supercb[Item],tab_alimentos[[#This Row],[Item]],supercb[Bairro],mercado6)</f>
        <v>0</v>
      </c>
      <c r="R136" s="1">
        <f>SUMIFS(super1[Qtde],super1[Item],tab_alimentos[[#This Row],[Item]],super1[Bairro],mercado7)+SUMIFS(supercb[Qtde],supercb[Item],tab_alimentos[[#This Row],[Item]],supercb[Bairro],mercado7)</f>
        <v>0</v>
      </c>
      <c r="S136" s="1">
        <f>SUMIFS(super1[Qtde],super1[Item],tab_alimentos[[#This Row],[Item]],super1[Bairro],mercado8)+SUMIFS(supercb[Qtde],supercb[Item],tab_alimentos[[#This Row],[Item]],supercb[Bairro],mercado8)</f>
        <v>0</v>
      </c>
      <c r="T136" s="1">
        <f>SUMIFS(super1[Qtde],super1[Item],tab_alimentos[[#This Row],[Item]],super1[Bairro],mercado9)+SUMIFS(supercb[Qtde],supercb[Item],tab_alimentos[[#This Row],[Item]],supercb[Bairro],mercado9)</f>
        <v>0</v>
      </c>
      <c r="U136" s="1">
        <f>SUMIFS(super1[Qtde],super1[Item],tab_alimentos[[#This Row],[Item]],super1[Bairro],mercado10)+SUMIFS(supercb[Qtde],supercb[Item],tab_alimentos[[#This Row],[Item]],supercb[Bairro],mercado10)</f>
        <v>0</v>
      </c>
      <c r="V136" s="1">
        <f>SUMIFS(super1[Qtde],super1[Item],tab_alimentos[[#This Row],[Item]],super1[Bairro],mercado11)+SUMIFS(supercb[Qtde],supercb[Item],tab_alimentos[[#This Row],[Item]],supercb[Bairro],mercado11)</f>
        <v>0</v>
      </c>
      <c r="W136" s="1">
        <f>SUMIFS(super1[Qtde],super1[Item],tab_alimentos[[#This Row],[Item]],super1[Bairro],mercado12)+SUMIFS(supercb[Qtde],supercb[Item],tab_alimentos[[#This Row],[Item]],supercb[Bairro],mercado12)</f>
        <v>0</v>
      </c>
      <c r="X136" s="1">
        <f>SUMIFS(super1[Qtde],super1[Item],tab_alimentos[[#This Row],[Item]],super1[Bairro],mercado13)+SUMIFS(supercb[Qtde],supercb[Item],tab_alimentos[[#This Row],[Item]],supercb[Bairro],mercado13)</f>
        <v>0</v>
      </c>
      <c r="Y136" s="1">
        <f>SUMIFS(super1[Qtde],super1[Item],tab_alimentos[[#This Row],[Item]],super1[Bairro],mercado14)+SUMIFS(supercb[Qtde],supercb[Item],tab_alimentos[[#This Row],[Item]],supercb[Bairro],mercado14)</f>
        <v>0</v>
      </c>
      <c r="Z136" s="1">
        <f>SUMIFS(super1[Qtde],super1[Item],tab_alimentos[[#This Row],[Item]],super1[Bairro],mercado15)+SUMIFS(supercb[Qtde],supercb[Item],tab_alimentos[[#This Row],[Item]],supercb[Bairro],mercado15)</f>
        <v>0</v>
      </c>
      <c r="AA136" s="1">
        <f>SUMIFS(super1[Qtde],super1[Item],tab_alimentos[[#This Row],[Item]],super1[Bairro],mercado16)+SUMIFS(supercb[Qtde],supercb[Item],tab_alimentos[[#This Row],[Item]],supercb[Bairro],mercado16)</f>
        <v>0</v>
      </c>
      <c r="AB136" s="1">
        <f>SUMIFS(super1[Qtde],super1[Item],tab_alimentos[[#This Row],[Item]],super1[Bairro],mercado17)+SUMIFS(supercb[Qtde],supercb[Item],tab_alimentos[[#This Row],[Item]],supercb[Bairro],mercado17)</f>
        <v>0</v>
      </c>
      <c r="AC136" s="1">
        <f>SUMIFS(super1[Qtde],super1[Item],tab_alimentos[[#This Row],[Item]],super1[Bairro],mercado18)+SUMIFS(supercb[Qtde],supercb[Item],tab_alimentos[[#This Row],[Item]],supercb[Bairro],mercado18)</f>
        <v>0</v>
      </c>
      <c r="AD136" s="1">
        <f>SUMIFS(super1[Qtde],super1[Item],tab_alimentos[[#This Row],[Item]],super1[Bairro],extras)+SUMIFS(supercb[Qtde],supercb[Item],tab_alimentos[[#This Row],[Item]],supercb[Bairro],extras)</f>
        <v>0</v>
      </c>
      <c r="AE136" s="1">
        <f t="shared" si="47"/>
        <v>0</v>
      </c>
      <c r="AF136" s="1">
        <f t="shared" si="48"/>
        <v>0</v>
      </c>
      <c r="AG136" s="26">
        <f t="shared" si="49"/>
        <v>0</v>
      </c>
      <c r="AH136" s="25" t="str">
        <f>higiene[[#This Row],[Item]]</f>
        <v>Limpador(2L)</v>
      </c>
      <c r="AI136" s="18">
        <f>IFERROR(higiene[[#This Row],[Kg equivalente]],0)</f>
        <v>4.0725606212366099</v>
      </c>
      <c r="AJ136" s="18">
        <f>IFERROR(higiene[[#This Row],[Preço por produto]],0)</f>
        <v>13.49</v>
      </c>
      <c r="AK136" s="1">
        <f>SUMIFS(super1[Qtde],super1[Item],tab_higiene[[#This Row],[Item]],super1[Bairro],mercado1)+SUMIFS(supercb[Qtde],supercb[Item],tab_higiene[[#This Row],[Item]],supercb[Bairro],mercado1)</f>
        <v>0</v>
      </c>
      <c r="AL136" s="1">
        <f>SUMIFS(super1[Qtde],super1[Item],tab_higiene[[#This Row],[Item]],super1[Bairro],mercado2)+SUMIFS(supercb[Qtde],supercb[Item],tab_higiene[[#This Row],[Item]],supercb[Bairro],mercado2)</f>
        <v>0</v>
      </c>
      <c r="AM136" s="1">
        <f>SUMIFS(super1[Qtde],super1[Item],tab_higiene[[#This Row],[Item]],super1[Bairro],mercado3)+SUMIFS(supercb[Qtde],supercb[Item],tab_higiene[[#This Row],[Item]],supercb[Bairro],mercado3)</f>
        <v>0</v>
      </c>
      <c r="AN136" s="1">
        <f>SUMIFS(super1[Qtde],super1[Item],tab_higiene[[#This Row],[Item]],super1[Bairro],mercado4)+SUMIFS(supercb[Qtde],supercb[Item],tab_higiene[[#This Row],[Item]],supercb[Bairro],mercado4)</f>
        <v>0</v>
      </c>
      <c r="AO136" s="1">
        <f>SUMIFS(super1[Qtde],super1[Item],tab_higiene[[#This Row],[Item]],super1[Bairro],mercado5)+SUMIFS(supercb[Qtde],supercb[Item],tab_higiene[[#This Row],[Item]],supercb[Bairro],mercado5)</f>
        <v>0</v>
      </c>
      <c r="AP136" s="1">
        <f>SUMIFS(super1[Qtde],super1[Item],tab_higiene[[#This Row],[Item]],super1[Bairro],mercado6)+SUMIFS(supercb[Qtde],supercb[Item],tab_higiene[[#This Row],[Item]],supercb[Bairro],mercado6)</f>
        <v>0</v>
      </c>
      <c r="AQ136" s="1">
        <f>SUMIFS(super1[Qtde],super1[Item],tab_higiene[[#This Row],[Item]],super1[Bairro],mercado7)+SUMIFS(supercb[Qtde],supercb[Item],tab_higiene[[#This Row],[Item]],supercb[Bairro],mercado7)</f>
        <v>0</v>
      </c>
      <c r="AR136" s="1">
        <f>SUMIFS(super1[Qtde],super1[Item],tab_higiene[[#This Row],[Item]],super1[Bairro],mercado8)+SUMIFS(supercb[Qtde],supercb[Item],tab_higiene[[#This Row],[Item]],supercb[Bairro],mercado8)</f>
        <v>0</v>
      </c>
      <c r="AS136" s="1">
        <f>SUMIFS(super1[Qtde],super1[Item],tab_higiene[[#This Row],[Item]],super1[Bairro],mercado9)+SUMIFS(supercb[Qtde],supercb[Item],tab_higiene[[#This Row],[Item]],supercb[Bairro],mercado9)</f>
        <v>0</v>
      </c>
      <c r="AT136" s="1">
        <f>SUMIFS(super1[Qtde],super1[Item],tab_higiene[[#This Row],[Item]],super1[Bairro],mercado10)+SUMIFS(supercb[Qtde],supercb[Item],tab_higiene[[#This Row],[Item]],supercb[Bairro],mercado10)</f>
        <v>0</v>
      </c>
      <c r="AU136" s="1">
        <f>SUMIFS(super1[Qtde],super1[Item],tab_higiene[[#This Row],[Item]],super1[Bairro],mercado11)+SUMIFS(supercb[Qtde],supercb[Item],tab_higiene[[#This Row],[Item]],supercb[Bairro],mercado11)</f>
        <v>0</v>
      </c>
      <c r="AV136" s="1">
        <f>SUMIFS(super1[Qtde],super1[Item],tab_higiene[[#This Row],[Item]],super1[Bairro],mercado12)+SUMIFS(supercb[Qtde],supercb[Item],tab_higiene[[#This Row],[Item]],supercb[Bairro],mercado12)</f>
        <v>0</v>
      </c>
      <c r="AW136" s="1">
        <f>SUMIFS(super1[Qtde],super1[Item],tab_higiene[[#This Row],[Item]],super1[Bairro],mercado13)+SUMIFS(supercb[Qtde],supercb[Item],tab_higiene[[#This Row],[Item]],supercb[Bairro],mercado13)</f>
        <v>0</v>
      </c>
      <c r="AX136" s="1">
        <f>SUMIFS(super1[Qtde],super1[Item],tab_higiene[[#This Row],[Item]],super1[Bairro],mercado14)+SUMIFS(supercb[Qtde],supercb[Item],tab_higiene[[#This Row],[Item]],supercb[Bairro],mercado14)</f>
        <v>0</v>
      </c>
      <c r="AY136" s="1">
        <f>SUMIFS(super1[Qtde],super1[Item],tab_higiene[[#This Row],[Item]],super1[Bairro],mercado15)+SUMIFS(supercb[Qtde],supercb[Item],tab_higiene[[#This Row],[Item]],supercb[Bairro],mercado15)</f>
        <v>0</v>
      </c>
      <c r="AZ136" s="1">
        <f>SUMIFS(super1[Qtde],super1[Item],tab_higiene[[#This Row],[Item]],super1[Bairro],mercado16)+SUMIFS(supercb[Qtde],supercb[Item],tab_higiene[[#This Row],[Item]],supercb[Bairro],mercado16)</f>
        <v>0</v>
      </c>
      <c r="BA136" s="1">
        <f>SUMIFS(super1[Qtde],super1[Item],tab_higiene[[#This Row],[Item]],super1[Bairro],mercado17)+SUMIFS(supercb[Qtde],supercb[Item],tab_higiene[[#This Row],[Item]],supercb[Bairro],mercado17)</f>
        <v>0</v>
      </c>
      <c r="BB136" s="1">
        <f>SUMIFS(super1[Qtde],super1[Item],tab_higiene[[#This Row],[Item]],super1[Bairro],mercado18)+SUMIFS(supercb[Qtde],supercb[Item],tab_higiene[[#This Row],[Item]],supercb[Bairro],mercado18)</f>
        <v>0</v>
      </c>
      <c r="BC136" s="1">
        <f>SUMIFS(super1[Qtde],super1[Item],tab_higiene[[#This Row],[Item]],super1[Bairro],extras)+SUMIFS(supercb[Qtde],supercb[Item],tab_higiene[[#This Row],[Item]],supercb[Bairro],extras)</f>
        <v>0</v>
      </c>
      <c r="BD136" s="1">
        <f t="shared" si="50"/>
        <v>0</v>
      </c>
      <c r="BE136" s="1">
        <f t="shared" si="51"/>
        <v>0</v>
      </c>
      <c r="BF136" s="26">
        <f t="shared" si="52"/>
        <v>0</v>
      </c>
      <c r="BI136" s="33" t="str">
        <f>tab_alimentos[[#This Row],[Item]]</f>
        <v>Goiabada (300g)</v>
      </c>
      <c r="BJ136" s="33">
        <f t="shared" si="45"/>
        <v>9</v>
      </c>
      <c r="BK136" s="33" t="str">
        <f t="shared" si="46"/>
        <v>Goiabada</v>
      </c>
      <c r="BL136" s="33">
        <f>tab_alimentos[[#This Row],[kg]]</f>
        <v>0</v>
      </c>
      <c r="BN136" s="35">
        <f t="shared" si="56"/>
        <v>0</v>
      </c>
      <c r="BP136" s="33" t="str">
        <f>tab_higiene[[#This Row],[Item]]</f>
        <v>Limpador(2L)</v>
      </c>
      <c r="BQ136" s="33">
        <f t="shared" si="53"/>
        <v>0</v>
      </c>
      <c r="BR136" s="33" t="str">
        <f t="shared" si="54"/>
        <v>Limpador(2L)</v>
      </c>
      <c r="BS136" s="33">
        <f>higiene[[#This Row],[Quantidade]]</f>
        <v>5</v>
      </c>
      <c r="BT136" s="33">
        <f>tab_higiene[Qtde (tot)]</f>
        <v>0</v>
      </c>
      <c r="BU136" s="33">
        <f t="shared" si="57"/>
        <v>0</v>
      </c>
      <c r="BW136" s="33">
        <f t="shared" si="58"/>
        <v>0</v>
      </c>
    </row>
    <row r="137" spans="9:75" x14ac:dyDescent="0.25">
      <c r="I137" s="25" t="str">
        <f>alimentos[[#This Row],[Item]]</f>
        <v>Goiabada (400g)</v>
      </c>
      <c r="J137" s="1">
        <f>IFERROR(alimentos[[#This Row],[kg/embalagem]],0)</f>
        <v>0.4</v>
      </c>
      <c r="K137" s="18">
        <f>IFERROR(alimentos[[#This Row],[Preço]],0)</f>
        <v>3.83</v>
      </c>
      <c r="L137" s="1">
        <f>SUMIFS(super1[Qtde],super1[Item],tab_alimentos[[#This Row],[Item]],super1[Bairro],mercado1)+SUMIFS(supercb[Qtde],supercb[Item],tab_alimentos[[#This Row],[Item]],supercb[Bairro],mercado1)</f>
        <v>0</v>
      </c>
      <c r="M137" s="1">
        <f>SUMIFS(super1[Qtde],super1[Item],tab_alimentos[[#This Row],[Item]],super1[Bairro],mercado2)+SUMIFS(supercb[Qtde],supercb[Item],tab_alimentos[[#This Row],[Item]],supercb[Bairro],mercado2)</f>
        <v>0</v>
      </c>
      <c r="N137" s="1">
        <f>SUMIFS(super1[Qtde],super1[Item],tab_alimentos[[#This Row],[Item]],super1[Bairro],mercado3)+SUMIFS(supercb[Qtde],supercb[Item],tab_alimentos[[#This Row],[Item]],supercb[Bairro],mercado3)</f>
        <v>1</v>
      </c>
      <c r="O137" s="1">
        <f>SUMIFS(super1[Qtde],super1[Item],tab_alimentos[[#This Row],[Item]],super1[Bairro],mercado4)+SUMIFS(supercb[Qtde],supercb[Item],tab_alimentos[[#This Row],[Item]],supercb[Bairro],mercado4)</f>
        <v>0</v>
      </c>
      <c r="P137" s="1">
        <f>SUMIFS(super1[Qtde],super1[Item],tab_alimentos[[#This Row],[Item]],super1[Bairro],mercado5)+SUMIFS(supercb[Qtde],supercb[Item],tab_alimentos[[#This Row],[Item]],supercb[Bairro],mercado5)</f>
        <v>0</v>
      </c>
      <c r="Q137" s="1">
        <f>SUMIFS(super1[Qtde],super1[Item],tab_alimentos[[#This Row],[Item]],super1[Bairro],mercado6)+SUMIFS(supercb[Qtde],supercb[Item],tab_alimentos[[#This Row],[Item]],supercb[Bairro],mercado6)</f>
        <v>0</v>
      </c>
      <c r="R137" s="1">
        <f>SUMIFS(super1[Qtde],super1[Item],tab_alimentos[[#This Row],[Item]],super1[Bairro],mercado7)+SUMIFS(supercb[Qtde],supercb[Item],tab_alimentos[[#This Row],[Item]],supercb[Bairro],mercado7)</f>
        <v>0</v>
      </c>
      <c r="S137" s="1">
        <f>SUMIFS(super1[Qtde],super1[Item],tab_alimentos[[#This Row],[Item]],super1[Bairro],mercado8)+SUMIFS(supercb[Qtde],supercb[Item],tab_alimentos[[#This Row],[Item]],supercb[Bairro],mercado8)</f>
        <v>0</v>
      </c>
      <c r="T137" s="1">
        <f>SUMIFS(super1[Qtde],super1[Item],tab_alimentos[[#This Row],[Item]],super1[Bairro],mercado9)+SUMIFS(supercb[Qtde],supercb[Item],tab_alimentos[[#This Row],[Item]],supercb[Bairro],mercado9)</f>
        <v>0</v>
      </c>
      <c r="U137" s="1">
        <f>SUMIFS(super1[Qtde],super1[Item],tab_alimentos[[#This Row],[Item]],super1[Bairro],mercado10)+SUMIFS(supercb[Qtde],supercb[Item],tab_alimentos[[#This Row],[Item]],supercb[Bairro],mercado10)</f>
        <v>0</v>
      </c>
      <c r="V137" s="1">
        <f>SUMIFS(super1[Qtde],super1[Item],tab_alimentos[[#This Row],[Item]],super1[Bairro],mercado11)+SUMIFS(supercb[Qtde],supercb[Item],tab_alimentos[[#This Row],[Item]],supercb[Bairro],mercado11)</f>
        <v>0</v>
      </c>
      <c r="W137" s="1">
        <f>SUMIFS(super1[Qtde],super1[Item],tab_alimentos[[#This Row],[Item]],super1[Bairro],mercado12)+SUMIFS(supercb[Qtde],supercb[Item],tab_alimentos[[#This Row],[Item]],supercb[Bairro],mercado12)</f>
        <v>0</v>
      </c>
      <c r="X137" s="1">
        <f>SUMIFS(super1[Qtde],super1[Item],tab_alimentos[[#This Row],[Item]],super1[Bairro],mercado13)+SUMIFS(supercb[Qtde],supercb[Item],tab_alimentos[[#This Row],[Item]],supercb[Bairro],mercado13)</f>
        <v>0</v>
      </c>
      <c r="Y137" s="1">
        <f>SUMIFS(super1[Qtde],super1[Item],tab_alimentos[[#This Row],[Item]],super1[Bairro],mercado14)+SUMIFS(supercb[Qtde],supercb[Item],tab_alimentos[[#This Row],[Item]],supercb[Bairro],mercado14)</f>
        <v>0</v>
      </c>
      <c r="Z137" s="1">
        <f>SUMIFS(super1[Qtde],super1[Item],tab_alimentos[[#This Row],[Item]],super1[Bairro],mercado15)+SUMIFS(supercb[Qtde],supercb[Item],tab_alimentos[[#This Row],[Item]],supercb[Bairro],mercado15)</f>
        <v>0</v>
      </c>
      <c r="AA137" s="1">
        <f>SUMIFS(super1[Qtde],super1[Item],tab_alimentos[[#This Row],[Item]],super1[Bairro],mercado16)+SUMIFS(supercb[Qtde],supercb[Item],tab_alimentos[[#This Row],[Item]],supercb[Bairro],mercado16)</f>
        <v>0</v>
      </c>
      <c r="AB137" s="1">
        <f>SUMIFS(super1[Qtde],super1[Item],tab_alimentos[[#This Row],[Item]],super1[Bairro],mercado17)+SUMIFS(supercb[Qtde],supercb[Item],tab_alimentos[[#This Row],[Item]],supercb[Bairro],mercado17)</f>
        <v>0</v>
      </c>
      <c r="AC137" s="1">
        <f>SUMIFS(super1[Qtde],super1[Item],tab_alimentos[[#This Row],[Item]],super1[Bairro],mercado18)+SUMIFS(supercb[Qtde],supercb[Item],tab_alimentos[[#This Row],[Item]],supercb[Bairro],mercado18)</f>
        <v>0</v>
      </c>
      <c r="AD137" s="1">
        <f>SUMIFS(super1[Qtde],super1[Item],tab_alimentos[[#This Row],[Item]],super1[Bairro],extras)+SUMIFS(supercb[Qtde],supercb[Item],tab_alimentos[[#This Row],[Item]],supercb[Bairro],extras)</f>
        <v>0</v>
      </c>
      <c r="AE137" s="1">
        <f t="shared" si="47"/>
        <v>1</v>
      </c>
      <c r="AF137" s="1">
        <f t="shared" si="48"/>
        <v>3.83</v>
      </c>
      <c r="AG137" s="26">
        <f t="shared" si="49"/>
        <v>0.4</v>
      </c>
      <c r="AH137" s="25" t="str">
        <f>higiene[[#This Row],[Item]]</f>
        <v>Limpador(500ml)</v>
      </c>
      <c r="AI137" s="18">
        <f>IFERROR(higiene[[#This Row],[Kg equivalente]],0)</f>
        <v>1.283052827298413</v>
      </c>
      <c r="AJ137" s="18">
        <f>IFERROR(higiene[[#This Row],[Preço por produto]],0)</f>
        <v>4.25</v>
      </c>
      <c r="AK137" s="1">
        <f>SUMIFS(super1[Qtde],super1[Item],tab_higiene[[#This Row],[Item]],super1[Bairro],mercado1)+SUMIFS(supercb[Qtde],supercb[Item],tab_higiene[[#This Row],[Item]],supercb[Bairro],mercado1)</f>
        <v>0</v>
      </c>
      <c r="AL137" s="1">
        <f>SUMIFS(super1[Qtde],super1[Item],tab_higiene[[#This Row],[Item]],super1[Bairro],mercado2)+SUMIFS(supercb[Qtde],supercb[Item],tab_higiene[[#This Row],[Item]],supercb[Bairro],mercado2)</f>
        <v>0</v>
      </c>
      <c r="AM137" s="1">
        <f>SUMIFS(super1[Qtde],super1[Item],tab_higiene[[#This Row],[Item]],super1[Bairro],mercado3)+SUMIFS(supercb[Qtde],supercb[Item],tab_higiene[[#This Row],[Item]],supercb[Bairro],mercado3)</f>
        <v>0</v>
      </c>
      <c r="AN137" s="1">
        <f>SUMIFS(super1[Qtde],super1[Item],tab_higiene[[#This Row],[Item]],super1[Bairro],mercado4)+SUMIFS(supercb[Qtde],supercb[Item],tab_higiene[[#This Row],[Item]],supercb[Bairro],mercado4)</f>
        <v>0</v>
      </c>
      <c r="AO137" s="1">
        <f>SUMIFS(super1[Qtde],super1[Item],tab_higiene[[#This Row],[Item]],super1[Bairro],mercado5)+SUMIFS(supercb[Qtde],supercb[Item],tab_higiene[[#This Row],[Item]],supercb[Bairro],mercado5)</f>
        <v>0</v>
      </c>
      <c r="AP137" s="1">
        <f>SUMIFS(super1[Qtde],super1[Item],tab_higiene[[#This Row],[Item]],super1[Bairro],mercado6)+SUMIFS(supercb[Qtde],supercb[Item],tab_higiene[[#This Row],[Item]],supercb[Bairro],mercado6)</f>
        <v>0</v>
      </c>
      <c r="AQ137" s="1">
        <f>SUMIFS(super1[Qtde],super1[Item],tab_higiene[[#This Row],[Item]],super1[Bairro],mercado7)+SUMIFS(supercb[Qtde],supercb[Item],tab_higiene[[#This Row],[Item]],supercb[Bairro],mercado7)</f>
        <v>0</v>
      </c>
      <c r="AR137" s="1">
        <f>SUMIFS(super1[Qtde],super1[Item],tab_higiene[[#This Row],[Item]],super1[Bairro],mercado8)+SUMIFS(supercb[Qtde],supercb[Item],tab_higiene[[#This Row],[Item]],supercb[Bairro],mercado8)</f>
        <v>3</v>
      </c>
      <c r="AS137" s="1">
        <f>SUMIFS(super1[Qtde],super1[Item],tab_higiene[[#This Row],[Item]],super1[Bairro],mercado9)+SUMIFS(supercb[Qtde],supercb[Item],tab_higiene[[#This Row],[Item]],supercb[Bairro],mercado9)</f>
        <v>1</v>
      </c>
      <c r="AT137" s="1">
        <f>SUMIFS(super1[Qtde],super1[Item],tab_higiene[[#This Row],[Item]],super1[Bairro],mercado10)+SUMIFS(supercb[Qtde],supercb[Item],tab_higiene[[#This Row],[Item]],supercb[Bairro],mercado10)</f>
        <v>1</v>
      </c>
      <c r="AU137" s="1">
        <f>SUMIFS(super1[Qtde],super1[Item],tab_higiene[[#This Row],[Item]],super1[Bairro],mercado11)+SUMIFS(supercb[Qtde],supercb[Item],tab_higiene[[#This Row],[Item]],supercb[Bairro],mercado11)</f>
        <v>2</v>
      </c>
      <c r="AV137" s="1">
        <f>SUMIFS(super1[Qtde],super1[Item],tab_higiene[[#This Row],[Item]],super1[Bairro],mercado12)+SUMIFS(supercb[Qtde],supercb[Item],tab_higiene[[#This Row],[Item]],supercb[Bairro],mercado12)</f>
        <v>0</v>
      </c>
      <c r="AW137" s="1">
        <f>SUMIFS(super1[Qtde],super1[Item],tab_higiene[[#This Row],[Item]],super1[Bairro],mercado13)+SUMIFS(supercb[Qtde],supercb[Item],tab_higiene[[#This Row],[Item]],supercb[Bairro],mercado13)</f>
        <v>2</v>
      </c>
      <c r="AX137" s="1">
        <f>SUMIFS(super1[Qtde],super1[Item],tab_higiene[[#This Row],[Item]],super1[Bairro],mercado14)+SUMIFS(supercb[Qtde],supercb[Item],tab_higiene[[#This Row],[Item]],supercb[Bairro],mercado14)</f>
        <v>0</v>
      </c>
      <c r="AY137" s="1">
        <f>SUMIFS(super1[Qtde],super1[Item],tab_higiene[[#This Row],[Item]],super1[Bairro],mercado15)+SUMIFS(supercb[Qtde],supercb[Item],tab_higiene[[#This Row],[Item]],supercb[Bairro],mercado15)</f>
        <v>0</v>
      </c>
      <c r="AZ137" s="1">
        <f>SUMIFS(super1[Qtde],super1[Item],tab_higiene[[#This Row],[Item]],super1[Bairro],mercado16)+SUMIFS(supercb[Qtde],supercb[Item],tab_higiene[[#This Row],[Item]],supercb[Bairro],mercado16)</f>
        <v>0</v>
      </c>
      <c r="BA137" s="1">
        <f>SUMIFS(super1[Qtde],super1[Item],tab_higiene[[#This Row],[Item]],super1[Bairro],mercado17)+SUMIFS(supercb[Qtde],supercb[Item],tab_higiene[[#This Row],[Item]],supercb[Bairro],mercado17)</f>
        <v>0</v>
      </c>
      <c r="BB137" s="1">
        <f>SUMIFS(super1[Qtde],super1[Item],tab_higiene[[#This Row],[Item]],super1[Bairro],mercado18)+SUMIFS(supercb[Qtde],supercb[Item],tab_higiene[[#This Row],[Item]],supercb[Bairro],mercado18)</f>
        <v>0</v>
      </c>
      <c r="BC137" s="1">
        <f>SUMIFS(super1[Qtde],super1[Item],tab_higiene[[#This Row],[Item]],super1[Bairro],extras)+SUMIFS(supercb[Qtde],supercb[Item],tab_higiene[[#This Row],[Item]],supercb[Bairro],extras)</f>
        <v>0</v>
      </c>
      <c r="BD137" s="1">
        <f t="shared" si="50"/>
        <v>9</v>
      </c>
      <c r="BE137" s="1">
        <f t="shared" si="51"/>
        <v>38.25</v>
      </c>
      <c r="BF137" s="26">
        <f t="shared" si="52"/>
        <v>11.547475445685716</v>
      </c>
      <c r="BI137" s="33" t="str">
        <f>tab_alimentos[[#This Row],[Item]]</f>
        <v>Goiabada (400g)</v>
      </c>
      <c r="BJ137" s="33">
        <f t="shared" si="45"/>
        <v>9</v>
      </c>
      <c r="BK137" s="33" t="str">
        <f t="shared" si="46"/>
        <v>Goiabada</v>
      </c>
      <c r="BL137" s="33">
        <f>tab_alimentos[[#This Row],[kg]]</f>
        <v>0.4</v>
      </c>
      <c r="BN137" s="35">
        <f t="shared" si="56"/>
        <v>0</v>
      </c>
      <c r="BP137" s="33" t="str">
        <f>tab_higiene[[#This Row],[Item]]</f>
        <v>Limpador(500ml)</v>
      </c>
      <c r="BQ137" s="33">
        <f t="shared" si="53"/>
        <v>0</v>
      </c>
      <c r="BR137" s="33" t="str">
        <f t="shared" si="54"/>
        <v>Limpador(500ml)</v>
      </c>
      <c r="BS137" s="33">
        <f>higiene[[#This Row],[Quantidade]]</f>
        <v>1</v>
      </c>
      <c r="BT137" s="33">
        <f>tab_higiene[Qtde (tot)]</f>
        <v>9</v>
      </c>
      <c r="BU137" s="33">
        <f t="shared" si="57"/>
        <v>9</v>
      </c>
      <c r="BW137" s="33">
        <f t="shared" si="58"/>
        <v>0</v>
      </c>
    </row>
    <row r="138" spans="9:75" x14ac:dyDescent="0.25">
      <c r="I138" s="25" t="str">
        <f>alimentos[[#This Row],[Item]]</f>
        <v>Goiabada (500g)</v>
      </c>
      <c r="J138" s="1">
        <f>IFERROR(alimentos[[#This Row],[kg/embalagem]],0)</f>
        <v>0.5</v>
      </c>
      <c r="K138" s="18">
        <f>IFERROR(alimentos[[#This Row],[Preço]],0)</f>
        <v>6.0150000000000006</v>
      </c>
      <c r="L138" s="1">
        <f>SUMIFS(super1[Qtde],super1[Item],tab_alimentos[[#This Row],[Item]],super1[Bairro],mercado1)+SUMIFS(supercb[Qtde],supercb[Item],tab_alimentos[[#This Row],[Item]],supercb[Bairro],mercado1)</f>
        <v>0</v>
      </c>
      <c r="M138" s="1">
        <f>SUMIFS(super1[Qtde],super1[Item],tab_alimentos[[#This Row],[Item]],super1[Bairro],mercado2)+SUMIFS(supercb[Qtde],supercb[Item],tab_alimentos[[#This Row],[Item]],supercb[Bairro],mercado2)</f>
        <v>0</v>
      </c>
      <c r="N138" s="1">
        <f>SUMIFS(super1[Qtde],super1[Item],tab_alimentos[[#This Row],[Item]],super1[Bairro],mercado3)+SUMIFS(supercb[Qtde],supercb[Item],tab_alimentos[[#This Row],[Item]],supercb[Bairro],mercado3)</f>
        <v>0</v>
      </c>
      <c r="O138" s="1">
        <f>SUMIFS(super1[Qtde],super1[Item],tab_alimentos[[#This Row],[Item]],super1[Bairro],mercado4)+SUMIFS(supercb[Qtde],supercb[Item],tab_alimentos[[#This Row],[Item]],supercb[Bairro],mercado4)</f>
        <v>0</v>
      </c>
      <c r="P138" s="1">
        <f>SUMIFS(super1[Qtde],super1[Item],tab_alimentos[[#This Row],[Item]],super1[Bairro],mercado5)+SUMIFS(supercb[Qtde],supercb[Item],tab_alimentos[[#This Row],[Item]],supercb[Bairro],mercado5)</f>
        <v>0</v>
      </c>
      <c r="Q138" s="1">
        <f>SUMIFS(super1[Qtde],super1[Item],tab_alimentos[[#This Row],[Item]],super1[Bairro],mercado6)+SUMIFS(supercb[Qtde],supercb[Item],tab_alimentos[[#This Row],[Item]],supercb[Bairro],mercado6)</f>
        <v>0</v>
      </c>
      <c r="R138" s="1">
        <f>SUMIFS(super1[Qtde],super1[Item],tab_alimentos[[#This Row],[Item]],super1[Bairro],mercado7)+SUMIFS(supercb[Qtde],supercb[Item],tab_alimentos[[#This Row],[Item]],supercb[Bairro],mercado7)</f>
        <v>0</v>
      </c>
      <c r="S138" s="1">
        <f>SUMIFS(super1[Qtde],super1[Item],tab_alimentos[[#This Row],[Item]],super1[Bairro],mercado8)+SUMIFS(supercb[Qtde],supercb[Item],tab_alimentos[[#This Row],[Item]],supercb[Bairro],mercado8)</f>
        <v>0</v>
      </c>
      <c r="T138" s="1">
        <f>SUMIFS(super1[Qtde],super1[Item],tab_alimentos[[#This Row],[Item]],super1[Bairro],mercado9)+SUMIFS(supercb[Qtde],supercb[Item],tab_alimentos[[#This Row],[Item]],supercb[Bairro],mercado9)</f>
        <v>0</v>
      </c>
      <c r="U138" s="1">
        <f>SUMIFS(super1[Qtde],super1[Item],tab_alimentos[[#This Row],[Item]],super1[Bairro],mercado10)+SUMIFS(supercb[Qtde],supercb[Item],tab_alimentos[[#This Row],[Item]],supercb[Bairro],mercado10)</f>
        <v>0</v>
      </c>
      <c r="V138" s="1">
        <f>SUMIFS(super1[Qtde],super1[Item],tab_alimentos[[#This Row],[Item]],super1[Bairro],mercado11)+SUMIFS(supercb[Qtde],supercb[Item],tab_alimentos[[#This Row],[Item]],supercb[Bairro],mercado11)</f>
        <v>0</v>
      </c>
      <c r="W138" s="1">
        <f>SUMIFS(super1[Qtde],super1[Item],tab_alimentos[[#This Row],[Item]],super1[Bairro],mercado12)+SUMIFS(supercb[Qtde],supercb[Item],tab_alimentos[[#This Row],[Item]],supercb[Bairro],mercado12)</f>
        <v>0</v>
      </c>
      <c r="X138" s="1">
        <f>SUMIFS(super1[Qtde],super1[Item],tab_alimentos[[#This Row],[Item]],super1[Bairro],mercado13)+SUMIFS(supercb[Qtde],supercb[Item],tab_alimentos[[#This Row],[Item]],supercb[Bairro],mercado13)</f>
        <v>0</v>
      </c>
      <c r="Y138" s="1">
        <f>SUMIFS(super1[Qtde],super1[Item],tab_alimentos[[#This Row],[Item]],super1[Bairro],mercado14)+SUMIFS(supercb[Qtde],supercb[Item],tab_alimentos[[#This Row],[Item]],supercb[Bairro],mercado14)</f>
        <v>0</v>
      </c>
      <c r="Z138" s="1">
        <f>SUMIFS(super1[Qtde],super1[Item],tab_alimentos[[#This Row],[Item]],super1[Bairro],mercado15)+SUMIFS(supercb[Qtde],supercb[Item],tab_alimentos[[#This Row],[Item]],supercb[Bairro],mercado15)</f>
        <v>0</v>
      </c>
      <c r="AA138" s="1">
        <f>SUMIFS(super1[Qtde],super1[Item],tab_alimentos[[#This Row],[Item]],super1[Bairro],mercado16)+SUMIFS(supercb[Qtde],supercb[Item],tab_alimentos[[#This Row],[Item]],supercb[Bairro],mercado16)</f>
        <v>0</v>
      </c>
      <c r="AB138" s="1">
        <f>SUMIFS(super1[Qtde],super1[Item],tab_alimentos[[#This Row],[Item]],super1[Bairro],mercado17)+SUMIFS(supercb[Qtde],supercb[Item],tab_alimentos[[#This Row],[Item]],supercb[Bairro],mercado17)</f>
        <v>0</v>
      </c>
      <c r="AC138" s="1">
        <f>SUMIFS(super1[Qtde],super1[Item],tab_alimentos[[#This Row],[Item]],super1[Bairro],mercado18)+SUMIFS(supercb[Qtde],supercb[Item],tab_alimentos[[#This Row],[Item]],supercb[Bairro],mercado18)</f>
        <v>0</v>
      </c>
      <c r="AD138" s="1">
        <f>SUMIFS(super1[Qtde],super1[Item],tab_alimentos[[#This Row],[Item]],super1[Bairro],extras)+SUMIFS(supercb[Qtde],supercb[Item],tab_alimentos[[#This Row],[Item]],supercb[Bairro],extras)</f>
        <v>0</v>
      </c>
      <c r="AE138" s="1">
        <f t="shared" si="47"/>
        <v>0</v>
      </c>
      <c r="AF138" s="1">
        <f t="shared" si="48"/>
        <v>0</v>
      </c>
      <c r="AG138" s="26">
        <f t="shared" si="49"/>
        <v>0</v>
      </c>
      <c r="AH138" s="25" t="str">
        <f>higiene[[#This Row],[Item]]</f>
        <v>M</v>
      </c>
      <c r="AI138" s="18">
        <f>IFERROR(higiene[[#This Row],[Kg equivalente]],0)</f>
        <v>0</v>
      </c>
      <c r="AJ138" s="18" t="str">
        <f>IFERROR(higiene[[#This Row],[Preço por produto]],0)</f>
        <v/>
      </c>
      <c r="AK138" s="1">
        <f>SUMIFS(super1[Qtde],super1[Item],tab_higiene[[#This Row],[Item]],super1[Bairro],mercado1)+SUMIFS(supercb[Qtde],supercb[Item],tab_higiene[[#This Row],[Item]],supercb[Bairro],mercado1)</f>
        <v>0</v>
      </c>
      <c r="AL138" s="1">
        <f>SUMIFS(super1[Qtde],super1[Item],tab_higiene[[#This Row],[Item]],super1[Bairro],mercado2)+SUMIFS(supercb[Qtde],supercb[Item],tab_higiene[[#This Row],[Item]],supercb[Bairro],mercado2)</f>
        <v>0</v>
      </c>
      <c r="AM138" s="1">
        <f>SUMIFS(super1[Qtde],super1[Item],tab_higiene[[#This Row],[Item]],super1[Bairro],mercado3)+SUMIFS(supercb[Qtde],supercb[Item],tab_higiene[[#This Row],[Item]],supercb[Bairro],mercado3)</f>
        <v>0</v>
      </c>
      <c r="AN138" s="1">
        <f>SUMIFS(super1[Qtde],super1[Item],tab_higiene[[#This Row],[Item]],super1[Bairro],mercado4)+SUMIFS(supercb[Qtde],supercb[Item],tab_higiene[[#This Row],[Item]],supercb[Bairro],mercado4)</f>
        <v>0</v>
      </c>
      <c r="AO138" s="1">
        <f>SUMIFS(super1[Qtde],super1[Item],tab_higiene[[#This Row],[Item]],super1[Bairro],mercado5)+SUMIFS(supercb[Qtde],supercb[Item],tab_higiene[[#This Row],[Item]],supercb[Bairro],mercado5)</f>
        <v>0</v>
      </c>
      <c r="AP138" s="1">
        <f>SUMIFS(super1[Qtde],super1[Item],tab_higiene[[#This Row],[Item]],super1[Bairro],mercado6)+SUMIFS(supercb[Qtde],supercb[Item],tab_higiene[[#This Row],[Item]],supercb[Bairro],mercado6)</f>
        <v>0</v>
      </c>
      <c r="AQ138" s="1">
        <f>SUMIFS(super1[Qtde],super1[Item],tab_higiene[[#This Row],[Item]],super1[Bairro],mercado7)+SUMIFS(supercb[Qtde],supercb[Item],tab_higiene[[#This Row],[Item]],supercb[Bairro],mercado7)</f>
        <v>0</v>
      </c>
      <c r="AR138" s="1">
        <f>SUMIFS(super1[Qtde],super1[Item],tab_higiene[[#This Row],[Item]],super1[Bairro],mercado8)+SUMIFS(supercb[Qtde],supercb[Item],tab_higiene[[#This Row],[Item]],supercb[Bairro],mercado8)</f>
        <v>0</v>
      </c>
      <c r="AS138" s="1">
        <f>SUMIFS(super1[Qtde],super1[Item],tab_higiene[[#This Row],[Item]],super1[Bairro],mercado9)+SUMIFS(supercb[Qtde],supercb[Item],tab_higiene[[#This Row],[Item]],supercb[Bairro],mercado9)</f>
        <v>0</v>
      </c>
      <c r="AT138" s="1">
        <f>SUMIFS(super1[Qtde],super1[Item],tab_higiene[[#This Row],[Item]],super1[Bairro],mercado10)+SUMIFS(supercb[Qtde],supercb[Item],tab_higiene[[#This Row],[Item]],supercb[Bairro],mercado10)</f>
        <v>0</v>
      </c>
      <c r="AU138" s="1">
        <f>SUMIFS(super1[Qtde],super1[Item],tab_higiene[[#This Row],[Item]],super1[Bairro],mercado11)+SUMIFS(supercb[Qtde],supercb[Item],tab_higiene[[#This Row],[Item]],supercb[Bairro],mercado11)</f>
        <v>0</v>
      </c>
      <c r="AV138" s="1">
        <f>SUMIFS(super1[Qtde],super1[Item],tab_higiene[[#This Row],[Item]],super1[Bairro],mercado12)+SUMIFS(supercb[Qtde],supercb[Item],tab_higiene[[#This Row],[Item]],supercb[Bairro],mercado12)</f>
        <v>0</v>
      </c>
      <c r="AW138" s="1">
        <f>SUMIFS(super1[Qtde],super1[Item],tab_higiene[[#This Row],[Item]],super1[Bairro],mercado13)+SUMIFS(supercb[Qtde],supercb[Item],tab_higiene[[#This Row],[Item]],supercb[Bairro],mercado13)</f>
        <v>0</v>
      </c>
      <c r="AX138" s="1">
        <f>SUMIFS(super1[Qtde],super1[Item],tab_higiene[[#This Row],[Item]],super1[Bairro],mercado14)+SUMIFS(supercb[Qtde],supercb[Item],tab_higiene[[#This Row],[Item]],supercb[Bairro],mercado14)</f>
        <v>0</v>
      </c>
      <c r="AY138" s="1">
        <f>SUMIFS(super1[Qtde],super1[Item],tab_higiene[[#This Row],[Item]],super1[Bairro],mercado15)+SUMIFS(supercb[Qtde],supercb[Item],tab_higiene[[#This Row],[Item]],supercb[Bairro],mercado15)</f>
        <v>0</v>
      </c>
      <c r="AZ138" s="1">
        <f>SUMIFS(super1[Qtde],super1[Item],tab_higiene[[#This Row],[Item]],super1[Bairro],mercado16)+SUMIFS(supercb[Qtde],supercb[Item],tab_higiene[[#This Row],[Item]],supercb[Bairro],mercado16)</f>
        <v>0</v>
      </c>
      <c r="BA138" s="1">
        <f>SUMIFS(super1[Qtde],super1[Item],tab_higiene[[#This Row],[Item]],super1[Bairro],mercado17)+SUMIFS(supercb[Qtde],supercb[Item],tab_higiene[[#This Row],[Item]],supercb[Bairro],mercado17)</f>
        <v>0</v>
      </c>
      <c r="BB138" s="1">
        <f>SUMIFS(super1[Qtde],super1[Item],tab_higiene[[#This Row],[Item]],super1[Bairro],mercado18)+SUMIFS(supercb[Qtde],supercb[Item],tab_higiene[[#This Row],[Item]],supercb[Bairro],mercado18)</f>
        <v>0</v>
      </c>
      <c r="BC138" s="1">
        <f>SUMIFS(super1[Qtde],super1[Item],tab_higiene[[#This Row],[Item]],super1[Bairro],extras)+SUMIFS(supercb[Qtde],supercb[Item],tab_higiene[[#This Row],[Item]],supercb[Bairro],extras)</f>
        <v>0</v>
      </c>
      <c r="BD138" s="1">
        <f t="shared" si="50"/>
        <v>0</v>
      </c>
      <c r="BE138" s="1">
        <f t="shared" si="51"/>
        <v>0</v>
      </c>
      <c r="BF138" s="26">
        <f t="shared" si="52"/>
        <v>0</v>
      </c>
      <c r="BI138" s="33" t="str">
        <f>tab_alimentos[[#This Row],[Item]]</f>
        <v>Goiabada (500g)</v>
      </c>
      <c r="BJ138" s="33">
        <f t="shared" si="45"/>
        <v>9</v>
      </c>
      <c r="BK138" s="33" t="str">
        <f t="shared" si="46"/>
        <v>Goiabada</v>
      </c>
      <c r="BL138" s="33">
        <f>tab_alimentos[[#This Row],[kg]]</f>
        <v>0</v>
      </c>
      <c r="BN138" s="35">
        <f t="shared" si="56"/>
        <v>0</v>
      </c>
      <c r="BP138" s="33" t="str">
        <f>tab_higiene[[#This Row],[Item]]</f>
        <v>M</v>
      </c>
      <c r="BQ138" s="33">
        <f t="shared" si="53"/>
        <v>0</v>
      </c>
      <c r="BR138" s="33" t="str">
        <f t="shared" si="54"/>
        <v>M</v>
      </c>
      <c r="BS138" s="33">
        <f>higiene[[#This Row],[Quantidade]]</f>
        <v>0.18</v>
      </c>
      <c r="BT138" s="33">
        <f>tab_higiene[Qtde (tot)]</f>
        <v>0</v>
      </c>
      <c r="BU138" s="33">
        <f t="shared" si="57"/>
        <v>0</v>
      </c>
      <c r="BW138" s="33">
        <f t="shared" si="58"/>
        <v>0</v>
      </c>
    </row>
    <row r="139" spans="9:75" x14ac:dyDescent="0.25">
      <c r="I139" s="25" t="str">
        <f>alimentos[[#This Row],[Item]]</f>
        <v>Granulado (130g)</v>
      </c>
      <c r="J139" s="1">
        <f>IFERROR(alimentos[[#This Row],[kg/embalagem]],0)</f>
        <v>0.13</v>
      </c>
      <c r="K139" s="18">
        <f>IFERROR(alimentos[[#This Row],[Preço]],0)</f>
        <v>3.49</v>
      </c>
      <c r="L139" s="1">
        <f>SUMIFS(super1[Qtde],super1[Item],tab_alimentos[[#This Row],[Item]],super1[Bairro],mercado1)+SUMIFS(supercb[Qtde],supercb[Item],tab_alimentos[[#This Row],[Item]],supercb[Bairro],mercado1)</f>
        <v>0</v>
      </c>
      <c r="M139" s="1">
        <f>SUMIFS(super1[Qtde],super1[Item],tab_alimentos[[#This Row],[Item]],super1[Bairro],mercado2)+SUMIFS(supercb[Qtde],supercb[Item],tab_alimentos[[#This Row],[Item]],supercb[Bairro],mercado2)</f>
        <v>0</v>
      </c>
      <c r="N139" s="1">
        <f>SUMIFS(super1[Qtde],super1[Item],tab_alimentos[[#This Row],[Item]],super1[Bairro],mercado3)+SUMIFS(supercb[Qtde],supercb[Item],tab_alimentos[[#This Row],[Item]],supercb[Bairro],mercado3)</f>
        <v>0</v>
      </c>
      <c r="O139" s="1">
        <f>SUMIFS(super1[Qtde],super1[Item],tab_alimentos[[#This Row],[Item]],super1[Bairro],mercado4)+SUMIFS(supercb[Qtde],supercb[Item],tab_alimentos[[#This Row],[Item]],supercb[Bairro],mercado4)</f>
        <v>0</v>
      </c>
      <c r="P139" s="1">
        <f>SUMIFS(super1[Qtde],super1[Item],tab_alimentos[[#This Row],[Item]],super1[Bairro],mercado5)+SUMIFS(supercb[Qtde],supercb[Item],tab_alimentos[[#This Row],[Item]],supercb[Bairro],mercado5)</f>
        <v>0</v>
      </c>
      <c r="Q139" s="1">
        <f>SUMIFS(super1[Qtde],super1[Item],tab_alimentos[[#This Row],[Item]],super1[Bairro],mercado6)+SUMIFS(supercb[Qtde],supercb[Item],tab_alimentos[[#This Row],[Item]],supercb[Bairro],mercado6)</f>
        <v>0</v>
      </c>
      <c r="R139" s="1">
        <f>SUMIFS(super1[Qtde],super1[Item],tab_alimentos[[#This Row],[Item]],super1[Bairro],mercado7)+SUMIFS(supercb[Qtde],supercb[Item],tab_alimentos[[#This Row],[Item]],supercb[Bairro],mercado7)</f>
        <v>0</v>
      </c>
      <c r="S139" s="1">
        <f>SUMIFS(super1[Qtde],super1[Item],tab_alimentos[[#This Row],[Item]],super1[Bairro],mercado8)+SUMIFS(supercb[Qtde],supercb[Item],tab_alimentos[[#This Row],[Item]],supercb[Bairro],mercado8)</f>
        <v>0</v>
      </c>
      <c r="T139" s="1">
        <f>SUMIFS(super1[Qtde],super1[Item],tab_alimentos[[#This Row],[Item]],super1[Bairro],mercado9)+SUMIFS(supercb[Qtde],supercb[Item],tab_alimentos[[#This Row],[Item]],supercb[Bairro],mercado9)</f>
        <v>0</v>
      </c>
      <c r="U139" s="1">
        <f>SUMIFS(super1[Qtde],super1[Item],tab_alimentos[[#This Row],[Item]],super1[Bairro],mercado10)+SUMIFS(supercb[Qtde],supercb[Item],tab_alimentos[[#This Row],[Item]],supercb[Bairro],mercado10)</f>
        <v>0</v>
      </c>
      <c r="V139" s="1">
        <f>SUMIFS(super1[Qtde],super1[Item],tab_alimentos[[#This Row],[Item]],super1[Bairro],mercado11)+SUMIFS(supercb[Qtde],supercb[Item],tab_alimentos[[#This Row],[Item]],supercb[Bairro],mercado11)</f>
        <v>0</v>
      </c>
      <c r="W139" s="1">
        <f>SUMIFS(super1[Qtde],super1[Item],tab_alimentos[[#This Row],[Item]],super1[Bairro],mercado12)+SUMIFS(supercb[Qtde],supercb[Item],tab_alimentos[[#This Row],[Item]],supercb[Bairro],mercado12)</f>
        <v>0</v>
      </c>
      <c r="X139" s="1">
        <f>SUMIFS(super1[Qtde],super1[Item],tab_alimentos[[#This Row],[Item]],super1[Bairro],mercado13)+SUMIFS(supercb[Qtde],supercb[Item],tab_alimentos[[#This Row],[Item]],supercb[Bairro],mercado13)</f>
        <v>0</v>
      </c>
      <c r="Y139" s="1">
        <f>SUMIFS(super1[Qtde],super1[Item],tab_alimentos[[#This Row],[Item]],super1[Bairro],mercado14)+SUMIFS(supercb[Qtde],supercb[Item],tab_alimentos[[#This Row],[Item]],supercb[Bairro],mercado14)</f>
        <v>0</v>
      </c>
      <c r="Z139" s="1">
        <f>SUMIFS(super1[Qtde],super1[Item],tab_alimentos[[#This Row],[Item]],super1[Bairro],mercado15)+SUMIFS(supercb[Qtde],supercb[Item],tab_alimentos[[#This Row],[Item]],supercb[Bairro],mercado15)</f>
        <v>0</v>
      </c>
      <c r="AA139" s="1">
        <f>SUMIFS(super1[Qtde],super1[Item],tab_alimentos[[#This Row],[Item]],super1[Bairro],mercado16)+SUMIFS(supercb[Qtde],supercb[Item],tab_alimentos[[#This Row],[Item]],supercb[Bairro],mercado16)</f>
        <v>0</v>
      </c>
      <c r="AB139" s="1">
        <f>SUMIFS(super1[Qtde],super1[Item],tab_alimentos[[#This Row],[Item]],super1[Bairro],mercado17)+SUMIFS(supercb[Qtde],supercb[Item],tab_alimentos[[#This Row],[Item]],supercb[Bairro],mercado17)</f>
        <v>0</v>
      </c>
      <c r="AC139" s="1">
        <f>SUMIFS(super1[Qtde],super1[Item],tab_alimentos[[#This Row],[Item]],super1[Bairro],mercado18)+SUMIFS(supercb[Qtde],supercb[Item],tab_alimentos[[#This Row],[Item]],supercb[Bairro],mercado18)</f>
        <v>0</v>
      </c>
      <c r="AD139" s="1">
        <f>SUMIFS(super1[Qtde],super1[Item],tab_alimentos[[#This Row],[Item]],super1[Bairro],extras)+SUMIFS(supercb[Qtde],supercb[Item],tab_alimentos[[#This Row],[Item]],supercb[Bairro],extras)</f>
        <v>0</v>
      </c>
      <c r="AE139" s="1">
        <f t="shared" si="47"/>
        <v>0</v>
      </c>
      <c r="AF139" s="1">
        <f t="shared" si="48"/>
        <v>0</v>
      </c>
      <c r="AG139" s="26">
        <f t="shared" si="49"/>
        <v>0</v>
      </c>
      <c r="AH139" s="25" t="str">
        <f>higiene[[#This Row],[Item]]</f>
        <v>multiuso</v>
      </c>
      <c r="AI139" s="18">
        <f>IFERROR(higiene[[#This Row],[Kg equivalente]],0)</f>
        <v>2.8981899157799447</v>
      </c>
      <c r="AJ139" s="18">
        <f>IFERROR(higiene[[#This Row],[Preço por produto]],0)</f>
        <v>9.6</v>
      </c>
      <c r="AK139" s="18">
        <f>SUMIFS(super1[Qtde],super1[Item],tab_higiene[[#This Row],[Item]],super1[Bairro],mercado1)+SUMIFS(supercb[Qtde],supercb[Item],tab_higiene[[#This Row],[Item]],supercb[Bairro],mercado1)</f>
        <v>0</v>
      </c>
      <c r="AL139" s="18">
        <f>SUMIFS(super1[Qtde],super1[Item],tab_higiene[[#This Row],[Item]],super1[Bairro],mercado2)+SUMIFS(supercb[Qtde],supercb[Item],tab_higiene[[#This Row],[Item]],supercb[Bairro],mercado2)</f>
        <v>0</v>
      </c>
      <c r="AM139" s="18">
        <f>SUMIFS(super1[Qtde],super1[Item],tab_higiene[[#This Row],[Item]],super1[Bairro],mercado3)+SUMIFS(supercb[Qtde],supercb[Item],tab_higiene[[#This Row],[Item]],supercb[Bairro],mercado3)</f>
        <v>0</v>
      </c>
      <c r="AN139" s="18">
        <f>SUMIFS(super1[Qtde],super1[Item],tab_higiene[[#This Row],[Item]],super1[Bairro],mercado4)+SUMIFS(supercb[Qtde],supercb[Item],tab_higiene[[#This Row],[Item]],supercb[Bairro],mercado4)</f>
        <v>0</v>
      </c>
      <c r="AO139" s="18">
        <f>SUMIFS(super1[Qtde],super1[Item],tab_higiene[[#This Row],[Item]],super1[Bairro],mercado5)+SUMIFS(supercb[Qtde],supercb[Item],tab_higiene[[#This Row],[Item]],supercb[Bairro],mercado5)</f>
        <v>0</v>
      </c>
      <c r="AP139" s="18">
        <f>SUMIFS(super1[Qtde],super1[Item],tab_higiene[[#This Row],[Item]],super1[Bairro],mercado6)+SUMIFS(supercb[Qtde],supercb[Item],tab_higiene[[#This Row],[Item]],supercb[Bairro],mercado6)</f>
        <v>0</v>
      </c>
      <c r="AQ139" s="18">
        <f>SUMIFS(super1[Qtde],super1[Item],tab_higiene[[#This Row],[Item]],super1[Bairro],mercado7)+SUMIFS(supercb[Qtde],supercb[Item],tab_higiene[[#This Row],[Item]],supercb[Bairro],mercado7)</f>
        <v>0</v>
      </c>
      <c r="AR139" s="18">
        <f>SUMIFS(super1[Qtde],super1[Item],tab_higiene[[#This Row],[Item]],super1[Bairro],mercado8)+SUMIFS(supercb[Qtde],supercb[Item],tab_higiene[[#This Row],[Item]],supercb[Bairro],mercado8)</f>
        <v>0</v>
      </c>
      <c r="AS139" s="18">
        <f>SUMIFS(super1[Qtde],super1[Item],tab_higiene[[#This Row],[Item]],super1[Bairro],mercado9)+SUMIFS(supercb[Qtde],supercb[Item],tab_higiene[[#This Row],[Item]],supercb[Bairro],mercado9)</f>
        <v>0</v>
      </c>
      <c r="AT139" s="18">
        <f>SUMIFS(super1[Qtde],super1[Item],tab_higiene[[#This Row],[Item]],super1[Bairro],mercado10)+SUMIFS(supercb[Qtde],supercb[Item],tab_higiene[[#This Row],[Item]],supercb[Bairro],mercado10)</f>
        <v>2</v>
      </c>
      <c r="AU139" s="18">
        <f>SUMIFS(super1[Qtde],super1[Item],tab_higiene[[#This Row],[Item]],super1[Bairro],mercado11)+SUMIFS(supercb[Qtde],supercb[Item],tab_higiene[[#This Row],[Item]],supercb[Bairro],mercado11)</f>
        <v>0</v>
      </c>
      <c r="AV139" s="18">
        <f>SUMIFS(super1[Qtde],super1[Item],tab_higiene[[#This Row],[Item]],super1[Bairro],mercado12)+SUMIFS(supercb[Qtde],supercb[Item],tab_higiene[[#This Row],[Item]],supercb[Bairro],mercado12)</f>
        <v>0</v>
      </c>
      <c r="AW139" s="18">
        <f>SUMIFS(super1[Qtde],super1[Item],tab_higiene[[#This Row],[Item]],super1[Bairro],mercado13)+SUMIFS(supercb[Qtde],supercb[Item],tab_higiene[[#This Row],[Item]],supercb[Bairro],mercado13)</f>
        <v>0</v>
      </c>
      <c r="AX139" s="18">
        <f>SUMIFS(super1[Qtde],super1[Item],tab_higiene[[#This Row],[Item]],super1[Bairro],mercado14)+SUMIFS(supercb[Qtde],supercb[Item],tab_higiene[[#This Row],[Item]],supercb[Bairro],mercado14)</f>
        <v>0</v>
      </c>
      <c r="AY139" s="18">
        <f>SUMIFS(super1[Qtde],super1[Item],tab_higiene[[#This Row],[Item]],super1[Bairro],mercado15)+SUMIFS(supercb[Qtde],supercb[Item],tab_higiene[[#This Row],[Item]],supercb[Bairro],mercado15)</f>
        <v>0</v>
      </c>
      <c r="AZ139" s="18">
        <f>SUMIFS(super1[Qtde],super1[Item],tab_higiene[[#This Row],[Item]],super1[Bairro],mercado16)+SUMIFS(supercb[Qtde],supercb[Item],tab_higiene[[#This Row],[Item]],supercb[Bairro],mercado16)</f>
        <v>0</v>
      </c>
      <c r="BA139" s="18">
        <f>SUMIFS(super1[Qtde],super1[Item],tab_higiene[[#This Row],[Item]],super1[Bairro],mercado17)+SUMIFS(supercb[Qtde],supercb[Item],tab_higiene[[#This Row],[Item]],supercb[Bairro],mercado17)</f>
        <v>0</v>
      </c>
      <c r="BB139" s="18">
        <f>SUMIFS(super1[Qtde],super1[Item],tab_higiene[[#This Row],[Item]],super1[Bairro],mercado18)+SUMIFS(supercb[Qtde],supercb[Item],tab_higiene[[#This Row],[Item]],supercb[Bairro],mercado18)</f>
        <v>0</v>
      </c>
      <c r="BC139" s="18">
        <f>SUMIFS(super1[Qtde],super1[Item],tab_higiene[[#This Row],[Item]],super1[Bairro],extras)+SUMIFS(supercb[Qtde],supercb[Item],tab_higiene[[#This Row],[Item]],supercb[Bairro],extras)</f>
        <v>0</v>
      </c>
      <c r="BD139" s="1">
        <f t="shared" ref="BD139:BD154" si="59">SUM(AK139:BB139)</f>
        <v>2</v>
      </c>
      <c r="BE139" s="1">
        <f t="shared" ref="BE139:BE154" si="60">IFERROR(BD139*AJ139,0)</f>
        <v>19.2</v>
      </c>
      <c r="BF139" s="26">
        <f t="shared" ref="BF139:BF154" si="61">IFERROR(AI139*BD139,0)</f>
        <v>5.7963798315598893</v>
      </c>
      <c r="BI139" s="33" t="str">
        <f>tab_alimentos[[#This Row],[Item]]</f>
        <v>Granulado (130g)</v>
      </c>
      <c r="BJ139" s="33">
        <f t="shared" si="45"/>
        <v>10</v>
      </c>
      <c r="BK139" s="33" t="str">
        <f t="shared" si="46"/>
        <v>Granulado</v>
      </c>
      <c r="BL139" s="33">
        <f>tab_alimentos[[#This Row],[kg]]</f>
        <v>0</v>
      </c>
      <c r="BN139" s="35">
        <f t="shared" si="56"/>
        <v>0</v>
      </c>
      <c r="BP139" s="33" t="str">
        <f>tab_higiene[[#This Row],[Item]]</f>
        <v>multiuso</v>
      </c>
      <c r="BQ139" s="33">
        <f t="shared" si="53"/>
        <v>0</v>
      </c>
      <c r="BR139" s="33" t="str">
        <f t="shared" si="54"/>
        <v>multiuso</v>
      </c>
      <c r="BS139" s="33">
        <f>higiene[[#This Row],[Quantidade]]</f>
        <v>4</v>
      </c>
      <c r="BT139" s="33">
        <f>tab_higiene[Qtde (tot)]</f>
        <v>2</v>
      </c>
      <c r="BU139" s="33">
        <f t="shared" si="57"/>
        <v>8</v>
      </c>
      <c r="BW139" s="33">
        <f t="shared" si="58"/>
        <v>0</v>
      </c>
    </row>
    <row r="140" spans="9:75" x14ac:dyDescent="0.25">
      <c r="I140" s="25" t="str">
        <f>alimentos[[#This Row],[Item]]</f>
        <v>Granulado (150g)</v>
      </c>
      <c r="J140" s="1">
        <f>IFERROR(alimentos[[#This Row],[kg/embalagem]],0)</f>
        <v>0.15</v>
      </c>
      <c r="K140" s="18">
        <f>IFERROR(alimentos[[#This Row],[Preço]],0)</f>
        <v>3.49</v>
      </c>
      <c r="L140" s="1">
        <f>SUMIFS(super1[Qtde],super1[Item],tab_alimentos[[#This Row],[Item]],super1[Bairro],mercado1)+SUMIFS(supercb[Qtde],supercb[Item],tab_alimentos[[#This Row],[Item]],supercb[Bairro],mercado1)</f>
        <v>0</v>
      </c>
      <c r="M140" s="1">
        <f>SUMIFS(super1[Qtde],super1[Item],tab_alimentos[[#This Row],[Item]],super1[Bairro],mercado2)+SUMIFS(supercb[Qtde],supercb[Item],tab_alimentos[[#This Row],[Item]],supercb[Bairro],mercado2)</f>
        <v>0</v>
      </c>
      <c r="N140" s="1">
        <f>SUMIFS(super1[Qtde],super1[Item],tab_alimentos[[#This Row],[Item]],super1[Bairro],mercado3)+SUMIFS(supercb[Qtde],supercb[Item],tab_alimentos[[#This Row],[Item]],supercb[Bairro],mercado3)</f>
        <v>0</v>
      </c>
      <c r="O140" s="1">
        <f>SUMIFS(super1[Qtde],super1[Item],tab_alimentos[[#This Row],[Item]],super1[Bairro],mercado4)+SUMIFS(supercb[Qtde],supercb[Item],tab_alimentos[[#This Row],[Item]],supercb[Bairro],mercado4)</f>
        <v>0</v>
      </c>
      <c r="P140" s="1">
        <f>SUMIFS(super1[Qtde],super1[Item],tab_alimentos[[#This Row],[Item]],super1[Bairro],mercado5)+SUMIFS(supercb[Qtde],supercb[Item],tab_alimentos[[#This Row],[Item]],supercb[Bairro],mercado5)</f>
        <v>0</v>
      </c>
      <c r="Q140" s="1">
        <f>SUMIFS(super1[Qtde],super1[Item],tab_alimentos[[#This Row],[Item]],super1[Bairro],mercado6)+SUMIFS(supercb[Qtde],supercb[Item],tab_alimentos[[#This Row],[Item]],supercb[Bairro],mercado6)</f>
        <v>0</v>
      </c>
      <c r="R140" s="1">
        <f>SUMIFS(super1[Qtde],super1[Item],tab_alimentos[[#This Row],[Item]],super1[Bairro],mercado7)+SUMIFS(supercb[Qtde],supercb[Item],tab_alimentos[[#This Row],[Item]],supercb[Bairro],mercado7)</f>
        <v>0</v>
      </c>
      <c r="S140" s="1">
        <f>SUMIFS(super1[Qtde],super1[Item],tab_alimentos[[#This Row],[Item]],super1[Bairro],mercado8)+SUMIFS(supercb[Qtde],supercb[Item],tab_alimentos[[#This Row],[Item]],supercb[Bairro],mercado8)</f>
        <v>0</v>
      </c>
      <c r="T140" s="1">
        <f>SUMIFS(super1[Qtde],super1[Item],tab_alimentos[[#This Row],[Item]],super1[Bairro],mercado9)+SUMIFS(supercb[Qtde],supercb[Item],tab_alimentos[[#This Row],[Item]],supercb[Bairro],mercado9)</f>
        <v>0</v>
      </c>
      <c r="U140" s="1">
        <f>SUMIFS(super1[Qtde],super1[Item],tab_alimentos[[#This Row],[Item]],super1[Bairro],mercado10)+SUMIFS(supercb[Qtde],supercb[Item],tab_alimentos[[#This Row],[Item]],supercb[Bairro],mercado10)</f>
        <v>0</v>
      </c>
      <c r="V140" s="1">
        <f>SUMIFS(super1[Qtde],super1[Item],tab_alimentos[[#This Row],[Item]],super1[Bairro],mercado11)+SUMIFS(supercb[Qtde],supercb[Item],tab_alimentos[[#This Row],[Item]],supercb[Bairro],mercado11)</f>
        <v>0</v>
      </c>
      <c r="W140" s="1">
        <f>SUMIFS(super1[Qtde],super1[Item],tab_alimentos[[#This Row],[Item]],super1[Bairro],mercado12)+SUMIFS(supercb[Qtde],supercb[Item],tab_alimentos[[#This Row],[Item]],supercb[Bairro],mercado12)</f>
        <v>0</v>
      </c>
      <c r="X140" s="1">
        <f>SUMIFS(super1[Qtde],super1[Item],tab_alimentos[[#This Row],[Item]],super1[Bairro],mercado13)+SUMIFS(supercb[Qtde],supercb[Item],tab_alimentos[[#This Row],[Item]],supercb[Bairro],mercado13)</f>
        <v>0</v>
      </c>
      <c r="Y140" s="1">
        <f>SUMIFS(super1[Qtde],super1[Item],tab_alimentos[[#This Row],[Item]],super1[Bairro],mercado14)+SUMIFS(supercb[Qtde],supercb[Item],tab_alimentos[[#This Row],[Item]],supercb[Bairro],mercado14)</f>
        <v>0</v>
      </c>
      <c r="Z140" s="1">
        <f>SUMIFS(super1[Qtde],super1[Item],tab_alimentos[[#This Row],[Item]],super1[Bairro],mercado15)+SUMIFS(supercb[Qtde],supercb[Item],tab_alimentos[[#This Row],[Item]],supercb[Bairro],mercado15)</f>
        <v>0</v>
      </c>
      <c r="AA140" s="1">
        <f>SUMIFS(super1[Qtde],super1[Item],tab_alimentos[[#This Row],[Item]],super1[Bairro],mercado16)+SUMIFS(supercb[Qtde],supercb[Item],tab_alimentos[[#This Row],[Item]],supercb[Bairro],mercado16)</f>
        <v>0</v>
      </c>
      <c r="AB140" s="1">
        <f>SUMIFS(super1[Qtde],super1[Item],tab_alimentos[[#This Row],[Item]],super1[Bairro],mercado17)+SUMIFS(supercb[Qtde],supercb[Item],tab_alimentos[[#This Row],[Item]],supercb[Bairro],mercado17)</f>
        <v>0</v>
      </c>
      <c r="AC140" s="1">
        <f>SUMIFS(super1[Qtde],super1[Item],tab_alimentos[[#This Row],[Item]],super1[Bairro],mercado18)+SUMIFS(supercb[Qtde],supercb[Item],tab_alimentos[[#This Row],[Item]],supercb[Bairro],mercado18)</f>
        <v>0</v>
      </c>
      <c r="AD140" s="1">
        <f>SUMIFS(super1[Qtde],super1[Item],tab_alimentos[[#This Row],[Item]],super1[Bairro],extras)+SUMIFS(supercb[Qtde],supercb[Item],tab_alimentos[[#This Row],[Item]],supercb[Bairro],extras)</f>
        <v>0</v>
      </c>
      <c r="AE140" s="1">
        <f t="shared" si="47"/>
        <v>0</v>
      </c>
      <c r="AF140" s="1">
        <f t="shared" si="48"/>
        <v>0</v>
      </c>
      <c r="AG140" s="26">
        <f t="shared" si="49"/>
        <v>0</v>
      </c>
      <c r="AH140" s="25" t="str">
        <f>higiene[[#This Row],[Item]]</f>
        <v>Multiuso (1L)</v>
      </c>
      <c r="AI140" s="18">
        <f>IFERROR(higiene[[#This Row],[Kg equivalente]],0)</f>
        <v>2.714034098214761</v>
      </c>
      <c r="AJ140" s="18">
        <f>IFERROR(higiene[[#This Row],[Preço por produto]],0)</f>
        <v>8.99</v>
      </c>
      <c r="AK140" s="18">
        <f>SUMIFS(super1[Qtde],super1[Item],tab_higiene[[#This Row],[Item]],super1[Bairro],mercado1)+SUMIFS(supercb[Qtde],supercb[Item],tab_higiene[[#This Row],[Item]],supercb[Bairro],mercado1)</f>
        <v>0</v>
      </c>
      <c r="AL140" s="18">
        <f>SUMIFS(super1[Qtde],super1[Item],tab_higiene[[#This Row],[Item]],super1[Bairro],mercado2)+SUMIFS(supercb[Qtde],supercb[Item],tab_higiene[[#This Row],[Item]],supercb[Bairro],mercado2)</f>
        <v>0</v>
      </c>
      <c r="AM140" s="18">
        <f>SUMIFS(super1[Qtde],super1[Item],tab_higiene[[#This Row],[Item]],super1[Bairro],mercado3)+SUMIFS(supercb[Qtde],supercb[Item],tab_higiene[[#This Row],[Item]],supercb[Bairro],mercado3)</f>
        <v>0</v>
      </c>
      <c r="AN140" s="18">
        <f>SUMIFS(super1[Qtde],super1[Item],tab_higiene[[#This Row],[Item]],super1[Bairro],mercado4)+SUMIFS(supercb[Qtde],supercb[Item],tab_higiene[[#This Row],[Item]],supercb[Bairro],mercado4)</f>
        <v>0</v>
      </c>
      <c r="AO140" s="18">
        <f>SUMIFS(super1[Qtde],super1[Item],tab_higiene[[#This Row],[Item]],super1[Bairro],mercado5)+SUMIFS(supercb[Qtde],supercb[Item],tab_higiene[[#This Row],[Item]],supercb[Bairro],mercado5)</f>
        <v>0</v>
      </c>
      <c r="AP140" s="18">
        <f>SUMIFS(super1[Qtde],super1[Item],tab_higiene[[#This Row],[Item]],super1[Bairro],mercado6)+SUMIFS(supercb[Qtde],supercb[Item],tab_higiene[[#This Row],[Item]],supercb[Bairro],mercado6)</f>
        <v>0</v>
      </c>
      <c r="AQ140" s="18">
        <f>SUMIFS(super1[Qtde],super1[Item],tab_higiene[[#This Row],[Item]],super1[Bairro],mercado7)+SUMIFS(supercb[Qtde],supercb[Item],tab_higiene[[#This Row],[Item]],supercb[Bairro],mercado7)</f>
        <v>0</v>
      </c>
      <c r="AR140" s="18">
        <f>SUMIFS(super1[Qtde],super1[Item],tab_higiene[[#This Row],[Item]],super1[Bairro],mercado8)+SUMIFS(supercb[Qtde],supercb[Item],tab_higiene[[#This Row],[Item]],supercb[Bairro],mercado8)</f>
        <v>0</v>
      </c>
      <c r="AS140" s="18">
        <f>SUMIFS(super1[Qtde],super1[Item],tab_higiene[[#This Row],[Item]],super1[Bairro],mercado9)+SUMIFS(supercb[Qtde],supercb[Item],tab_higiene[[#This Row],[Item]],supercb[Bairro],mercado9)</f>
        <v>0</v>
      </c>
      <c r="AT140" s="18">
        <f>SUMIFS(super1[Qtde],super1[Item],tab_higiene[[#This Row],[Item]],super1[Bairro],mercado10)+SUMIFS(supercb[Qtde],supercb[Item],tab_higiene[[#This Row],[Item]],supercb[Bairro],mercado10)</f>
        <v>0</v>
      </c>
      <c r="AU140" s="18">
        <f>SUMIFS(super1[Qtde],super1[Item],tab_higiene[[#This Row],[Item]],super1[Bairro],mercado11)+SUMIFS(supercb[Qtde],supercb[Item],tab_higiene[[#This Row],[Item]],supercb[Bairro],mercado11)</f>
        <v>0</v>
      </c>
      <c r="AV140" s="18">
        <f>SUMIFS(super1[Qtde],super1[Item],tab_higiene[[#This Row],[Item]],super1[Bairro],mercado12)+SUMIFS(supercb[Qtde],supercb[Item],tab_higiene[[#This Row],[Item]],supercb[Bairro],mercado12)</f>
        <v>0</v>
      </c>
      <c r="AW140" s="18">
        <f>SUMIFS(super1[Qtde],super1[Item],tab_higiene[[#This Row],[Item]],super1[Bairro],mercado13)+SUMIFS(supercb[Qtde],supercb[Item],tab_higiene[[#This Row],[Item]],supercb[Bairro],mercado13)</f>
        <v>0</v>
      </c>
      <c r="AX140" s="18">
        <f>SUMIFS(super1[Qtde],super1[Item],tab_higiene[[#This Row],[Item]],super1[Bairro],mercado14)+SUMIFS(supercb[Qtde],supercb[Item],tab_higiene[[#This Row],[Item]],supercb[Bairro],mercado14)</f>
        <v>0</v>
      </c>
      <c r="AY140" s="18">
        <f>SUMIFS(super1[Qtde],super1[Item],tab_higiene[[#This Row],[Item]],super1[Bairro],mercado15)+SUMIFS(supercb[Qtde],supercb[Item],tab_higiene[[#This Row],[Item]],supercb[Bairro],mercado15)</f>
        <v>0</v>
      </c>
      <c r="AZ140" s="18">
        <f>SUMIFS(super1[Qtde],super1[Item],tab_higiene[[#This Row],[Item]],super1[Bairro],mercado16)+SUMIFS(supercb[Qtde],supercb[Item],tab_higiene[[#This Row],[Item]],supercb[Bairro],mercado16)</f>
        <v>0</v>
      </c>
      <c r="BA140" s="18">
        <f>SUMIFS(super1[Qtde],super1[Item],tab_higiene[[#This Row],[Item]],super1[Bairro],mercado17)+SUMIFS(supercb[Qtde],supercb[Item],tab_higiene[[#This Row],[Item]],supercb[Bairro],mercado17)</f>
        <v>0</v>
      </c>
      <c r="BB140" s="18">
        <f>SUMIFS(super1[Qtde],super1[Item],tab_higiene[[#This Row],[Item]],super1[Bairro],mercado18)+SUMIFS(supercb[Qtde],supercb[Item],tab_higiene[[#This Row],[Item]],supercb[Bairro],mercado18)</f>
        <v>0</v>
      </c>
      <c r="BC140" s="18">
        <f>SUMIFS(super1[Qtde],super1[Item],tab_higiene[[#This Row],[Item]],super1[Bairro],extras)+SUMIFS(supercb[Qtde],supercb[Item],tab_higiene[[#This Row],[Item]],supercb[Bairro],extras)</f>
        <v>0</v>
      </c>
      <c r="BD140" s="1">
        <f t="shared" si="59"/>
        <v>0</v>
      </c>
      <c r="BE140" s="1">
        <f t="shared" si="60"/>
        <v>0</v>
      </c>
      <c r="BF140" s="26">
        <f t="shared" si="61"/>
        <v>0</v>
      </c>
      <c r="BI140" s="33" t="str">
        <f>tab_alimentos[[#This Row],[Item]]</f>
        <v>Granulado (150g)</v>
      </c>
      <c r="BJ140" s="33">
        <f t="shared" si="45"/>
        <v>10</v>
      </c>
      <c r="BK140" s="33" t="str">
        <f t="shared" si="46"/>
        <v>Granulado</v>
      </c>
      <c r="BL140" s="33">
        <f>tab_alimentos[[#This Row],[kg]]</f>
        <v>0</v>
      </c>
      <c r="BN140" s="35">
        <f t="shared" si="56"/>
        <v>0</v>
      </c>
      <c r="BP140" s="33" t="str">
        <f>tab_higiene[[#This Row],[Item]]</f>
        <v>Multiuso (1L)</v>
      </c>
      <c r="BQ140" s="33">
        <f t="shared" si="53"/>
        <v>9</v>
      </c>
      <c r="BR140" s="33" t="str">
        <f t="shared" si="54"/>
        <v>Multiuso</v>
      </c>
      <c r="BS140" s="33">
        <f>higiene[[#This Row],[Quantidade]]</f>
        <v>1</v>
      </c>
      <c r="BT140" s="33">
        <f>tab_higiene[Qtde (tot)]</f>
        <v>0</v>
      </c>
      <c r="BU140" s="33">
        <f t="shared" si="57"/>
        <v>0</v>
      </c>
      <c r="BW140" s="33">
        <f t="shared" si="58"/>
        <v>0</v>
      </c>
    </row>
    <row r="141" spans="9:75" x14ac:dyDescent="0.25">
      <c r="I141" s="25" t="str">
        <f>alimentos[[#This Row],[Item]]</f>
        <v>Granulado (1kg)</v>
      </c>
      <c r="J141" s="1">
        <f>IFERROR(alimentos[[#This Row],[kg/embalagem]],0)</f>
        <v>1</v>
      </c>
      <c r="K141" s="18">
        <f>IFERROR(alimentos[[#This Row],[Preço]],0)</f>
        <v>18.21</v>
      </c>
      <c r="L141" s="1">
        <f>SUMIFS(super1[Qtde],super1[Item],tab_alimentos[[#This Row],[Item]],super1[Bairro],mercado1)+SUMIFS(supercb[Qtde],supercb[Item],tab_alimentos[[#This Row],[Item]],supercb[Bairro],mercado1)</f>
        <v>0</v>
      </c>
      <c r="M141" s="1">
        <f>SUMIFS(super1[Qtde],super1[Item],tab_alimentos[[#This Row],[Item]],super1[Bairro],mercado2)+SUMIFS(supercb[Qtde],supercb[Item],tab_alimentos[[#This Row],[Item]],supercb[Bairro],mercado2)</f>
        <v>0</v>
      </c>
      <c r="N141" s="1">
        <f>SUMIFS(super1[Qtde],super1[Item],tab_alimentos[[#This Row],[Item]],super1[Bairro],mercado3)+SUMIFS(supercb[Qtde],supercb[Item],tab_alimentos[[#This Row],[Item]],supercb[Bairro],mercado3)</f>
        <v>0</v>
      </c>
      <c r="O141" s="1">
        <f>SUMIFS(super1[Qtde],super1[Item],tab_alimentos[[#This Row],[Item]],super1[Bairro],mercado4)+SUMIFS(supercb[Qtde],supercb[Item],tab_alimentos[[#This Row],[Item]],supercb[Bairro],mercado4)</f>
        <v>0</v>
      </c>
      <c r="P141" s="1">
        <f>SUMIFS(super1[Qtde],super1[Item],tab_alimentos[[#This Row],[Item]],super1[Bairro],mercado5)+SUMIFS(supercb[Qtde],supercb[Item],tab_alimentos[[#This Row],[Item]],supercb[Bairro],mercado5)</f>
        <v>0</v>
      </c>
      <c r="Q141" s="1">
        <f>SUMIFS(super1[Qtde],super1[Item],tab_alimentos[[#This Row],[Item]],super1[Bairro],mercado6)+SUMIFS(supercb[Qtde],supercb[Item],tab_alimentos[[#This Row],[Item]],supercb[Bairro],mercado6)</f>
        <v>0</v>
      </c>
      <c r="R141" s="1">
        <f>SUMIFS(super1[Qtde],super1[Item],tab_alimentos[[#This Row],[Item]],super1[Bairro],mercado7)+SUMIFS(supercb[Qtde],supercb[Item],tab_alimentos[[#This Row],[Item]],supercb[Bairro],mercado7)</f>
        <v>0</v>
      </c>
      <c r="S141" s="1">
        <f>SUMIFS(super1[Qtde],super1[Item],tab_alimentos[[#This Row],[Item]],super1[Bairro],mercado8)+SUMIFS(supercb[Qtde],supercb[Item],tab_alimentos[[#This Row],[Item]],supercb[Bairro],mercado8)</f>
        <v>0</v>
      </c>
      <c r="T141" s="1">
        <f>SUMIFS(super1[Qtde],super1[Item],tab_alimentos[[#This Row],[Item]],super1[Bairro],mercado9)+SUMIFS(supercb[Qtde],supercb[Item],tab_alimentos[[#This Row],[Item]],supercb[Bairro],mercado9)</f>
        <v>0</v>
      </c>
      <c r="U141" s="1">
        <f>SUMIFS(super1[Qtde],super1[Item],tab_alimentos[[#This Row],[Item]],super1[Bairro],mercado10)+SUMIFS(supercb[Qtde],supercb[Item],tab_alimentos[[#This Row],[Item]],supercb[Bairro],mercado10)</f>
        <v>0</v>
      </c>
      <c r="V141" s="1">
        <f>SUMIFS(super1[Qtde],super1[Item],tab_alimentos[[#This Row],[Item]],super1[Bairro],mercado11)+SUMIFS(supercb[Qtde],supercb[Item],tab_alimentos[[#This Row],[Item]],supercb[Bairro],mercado11)</f>
        <v>0</v>
      </c>
      <c r="W141" s="1">
        <f>SUMIFS(super1[Qtde],super1[Item],tab_alimentos[[#This Row],[Item]],super1[Bairro],mercado12)+SUMIFS(supercb[Qtde],supercb[Item],tab_alimentos[[#This Row],[Item]],supercb[Bairro],mercado12)</f>
        <v>0</v>
      </c>
      <c r="X141" s="1">
        <f>SUMIFS(super1[Qtde],super1[Item],tab_alimentos[[#This Row],[Item]],super1[Bairro],mercado13)+SUMIFS(supercb[Qtde],supercb[Item],tab_alimentos[[#This Row],[Item]],supercb[Bairro],mercado13)</f>
        <v>0</v>
      </c>
      <c r="Y141" s="1">
        <f>SUMIFS(super1[Qtde],super1[Item],tab_alimentos[[#This Row],[Item]],super1[Bairro],mercado14)+SUMIFS(supercb[Qtde],supercb[Item],tab_alimentos[[#This Row],[Item]],supercb[Bairro],mercado14)</f>
        <v>0</v>
      </c>
      <c r="Z141" s="1">
        <f>SUMIFS(super1[Qtde],super1[Item],tab_alimentos[[#This Row],[Item]],super1[Bairro],mercado15)+SUMIFS(supercb[Qtde],supercb[Item],tab_alimentos[[#This Row],[Item]],supercb[Bairro],mercado15)</f>
        <v>0</v>
      </c>
      <c r="AA141" s="1">
        <f>SUMIFS(super1[Qtde],super1[Item],tab_alimentos[[#This Row],[Item]],super1[Bairro],mercado16)+SUMIFS(supercb[Qtde],supercb[Item],tab_alimentos[[#This Row],[Item]],supercb[Bairro],mercado16)</f>
        <v>0</v>
      </c>
      <c r="AB141" s="1">
        <f>SUMIFS(super1[Qtde],super1[Item],tab_alimentos[[#This Row],[Item]],super1[Bairro],mercado17)+SUMIFS(supercb[Qtde],supercb[Item],tab_alimentos[[#This Row],[Item]],supercb[Bairro],mercado17)</f>
        <v>0</v>
      </c>
      <c r="AC141" s="1">
        <f>SUMIFS(super1[Qtde],super1[Item],tab_alimentos[[#This Row],[Item]],super1[Bairro],mercado18)+SUMIFS(supercb[Qtde],supercb[Item],tab_alimentos[[#This Row],[Item]],supercb[Bairro],mercado18)</f>
        <v>0</v>
      </c>
      <c r="AD141" s="1">
        <f>SUMIFS(super1[Qtde],super1[Item],tab_alimentos[[#This Row],[Item]],super1[Bairro],extras)+SUMIFS(supercb[Qtde],supercb[Item],tab_alimentos[[#This Row],[Item]],supercb[Bairro],extras)</f>
        <v>0</v>
      </c>
      <c r="AE141" s="1">
        <f t="shared" si="47"/>
        <v>0</v>
      </c>
      <c r="AF141" s="1">
        <f t="shared" si="48"/>
        <v>0</v>
      </c>
      <c r="AG141" s="26">
        <f t="shared" si="49"/>
        <v>0</v>
      </c>
      <c r="AH141" s="25" t="str">
        <f>higiene[[#This Row],[Item]]</f>
        <v>Multiuso (200ml)</v>
      </c>
      <c r="AI141" s="18">
        <f>IFERROR(higiene[[#This Row],[Kg equivalente]],0)</f>
        <v>0.67624431368198723</v>
      </c>
      <c r="AJ141" s="18">
        <f>IFERROR(higiene[[#This Row],[Preço por produto]],0)</f>
        <v>2.2400000000000002</v>
      </c>
      <c r="AK141" s="18">
        <f>SUMIFS(super1[Qtde],super1[Item],tab_higiene[[#This Row],[Item]],super1[Bairro],mercado1)+SUMIFS(supercb[Qtde],supercb[Item],tab_higiene[[#This Row],[Item]],supercb[Bairro],mercado1)</f>
        <v>0</v>
      </c>
      <c r="AL141" s="18">
        <f>SUMIFS(super1[Qtde],super1[Item],tab_higiene[[#This Row],[Item]],super1[Bairro],mercado2)+SUMIFS(supercb[Qtde],supercb[Item],tab_higiene[[#This Row],[Item]],supercb[Bairro],mercado2)</f>
        <v>0</v>
      </c>
      <c r="AM141" s="18">
        <f>SUMIFS(super1[Qtde],super1[Item],tab_higiene[[#This Row],[Item]],super1[Bairro],mercado3)+SUMIFS(supercb[Qtde],supercb[Item],tab_higiene[[#This Row],[Item]],supercb[Bairro],mercado3)</f>
        <v>0</v>
      </c>
      <c r="AN141" s="18">
        <f>SUMIFS(super1[Qtde],super1[Item],tab_higiene[[#This Row],[Item]],super1[Bairro],mercado4)+SUMIFS(supercb[Qtde],supercb[Item],tab_higiene[[#This Row],[Item]],supercb[Bairro],mercado4)</f>
        <v>0</v>
      </c>
      <c r="AO141" s="18">
        <f>SUMIFS(super1[Qtde],super1[Item],tab_higiene[[#This Row],[Item]],super1[Bairro],mercado5)+SUMIFS(supercb[Qtde],supercb[Item],tab_higiene[[#This Row],[Item]],supercb[Bairro],mercado5)</f>
        <v>0</v>
      </c>
      <c r="AP141" s="18">
        <f>SUMIFS(super1[Qtde],super1[Item],tab_higiene[[#This Row],[Item]],super1[Bairro],mercado6)+SUMIFS(supercb[Qtde],supercb[Item],tab_higiene[[#This Row],[Item]],supercb[Bairro],mercado6)</f>
        <v>0</v>
      </c>
      <c r="AQ141" s="18">
        <f>SUMIFS(super1[Qtde],super1[Item],tab_higiene[[#This Row],[Item]],super1[Bairro],mercado7)+SUMIFS(supercb[Qtde],supercb[Item],tab_higiene[[#This Row],[Item]],supercb[Bairro],mercado7)</f>
        <v>0</v>
      </c>
      <c r="AR141" s="18">
        <f>SUMIFS(super1[Qtde],super1[Item],tab_higiene[[#This Row],[Item]],super1[Bairro],mercado8)+SUMIFS(supercb[Qtde],supercb[Item],tab_higiene[[#This Row],[Item]],supercb[Bairro],mercado8)</f>
        <v>0</v>
      </c>
      <c r="AS141" s="18">
        <f>SUMIFS(super1[Qtde],super1[Item],tab_higiene[[#This Row],[Item]],super1[Bairro],mercado9)+SUMIFS(supercb[Qtde],supercb[Item],tab_higiene[[#This Row],[Item]],supercb[Bairro],mercado9)</f>
        <v>0</v>
      </c>
      <c r="AT141" s="18">
        <f>SUMIFS(super1[Qtde],super1[Item],tab_higiene[[#This Row],[Item]],super1[Bairro],mercado10)+SUMIFS(supercb[Qtde],supercb[Item],tab_higiene[[#This Row],[Item]],supercb[Bairro],mercado10)</f>
        <v>0</v>
      </c>
      <c r="AU141" s="18">
        <f>SUMIFS(super1[Qtde],super1[Item],tab_higiene[[#This Row],[Item]],super1[Bairro],mercado11)+SUMIFS(supercb[Qtde],supercb[Item],tab_higiene[[#This Row],[Item]],supercb[Bairro],mercado11)</f>
        <v>0</v>
      </c>
      <c r="AV141" s="18">
        <f>SUMIFS(super1[Qtde],super1[Item],tab_higiene[[#This Row],[Item]],super1[Bairro],mercado12)+SUMIFS(supercb[Qtde],supercb[Item],tab_higiene[[#This Row],[Item]],supercb[Bairro],mercado12)</f>
        <v>0</v>
      </c>
      <c r="AW141" s="18">
        <f>SUMIFS(super1[Qtde],super1[Item],tab_higiene[[#This Row],[Item]],super1[Bairro],mercado13)+SUMIFS(supercb[Qtde],supercb[Item],tab_higiene[[#This Row],[Item]],supercb[Bairro],mercado13)</f>
        <v>0</v>
      </c>
      <c r="AX141" s="18">
        <f>SUMIFS(super1[Qtde],super1[Item],tab_higiene[[#This Row],[Item]],super1[Bairro],mercado14)+SUMIFS(supercb[Qtde],supercb[Item],tab_higiene[[#This Row],[Item]],supercb[Bairro],mercado14)</f>
        <v>0</v>
      </c>
      <c r="AY141" s="18">
        <f>SUMIFS(super1[Qtde],super1[Item],tab_higiene[[#This Row],[Item]],super1[Bairro],mercado15)+SUMIFS(supercb[Qtde],supercb[Item],tab_higiene[[#This Row],[Item]],supercb[Bairro],mercado15)</f>
        <v>0</v>
      </c>
      <c r="AZ141" s="18">
        <f>SUMIFS(super1[Qtde],super1[Item],tab_higiene[[#This Row],[Item]],super1[Bairro],mercado16)+SUMIFS(supercb[Qtde],supercb[Item],tab_higiene[[#This Row],[Item]],supercb[Bairro],mercado16)</f>
        <v>0</v>
      </c>
      <c r="BA141" s="18">
        <f>SUMIFS(super1[Qtde],super1[Item],tab_higiene[[#This Row],[Item]],super1[Bairro],mercado17)+SUMIFS(supercb[Qtde],supercb[Item],tab_higiene[[#This Row],[Item]],supercb[Bairro],mercado17)</f>
        <v>0</v>
      </c>
      <c r="BB141" s="18">
        <f>SUMIFS(super1[Qtde],super1[Item],tab_higiene[[#This Row],[Item]],super1[Bairro],mercado18)+SUMIFS(supercb[Qtde],supercb[Item],tab_higiene[[#This Row],[Item]],supercb[Bairro],mercado18)</f>
        <v>0</v>
      </c>
      <c r="BC141" s="18">
        <f>SUMIFS(super1[Qtde],super1[Item],tab_higiene[[#This Row],[Item]],super1[Bairro],extras)+SUMIFS(supercb[Qtde],supercb[Item],tab_higiene[[#This Row],[Item]],supercb[Bairro],extras)</f>
        <v>0</v>
      </c>
      <c r="BD141" s="1">
        <f t="shared" si="59"/>
        <v>0</v>
      </c>
      <c r="BE141" s="1">
        <f t="shared" si="60"/>
        <v>0</v>
      </c>
      <c r="BF141" s="26">
        <f t="shared" si="61"/>
        <v>0</v>
      </c>
      <c r="BI141" s="33" t="str">
        <f>tab_alimentos[[#This Row],[Item]]</f>
        <v>Granulado (1kg)</v>
      </c>
      <c r="BJ141" s="33">
        <f t="shared" si="45"/>
        <v>10</v>
      </c>
      <c r="BK141" s="33" t="str">
        <f t="shared" si="46"/>
        <v>Granulado</v>
      </c>
      <c r="BL141" s="33">
        <f>tab_alimentos[[#This Row],[kg]]</f>
        <v>0</v>
      </c>
      <c r="BN141" s="35">
        <f t="shared" si="56"/>
        <v>0</v>
      </c>
      <c r="BP141" s="33" t="str">
        <f>tab_higiene[[#This Row],[Item]]</f>
        <v>Multiuso (200ml)</v>
      </c>
      <c r="BQ141" s="33">
        <f t="shared" si="53"/>
        <v>9</v>
      </c>
      <c r="BR141" s="33" t="str">
        <f t="shared" si="54"/>
        <v>Multiuso</v>
      </c>
      <c r="BS141" s="33">
        <f>higiene[[#This Row],[Quantidade]]</f>
        <v>4</v>
      </c>
      <c r="BT141" s="33">
        <f>tab_higiene[Qtde (tot)]</f>
        <v>0</v>
      </c>
      <c r="BU141" s="33">
        <f t="shared" si="57"/>
        <v>0</v>
      </c>
      <c r="BW141" s="33">
        <f t="shared" si="58"/>
        <v>0</v>
      </c>
    </row>
    <row r="142" spans="9:75" x14ac:dyDescent="0.25">
      <c r="I142" s="25" t="str">
        <f>alimentos[[#This Row],[Item]]</f>
        <v>Granulado (500g)</v>
      </c>
      <c r="J142" s="1">
        <f>IFERROR(alimentos[[#This Row],[kg/embalagem]],0)</f>
        <v>0.5</v>
      </c>
      <c r="K142" s="18">
        <f>IFERROR(alimentos[[#This Row],[Preço]],0)</f>
        <v>9.69</v>
      </c>
      <c r="L142" s="1">
        <f>SUMIFS(super1[Qtde],super1[Item],tab_alimentos[[#This Row],[Item]],super1[Bairro],mercado1)+SUMIFS(supercb[Qtde],supercb[Item],tab_alimentos[[#This Row],[Item]],supercb[Bairro],mercado1)</f>
        <v>0</v>
      </c>
      <c r="M142" s="1">
        <f>SUMIFS(super1[Qtde],super1[Item],tab_alimentos[[#This Row],[Item]],super1[Bairro],mercado2)+SUMIFS(supercb[Qtde],supercb[Item],tab_alimentos[[#This Row],[Item]],supercb[Bairro],mercado2)</f>
        <v>0</v>
      </c>
      <c r="N142" s="1">
        <f>SUMIFS(super1[Qtde],super1[Item],tab_alimentos[[#This Row],[Item]],super1[Bairro],mercado3)+SUMIFS(supercb[Qtde],supercb[Item],tab_alimentos[[#This Row],[Item]],supercb[Bairro],mercado3)</f>
        <v>0</v>
      </c>
      <c r="O142" s="1">
        <f>SUMIFS(super1[Qtde],super1[Item],tab_alimentos[[#This Row],[Item]],super1[Bairro],mercado4)+SUMIFS(supercb[Qtde],supercb[Item],tab_alimentos[[#This Row],[Item]],supercb[Bairro],mercado4)</f>
        <v>0</v>
      </c>
      <c r="P142" s="1">
        <f>SUMIFS(super1[Qtde],super1[Item],tab_alimentos[[#This Row],[Item]],super1[Bairro],mercado5)+SUMIFS(supercb[Qtde],supercb[Item],tab_alimentos[[#This Row],[Item]],supercb[Bairro],mercado5)</f>
        <v>0</v>
      </c>
      <c r="Q142" s="1">
        <f>SUMIFS(super1[Qtde],super1[Item],tab_alimentos[[#This Row],[Item]],super1[Bairro],mercado6)+SUMIFS(supercb[Qtde],supercb[Item],tab_alimentos[[#This Row],[Item]],supercb[Bairro],mercado6)</f>
        <v>0</v>
      </c>
      <c r="R142" s="1">
        <f>SUMIFS(super1[Qtde],super1[Item],tab_alimentos[[#This Row],[Item]],super1[Bairro],mercado7)+SUMIFS(supercb[Qtde],supercb[Item],tab_alimentos[[#This Row],[Item]],supercb[Bairro],mercado7)</f>
        <v>0</v>
      </c>
      <c r="S142" s="1">
        <f>SUMIFS(super1[Qtde],super1[Item],tab_alimentos[[#This Row],[Item]],super1[Bairro],mercado8)+SUMIFS(supercb[Qtde],supercb[Item],tab_alimentos[[#This Row],[Item]],supercb[Bairro],mercado8)</f>
        <v>0</v>
      </c>
      <c r="T142" s="1">
        <f>SUMIFS(super1[Qtde],super1[Item],tab_alimentos[[#This Row],[Item]],super1[Bairro],mercado9)+SUMIFS(supercb[Qtde],supercb[Item],tab_alimentos[[#This Row],[Item]],supercb[Bairro],mercado9)</f>
        <v>0</v>
      </c>
      <c r="U142" s="1">
        <f>SUMIFS(super1[Qtde],super1[Item],tab_alimentos[[#This Row],[Item]],super1[Bairro],mercado10)+SUMIFS(supercb[Qtde],supercb[Item],tab_alimentos[[#This Row],[Item]],supercb[Bairro],mercado10)</f>
        <v>0</v>
      </c>
      <c r="V142" s="1">
        <f>SUMIFS(super1[Qtde],super1[Item],tab_alimentos[[#This Row],[Item]],super1[Bairro],mercado11)+SUMIFS(supercb[Qtde],supercb[Item],tab_alimentos[[#This Row],[Item]],supercb[Bairro],mercado11)</f>
        <v>0</v>
      </c>
      <c r="W142" s="1">
        <f>SUMIFS(super1[Qtde],super1[Item],tab_alimentos[[#This Row],[Item]],super1[Bairro],mercado12)+SUMIFS(supercb[Qtde],supercb[Item],tab_alimentos[[#This Row],[Item]],supercb[Bairro],mercado12)</f>
        <v>0</v>
      </c>
      <c r="X142" s="1">
        <f>SUMIFS(super1[Qtde],super1[Item],tab_alimentos[[#This Row],[Item]],super1[Bairro],mercado13)+SUMIFS(supercb[Qtde],supercb[Item],tab_alimentos[[#This Row],[Item]],supercb[Bairro],mercado13)</f>
        <v>0</v>
      </c>
      <c r="Y142" s="1">
        <f>SUMIFS(super1[Qtde],super1[Item],tab_alimentos[[#This Row],[Item]],super1[Bairro],mercado14)+SUMIFS(supercb[Qtde],supercb[Item],tab_alimentos[[#This Row],[Item]],supercb[Bairro],mercado14)</f>
        <v>0</v>
      </c>
      <c r="Z142" s="1">
        <f>SUMIFS(super1[Qtde],super1[Item],tab_alimentos[[#This Row],[Item]],super1[Bairro],mercado15)+SUMIFS(supercb[Qtde],supercb[Item],tab_alimentos[[#This Row],[Item]],supercb[Bairro],mercado15)</f>
        <v>0</v>
      </c>
      <c r="AA142" s="1">
        <f>SUMIFS(super1[Qtde],super1[Item],tab_alimentos[[#This Row],[Item]],super1[Bairro],mercado16)+SUMIFS(supercb[Qtde],supercb[Item],tab_alimentos[[#This Row],[Item]],supercb[Bairro],mercado16)</f>
        <v>0</v>
      </c>
      <c r="AB142" s="1">
        <f>SUMIFS(super1[Qtde],super1[Item],tab_alimentos[[#This Row],[Item]],super1[Bairro],mercado17)+SUMIFS(supercb[Qtde],supercb[Item],tab_alimentos[[#This Row],[Item]],supercb[Bairro],mercado17)</f>
        <v>0</v>
      </c>
      <c r="AC142" s="1">
        <f>SUMIFS(super1[Qtde],super1[Item],tab_alimentos[[#This Row],[Item]],super1[Bairro],mercado18)+SUMIFS(supercb[Qtde],supercb[Item],tab_alimentos[[#This Row],[Item]],supercb[Bairro],mercado18)</f>
        <v>0</v>
      </c>
      <c r="AD142" s="1">
        <f>SUMIFS(super1[Qtde],super1[Item],tab_alimentos[[#This Row],[Item]],super1[Bairro],extras)+SUMIFS(supercb[Qtde],supercb[Item],tab_alimentos[[#This Row],[Item]],supercb[Bairro],extras)</f>
        <v>0</v>
      </c>
      <c r="AE142" s="1">
        <f t="shared" si="47"/>
        <v>0</v>
      </c>
      <c r="AF142" s="1">
        <f t="shared" si="48"/>
        <v>0</v>
      </c>
      <c r="AG142" s="26">
        <f t="shared" si="49"/>
        <v>0</v>
      </c>
      <c r="AH142" s="25" t="str">
        <f>higiene[[#This Row],[Item]]</f>
        <v>Multiuso (3un 500ml)</v>
      </c>
      <c r="AI142" s="18">
        <f>IFERROR(higiene[[#This Row],[Kg equivalente]],0)</f>
        <v>3.111780474677269</v>
      </c>
      <c r="AJ142" s="18">
        <f>IFERROR(higiene[[#This Row],[Preço por produto]],0)</f>
        <v>10.307500000000001</v>
      </c>
      <c r="AK142" s="18">
        <f>SUMIFS(super1[Qtde],super1[Item],tab_higiene[[#This Row],[Item]],super1[Bairro],mercado1)+SUMIFS(supercb[Qtde],supercb[Item],tab_higiene[[#This Row],[Item]],supercb[Bairro],mercado1)</f>
        <v>0</v>
      </c>
      <c r="AL142" s="18">
        <f>SUMIFS(super1[Qtde],super1[Item],tab_higiene[[#This Row],[Item]],super1[Bairro],mercado2)+SUMIFS(supercb[Qtde],supercb[Item],tab_higiene[[#This Row],[Item]],supercb[Bairro],mercado2)</f>
        <v>0</v>
      </c>
      <c r="AM142" s="18">
        <f>SUMIFS(super1[Qtde],super1[Item],tab_higiene[[#This Row],[Item]],super1[Bairro],mercado3)+SUMIFS(supercb[Qtde],supercb[Item],tab_higiene[[#This Row],[Item]],supercb[Bairro],mercado3)</f>
        <v>0</v>
      </c>
      <c r="AN142" s="18">
        <f>SUMIFS(super1[Qtde],super1[Item],tab_higiene[[#This Row],[Item]],super1[Bairro],mercado4)+SUMIFS(supercb[Qtde],supercb[Item],tab_higiene[[#This Row],[Item]],supercb[Bairro],mercado4)</f>
        <v>0</v>
      </c>
      <c r="AO142" s="18">
        <f>SUMIFS(super1[Qtde],super1[Item],tab_higiene[[#This Row],[Item]],super1[Bairro],mercado5)+SUMIFS(supercb[Qtde],supercb[Item],tab_higiene[[#This Row],[Item]],supercb[Bairro],mercado5)</f>
        <v>0</v>
      </c>
      <c r="AP142" s="18">
        <f>SUMIFS(super1[Qtde],super1[Item],tab_higiene[[#This Row],[Item]],super1[Bairro],mercado6)+SUMIFS(supercb[Qtde],supercb[Item],tab_higiene[[#This Row],[Item]],supercb[Bairro],mercado6)</f>
        <v>0</v>
      </c>
      <c r="AQ142" s="18">
        <f>SUMIFS(super1[Qtde],super1[Item],tab_higiene[[#This Row],[Item]],super1[Bairro],mercado7)+SUMIFS(supercb[Qtde],supercb[Item],tab_higiene[[#This Row],[Item]],supercb[Bairro],mercado7)</f>
        <v>0</v>
      </c>
      <c r="AR142" s="18">
        <f>SUMIFS(super1[Qtde],super1[Item],tab_higiene[[#This Row],[Item]],super1[Bairro],mercado8)+SUMIFS(supercb[Qtde],supercb[Item],tab_higiene[[#This Row],[Item]],supercb[Bairro],mercado8)</f>
        <v>0</v>
      </c>
      <c r="AS142" s="18">
        <f>SUMIFS(super1[Qtde],super1[Item],tab_higiene[[#This Row],[Item]],super1[Bairro],mercado9)+SUMIFS(supercb[Qtde],supercb[Item],tab_higiene[[#This Row],[Item]],supercb[Bairro],mercado9)</f>
        <v>1</v>
      </c>
      <c r="AT142" s="18">
        <f>SUMIFS(super1[Qtde],super1[Item],tab_higiene[[#This Row],[Item]],super1[Bairro],mercado10)+SUMIFS(supercb[Qtde],supercb[Item],tab_higiene[[#This Row],[Item]],supercb[Bairro],mercado10)</f>
        <v>0</v>
      </c>
      <c r="AU142" s="18">
        <f>SUMIFS(super1[Qtde],super1[Item],tab_higiene[[#This Row],[Item]],super1[Bairro],mercado11)+SUMIFS(supercb[Qtde],supercb[Item],tab_higiene[[#This Row],[Item]],supercb[Bairro],mercado11)</f>
        <v>0</v>
      </c>
      <c r="AV142" s="18">
        <f>SUMIFS(super1[Qtde],super1[Item],tab_higiene[[#This Row],[Item]],super1[Bairro],mercado12)+SUMIFS(supercb[Qtde],supercb[Item],tab_higiene[[#This Row],[Item]],supercb[Bairro],mercado12)</f>
        <v>0</v>
      </c>
      <c r="AW142" s="18">
        <f>SUMIFS(super1[Qtde],super1[Item],tab_higiene[[#This Row],[Item]],super1[Bairro],mercado13)+SUMIFS(supercb[Qtde],supercb[Item],tab_higiene[[#This Row],[Item]],supercb[Bairro],mercado13)</f>
        <v>0</v>
      </c>
      <c r="AX142" s="18">
        <f>SUMIFS(super1[Qtde],super1[Item],tab_higiene[[#This Row],[Item]],super1[Bairro],mercado14)+SUMIFS(supercb[Qtde],supercb[Item],tab_higiene[[#This Row],[Item]],supercb[Bairro],mercado14)</f>
        <v>0</v>
      </c>
      <c r="AY142" s="18">
        <f>SUMIFS(super1[Qtde],super1[Item],tab_higiene[[#This Row],[Item]],super1[Bairro],mercado15)+SUMIFS(supercb[Qtde],supercb[Item],tab_higiene[[#This Row],[Item]],supercb[Bairro],mercado15)</f>
        <v>0</v>
      </c>
      <c r="AZ142" s="18">
        <f>SUMIFS(super1[Qtde],super1[Item],tab_higiene[[#This Row],[Item]],super1[Bairro],mercado16)+SUMIFS(supercb[Qtde],supercb[Item],tab_higiene[[#This Row],[Item]],supercb[Bairro],mercado16)</f>
        <v>0</v>
      </c>
      <c r="BA142" s="18">
        <f>SUMIFS(super1[Qtde],super1[Item],tab_higiene[[#This Row],[Item]],super1[Bairro],mercado17)+SUMIFS(supercb[Qtde],supercb[Item],tab_higiene[[#This Row],[Item]],supercb[Bairro],mercado17)</f>
        <v>0</v>
      </c>
      <c r="BB142" s="18">
        <f>SUMIFS(super1[Qtde],super1[Item],tab_higiene[[#This Row],[Item]],super1[Bairro],mercado18)+SUMIFS(supercb[Qtde],supercb[Item],tab_higiene[[#This Row],[Item]],supercb[Bairro],mercado18)</f>
        <v>0</v>
      </c>
      <c r="BC142" s="18">
        <f>SUMIFS(super1[Qtde],super1[Item],tab_higiene[[#This Row],[Item]],super1[Bairro],extras)+SUMIFS(supercb[Qtde],supercb[Item],tab_higiene[[#This Row],[Item]],supercb[Bairro],extras)</f>
        <v>0</v>
      </c>
      <c r="BD142" s="1">
        <f t="shared" si="59"/>
        <v>1</v>
      </c>
      <c r="BE142" s="1">
        <f t="shared" si="60"/>
        <v>10.307500000000001</v>
      </c>
      <c r="BF142" s="26">
        <f t="shared" si="61"/>
        <v>3.111780474677269</v>
      </c>
      <c r="BI142" s="33" t="str">
        <f>tab_alimentos[[#This Row],[Item]]</f>
        <v>Granulado (500g)</v>
      </c>
      <c r="BJ142" s="33">
        <f t="shared" si="45"/>
        <v>10</v>
      </c>
      <c r="BK142" s="33" t="str">
        <f t="shared" si="46"/>
        <v>Granulado</v>
      </c>
      <c r="BL142" s="33">
        <f>tab_alimentos[[#This Row],[kg]]</f>
        <v>0</v>
      </c>
      <c r="BN142" s="35">
        <f>SUMIF($BJ$5:$BJ$158,#REF!,$BK$5:$BK$158)</f>
        <v>0</v>
      </c>
      <c r="BP142" s="33" t="str">
        <f>tab_higiene[[#This Row],[Item]]</f>
        <v>Multiuso (3un 500ml)</v>
      </c>
      <c r="BQ142" s="33">
        <f t="shared" si="53"/>
        <v>9</v>
      </c>
      <c r="BR142" s="33" t="str">
        <f t="shared" si="54"/>
        <v>Multiuso</v>
      </c>
      <c r="BS142" s="33">
        <f>higiene[[#This Row],[Quantidade]]</f>
        <v>1</v>
      </c>
      <c r="BT142" s="33">
        <f>tab_higiene[Qtde (tot)]</f>
        <v>1</v>
      </c>
      <c r="BU142" s="33">
        <f t="shared" si="57"/>
        <v>1</v>
      </c>
      <c r="BW142" s="33">
        <f t="shared" si="58"/>
        <v>0</v>
      </c>
    </row>
    <row r="143" spans="9:75" x14ac:dyDescent="0.25">
      <c r="I143" s="25" t="str">
        <f>alimentos[[#This Row],[Item]]</f>
        <v>Grão de Bico (Lata)</v>
      </c>
      <c r="J143" s="1">
        <f>IFERROR(alimentos[[#This Row],[kg/embalagem]],0)</f>
        <v>0.3</v>
      </c>
      <c r="K143" s="18">
        <f>IFERROR(alimentos[[#This Row],[Preço]],0)</f>
        <v>3.09</v>
      </c>
      <c r="L143" s="1">
        <f>SUMIFS(super1[Qtde],super1[Item],tab_alimentos[[#This Row],[Item]],super1[Bairro],mercado1)+SUMIFS(supercb[Qtde],supercb[Item],tab_alimentos[[#This Row],[Item]],supercb[Bairro],mercado1)</f>
        <v>0</v>
      </c>
      <c r="M143" s="1">
        <f>SUMIFS(super1[Qtde],super1[Item],tab_alimentos[[#This Row],[Item]],super1[Bairro],mercado2)+SUMIFS(supercb[Qtde],supercb[Item],tab_alimentos[[#This Row],[Item]],supercb[Bairro],mercado2)</f>
        <v>0</v>
      </c>
      <c r="N143" s="1">
        <f>SUMIFS(super1[Qtde],super1[Item],tab_alimentos[[#This Row],[Item]],super1[Bairro],mercado3)+SUMIFS(supercb[Qtde],supercb[Item],tab_alimentos[[#This Row],[Item]],supercb[Bairro],mercado3)</f>
        <v>0</v>
      </c>
      <c r="O143" s="1">
        <f>SUMIFS(super1[Qtde],super1[Item],tab_alimentos[[#This Row],[Item]],super1[Bairro],mercado4)+SUMIFS(supercb[Qtde],supercb[Item],tab_alimentos[[#This Row],[Item]],supercb[Bairro],mercado4)</f>
        <v>0</v>
      </c>
      <c r="P143" s="1">
        <f>SUMIFS(super1[Qtde],super1[Item],tab_alimentos[[#This Row],[Item]],super1[Bairro],mercado5)+SUMIFS(supercb[Qtde],supercb[Item],tab_alimentos[[#This Row],[Item]],supercb[Bairro],mercado5)</f>
        <v>0</v>
      </c>
      <c r="Q143" s="1">
        <f>SUMIFS(super1[Qtde],super1[Item],tab_alimentos[[#This Row],[Item]],super1[Bairro],mercado6)+SUMIFS(supercb[Qtde],supercb[Item],tab_alimentos[[#This Row],[Item]],supercb[Bairro],mercado6)</f>
        <v>0</v>
      </c>
      <c r="R143" s="1">
        <f>SUMIFS(super1[Qtde],super1[Item],tab_alimentos[[#This Row],[Item]],super1[Bairro],mercado7)+SUMIFS(supercb[Qtde],supercb[Item],tab_alimentos[[#This Row],[Item]],supercb[Bairro],mercado7)</f>
        <v>0</v>
      </c>
      <c r="S143" s="1">
        <f>SUMIFS(super1[Qtde],super1[Item],tab_alimentos[[#This Row],[Item]],super1[Bairro],mercado8)+SUMIFS(supercb[Qtde],supercb[Item],tab_alimentos[[#This Row],[Item]],supercb[Bairro],mercado8)</f>
        <v>0</v>
      </c>
      <c r="T143" s="1">
        <f>SUMIFS(super1[Qtde],super1[Item],tab_alimentos[[#This Row],[Item]],super1[Bairro],mercado9)+SUMIFS(supercb[Qtde],supercb[Item],tab_alimentos[[#This Row],[Item]],supercb[Bairro],mercado9)</f>
        <v>0</v>
      </c>
      <c r="U143" s="1">
        <f>SUMIFS(super1[Qtde],super1[Item],tab_alimentos[[#This Row],[Item]],super1[Bairro],mercado10)+SUMIFS(supercb[Qtde],supercb[Item],tab_alimentos[[#This Row],[Item]],supercb[Bairro],mercado10)</f>
        <v>0</v>
      </c>
      <c r="V143" s="1">
        <f>SUMIFS(super1[Qtde],super1[Item],tab_alimentos[[#This Row],[Item]],super1[Bairro],mercado11)+SUMIFS(supercb[Qtde],supercb[Item],tab_alimentos[[#This Row],[Item]],supercb[Bairro],mercado11)</f>
        <v>0</v>
      </c>
      <c r="W143" s="1">
        <f>SUMIFS(super1[Qtde],super1[Item],tab_alimentos[[#This Row],[Item]],super1[Bairro],mercado12)+SUMIFS(supercb[Qtde],supercb[Item],tab_alimentos[[#This Row],[Item]],supercb[Bairro],mercado12)</f>
        <v>0</v>
      </c>
      <c r="X143" s="1">
        <f>SUMIFS(super1[Qtde],super1[Item],tab_alimentos[[#This Row],[Item]],super1[Bairro],mercado13)+SUMIFS(supercb[Qtde],supercb[Item],tab_alimentos[[#This Row],[Item]],supercb[Bairro],mercado13)</f>
        <v>0</v>
      </c>
      <c r="Y143" s="1">
        <f>SUMIFS(super1[Qtde],super1[Item],tab_alimentos[[#This Row],[Item]],super1[Bairro],mercado14)+SUMIFS(supercb[Qtde],supercb[Item],tab_alimentos[[#This Row],[Item]],supercb[Bairro],mercado14)</f>
        <v>0</v>
      </c>
      <c r="Z143" s="1">
        <f>SUMIFS(super1[Qtde],super1[Item],tab_alimentos[[#This Row],[Item]],super1[Bairro],mercado15)+SUMIFS(supercb[Qtde],supercb[Item],tab_alimentos[[#This Row],[Item]],supercb[Bairro],mercado15)</f>
        <v>0</v>
      </c>
      <c r="AA143" s="1">
        <f>SUMIFS(super1[Qtde],super1[Item],tab_alimentos[[#This Row],[Item]],super1[Bairro],mercado16)+SUMIFS(supercb[Qtde],supercb[Item],tab_alimentos[[#This Row],[Item]],supercb[Bairro],mercado16)</f>
        <v>0</v>
      </c>
      <c r="AB143" s="1">
        <f>SUMIFS(super1[Qtde],super1[Item],tab_alimentos[[#This Row],[Item]],super1[Bairro],mercado17)+SUMIFS(supercb[Qtde],supercb[Item],tab_alimentos[[#This Row],[Item]],supercb[Bairro],mercado17)</f>
        <v>0</v>
      </c>
      <c r="AC143" s="1">
        <f>SUMIFS(super1[Qtde],super1[Item],tab_alimentos[[#This Row],[Item]],super1[Bairro],mercado18)+SUMIFS(supercb[Qtde],supercb[Item],tab_alimentos[[#This Row],[Item]],supercb[Bairro],mercado18)</f>
        <v>0</v>
      </c>
      <c r="AD143" s="1">
        <f>SUMIFS(super1[Qtde],super1[Item],tab_alimentos[[#This Row],[Item]],super1[Bairro],extras)+SUMIFS(supercb[Qtde],supercb[Item],tab_alimentos[[#This Row],[Item]],supercb[Bairro],extras)</f>
        <v>0</v>
      </c>
      <c r="AE143" s="1">
        <f t="shared" si="47"/>
        <v>0</v>
      </c>
      <c r="AF143" s="1">
        <f t="shared" si="48"/>
        <v>0</v>
      </c>
      <c r="AG143" s="26">
        <f t="shared" si="49"/>
        <v>0</v>
      </c>
      <c r="AH143" s="25" t="str">
        <f>higiene[[#This Row],[Item]]</f>
        <v>Multiuso (500mL)</v>
      </c>
      <c r="AI143" s="18">
        <f>IFERROR(higiene[[#This Row],[Kg equivalente]],0)</f>
        <v>0.92621319391800738</v>
      </c>
      <c r="AJ143" s="18">
        <f>IFERROR(higiene[[#This Row],[Preço por produto]],0)</f>
        <v>3.0680000000000001</v>
      </c>
      <c r="AK143" s="18">
        <f>SUMIFS(super1[Qtde],super1[Item],tab_higiene[[#This Row],[Item]],super1[Bairro],mercado1)+SUMIFS(supercb[Qtde],supercb[Item],tab_higiene[[#This Row],[Item]],supercb[Bairro],mercado1)</f>
        <v>0</v>
      </c>
      <c r="AL143" s="18">
        <f>SUMIFS(super1[Qtde],super1[Item],tab_higiene[[#This Row],[Item]],super1[Bairro],mercado2)+SUMIFS(supercb[Qtde],supercb[Item],tab_higiene[[#This Row],[Item]],supercb[Bairro],mercado2)</f>
        <v>0</v>
      </c>
      <c r="AM143" s="18">
        <f>SUMIFS(super1[Qtde],super1[Item],tab_higiene[[#This Row],[Item]],super1[Bairro],mercado3)+SUMIFS(supercb[Qtde],supercb[Item],tab_higiene[[#This Row],[Item]],supercb[Bairro],mercado3)</f>
        <v>0</v>
      </c>
      <c r="AN143" s="18">
        <f>SUMIFS(super1[Qtde],super1[Item],tab_higiene[[#This Row],[Item]],super1[Bairro],mercado4)+SUMIFS(supercb[Qtde],supercb[Item],tab_higiene[[#This Row],[Item]],supercb[Bairro],mercado4)</f>
        <v>0</v>
      </c>
      <c r="AO143" s="18">
        <f>SUMIFS(super1[Qtde],super1[Item],tab_higiene[[#This Row],[Item]],super1[Bairro],mercado5)+SUMIFS(supercb[Qtde],supercb[Item],tab_higiene[[#This Row],[Item]],supercb[Bairro],mercado5)</f>
        <v>2</v>
      </c>
      <c r="AP143" s="18">
        <f>SUMIFS(super1[Qtde],super1[Item],tab_higiene[[#This Row],[Item]],super1[Bairro],mercado6)+SUMIFS(supercb[Qtde],supercb[Item],tab_higiene[[#This Row],[Item]],supercb[Bairro],mercado6)</f>
        <v>0</v>
      </c>
      <c r="AQ143" s="18">
        <f>SUMIFS(super1[Qtde],super1[Item],tab_higiene[[#This Row],[Item]],super1[Bairro],mercado7)+SUMIFS(supercb[Qtde],supercb[Item],tab_higiene[[#This Row],[Item]],supercb[Bairro],mercado7)</f>
        <v>1</v>
      </c>
      <c r="AR143" s="18">
        <f>SUMIFS(super1[Qtde],super1[Item],tab_higiene[[#This Row],[Item]],super1[Bairro],mercado8)+SUMIFS(supercb[Qtde],supercb[Item],tab_higiene[[#This Row],[Item]],supercb[Bairro],mercado8)</f>
        <v>4</v>
      </c>
      <c r="AS143" s="18">
        <f>SUMIFS(super1[Qtde],super1[Item],tab_higiene[[#This Row],[Item]],super1[Bairro],mercado9)+SUMIFS(supercb[Qtde],supercb[Item],tab_higiene[[#This Row],[Item]],supercb[Bairro],mercado9)</f>
        <v>3</v>
      </c>
      <c r="AT143" s="18">
        <f>SUMIFS(super1[Qtde],super1[Item],tab_higiene[[#This Row],[Item]],super1[Bairro],mercado10)+SUMIFS(supercb[Qtde],supercb[Item],tab_higiene[[#This Row],[Item]],supercb[Bairro],mercado10)</f>
        <v>1</v>
      </c>
      <c r="AU143" s="18">
        <f>SUMIFS(super1[Qtde],super1[Item],tab_higiene[[#This Row],[Item]],super1[Bairro],mercado11)+SUMIFS(supercb[Qtde],supercb[Item],tab_higiene[[#This Row],[Item]],supercb[Bairro],mercado11)</f>
        <v>1</v>
      </c>
      <c r="AV143" s="18">
        <f>SUMIFS(super1[Qtde],super1[Item],tab_higiene[[#This Row],[Item]],super1[Bairro],mercado12)+SUMIFS(supercb[Qtde],supercb[Item],tab_higiene[[#This Row],[Item]],supercb[Bairro],mercado12)</f>
        <v>0</v>
      </c>
      <c r="AW143" s="18">
        <f>SUMIFS(super1[Qtde],super1[Item],tab_higiene[[#This Row],[Item]],super1[Bairro],mercado13)+SUMIFS(supercb[Qtde],supercb[Item],tab_higiene[[#This Row],[Item]],supercb[Bairro],mercado13)</f>
        <v>2</v>
      </c>
      <c r="AX143" s="18">
        <f>SUMIFS(super1[Qtde],super1[Item],tab_higiene[[#This Row],[Item]],super1[Bairro],mercado14)+SUMIFS(supercb[Qtde],supercb[Item],tab_higiene[[#This Row],[Item]],supercb[Bairro],mercado14)</f>
        <v>0</v>
      </c>
      <c r="AY143" s="18">
        <f>SUMIFS(super1[Qtde],super1[Item],tab_higiene[[#This Row],[Item]],super1[Bairro],mercado15)+SUMIFS(supercb[Qtde],supercb[Item],tab_higiene[[#This Row],[Item]],supercb[Bairro],mercado15)</f>
        <v>0</v>
      </c>
      <c r="AZ143" s="18">
        <f>SUMIFS(super1[Qtde],super1[Item],tab_higiene[[#This Row],[Item]],super1[Bairro],mercado16)+SUMIFS(supercb[Qtde],supercb[Item],tab_higiene[[#This Row],[Item]],supercb[Bairro],mercado16)</f>
        <v>0</v>
      </c>
      <c r="BA143" s="18">
        <f>SUMIFS(super1[Qtde],super1[Item],tab_higiene[[#This Row],[Item]],super1[Bairro],mercado17)+SUMIFS(supercb[Qtde],supercb[Item],tab_higiene[[#This Row],[Item]],supercb[Bairro],mercado17)</f>
        <v>0</v>
      </c>
      <c r="BB143" s="18">
        <f>SUMIFS(super1[Qtde],super1[Item],tab_higiene[[#This Row],[Item]],super1[Bairro],mercado18)+SUMIFS(supercb[Qtde],supercb[Item],tab_higiene[[#This Row],[Item]],supercb[Bairro],mercado18)</f>
        <v>0</v>
      </c>
      <c r="BC143" s="18">
        <f>SUMIFS(super1[Qtde],super1[Item],tab_higiene[[#This Row],[Item]],super1[Bairro],extras)+SUMIFS(supercb[Qtde],supercb[Item],tab_higiene[[#This Row],[Item]],supercb[Bairro],extras)</f>
        <v>0</v>
      </c>
      <c r="BD143" s="1">
        <f t="shared" si="59"/>
        <v>14</v>
      </c>
      <c r="BE143" s="1">
        <f t="shared" si="60"/>
        <v>42.951999999999998</v>
      </c>
      <c r="BF143" s="26">
        <f t="shared" si="61"/>
        <v>12.966984714852103</v>
      </c>
      <c r="BI143" s="35" t="str">
        <f>tab_alimentos[[#This Row],[Item]]</f>
        <v>Grão de Bico (Lata)</v>
      </c>
      <c r="BJ143" s="35">
        <f t="shared" ref="BJ143:BJ158" si="62">IFERROR(FIND(" (",BI143),0)</f>
        <v>13</v>
      </c>
      <c r="BK143" s="35" t="str">
        <f t="shared" ref="BK143:BK158" si="63">IF(BJ143=0,BI143,LEFT(BI143,BJ143-1))</f>
        <v>Grão de Bico</v>
      </c>
      <c r="BL143" s="35">
        <f>tab_alimentos[[#This Row],[kg]]</f>
        <v>0</v>
      </c>
      <c r="BN143" s="35">
        <f>SUMIF($BJ$5:$BJ$158,#REF!,$BK$5:$BK$158)</f>
        <v>0</v>
      </c>
      <c r="BQ143"/>
      <c r="BR143" s="24"/>
      <c r="BS143"/>
      <c r="BT143" s="24"/>
    </row>
    <row r="144" spans="9:75" x14ac:dyDescent="0.25">
      <c r="I144" s="25" t="str">
        <f>alimentos[[#This Row],[Item]]</f>
        <v>Grão de Bico (sache)</v>
      </c>
      <c r="J144" s="1">
        <f>IFERROR(alimentos[[#This Row],[kg/embalagem]],0)</f>
        <v>0.3</v>
      </c>
      <c r="K144" s="18">
        <f>IFERROR(alimentos[[#This Row],[Preço]],0)</f>
        <v>12.39</v>
      </c>
      <c r="L144" s="1">
        <f>SUMIFS(super1[Qtde],super1[Item],tab_alimentos[[#This Row],[Item]],super1[Bairro],mercado1)+SUMIFS(supercb[Qtde],supercb[Item],tab_alimentos[[#This Row],[Item]],supercb[Bairro],mercado1)</f>
        <v>0</v>
      </c>
      <c r="M144" s="1">
        <f>SUMIFS(super1[Qtde],super1[Item],tab_alimentos[[#This Row],[Item]],super1[Bairro],mercado2)+SUMIFS(supercb[Qtde],supercb[Item],tab_alimentos[[#This Row],[Item]],supercb[Bairro],mercado2)</f>
        <v>0</v>
      </c>
      <c r="N144" s="1">
        <f>SUMIFS(super1[Qtde],super1[Item],tab_alimentos[[#This Row],[Item]],super1[Bairro],mercado3)+SUMIFS(supercb[Qtde],supercb[Item],tab_alimentos[[#This Row],[Item]],supercb[Bairro],mercado3)</f>
        <v>0</v>
      </c>
      <c r="O144" s="1">
        <f>SUMIFS(super1[Qtde],super1[Item],tab_alimentos[[#This Row],[Item]],super1[Bairro],mercado4)+SUMIFS(supercb[Qtde],supercb[Item],tab_alimentos[[#This Row],[Item]],supercb[Bairro],mercado4)</f>
        <v>0</v>
      </c>
      <c r="P144" s="1">
        <f>SUMIFS(super1[Qtde],super1[Item],tab_alimentos[[#This Row],[Item]],super1[Bairro],mercado5)+SUMIFS(supercb[Qtde],supercb[Item],tab_alimentos[[#This Row],[Item]],supercb[Bairro],mercado5)</f>
        <v>0</v>
      </c>
      <c r="Q144" s="1">
        <f>SUMIFS(super1[Qtde],super1[Item],tab_alimentos[[#This Row],[Item]],super1[Bairro],mercado6)+SUMIFS(supercb[Qtde],supercb[Item],tab_alimentos[[#This Row],[Item]],supercb[Bairro],mercado6)</f>
        <v>0</v>
      </c>
      <c r="R144" s="1">
        <f>SUMIFS(super1[Qtde],super1[Item],tab_alimentos[[#This Row],[Item]],super1[Bairro],mercado7)+SUMIFS(supercb[Qtde],supercb[Item],tab_alimentos[[#This Row],[Item]],supercb[Bairro],mercado7)</f>
        <v>0</v>
      </c>
      <c r="S144" s="1">
        <f>SUMIFS(super1[Qtde],super1[Item],tab_alimentos[[#This Row],[Item]],super1[Bairro],mercado8)+SUMIFS(supercb[Qtde],supercb[Item],tab_alimentos[[#This Row],[Item]],supercb[Bairro],mercado8)</f>
        <v>0</v>
      </c>
      <c r="T144" s="1">
        <f>SUMIFS(super1[Qtde],super1[Item],tab_alimentos[[#This Row],[Item]],super1[Bairro],mercado9)+SUMIFS(supercb[Qtde],supercb[Item],tab_alimentos[[#This Row],[Item]],supercb[Bairro],mercado9)</f>
        <v>0</v>
      </c>
      <c r="U144" s="1">
        <f>SUMIFS(super1[Qtde],super1[Item],tab_alimentos[[#This Row],[Item]],super1[Bairro],mercado10)+SUMIFS(supercb[Qtde],supercb[Item],tab_alimentos[[#This Row],[Item]],supercb[Bairro],mercado10)</f>
        <v>0</v>
      </c>
      <c r="V144" s="1">
        <f>SUMIFS(super1[Qtde],super1[Item],tab_alimentos[[#This Row],[Item]],super1[Bairro],mercado11)+SUMIFS(supercb[Qtde],supercb[Item],tab_alimentos[[#This Row],[Item]],supercb[Bairro],mercado11)</f>
        <v>0</v>
      </c>
      <c r="W144" s="1">
        <f>SUMIFS(super1[Qtde],super1[Item],tab_alimentos[[#This Row],[Item]],super1[Bairro],mercado12)+SUMIFS(supercb[Qtde],supercb[Item],tab_alimentos[[#This Row],[Item]],supercb[Bairro],mercado12)</f>
        <v>0</v>
      </c>
      <c r="X144" s="1">
        <f>SUMIFS(super1[Qtde],super1[Item],tab_alimentos[[#This Row],[Item]],super1[Bairro],mercado13)+SUMIFS(supercb[Qtde],supercb[Item],tab_alimentos[[#This Row],[Item]],supercb[Bairro],mercado13)</f>
        <v>0</v>
      </c>
      <c r="Y144" s="1">
        <f>SUMIFS(super1[Qtde],super1[Item],tab_alimentos[[#This Row],[Item]],super1[Bairro],mercado14)+SUMIFS(supercb[Qtde],supercb[Item],tab_alimentos[[#This Row],[Item]],supercb[Bairro],mercado14)</f>
        <v>0</v>
      </c>
      <c r="Z144" s="1">
        <f>SUMIFS(super1[Qtde],super1[Item],tab_alimentos[[#This Row],[Item]],super1[Bairro],mercado15)+SUMIFS(supercb[Qtde],supercb[Item],tab_alimentos[[#This Row],[Item]],supercb[Bairro],mercado15)</f>
        <v>0</v>
      </c>
      <c r="AA144" s="1">
        <f>SUMIFS(super1[Qtde],super1[Item],tab_alimentos[[#This Row],[Item]],super1[Bairro],mercado16)+SUMIFS(supercb[Qtde],supercb[Item],tab_alimentos[[#This Row],[Item]],supercb[Bairro],mercado16)</f>
        <v>0</v>
      </c>
      <c r="AB144" s="1">
        <f>SUMIFS(super1[Qtde],super1[Item],tab_alimentos[[#This Row],[Item]],super1[Bairro],mercado17)+SUMIFS(supercb[Qtde],supercb[Item],tab_alimentos[[#This Row],[Item]],supercb[Bairro],mercado17)</f>
        <v>0</v>
      </c>
      <c r="AC144" s="1">
        <f>SUMIFS(super1[Qtde],super1[Item],tab_alimentos[[#This Row],[Item]],super1[Bairro],mercado18)+SUMIFS(supercb[Qtde],supercb[Item],tab_alimentos[[#This Row],[Item]],supercb[Bairro],mercado18)</f>
        <v>0</v>
      </c>
      <c r="AD144" s="1">
        <f>SUMIFS(super1[Qtde],super1[Item],tab_alimentos[[#This Row],[Item]],super1[Bairro],extras)+SUMIFS(supercb[Qtde],supercb[Item],tab_alimentos[[#This Row],[Item]],supercb[Bairro],extras)</f>
        <v>0</v>
      </c>
      <c r="AE144" s="1">
        <f t="shared" si="47"/>
        <v>0</v>
      </c>
      <c r="AF144" s="1">
        <f t="shared" si="48"/>
        <v>0</v>
      </c>
      <c r="AG144" s="26">
        <f t="shared" si="49"/>
        <v>0</v>
      </c>
      <c r="AH144" s="25" t="str">
        <f>higiene[[#This Row],[Item]]</f>
        <v>Multiuso (750mL)</v>
      </c>
      <c r="AI144" s="18">
        <f>IFERROR(higiene[[#This Row],[Kg equivalente]],0)</f>
        <v>1.8762760756846206</v>
      </c>
      <c r="AJ144" s="18">
        <f>IFERROR(higiene[[#This Row],[Preço por produto]],0)</f>
        <v>6.2150000000000007</v>
      </c>
      <c r="AK144" s="18">
        <f>SUMIFS(super1[Qtde],super1[Item],tab_higiene[[#This Row],[Item]],super1[Bairro],mercado1)+SUMIFS(supercb[Qtde],supercb[Item],tab_higiene[[#This Row],[Item]],supercb[Bairro],mercado1)</f>
        <v>0</v>
      </c>
      <c r="AL144" s="18">
        <f>SUMIFS(super1[Qtde],super1[Item],tab_higiene[[#This Row],[Item]],super1[Bairro],mercado2)+SUMIFS(supercb[Qtde],supercb[Item],tab_higiene[[#This Row],[Item]],supercb[Bairro],mercado2)</f>
        <v>0</v>
      </c>
      <c r="AM144" s="18">
        <f>SUMIFS(super1[Qtde],super1[Item],tab_higiene[[#This Row],[Item]],super1[Bairro],mercado3)+SUMIFS(supercb[Qtde],supercb[Item],tab_higiene[[#This Row],[Item]],supercb[Bairro],mercado3)</f>
        <v>0</v>
      </c>
      <c r="AN144" s="18">
        <f>SUMIFS(super1[Qtde],super1[Item],tab_higiene[[#This Row],[Item]],super1[Bairro],mercado4)+SUMIFS(supercb[Qtde],supercb[Item],tab_higiene[[#This Row],[Item]],supercb[Bairro],mercado4)</f>
        <v>0</v>
      </c>
      <c r="AO144" s="18">
        <f>SUMIFS(super1[Qtde],super1[Item],tab_higiene[[#This Row],[Item]],super1[Bairro],mercado5)+SUMIFS(supercb[Qtde],supercb[Item],tab_higiene[[#This Row],[Item]],supercb[Bairro],mercado5)</f>
        <v>0</v>
      </c>
      <c r="AP144" s="18">
        <f>SUMIFS(super1[Qtde],super1[Item],tab_higiene[[#This Row],[Item]],super1[Bairro],mercado6)+SUMIFS(supercb[Qtde],supercb[Item],tab_higiene[[#This Row],[Item]],supercb[Bairro],mercado6)</f>
        <v>0</v>
      </c>
      <c r="AQ144" s="18">
        <f>SUMIFS(super1[Qtde],super1[Item],tab_higiene[[#This Row],[Item]],super1[Bairro],mercado7)+SUMIFS(supercb[Qtde],supercb[Item],tab_higiene[[#This Row],[Item]],supercb[Bairro],mercado7)</f>
        <v>0</v>
      </c>
      <c r="AR144" s="18">
        <f>SUMIFS(super1[Qtde],super1[Item],tab_higiene[[#This Row],[Item]],super1[Bairro],mercado8)+SUMIFS(supercb[Qtde],supercb[Item],tab_higiene[[#This Row],[Item]],supercb[Bairro],mercado8)</f>
        <v>0</v>
      </c>
      <c r="AS144" s="18">
        <f>SUMIFS(super1[Qtde],super1[Item],tab_higiene[[#This Row],[Item]],super1[Bairro],mercado9)+SUMIFS(supercb[Qtde],supercb[Item],tab_higiene[[#This Row],[Item]],supercb[Bairro],mercado9)</f>
        <v>0</v>
      </c>
      <c r="AT144" s="18">
        <f>SUMIFS(super1[Qtde],super1[Item],tab_higiene[[#This Row],[Item]],super1[Bairro],mercado10)+SUMIFS(supercb[Qtde],supercb[Item],tab_higiene[[#This Row],[Item]],supercb[Bairro],mercado10)</f>
        <v>0</v>
      </c>
      <c r="AU144" s="18">
        <f>SUMIFS(super1[Qtde],super1[Item],tab_higiene[[#This Row],[Item]],super1[Bairro],mercado11)+SUMIFS(supercb[Qtde],supercb[Item],tab_higiene[[#This Row],[Item]],supercb[Bairro],mercado11)</f>
        <v>0</v>
      </c>
      <c r="AV144" s="18">
        <f>SUMIFS(super1[Qtde],super1[Item],tab_higiene[[#This Row],[Item]],super1[Bairro],mercado12)+SUMIFS(supercb[Qtde],supercb[Item],tab_higiene[[#This Row],[Item]],supercb[Bairro],mercado12)</f>
        <v>0</v>
      </c>
      <c r="AW144" s="18">
        <f>SUMIFS(super1[Qtde],super1[Item],tab_higiene[[#This Row],[Item]],super1[Bairro],mercado13)+SUMIFS(supercb[Qtde],supercb[Item],tab_higiene[[#This Row],[Item]],supercb[Bairro],mercado13)</f>
        <v>0</v>
      </c>
      <c r="AX144" s="18">
        <f>SUMIFS(super1[Qtde],super1[Item],tab_higiene[[#This Row],[Item]],super1[Bairro],mercado14)+SUMIFS(supercb[Qtde],supercb[Item],tab_higiene[[#This Row],[Item]],supercb[Bairro],mercado14)</f>
        <v>0</v>
      </c>
      <c r="AY144" s="18">
        <f>SUMIFS(super1[Qtde],super1[Item],tab_higiene[[#This Row],[Item]],super1[Bairro],mercado15)+SUMIFS(supercb[Qtde],supercb[Item],tab_higiene[[#This Row],[Item]],supercb[Bairro],mercado15)</f>
        <v>0</v>
      </c>
      <c r="AZ144" s="18">
        <f>SUMIFS(super1[Qtde],super1[Item],tab_higiene[[#This Row],[Item]],super1[Bairro],mercado16)+SUMIFS(supercb[Qtde],supercb[Item],tab_higiene[[#This Row],[Item]],supercb[Bairro],mercado16)</f>
        <v>0</v>
      </c>
      <c r="BA144" s="18">
        <f>SUMIFS(super1[Qtde],super1[Item],tab_higiene[[#This Row],[Item]],super1[Bairro],mercado17)+SUMIFS(supercb[Qtde],supercb[Item],tab_higiene[[#This Row],[Item]],supercb[Bairro],mercado17)</f>
        <v>0</v>
      </c>
      <c r="BB144" s="18">
        <f>SUMIFS(super1[Qtde],super1[Item],tab_higiene[[#This Row],[Item]],super1[Bairro],mercado18)+SUMIFS(supercb[Qtde],supercb[Item],tab_higiene[[#This Row],[Item]],supercb[Bairro],mercado18)</f>
        <v>0</v>
      </c>
      <c r="BC144" s="18">
        <f>SUMIFS(super1[Qtde],super1[Item],tab_higiene[[#This Row],[Item]],super1[Bairro],extras)+SUMIFS(supercb[Qtde],supercb[Item],tab_higiene[[#This Row],[Item]],supercb[Bairro],extras)</f>
        <v>0</v>
      </c>
      <c r="BD144" s="1">
        <f t="shared" si="59"/>
        <v>0</v>
      </c>
      <c r="BE144" s="1">
        <f t="shared" si="60"/>
        <v>0</v>
      </c>
      <c r="BF144" s="26">
        <f t="shared" si="61"/>
        <v>0</v>
      </c>
      <c r="BI144" s="35" t="str">
        <f>tab_alimentos[[#This Row],[Item]]</f>
        <v>Grão de Bico (sache)</v>
      </c>
      <c r="BJ144" s="35">
        <f t="shared" si="62"/>
        <v>13</v>
      </c>
      <c r="BK144" s="35" t="str">
        <f t="shared" si="63"/>
        <v>Grão de Bico</v>
      </c>
      <c r="BL144" s="35">
        <f>tab_alimentos[[#This Row],[kg]]</f>
        <v>0</v>
      </c>
      <c r="BN144" s="35">
        <f>SUMIF($BJ$5:$BJ$158,#REF!,$BK$5:$BK$158)</f>
        <v>0</v>
      </c>
      <c r="BQ144"/>
      <c r="BR144" s="24"/>
      <c r="BS144"/>
      <c r="BT144" s="24"/>
    </row>
    <row r="145" spans="9:72" x14ac:dyDescent="0.25">
      <c r="I145" s="25" t="str">
        <f>alimentos[[#This Row],[Item]]</f>
        <v>H</v>
      </c>
      <c r="J145" s="1">
        <f>IFERROR(alimentos[[#This Row],[kg/embalagem]],0)</f>
        <v>0</v>
      </c>
      <c r="K145" s="18">
        <f>IFERROR(alimentos[[#This Row],[Preço]],0)</f>
        <v>0</v>
      </c>
      <c r="L145" s="1">
        <f>SUMIFS(super1[Qtde],super1[Item],tab_alimentos[[#This Row],[Item]],super1[Bairro],mercado1)+SUMIFS(supercb[Qtde],supercb[Item],tab_alimentos[[#This Row],[Item]],supercb[Bairro],mercado1)</f>
        <v>0</v>
      </c>
      <c r="M145" s="1">
        <f>SUMIFS(super1[Qtde],super1[Item],tab_alimentos[[#This Row],[Item]],super1[Bairro],mercado2)+SUMIFS(supercb[Qtde],supercb[Item],tab_alimentos[[#This Row],[Item]],supercb[Bairro],mercado2)</f>
        <v>0</v>
      </c>
      <c r="N145" s="1">
        <f>SUMIFS(super1[Qtde],super1[Item],tab_alimentos[[#This Row],[Item]],super1[Bairro],mercado3)+SUMIFS(supercb[Qtde],supercb[Item],tab_alimentos[[#This Row],[Item]],supercb[Bairro],mercado3)</f>
        <v>0</v>
      </c>
      <c r="O145" s="1">
        <f>SUMIFS(super1[Qtde],super1[Item],tab_alimentos[[#This Row],[Item]],super1[Bairro],mercado4)+SUMIFS(supercb[Qtde],supercb[Item],tab_alimentos[[#This Row],[Item]],supercb[Bairro],mercado4)</f>
        <v>0</v>
      </c>
      <c r="P145" s="1">
        <f>SUMIFS(super1[Qtde],super1[Item],tab_alimentos[[#This Row],[Item]],super1[Bairro],mercado5)+SUMIFS(supercb[Qtde],supercb[Item],tab_alimentos[[#This Row],[Item]],supercb[Bairro],mercado5)</f>
        <v>0</v>
      </c>
      <c r="Q145" s="1">
        <f>SUMIFS(super1[Qtde],super1[Item],tab_alimentos[[#This Row],[Item]],super1[Bairro],mercado6)+SUMIFS(supercb[Qtde],supercb[Item],tab_alimentos[[#This Row],[Item]],supercb[Bairro],mercado6)</f>
        <v>0</v>
      </c>
      <c r="R145" s="1">
        <f>SUMIFS(super1[Qtde],super1[Item],tab_alimentos[[#This Row],[Item]],super1[Bairro],mercado7)+SUMIFS(supercb[Qtde],supercb[Item],tab_alimentos[[#This Row],[Item]],supercb[Bairro],mercado7)</f>
        <v>0</v>
      </c>
      <c r="S145" s="1">
        <f>SUMIFS(super1[Qtde],super1[Item],tab_alimentos[[#This Row],[Item]],super1[Bairro],mercado8)+SUMIFS(supercb[Qtde],supercb[Item],tab_alimentos[[#This Row],[Item]],supercb[Bairro],mercado8)</f>
        <v>0</v>
      </c>
      <c r="T145" s="1">
        <f>SUMIFS(super1[Qtde],super1[Item],tab_alimentos[[#This Row],[Item]],super1[Bairro],mercado9)+SUMIFS(supercb[Qtde],supercb[Item],tab_alimentos[[#This Row],[Item]],supercb[Bairro],mercado9)</f>
        <v>0</v>
      </c>
      <c r="U145" s="1">
        <f>SUMIFS(super1[Qtde],super1[Item],tab_alimentos[[#This Row],[Item]],super1[Bairro],mercado10)+SUMIFS(supercb[Qtde],supercb[Item],tab_alimentos[[#This Row],[Item]],supercb[Bairro],mercado10)</f>
        <v>0</v>
      </c>
      <c r="V145" s="1">
        <f>SUMIFS(super1[Qtde],super1[Item],tab_alimentos[[#This Row],[Item]],super1[Bairro],mercado11)+SUMIFS(supercb[Qtde],supercb[Item],tab_alimentos[[#This Row],[Item]],supercb[Bairro],mercado11)</f>
        <v>0</v>
      </c>
      <c r="W145" s="1">
        <f>SUMIFS(super1[Qtde],super1[Item],tab_alimentos[[#This Row],[Item]],super1[Bairro],mercado12)+SUMIFS(supercb[Qtde],supercb[Item],tab_alimentos[[#This Row],[Item]],supercb[Bairro],mercado12)</f>
        <v>0</v>
      </c>
      <c r="X145" s="1">
        <f>SUMIFS(super1[Qtde],super1[Item],tab_alimentos[[#This Row],[Item]],super1[Bairro],mercado13)+SUMIFS(supercb[Qtde],supercb[Item],tab_alimentos[[#This Row],[Item]],supercb[Bairro],mercado13)</f>
        <v>0</v>
      </c>
      <c r="Y145" s="1">
        <f>SUMIFS(super1[Qtde],super1[Item],tab_alimentos[[#This Row],[Item]],super1[Bairro],mercado14)+SUMIFS(supercb[Qtde],supercb[Item],tab_alimentos[[#This Row],[Item]],supercb[Bairro],mercado14)</f>
        <v>0</v>
      </c>
      <c r="Z145" s="1">
        <f>SUMIFS(super1[Qtde],super1[Item],tab_alimentos[[#This Row],[Item]],super1[Bairro],mercado15)+SUMIFS(supercb[Qtde],supercb[Item],tab_alimentos[[#This Row],[Item]],supercb[Bairro],mercado15)</f>
        <v>0</v>
      </c>
      <c r="AA145" s="1">
        <f>SUMIFS(super1[Qtde],super1[Item],tab_alimentos[[#This Row],[Item]],super1[Bairro],mercado16)+SUMIFS(supercb[Qtde],supercb[Item],tab_alimentos[[#This Row],[Item]],supercb[Bairro],mercado16)</f>
        <v>0</v>
      </c>
      <c r="AB145" s="1">
        <f>SUMIFS(super1[Qtde],super1[Item],tab_alimentos[[#This Row],[Item]],super1[Bairro],mercado17)+SUMIFS(supercb[Qtde],supercb[Item],tab_alimentos[[#This Row],[Item]],supercb[Bairro],mercado17)</f>
        <v>0</v>
      </c>
      <c r="AC145" s="1">
        <f>SUMIFS(super1[Qtde],super1[Item],tab_alimentos[[#This Row],[Item]],super1[Bairro],mercado18)+SUMIFS(supercb[Qtde],supercb[Item],tab_alimentos[[#This Row],[Item]],supercb[Bairro],mercado18)</f>
        <v>0</v>
      </c>
      <c r="AD145" s="1">
        <f>SUMIFS(super1[Qtde],super1[Item],tab_alimentos[[#This Row],[Item]],super1[Bairro],extras)+SUMIFS(supercb[Qtde],supercb[Item],tab_alimentos[[#This Row],[Item]],supercb[Bairro],extras)</f>
        <v>0</v>
      </c>
      <c r="AE145" s="1">
        <f t="shared" si="47"/>
        <v>0</v>
      </c>
      <c r="AF145" s="1">
        <f t="shared" si="48"/>
        <v>0</v>
      </c>
      <c r="AG145" s="26">
        <f t="shared" si="49"/>
        <v>0</v>
      </c>
      <c r="AH145" s="25" t="str">
        <f>higiene[[#This Row],[Item]]</f>
        <v>N</v>
      </c>
      <c r="AI145" s="18">
        <f>IFERROR(higiene[[#This Row],[Kg equivalente]],0)</f>
        <v>0</v>
      </c>
      <c r="AJ145" s="18" t="str">
        <f>IFERROR(higiene[[#This Row],[Preço por produto]],0)</f>
        <v/>
      </c>
      <c r="AK145" s="18">
        <f>SUMIFS(super1[Qtde],super1[Item],tab_higiene[[#This Row],[Item]],super1[Bairro],mercado1)+SUMIFS(supercb[Qtde],supercb[Item],tab_higiene[[#This Row],[Item]],supercb[Bairro],mercado1)</f>
        <v>0</v>
      </c>
      <c r="AL145" s="18">
        <f>SUMIFS(super1[Qtde],super1[Item],tab_higiene[[#This Row],[Item]],super1[Bairro],mercado2)+SUMIFS(supercb[Qtde],supercb[Item],tab_higiene[[#This Row],[Item]],supercb[Bairro],mercado2)</f>
        <v>0</v>
      </c>
      <c r="AM145" s="18">
        <f>SUMIFS(super1[Qtde],super1[Item],tab_higiene[[#This Row],[Item]],super1[Bairro],mercado3)+SUMIFS(supercb[Qtde],supercb[Item],tab_higiene[[#This Row],[Item]],supercb[Bairro],mercado3)</f>
        <v>0</v>
      </c>
      <c r="AN145" s="18">
        <f>SUMIFS(super1[Qtde],super1[Item],tab_higiene[[#This Row],[Item]],super1[Bairro],mercado4)+SUMIFS(supercb[Qtde],supercb[Item],tab_higiene[[#This Row],[Item]],supercb[Bairro],mercado4)</f>
        <v>0</v>
      </c>
      <c r="AO145" s="18">
        <f>SUMIFS(super1[Qtde],super1[Item],tab_higiene[[#This Row],[Item]],super1[Bairro],mercado5)+SUMIFS(supercb[Qtde],supercb[Item],tab_higiene[[#This Row],[Item]],supercb[Bairro],mercado5)</f>
        <v>0</v>
      </c>
      <c r="AP145" s="18">
        <f>SUMIFS(super1[Qtde],super1[Item],tab_higiene[[#This Row],[Item]],super1[Bairro],mercado6)+SUMIFS(supercb[Qtde],supercb[Item],tab_higiene[[#This Row],[Item]],supercb[Bairro],mercado6)</f>
        <v>0</v>
      </c>
      <c r="AQ145" s="18">
        <f>SUMIFS(super1[Qtde],super1[Item],tab_higiene[[#This Row],[Item]],super1[Bairro],mercado7)+SUMIFS(supercb[Qtde],supercb[Item],tab_higiene[[#This Row],[Item]],supercb[Bairro],mercado7)</f>
        <v>0</v>
      </c>
      <c r="AR145" s="18">
        <f>SUMIFS(super1[Qtde],super1[Item],tab_higiene[[#This Row],[Item]],super1[Bairro],mercado8)+SUMIFS(supercb[Qtde],supercb[Item],tab_higiene[[#This Row],[Item]],supercb[Bairro],mercado8)</f>
        <v>0</v>
      </c>
      <c r="AS145" s="18">
        <f>SUMIFS(super1[Qtde],super1[Item],tab_higiene[[#This Row],[Item]],super1[Bairro],mercado9)+SUMIFS(supercb[Qtde],supercb[Item],tab_higiene[[#This Row],[Item]],supercb[Bairro],mercado9)</f>
        <v>0</v>
      </c>
      <c r="AT145" s="18">
        <f>SUMIFS(super1[Qtde],super1[Item],tab_higiene[[#This Row],[Item]],super1[Bairro],mercado10)+SUMIFS(supercb[Qtde],supercb[Item],tab_higiene[[#This Row],[Item]],supercb[Bairro],mercado10)</f>
        <v>0</v>
      </c>
      <c r="AU145" s="18">
        <f>SUMIFS(super1[Qtde],super1[Item],tab_higiene[[#This Row],[Item]],super1[Bairro],mercado11)+SUMIFS(supercb[Qtde],supercb[Item],tab_higiene[[#This Row],[Item]],supercb[Bairro],mercado11)</f>
        <v>0</v>
      </c>
      <c r="AV145" s="18">
        <f>SUMIFS(super1[Qtde],super1[Item],tab_higiene[[#This Row],[Item]],super1[Bairro],mercado12)+SUMIFS(supercb[Qtde],supercb[Item],tab_higiene[[#This Row],[Item]],supercb[Bairro],mercado12)</f>
        <v>0</v>
      </c>
      <c r="AW145" s="18">
        <f>SUMIFS(super1[Qtde],super1[Item],tab_higiene[[#This Row],[Item]],super1[Bairro],mercado13)+SUMIFS(supercb[Qtde],supercb[Item],tab_higiene[[#This Row],[Item]],supercb[Bairro],mercado13)</f>
        <v>0</v>
      </c>
      <c r="AX145" s="18">
        <f>SUMIFS(super1[Qtde],super1[Item],tab_higiene[[#This Row],[Item]],super1[Bairro],mercado14)+SUMIFS(supercb[Qtde],supercb[Item],tab_higiene[[#This Row],[Item]],supercb[Bairro],mercado14)</f>
        <v>0</v>
      </c>
      <c r="AY145" s="18">
        <f>SUMIFS(super1[Qtde],super1[Item],tab_higiene[[#This Row],[Item]],super1[Bairro],mercado15)+SUMIFS(supercb[Qtde],supercb[Item],tab_higiene[[#This Row],[Item]],supercb[Bairro],mercado15)</f>
        <v>0</v>
      </c>
      <c r="AZ145" s="18">
        <f>SUMIFS(super1[Qtde],super1[Item],tab_higiene[[#This Row],[Item]],super1[Bairro],mercado16)+SUMIFS(supercb[Qtde],supercb[Item],tab_higiene[[#This Row],[Item]],supercb[Bairro],mercado16)</f>
        <v>0</v>
      </c>
      <c r="BA145" s="18">
        <f>SUMIFS(super1[Qtde],super1[Item],tab_higiene[[#This Row],[Item]],super1[Bairro],mercado17)+SUMIFS(supercb[Qtde],supercb[Item],tab_higiene[[#This Row],[Item]],supercb[Bairro],mercado17)</f>
        <v>0</v>
      </c>
      <c r="BB145" s="18">
        <f>SUMIFS(super1[Qtde],super1[Item],tab_higiene[[#This Row],[Item]],super1[Bairro],mercado18)+SUMIFS(supercb[Qtde],supercb[Item],tab_higiene[[#This Row],[Item]],supercb[Bairro],mercado18)</f>
        <v>0</v>
      </c>
      <c r="BC145" s="18">
        <f>SUMIFS(super1[Qtde],super1[Item],tab_higiene[[#This Row],[Item]],super1[Bairro],extras)+SUMIFS(supercb[Qtde],supercb[Item],tab_higiene[[#This Row],[Item]],supercb[Bairro],extras)</f>
        <v>0</v>
      </c>
      <c r="BD145" s="1">
        <f t="shared" si="59"/>
        <v>0</v>
      </c>
      <c r="BE145" s="1">
        <f t="shared" si="60"/>
        <v>0</v>
      </c>
      <c r="BF145" s="26">
        <f t="shared" si="61"/>
        <v>0</v>
      </c>
      <c r="BI145" s="35" t="str">
        <f>tab_alimentos[[#This Row],[Item]]</f>
        <v>H</v>
      </c>
      <c r="BJ145" s="35">
        <f t="shared" si="62"/>
        <v>0</v>
      </c>
      <c r="BK145" s="35" t="str">
        <f t="shared" si="63"/>
        <v>H</v>
      </c>
      <c r="BL145" s="35">
        <f>tab_alimentos[[#This Row],[kg]]</f>
        <v>0</v>
      </c>
      <c r="BN145" s="35">
        <f>SUMIF($BJ$5:$BJ$158,#REF!,$BK$5:$BK$158)</f>
        <v>0</v>
      </c>
      <c r="BQ145"/>
      <c r="BR145" s="24"/>
      <c r="BS145"/>
      <c r="BT145" s="24"/>
    </row>
    <row r="146" spans="9:72" x14ac:dyDescent="0.25">
      <c r="I146" s="25" t="str">
        <f>alimentos[[#This Row],[Item]]</f>
        <v>I</v>
      </c>
      <c r="J146" s="1">
        <f>IFERROR(alimentos[[#This Row],[kg/embalagem]],0)</f>
        <v>0</v>
      </c>
      <c r="K146" s="18">
        <f>IFERROR(alimentos[[#This Row],[Preço]],0)</f>
        <v>0</v>
      </c>
      <c r="L146" s="1">
        <f>SUMIFS(super1[Qtde],super1[Item],tab_alimentos[[#This Row],[Item]],super1[Bairro],mercado1)+SUMIFS(supercb[Qtde],supercb[Item],tab_alimentos[[#This Row],[Item]],supercb[Bairro],mercado1)</f>
        <v>0</v>
      </c>
      <c r="M146" s="1">
        <f>SUMIFS(super1[Qtde],super1[Item],tab_alimentos[[#This Row],[Item]],super1[Bairro],mercado2)+SUMIFS(supercb[Qtde],supercb[Item],tab_alimentos[[#This Row],[Item]],supercb[Bairro],mercado2)</f>
        <v>0</v>
      </c>
      <c r="N146" s="1">
        <f>SUMIFS(super1[Qtde],super1[Item],tab_alimentos[[#This Row],[Item]],super1[Bairro],mercado3)+SUMIFS(supercb[Qtde],supercb[Item],tab_alimentos[[#This Row],[Item]],supercb[Bairro],mercado3)</f>
        <v>0</v>
      </c>
      <c r="O146" s="1">
        <f>SUMIFS(super1[Qtde],super1[Item],tab_alimentos[[#This Row],[Item]],super1[Bairro],mercado4)+SUMIFS(supercb[Qtde],supercb[Item],tab_alimentos[[#This Row],[Item]],supercb[Bairro],mercado4)</f>
        <v>0</v>
      </c>
      <c r="P146" s="1">
        <f>SUMIFS(super1[Qtde],super1[Item],tab_alimentos[[#This Row],[Item]],super1[Bairro],mercado5)+SUMIFS(supercb[Qtde],supercb[Item],tab_alimentos[[#This Row],[Item]],supercb[Bairro],mercado5)</f>
        <v>0</v>
      </c>
      <c r="Q146" s="1">
        <f>SUMIFS(super1[Qtde],super1[Item],tab_alimentos[[#This Row],[Item]],super1[Bairro],mercado6)+SUMIFS(supercb[Qtde],supercb[Item],tab_alimentos[[#This Row],[Item]],supercb[Bairro],mercado6)</f>
        <v>0</v>
      </c>
      <c r="R146" s="1">
        <f>SUMIFS(super1[Qtde],super1[Item],tab_alimentos[[#This Row],[Item]],super1[Bairro],mercado7)+SUMIFS(supercb[Qtde],supercb[Item],tab_alimentos[[#This Row],[Item]],supercb[Bairro],mercado7)</f>
        <v>0</v>
      </c>
      <c r="S146" s="1">
        <f>SUMIFS(super1[Qtde],super1[Item],tab_alimentos[[#This Row],[Item]],super1[Bairro],mercado8)+SUMIFS(supercb[Qtde],supercb[Item],tab_alimentos[[#This Row],[Item]],supercb[Bairro],mercado8)</f>
        <v>0</v>
      </c>
      <c r="T146" s="1">
        <f>SUMIFS(super1[Qtde],super1[Item],tab_alimentos[[#This Row],[Item]],super1[Bairro],mercado9)+SUMIFS(supercb[Qtde],supercb[Item],tab_alimentos[[#This Row],[Item]],supercb[Bairro],mercado9)</f>
        <v>0</v>
      </c>
      <c r="U146" s="1">
        <f>SUMIFS(super1[Qtde],super1[Item],tab_alimentos[[#This Row],[Item]],super1[Bairro],mercado10)+SUMIFS(supercb[Qtde],supercb[Item],tab_alimentos[[#This Row],[Item]],supercb[Bairro],mercado10)</f>
        <v>0</v>
      </c>
      <c r="V146" s="1">
        <f>SUMIFS(super1[Qtde],super1[Item],tab_alimentos[[#This Row],[Item]],super1[Bairro],mercado11)+SUMIFS(supercb[Qtde],supercb[Item],tab_alimentos[[#This Row],[Item]],supercb[Bairro],mercado11)</f>
        <v>0</v>
      </c>
      <c r="W146" s="1">
        <f>SUMIFS(super1[Qtde],super1[Item],tab_alimentos[[#This Row],[Item]],super1[Bairro],mercado12)+SUMIFS(supercb[Qtde],supercb[Item],tab_alimentos[[#This Row],[Item]],supercb[Bairro],mercado12)</f>
        <v>0</v>
      </c>
      <c r="X146" s="1">
        <f>SUMIFS(super1[Qtde],super1[Item],tab_alimentos[[#This Row],[Item]],super1[Bairro],mercado13)+SUMIFS(supercb[Qtde],supercb[Item],tab_alimentos[[#This Row],[Item]],supercb[Bairro],mercado13)</f>
        <v>0</v>
      </c>
      <c r="Y146" s="1">
        <f>SUMIFS(super1[Qtde],super1[Item],tab_alimentos[[#This Row],[Item]],super1[Bairro],mercado14)+SUMIFS(supercb[Qtde],supercb[Item],tab_alimentos[[#This Row],[Item]],supercb[Bairro],mercado14)</f>
        <v>0</v>
      </c>
      <c r="Z146" s="1">
        <f>SUMIFS(super1[Qtde],super1[Item],tab_alimentos[[#This Row],[Item]],super1[Bairro],mercado15)+SUMIFS(supercb[Qtde],supercb[Item],tab_alimentos[[#This Row],[Item]],supercb[Bairro],mercado15)</f>
        <v>0</v>
      </c>
      <c r="AA146" s="1">
        <f>SUMIFS(super1[Qtde],super1[Item],tab_alimentos[[#This Row],[Item]],super1[Bairro],mercado16)+SUMIFS(supercb[Qtde],supercb[Item],tab_alimentos[[#This Row],[Item]],supercb[Bairro],mercado16)</f>
        <v>0</v>
      </c>
      <c r="AB146" s="1">
        <f>SUMIFS(super1[Qtde],super1[Item],tab_alimentos[[#This Row],[Item]],super1[Bairro],mercado17)+SUMIFS(supercb[Qtde],supercb[Item],tab_alimentos[[#This Row],[Item]],supercb[Bairro],mercado17)</f>
        <v>0</v>
      </c>
      <c r="AC146" s="1">
        <f>SUMIFS(super1[Qtde],super1[Item],tab_alimentos[[#This Row],[Item]],super1[Bairro],mercado18)+SUMIFS(supercb[Qtde],supercb[Item],tab_alimentos[[#This Row],[Item]],supercb[Bairro],mercado18)</f>
        <v>0</v>
      </c>
      <c r="AD146" s="1">
        <f>SUMIFS(super1[Qtde],super1[Item],tab_alimentos[[#This Row],[Item]],super1[Bairro],extras)+SUMIFS(supercb[Qtde],supercb[Item],tab_alimentos[[#This Row],[Item]],supercb[Bairro],extras)</f>
        <v>0</v>
      </c>
      <c r="AE146" s="1">
        <f t="shared" si="47"/>
        <v>0</v>
      </c>
      <c r="AF146" s="1">
        <f t="shared" si="48"/>
        <v>0</v>
      </c>
      <c r="AG146" s="26">
        <f t="shared" si="49"/>
        <v>0</v>
      </c>
      <c r="AH146" s="25" t="str">
        <f>higiene[[#This Row],[Item]]</f>
        <v>O</v>
      </c>
      <c r="AI146" s="18">
        <f>IFERROR(higiene[[#This Row],[Kg equivalente]],0)</f>
        <v>0</v>
      </c>
      <c r="AJ146" s="18" t="str">
        <f>IFERROR(higiene[[#This Row],[Preço por produto]],0)</f>
        <v/>
      </c>
      <c r="AK146" s="18">
        <f>SUMIFS(super1[Qtde],super1[Item],tab_higiene[[#This Row],[Item]],super1[Bairro],mercado1)+SUMIFS(supercb[Qtde],supercb[Item],tab_higiene[[#This Row],[Item]],supercb[Bairro],mercado1)</f>
        <v>0</v>
      </c>
      <c r="AL146" s="18">
        <f>SUMIFS(super1[Qtde],super1[Item],tab_higiene[[#This Row],[Item]],super1[Bairro],mercado2)+SUMIFS(supercb[Qtde],supercb[Item],tab_higiene[[#This Row],[Item]],supercb[Bairro],mercado2)</f>
        <v>0</v>
      </c>
      <c r="AM146" s="18">
        <f>SUMIFS(super1[Qtde],super1[Item],tab_higiene[[#This Row],[Item]],super1[Bairro],mercado3)+SUMIFS(supercb[Qtde],supercb[Item],tab_higiene[[#This Row],[Item]],supercb[Bairro],mercado3)</f>
        <v>0</v>
      </c>
      <c r="AN146" s="18">
        <f>SUMIFS(super1[Qtde],super1[Item],tab_higiene[[#This Row],[Item]],super1[Bairro],mercado4)+SUMIFS(supercb[Qtde],supercb[Item],tab_higiene[[#This Row],[Item]],supercb[Bairro],mercado4)</f>
        <v>0</v>
      </c>
      <c r="AO146" s="18">
        <f>SUMIFS(super1[Qtde],super1[Item],tab_higiene[[#This Row],[Item]],super1[Bairro],mercado5)+SUMIFS(supercb[Qtde],supercb[Item],tab_higiene[[#This Row],[Item]],supercb[Bairro],mercado5)</f>
        <v>0</v>
      </c>
      <c r="AP146" s="18">
        <f>SUMIFS(super1[Qtde],super1[Item],tab_higiene[[#This Row],[Item]],super1[Bairro],mercado6)+SUMIFS(supercb[Qtde],supercb[Item],tab_higiene[[#This Row],[Item]],supercb[Bairro],mercado6)</f>
        <v>0</v>
      </c>
      <c r="AQ146" s="18">
        <f>SUMIFS(super1[Qtde],super1[Item],tab_higiene[[#This Row],[Item]],super1[Bairro],mercado7)+SUMIFS(supercb[Qtde],supercb[Item],tab_higiene[[#This Row],[Item]],supercb[Bairro],mercado7)</f>
        <v>0</v>
      </c>
      <c r="AR146" s="18">
        <f>SUMIFS(super1[Qtde],super1[Item],tab_higiene[[#This Row],[Item]],super1[Bairro],mercado8)+SUMIFS(supercb[Qtde],supercb[Item],tab_higiene[[#This Row],[Item]],supercb[Bairro],mercado8)</f>
        <v>0</v>
      </c>
      <c r="AS146" s="18">
        <f>SUMIFS(super1[Qtde],super1[Item],tab_higiene[[#This Row],[Item]],super1[Bairro],mercado9)+SUMIFS(supercb[Qtde],supercb[Item],tab_higiene[[#This Row],[Item]],supercb[Bairro],mercado9)</f>
        <v>0</v>
      </c>
      <c r="AT146" s="18">
        <f>SUMIFS(super1[Qtde],super1[Item],tab_higiene[[#This Row],[Item]],super1[Bairro],mercado10)+SUMIFS(supercb[Qtde],supercb[Item],tab_higiene[[#This Row],[Item]],supercb[Bairro],mercado10)</f>
        <v>0</v>
      </c>
      <c r="AU146" s="18">
        <f>SUMIFS(super1[Qtde],super1[Item],tab_higiene[[#This Row],[Item]],super1[Bairro],mercado11)+SUMIFS(supercb[Qtde],supercb[Item],tab_higiene[[#This Row],[Item]],supercb[Bairro],mercado11)</f>
        <v>0</v>
      </c>
      <c r="AV146" s="18">
        <f>SUMIFS(super1[Qtde],super1[Item],tab_higiene[[#This Row],[Item]],super1[Bairro],mercado12)+SUMIFS(supercb[Qtde],supercb[Item],tab_higiene[[#This Row],[Item]],supercb[Bairro],mercado12)</f>
        <v>0</v>
      </c>
      <c r="AW146" s="18">
        <f>SUMIFS(super1[Qtde],super1[Item],tab_higiene[[#This Row],[Item]],super1[Bairro],mercado13)+SUMIFS(supercb[Qtde],supercb[Item],tab_higiene[[#This Row],[Item]],supercb[Bairro],mercado13)</f>
        <v>0</v>
      </c>
      <c r="AX146" s="18">
        <f>SUMIFS(super1[Qtde],super1[Item],tab_higiene[[#This Row],[Item]],super1[Bairro],mercado14)+SUMIFS(supercb[Qtde],supercb[Item],tab_higiene[[#This Row],[Item]],supercb[Bairro],mercado14)</f>
        <v>0</v>
      </c>
      <c r="AY146" s="18">
        <f>SUMIFS(super1[Qtde],super1[Item],tab_higiene[[#This Row],[Item]],super1[Bairro],mercado15)+SUMIFS(supercb[Qtde],supercb[Item],tab_higiene[[#This Row],[Item]],supercb[Bairro],mercado15)</f>
        <v>0</v>
      </c>
      <c r="AZ146" s="18">
        <f>SUMIFS(super1[Qtde],super1[Item],tab_higiene[[#This Row],[Item]],super1[Bairro],mercado16)+SUMIFS(supercb[Qtde],supercb[Item],tab_higiene[[#This Row],[Item]],supercb[Bairro],mercado16)</f>
        <v>0</v>
      </c>
      <c r="BA146" s="18">
        <f>SUMIFS(super1[Qtde],super1[Item],tab_higiene[[#This Row],[Item]],super1[Bairro],mercado17)+SUMIFS(supercb[Qtde],supercb[Item],tab_higiene[[#This Row],[Item]],supercb[Bairro],mercado17)</f>
        <v>0</v>
      </c>
      <c r="BB146" s="18">
        <f>SUMIFS(super1[Qtde],super1[Item],tab_higiene[[#This Row],[Item]],super1[Bairro],mercado18)+SUMIFS(supercb[Qtde],supercb[Item],tab_higiene[[#This Row],[Item]],supercb[Bairro],mercado18)</f>
        <v>0</v>
      </c>
      <c r="BC146" s="18">
        <f>SUMIFS(super1[Qtde],super1[Item],tab_higiene[[#This Row],[Item]],super1[Bairro],extras)+SUMIFS(supercb[Qtde],supercb[Item],tab_higiene[[#This Row],[Item]],supercb[Bairro],extras)</f>
        <v>0</v>
      </c>
      <c r="BD146" s="1">
        <f t="shared" si="59"/>
        <v>0</v>
      </c>
      <c r="BE146" s="1">
        <f t="shared" si="60"/>
        <v>0</v>
      </c>
      <c r="BF146" s="26">
        <f t="shared" si="61"/>
        <v>0</v>
      </c>
      <c r="BI146" s="35" t="str">
        <f>tab_alimentos[[#This Row],[Item]]</f>
        <v>I</v>
      </c>
      <c r="BJ146" s="35">
        <f t="shared" si="62"/>
        <v>0</v>
      </c>
      <c r="BK146" s="35" t="str">
        <f t="shared" si="63"/>
        <v>I</v>
      </c>
      <c r="BL146" s="35">
        <f>tab_alimentos[[#This Row],[kg]]</f>
        <v>0</v>
      </c>
      <c r="BN146" s="35">
        <f>SUMIF($BJ$5:$BJ$158,#REF!,$BK$5:$BK$158)</f>
        <v>0</v>
      </c>
      <c r="BQ146"/>
      <c r="BR146" s="24"/>
      <c r="BS146"/>
      <c r="BT146" s="24"/>
    </row>
    <row r="147" spans="9:72" x14ac:dyDescent="0.25">
      <c r="I147" s="25" t="str">
        <f>alimentos[[#This Row],[Item]]</f>
        <v>J</v>
      </c>
      <c r="J147" s="1">
        <f>IFERROR(alimentos[[#This Row],[kg/embalagem]],0)</f>
        <v>0</v>
      </c>
      <c r="K147" s="18">
        <f>IFERROR(alimentos[[#This Row],[Preço]],0)</f>
        <v>0</v>
      </c>
      <c r="L147" s="1">
        <f>SUMIFS(super1[Qtde],super1[Item],tab_alimentos[[#This Row],[Item]],super1[Bairro],mercado1)+SUMIFS(supercb[Qtde],supercb[Item],tab_alimentos[[#This Row],[Item]],supercb[Bairro],mercado1)</f>
        <v>0</v>
      </c>
      <c r="M147" s="1">
        <f>SUMIFS(super1[Qtde],super1[Item],tab_alimentos[[#This Row],[Item]],super1[Bairro],mercado2)+SUMIFS(supercb[Qtde],supercb[Item],tab_alimentos[[#This Row],[Item]],supercb[Bairro],mercado2)</f>
        <v>0</v>
      </c>
      <c r="N147" s="1">
        <f>SUMIFS(super1[Qtde],super1[Item],tab_alimentos[[#This Row],[Item]],super1[Bairro],mercado3)+SUMIFS(supercb[Qtde],supercb[Item],tab_alimentos[[#This Row],[Item]],supercb[Bairro],mercado3)</f>
        <v>0</v>
      </c>
      <c r="O147" s="1">
        <f>SUMIFS(super1[Qtde],super1[Item],tab_alimentos[[#This Row],[Item]],super1[Bairro],mercado4)+SUMIFS(supercb[Qtde],supercb[Item],tab_alimentos[[#This Row],[Item]],supercb[Bairro],mercado4)</f>
        <v>0</v>
      </c>
      <c r="P147" s="1">
        <f>SUMIFS(super1[Qtde],super1[Item],tab_alimentos[[#This Row],[Item]],super1[Bairro],mercado5)+SUMIFS(supercb[Qtde],supercb[Item],tab_alimentos[[#This Row],[Item]],supercb[Bairro],mercado5)</f>
        <v>0</v>
      </c>
      <c r="Q147" s="1">
        <f>SUMIFS(super1[Qtde],super1[Item],tab_alimentos[[#This Row],[Item]],super1[Bairro],mercado6)+SUMIFS(supercb[Qtde],supercb[Item],tab_alimentos[[#This Row],[Item]],supercb[Bairro],mercado6)</f>
        <v>0</v>
      </c>
      <c r="R147" s="1">
        <f>SUMIFS(super1[Qtde],super1[Item],tab_alimentos[[#This Row],[Item]],super1[Bairro],mercado7)+SUMIFS(supercb[Qtde],supercb[Item],tab_alimentos[[#This Row],[Item]],supercb[Bairro],mercado7)</f>
        <v>0</v>
      </c>
      <c r="S147" s="1">
        <f>SUMIFS(super1[Qtde],super1[Item],tab_alimentos[[#This Row],[Item]],super1[Bairro],mercado8)+SUMIFS(supercb[Qtde],supercb[Item],tab_alimentos[[#This Row],[Item]],supercb[Bairro],mercado8)</f>
        <v>0</v>
      </c>
      <c r="T147" s="1">
        <f>SUMIFS(super1[Qtde],super1[Item],tab_alimentos[[#This Row],[Item]],super1[Bairro],mercado9)+SUMIFS(supercb[Qtde],supercb[Item],tab_alimentos[[#This Row],[Item]],supercb[Bairro],mercado9)</f>
        <v>0</v>
      </c>
      <c r="U147" s="1">
        <f>SUMIFS(super1[Qtde],super1[Item],tab_alimentos[[#This Row],[Item]],super1[Bairro],mercado10)+SUMIFS(supercb[Qtde],supercb[Item],tab_alimentos[[#This Row],[Item]],supercb[Bairro],mercado10)</f>
        <v>0</v>
      </c>
      <c r="V147" s="1">
        <f>SUMIFS(super1[Qtde],super1[Item],tab_alimentos[[#This Row],[Item]],super1[Bairro],mercado11)+SUMIFS(supercb[Qtde],supercb[Item],tab_alimentos[[#This Row],[Item]],supercb[Bairro],mercado11)</f>
        <v>0</v>
      </c>
      <c r="W147" s="1">
        <f>SUMIFS(super1[Qtde],super1[Item],tab_alimentos[[#This Row],[Item]],super1[Bairro],mercado12)+SUMIFS(supercb[Qtde],supercb[Item],tab_alimentos[[#This Row],[Item]],supercb[Bairro],mercado12)</f>
        <v>0</v>
      </c>
      <c r="X147" s="1">
        <f>SUMIFS(super1[Qtde],super1[Item],tab_alimentos[[#This Row],[Item]],super1[Bairro],mercado13)+SUMIFS(supercb[Qtde],supercb[Item],tab_alimentos[[#This Row],[Item]],supercb[Bairro],mercado13)</f>
        <v>0</v>
      </c>
      <c r="Y147" s="1">
        <f>SUMIFS(super1[Qtde],super1[Item],tab_alimentos[[#This Row],[Item]],super1[Bairro],mercado14)+SUMIFS(supercb[Qtde],supercb[Item],tab_alimentos[[#This Row],[Item]],supercb[Bairro],mercado14)</f>
        <v>0</v>
      </c>
      <c r="Z147" s="1">
        <f>SUMIFS(super1[Qtde],super1[Item],tab_alimentos[[#This Row],[Item]],super1[Bairro],mercado15)+SUMIFS(supercb[Qtde],supercb[Item],tab_alimentos[[#This Row],[Item]],supercb[Bairro],mercado15)</f>
        <v>0</v>
      </c>
      <c r="AA147" s="1">
        <f>SUMIFS(super1[Qtde],super1[Item],tab_alimentos[[#This Row],[Item]],super1[Bairro],mercado16)+SUMIFS(supercb[Qtde],supercb[Item],tab_alimentos[[#This Row],[Item]],supercb[Bairro],mercado16)</f>
        <v>0</v>
      </c>
      <c r="AB147" s="1">
        <f>SUMIFS(super1[Qtde],super1[Item],tab_alimentos[[#This Row],[Item]],super1[Bairro],mercado17)+SUMIFS(supercb[Qtde],supercb[Item],tab_alimentos[[#This Row],[Item]],supercb[Bairro],mercado17)</f>
        <v>0</v>
      </c>
      <c r="AC147" s="1">
        <f>SUMIFS(super1[Qtde],super1[Item],tab_alimentos[[#This Row],[Item]],super1[Bairro],mercado18)+SUMIFS(supercb[Qtde],supercb[Item],tab_alimentos[[#This Row],[Item]],supercb[Bairro],mercado18)</f>
        <v>0</v>
      </c>
      <c r="AD147" s="1">
        <f>SUMIFS(super1[Qtde],super1[Item],tab_alimentos[[#This Row],[Item]],super1[Bairro],extras)+SUMIFS(supercb[Qtde],supercb[Item],tab_alimentos[[#This Row],[Item]],supercb[Bairro],extras)</f>
        <v>0</v>
      </c>
      <c r="AE147" s="1">
        <f t="shared" si="47"/>
        <v>0</v>
      </c>
      <c r="AF147" s="1">
        <f t="shared" si="48"/>
        <v>0</v>
      </c>
      <c r="AG147" s="26">
        <f t="shared" si="49"/>
        <v>0</v>
      </c>
      <c r="AH147" s="25" t="str">
        <f>higiene[[#This Row],[Item]]</f>
        <v>P</v>
      </c>
      <c r="AI147" s="18">
        <f>IFERROR(higiene[[#This Row],[Kg equivalente]],0)</f>
        <v>0</v>
      </c>
      <c r="AJ147" s="18" t="str">
        <f>IFERROR(higiene[[#This Row],[Preço por produto]],0)</f>
        <v/>
      </c>
      <c r="AK147" s="18">
        <f>SUMIFS(super1[Qtde],super1[Item],tab_higiene[[#This Row],[Item]],super1[Bairro],mercado1)+SUMIFS(supercb[Qtde],supercb[Item],tab_higiene[[#This Row],[Item]],supercb[Bairro],mercado1)</f>
        <v>0</v>
      </c>
      <c r="AL147" s="18">
        <f>SUMIFS(super1[Qtde],super1[Item],tab_higiene[[#This Row],[Item]],super1[Bairro],mercado2)+SUMIFS(supercb[Qtde],supercb[Item],tab_higiene[[#This Row],[Item]],supercb[Bairro],mercado2)</f>
        <v>0</v>
      </c>
      <c r="AM147" s="18">
        <f>SUMIFS(super1[Qtde],super1[Item],tab_higiene[[#This Row],[Item]],super1[Bairro],mercado3)+SUMIFS(supercb[Qtde],supercb[Item],tab_higiene[[#This Row],[Item]],supercb[Bairro],mercado3)</f>
        <v>0</v>
      </c>
      <c r="AN147" s="18">
        <f>SUMIFS(super1[Qtde],super1[Item],tab_higiene[[#This Row],[Item]],super1[Bairro],mercado4)+SUMIFS(supercb[Qtde],supercb[Item],tab_higiene[[#This Row],[Item]],supercb[Bairro],mercado4)</f>
        <v>0</v>
      </c>
      <c r="AO147" s="18">
        <f>SUMIFS(super1[Qtde],super1[Item],tab_higiene[[#This Row],[Item]],super1[Bairro],mercado5)+SUMIFS(supercb[Qtde],supercb[Item],tab_higiene[[#This Row],[Item]],supercb[Bairro],mercado5)</f>
        <v>0</v>
      </c>
      <c r="AP147" s="18">
        <f>SUMIFS(super1[Qtde],super1[Item],tab_higiene[[#This Row],[Item]],super1[Bairro],mercado6)+SUMIFS(supercb[Qtde],supercb[Item],tab_higiene[[#This Row],[Item]],supercb[Bairro],mercado6)</f>
        <v>0</v>
      </c>
      <c r="AQ147" s="18">
        <f>SUMIFS(super1[Qtde],super1[Item],tab_higiene[[#This Row],[Item]],super1[Bairro],mercado7)+SUMIFS(supercb[Qtde],supercb[Item],tab_higiene[[#This Row],[Item]],supercb[Bairro],mercado7)</f>
        <v>0</v>
      </c>
      <c r="AR147" s="18">
        <f>SUMIFS(super1[Qtde],super1[Item],tab_higiene[[#This Row],[Item]],super1[Bairro],mercado8)+SUMIFS(supercb[Qtde],supercb[Item],tab_higiene[[#This Row],[Item]],supercb[Bairro],mercado8)</f>
        <v>0</v>
      </c>
      <c r="AS147" s="18">
        <f>SUMIFS(super1[Qtde],super1[Item],tab_higiene[[#This Row],[Item]],super1[Bairro],mercado9)+SUMIFS(supercb[Qtde],supercb[Item],tab_higiene[[#This Row],[Item]],supercb[Bairro],mercado9)</f>
        <v>0</v>
      </c>
      <c r="AT147" s="18">
        <f>SUMIFS(super1[Qtde],super1[Item],tab_higiene[[#This Row],[Item]],super1[Bairro],mercado10)+SUMIFS(supercb[Qtde],supercb[Item],tab_higiene[[#This Row],[Item]],supercb[Bairro],mercado10)</f>
        <v>0</v>
      </c>
      <c r="AU147" s="18">
        <f>SUMIFS(super1[Qtde],super1[Item],tab_higiene[[#This Row],[Item]],super1[Bairro],mercado11)+SUMIFS(supercb[Qtde],supercb[Item],tab_higiene[[#This Row],[Item]],supercb[Bairro],mercado11)</f>
        <v>0</v>
      </c>
      <c r="AV147" s="18">
        <f>SUMIFS(super1[Qtde],super1[Item],tab_higiene[[#This Row],[Item]],super1[Bairro],mercado12)+SUMIFS(supercb[Qtde],supercb[Item],tab_higiene[[#This Row],[Item]],supercb[Bairro],mercado12)</f>
        <v>0</v>
      </c>
      <c r="AW147" s="18">
        <f>SUMIFS(super1[Qtde],super1[Item],tab_higiene[[#This Row],[Item]],super1[Bairro],mercado13)+SUMIFS(supercb[Qtde],supercb[Item],tab_higiene[[#This Row],[Item]],supercb[Bairro],mercado13)</f>
        <v>0</v>
      </c>
      <c r="AX147" s="18">
        <f>SUMIFS(super1[Qtde],super1[Item],tab_higiene[[#This Row],[Item]],super1[Bairro],mercado14)+SUMIFS(supercb[Qtde],supercb[Item],tab_higiene[[#This Row],[Item]],supercb[Bairro],mercado14)</f>
        <v>0</v>
      </c>
      <c r="AY147" s="18">
        <f>SUMIFS(super1[Qtde],super1[Item],tab_higiene[[#This Row],[Item]],super1[Bairro],mercado15)+SUMIFS(supercb[Qtde],supercb[Item],tab_higiene[[#This Row],[Item]],supercb[Bairro],mercado15)</f>
        <v>0</v>
      </c>
      <c r="AZ147" s="18">
        <f>SUMIFS(super1[Qtde],super1[Item],tab_higiene[[#This Row],[Item]],super1[Bairro],mercado16)+SUMIFS(supercb[Qtde],supercb[Item],tab_higiene[[#This Row],[Item]],supercb[Bairro],mercado16)</f>
        <v>0</v>
      </c>
      <c r="BA147" s="18">
        <f>SUMIFS(super1[Qtde],super1[Item],tab_higiene[[#This Row],[Item]],super1[Bairro],mercado17)+SUMIFS(supercb[Qtde],supercb[Item],tab_higiene[[#This Row],[Item]],supercb[Bairro],mercado17)</f>
        <v>0</v>
      </c>
      <c r="BB147" s="18">
        <f>SUMIFS(super1[Qtde],super1[Item],tab_higiene[[#This Row],[Item]],super1[Bairro],mercado18)+SUMIFS(supercb[Qtde],supercb[Item],tab_higiene[[#This Row],[Item]],supercb[Bairro],mercado18)</f>
        <v>0</v>
      </c>
      <c r="BC147" s="18">
        <f>SUMIFS(super1[Qtde],super1[Item],tab_higiene[[#This Row],[Item]],super1[Bairro],extras)+SUMIFS(supercb[Qtde],supercb[Item],tab_higiene[[#This Row],[Item]],supercb[Bairro],extras)</f>
        <v>0</v>
      </c>
      <c r="BD147" s="1">
        <f t="shared" si="59"/>
        <v>0</v>
      </c>
      <c r="BE147" s="1">
        <f t="shared" si="60"/>
        <v>0</v>
      </c>
      <c r="BF147" s="26">
        <f t="shared" si="61"/>
        <v>0</v>
      </c>
      <c r="BI147" s="35" t="str">
        <f>tab_alimentos[[#This Row],[Item]]</f>
        <v>J</v>
      </c>
      <c r="BJ147" s="35">
        <f t="shared" si="62"/>
        <v>0</v>
      </c>
      <c r="BK147" s="35" t="str">
        <f t="shared" si="63"/>
        <v>J</v>
      </c>
      <c r="BL147" s="35">
        <f>tab_alimentos[[#This Row],[kg]]</f>
        <v>0</v>
      </c>
      <c r="BN147" s="35">
        <f>SUMIF($BJ$5:$BJ$158,#REF!,$BK$5:$BK$158)</f>
        <v>0</v>
      </c>
      <c r="BQ147"/>
      <c r="BR147" s="24"/>
      <c r="BS147"/>
      <c r="BT147" s="24"/>
    </row>
    <row r="148" spans="9:72" x14ac:dyDescent="0.25">
      <c r="I148" s="25" t="str">
        <f>alimentos[[#This Row],[Item]]</f>
        <v>Ketchup (400g)</v>
      </c>
      <c r="J148" s="1">
        <f>IFERROR(alimentos[[#This Row],[kg/embalagem]],0)</f>
        <v>0.4</v>
      </c>
      <c r="K148" s="18">
        <f>IFERROR(alimentos[[#This Row],[Preço]],0)</f>
        <v>4.1920000000000002</v>
      </c>
      <c r="L148" s="1">
        <f>SUMIFS(super1[Qtde],super1[Item],tab_alimentos[[#This Row],[Item]],super1[Bairro],mercado1)+SUMIFS(supercb[Qtde],supercb[Item],tab_alimentos[[#This Row],[Item]],supercb[Bairro],mercado1)</f>
        <v>0</v>
      </c>
      <c r="M148" s="1">
        <f>SUMIFS(super1[Qtde],super1[Item],tab_alimentos[[#This Row],[Item]],super1[Bairro],mercado2)+SUMIFS(supercb[Qtde],supercb[Item],tab_alimentos[[#This Row],[Item]],supercb[Bairro],mercado2)</f>
        <v>0</v>
      </c>
      <c r="N148" s="1">
        <f>SUMIFS(super1[Qtde],super1[Item],tab_alimentos[[#This Row],[Item]],super1[Bairro],mercado3)+SUMIFS(supercb[Qtde],supercb[Item],tab_alimentos[[#This Row],[Item]],supercb[Bairro],mercado3)</f>
        <v>0</v>
      </c>
      <c r="O148" s="1">
        <f>SUMIFS(super1[Qtde],super1[Item],tab_alimentos[[#This Row],[Item]],super1[Bairro],mercado4)+SUMIFS(supercb[Qtde],supercb[Item],tab_alimentos[[#This Row],[Item]],supercb[Bairro],mercado4)</f>
        <v>0</v>
      </c>
      <c r="P148" s="1">
        <f>SUMIFS(super1[Qtde],super1[Item],tab_alimentos[[#This Row],[Item]],super1[Bairro],mercado5)+SUMIFS(supercb[Qtde],supercb[Item],tab_alimentos[[#This Row],[Item]],supercb[Bairro],mercado5)</f>
        <v>0</v>
      </c>
      <c r="Q148" s="1">
        <f>SUMIFS(super1[Qtde],super1[Item],tab_alimentos[[#This Row],[Item]],super1[Bairro],mercado6)+SUMIFS(supercb[Qtde],supercb[Item],tab_alimentos[[#This Row],[Item]],supercb[Bairro],mercado6)</f>
        <v>0</v>
      </c>
      <c r="R148" s="1">
        <f>SUMIFS(super1[Qtde],super1[Item],tab_alimentos[[#This Row],[Item]],super1[Bairro],mercado7)+SUMIFS(supercb[Qtde],supercb[Item],tab_alimentos[[#This Row],[Item]],supercb[Bairro],mercado7)</f>
        <v>0</v>
      </c>
      <c r="S148" s="1">
        <f>SUMIFS(super1[Qtde],super1[Item],tab_alimentos[[#This Row],[Item]],super1[Bairro],mercado8)+SUMIFS(supercb[Qtde],supercb[Item],tab_alimentos[[#This Row],[Item]],supercb[Bairro],mercado8)</f>
        <v>0</v>
      </c>
      <c r="T148" s="1">
        <f>SUMIFS(super1[Qtde],super1[Item],tab_alimentos[[#This Row],[Item]],super1[Bairro],mercado9)+SUMIFS(supercb[Qtde],supercb[Item],tab_alimentos[[#This Row],[Item]],supercb[Bairro],mercado9)</f>
        <v>0</v>
      </c>
      <c r="U148" s="1">
        <f>SUMIFS(super1[Qtde],super1[Item],tab_alimentos[[#This Row],[Item]],super1[Bairro],mercado10)+SUMIFS(supercb[Qtde],supercb[Item],tab_alimentos[[#This Row],[Item]],supercb[Bairro],mercado10)</f>
        <v>0</v>
      </c>
      <c r="V148" s="1">
        <f>SUMIFS(super1[Qtde],super1[Item],tab_alimentos[[#This Row],[Item]],super1[Bairro],mercado11)+SUMIFS(supercb[Qtde],supercb[Item],tab_alimentos[[#This Row],[Item]],supercb[Bairro],mercado11)</f>
        <v>0</v>
      </c>
      <c r="W148" s="1">
        <f>SUMIFS(super1[Qtde],super1[Item],tab_alimentos[[#This Row],[Item]],super1[Bairro],mercado12)+SUMIFS(supercb[Qtde],supercb[Item],tab_alimentos[[#This Row],[Item]],supercb[Bairro],mercado12)</f>
        <v>0</v>
      </c>
      <c r="X148" s="1">
        <f>SUMIFS(super1[Qtde],super1[Item],tab_alimentos[[#This Row],[Item]],super1[Bairro],mercado13)+SUMIFS(supercb[Qtde],supercb[Item],tab_alimentos[[#This Row],[Item]],supercb[Bairro],mercado13)</f>
        <v>0</v>
      </c>
      <c r="Y148" s="1">
        <f>SUMIFS(super1[Qtde],super1[Item],tab_alimentos[[#This Row],[Item]],super1[Bairro],mercado14)+SUMIFS(supercb[Qtde],supercb[Item],tab_alimentos[[#This Row],[Item]],supercb[Bairro],mercado14)</f>
        <v>0</v>
      </c>
      <c r="Z148" s="1">
        <f>SUMIFS(super1[Qtde],super1[Item],tab_alimentos[[#This Row],[Item]],super1[Bairro],mercado15)+SUMIFS(supercb[Qtde],supercb[Item],tab_alimentos[[#This Row],[Item]],supercb[Bairro],mercado15)</f>
        <v>0</v>
      </c>
      <c r="AA148" s="1">
        <f>SUMIFS(super1[Qtde],super1[Item],tab_alimentos[[#This Row],[Item]],super1[Bairro],mercado16)+SUMIFS(supercb[Qtde],supercb[Item],tab_alimentos[[#This Row],[Item]],supercb[Bairro],mercado16)</f>
        <v>0</v>
      </c>
      <c r="AB148" s="1">
        <f>SUMIFS(super1[Qtde],super1[Item],tab_alimentos[[#This Row],[Item]],super1[Bairro],mercado17)+SUMIFS(supercb[Qtde],supercb[Item],tab_alimentos[[#This Row],[Item]],supercb[Bairro],mercado17)</f>
        <v>0</v>
      </c>
      <c r="AC148" s="1">
        <f>SUMIFS(super1[Qtde],super1[Item],tab_alimentos[[#This Row],[Item]],super1[Bairro],mercado18)+SUMIFS(supercb[Qtde],supercb[Item],tab_alimentos[[#This Row],[Item]],supercb[Bairro],mercado18)</f>
        <v>0</v>
      </c>
      <c r="AD148" s="1">
        <f>SUMIFS(super1[Qtde],super1[Item],tab_alimentos[[#This Row],[Item]],super1[Bairro],extras)+SUMIFS(supercb[Qtde],supercb[Item],tab_alimentos[[#This Row],[Item]],supercb[Bairro],extras)</f>
        <v>0</v>
      </c>
      <c r="AE148" s="1">
        <f t="shared" si="47"/>
        <v>0</v>
      </c>
      <c r="AF148" s="1">
        <f t="shared" si="48"/>
        <v>0</v>
      </c>
      <c r="AG148" s="26">
        <f t="shared" si="49"/>
        <v>0</v>
      </c>
      <c r="AH148" s="25" t="str">
        <f>higiene[[#This Row],[Item]]</f>
        <v>Papel Higiênico (04un)</v>
      </c>
      <c r="AI148" s="18">
        <f>IFERROR(higiene[[#This Row],[Kg equivalente]],0)</f>
        <v>1.1039285894481248</v>
      </c>
      <c r="AJ148" s="18">
        <f>IFERROR(higiene[[#This Row],[Preço por produto]],0)</f>
        <v>3.6566666666666663</v>
      </c>
      <c r="AK148" s="18">
        <f>SUMIFS(super1[Qtde],super1[Item],tab_higiene[[#This Row],[Item]],super1[Bairro],mercado1)+SUMIFS(supercb[Qtde],supercb[Item],tab_higiene[[#This Row],[Item]],supercb[Bairro],mercado1)</f>
        <v>2</v>
      </c>
      <c r="AL148" s="18">
        <f>SUMIFS(super1[Qtde],super1[Item],tab_higiene[[#This Row],[Item]],super1[Bairro],mercado2)+SUMIFS(supercb[Qtde],supercb[Item],tab_higiene[[#This Row],[Item]],supercb[Bairro],mercado2)</f>
        <v>8</v>
      </c>
      <c r="AM148" s="18">
        <f>SUMIFS(super1[Qtde],super1[Item],tab_higiene[[#This Row],[Item]],super1[Bairro],mercado3)+SUMIFS(supercb[Qtde],supercb[Item],tab_higiene[[#This Row],[Item]],supercb[Bairro],mercado3)</f>
        <v>3</v>
      </c>
      <c r="AN148" s="18">
        <f>SUMIFS(super1[Qtde],super1[Item],tab_higiene[[#This Row],[Item]],super1[Bairro],mercado4)+SUMIFS(supercb[Qtde],supercb[Item],tab_higiene[[#This Row],[Item]],supercb[Bairro],mercado4)</f>
        <v>7</v>
      </c>
      <c r="AO148" s="18">
        <f>SUMIFS(super1[Qtde],super1[Item],tab_higiene[[#This Row],[Item]],super1[Bairro],mercado5)+SUMIFS(supercb[Qtde],supercb[Item],tab_higiene[[#This Row],[Item]],supercb[Bairro],mercado5)</f>
        <v>4</v>
      </c>
      <c r="AP148" s="18">
        <f>SUMIFS(super1[Qtde],super1[Item],tab_higiene[[#This Row],[Item]],super1[Bairro],mercado6)+SUMIFS(supercb[Qtde],supercb[Item],tab_higiene[[#This Row],[Item]],supercb[Bairro],mercado6)</f>
        <v>8</v>
      </c>
      <c r="AQ148" s="18">
        <f>SUMIFS(super1[Qtde],super1[Item],tab_higiene[[#This Row],[Item]],super1[Bairro],mercado7)+SUMIFS(supercb[Qtde],supercb[Item],tab_higiene[[#This Row],[Item]],supercb[Bairro],mercado7)</f>
        <v>8</v>
      </c>
      <c r="AR148" s="18">
        <f>SUMIFS(super1[Qtde],super1[Item],tab_higiene[[#This Row],[Item]],super1[Bairro],mercado8)+SUMIFS(supercb[Qtde],supercb[Item],tab_higiene[[#This Row],[Item]],supercb[Bairro],mercado8)</f>
        <v>6</v>
      </c>
      <c r="AS148" s="18">
        <f>SUMIFS(super1[Qtde],super1[Item],tab_higiene[[#This Row],[Item]],super1[Bairro],mercado9)+SUMIFS(supercb[Qtde],supercb[Item],tab_higiene[[#This Row],[Item]],supercb[Bairro],mercado9)</f>
        <v>6</v>
      </c>
      <c r="AT148" s="18">
        <f>SUMIFS(super1[Qtde],super1[Item],tab_higiene[[#This Row],[Item]],super1[Bairro],mercado10)+SUMIFS(supercb[Qtde],supercb[Item],tab_higiene[[#This Row],[Item]],supercb[Bairro],mercado10)</f>
        <v>5</v>
      </c>
      <c r="AU148" s="18">
        <f>SUMIFS(super1[Qtde],super1[Item],tab_higiene[[#This Row],[Item]],super1[Bairro],mercado11)+SUMIFS(supercb[Qtde],supercb[Item],tab_higiene[[#This Row],[Item]],supercb[Bairro],mercado11)</f>
        <v>10</v>
      </c>
      <c r="AV148" s="18">
        <f>SUMIFS(super1[Qtde],super1[Item],tab_higiene[[#This Row],[Item]],super1[Bairro],mercado12)+SUMIFS(supercb[Qtde],supercb[Item],tab_higiene[[#This Row],[Item]],supercb[Bairro],mercado12)</f>
        <v>0</v>
      </c>
      <c r="AW148" s="18">
        <f>SUMIFS(super1[Qtde],super1[Item],tab_higiene[[#This Row],[Item]],super1[Bairro],mercado13)+SUMIFS(supercb[Qtde],supercb[Item],tab_higiene[[#This Row],[Item]],supercb[Bairro],mercado13)</f>
        <v>10</v>
      </c>
      <c r="AX148" s="18">
        <f>SUMIFS(super1[Qtde],super1[Item],tab_higiene[[#This Row],[Item]],super1[Bairro],mercado14)+SUMIFS(supercb[Qtde],supercb[Item],tab_higiene[[#This Row],[Item]],supercb[Bairro],mercado14)</f>
        <v>0</v>
      </c>
      <c r="AY148" s="18">
        <f>SUMIFS(super1[Qtde],super1[Item],tab_higiene[[#This Row],[Item]],super1[Bairro],mercado15)+SUMIFS(supercb[Qtde],supercb[Item],tab_higiene[[#This Row],[Item]],supercb[Bairro],mercado15)</f>
        <v>0</v>
      </c>
      <c r="AZ148" s="18">
        <f>SUMIFS(super1[Qtde],super1[Item],tab_higiene[[#This Row],[Item]],super1[Bairro],mercado16)+SUMIFS(supercb[Qtde],supercb[Item],tab_higiene[[#This Row],[Item]],supercb[Bairro],mercado16)</f>
        <v>0</v>
      </c>
      <c r="BA148" s="18">
        <f>SUMIFS(super1[Qtde],super1[Item],tab_higiene[[#This Row],[Item]],super1[Bairro],mercado17)+SUMIFS(supercb[Qtde],supercb[Item],tab_higiene[[#This Row],[Item]],supercb[Bairro],mercado17)</f>
        <v>0</v>
      </c>
      <c r="BB148" s="18">
        <f>SUMIFS(super1[Qtde],super1[Item],tab_higiene[[#This Row],[Item]],super1[Bairro],mercado18)+SUMIFS(supercb[Qtde],supercb[Item],tab_higiene[[#This Row],[Item]],supercb[Bairro],mercado18)</f>
        <v>0</v>
      </c>
      <c r="BC148" s="18">
        <f>SUMIFS(super1[Qtde],super1[Item],tab_higiene[[#This Row],[Item]],super1[Bairro],extras)+SUMIFS(supercb[Qtde],supercb[Item],tab_higiene[[#This Row],[Item]],supercb[Bairro],extras)</f>
        <v>0</v>
      </c>
      <c r="BD148" s="1">
        <f t="shared" si="59"/>
        <v>77</v>
      </c>
      <c r="BE148" s="1">
        <f t="shared" si="60"/>
        <v>281.56333333333328</v>
      </c>
      <c r="BF148" s="26">
        <f t="shared" si="61"/>
        <v>85.002501387505603</v>
      </c>
      <c r="BI148" s="35" t="str">
        <f>tab_alimentos[[#This Row],[Item]]</f>
        <v>Ketchup (400g)</v>
      </c>
      <c r="BJ148" s="35">
        <f t="shared" si="62"/>
        <v>8</v>
      </c>
      <c r="BK148" s="35" t="str">
        <f t="shared" si="63"/>
        <v>Ketchup</v>
      </c>
      <c r="BL148" s="35">
        <f>tab_alimentos[[#This Row],[kg]]</f>
        <v>0</v>
      </c>
      <c r="BN148" s="35">
        <f>SUMIF($BJ$5:$BJ$158,#REF!,$BK$5:$BK$158)</f>
        <v>0</v>
      </c>
      <c r="BQ148"/>
      <c r="BR148" s="24"/>
      <c r="BS148"/>
      <c r="BT148" s="24"/>
    </row>
    <row r="149" spans="9:72" x14ac:dyDescent="0.25">
      <c r="I149" s="25" t="str">
        <f>alimentos[[#This Row],[Item]]</f>
        <v>Kibe (500g)</v>
      </c>
      <c r="J149" s="1">
        <f>IFERROR(alimentos[[#This Row],[kg/embalagem]],0)</f>
        <v>0.5</v>
      </c>
      <c r="K149" s="18">
        <f>IFERROR(alimentos[[#This Row],[Preço]],0)</f>
        <v>13.48</v>
      </c>
      <c r="L149" s="1">
        <f>SUMIFS(super1[Qtde],super1[Item],tab_alimentos[[#This Row],[Item]],super1[Bairro],mercado1)+SUMIFS(supercb[Qtde],supercb[Item],tab_alimentos[[#This Row],[Item]],supercb[Bairro],mercado1)</f>
        <v>0</v>
      </c>
      <c r="M149" s="1">
        <f>SUMIFS(super1[Qtde],super1[Item],tab_alimentos[[#This Row],[Item]],super1[Bairro],mercado2)+SUMIFS(supercb[Qtde],supercb[Item],tab_alimentos[[#This Row],[Item]],supercb[Bairro],mercado2)</f>
        <v>0</v>
      </c>
      <c r="N149" s="1">
        <f>SUMIFS(super1[Qtde],super1[Item],tab_alimentos[[#This Row],[Item]],super1[Bairro],mercado3)+SUMIFS(supercb[Qtde],supercb[Item],tab_alimentos[[#This Row],[Item]],supercb[Bairro],mercado3)</f>
        <v>0</v>
      </c>
      <c r="O149" s="1">
        <f>SUMIFS(super1[Qtde],super1[Item],tab_alimentos[[#This Row],[Item]],super1[Bairro],mercado4)+SUMIFS(supercb[Qtde],supercb[Item],tab_alimentos[[#This Row],[Item]],supercb[Bairro],mercado4)</f>
        <v>0</v>
      </c>
      <c r="P149" s="1">
        <f>SUMIFS(super1[Qtde],super1[Item],tab_alimentos[[#This Row],[Item]],super1[Bairro],mercado5)+SUMIFS(supercb[Qtde],supercb[Item],tab_alimentos[[#This Row],[Item]],supercb[Bairro],mercado5)</f>
        <v>0</v>
      </c>
      <c r="Q149" s="1">
        <f>SUMIFS(super1[Qtde],super1[Item],tab_alimentos[[#This Row],[Item]],super1[Bairro],mercado6)+SUMIFS(supercb[Qtde],supercb[Item],tab_alimentos[[#This Row],[Item]],supercb[Bairro],mercado6)</f>
        <v>0</v>
      </c>
      <c r="R149" s="1">
        <f>SUMIFS(super1[Qtde],super1[Item],tab_alimentos[[#This Row],[Item]],super1[Bairro],mercado7)+SUMIFS(supercb[Qtde],supercb[Item],tab_alimentos[[#This Row],[Item]],supercb[Bairro],mercado7)</f>
        <v>0</v>
      </c>
      <c r="S149" s="1">
        <f>SUMIFS(super1[Qtde],super1[Item],tab_alimentos[[#This Row],[Item]],super1[Bairro],mercado8)+SUMIFS(supercb[Qtde],supercb[Item],tab_alimentos[[#This Row],[Item]],supercb[Bairro],mercado8)</f>
        <v>0</v>
      </c>
      <c r="T149" s="1">
        <f>SUMIFS(super1[Qtde],super1[Item],tab_alimentos[[#This Row],[Item]],super1[Bairro],mercado9)+SUMIFS(supercb[Qtde],supercb[Item],tab_alimentos[[#This Row],[Item]],supercb[Bairro],mercado9)</f>
        <v>0</v>
      </c>
      <c r="U149" s="1">
        <f>SUMIFS(super1[Qtde],super1[Item],tab_alimentos[[#This Row],[Item]],super1[Bairro],mercado10)+SUMIFS(supercb[Qtde],supercb[Item],tab_alimentos[[#This Row],[Item]],supercb[Bairro],mercado10)</f>
        <v>0</v>
      </c>
      <c r="V149" s="1">
        <f>SUMIFS(super1[Qtde],super1[Item],tab_alimentos[[#This Row],[Item]],super1[Bairro],mercado11)+SUMIFS(supercb[Qtde],supercb[Item],tab_alimentos[[#This Row],[Item]],supercb[Bairro],mercado11)</f>
        <v>0</v>
      </c>
      <c r="W149" s="1">
        <f>SUMIFS(super1[Qtde],super1[Item],tab_alimentos[[#This Row],[Item]],super1[Bairro],mercado12)+SUMIFS(supercb[Qtde],supercb[Item],tab_alimentos[[#This Row],[Item]],supercb[Bairro],mercado12)</f>
        <v>0</v>
      </c>
      <c r="X149" s="1">
        <f>SUMIFS(super1[Qtde],super1[Item],tab_alimentos[[#This Row],[Item]],super1[Bairro],mercado13)+SUMIFS(supercb[Qtde],supercb[Item],tab_alimentos[[#This Row],[Item]],supercb[Bairro],mercado13)</f>
        <v>0</v>
      </c>
      <c r="Y149" s="1">
        <f>SUMIFS(super1[Qtde],super1[Item],tab_alimentos[[#This Row],[Item]],super1[Bairro],mercado14)+SUMIFS(supercb[Qtde],supercb[Item],tab_alimentos[[#This Row],[Item]],supercb[Bairro],mercado14)</f>
        <v>0</v>
      </c>
      <c r="Z149" s="1">
        <f>SUMIFS(super1[Qtde],super1[Item],tab_alimentos[[#This Row],[Item]],super1[Bairro],mercado15)+SUMIFS(supercb[Qtde],supercb[Item],tab_alimentos[[#This Row],[Item]],supercb[Bairro],mercado15)</f>
        <v>0</v>
      </c>
      <c r="AA149" s="1">
        <f>SUMIFS(super1[Qtde],super1[Item],tab_alimentos[[#This Row],[Item]],super1[Bairro],mercado16)+SUMIFS(supercb[Qtde],supercb[Item],tab_alimentos[[#This Row],[Item]],supercb[Bairro],mercado16)</f>
        <v>0</v>
      </c>
      <c r="AB149" s="1">
        <f>SUMIFS(super1[Qtde],super1[Item],tab_alimentos[[#This Row],[Item]],super1[Bairro],mercado17)+SUMIFS(supercb[Qtde],supercb[Item],tab_alimentos[[#This Row],[Item]],supercb[Bairro],mercado17)</f>
        <v>0</v>
      </c>
      <c r="AC149" s="1">
        <f>SUMIFS(super1[Qtde],super1[Item],tab_alimentos[[#This Row],[Item]],super1[Bairro],mercado18)+SUMIFS(supercb[Qtde],supercb[Item],tab_alimentos[[#This Row],[Item]],supercb[Bairro],mercado18)</f>
        <v>0</v>
      </c>
      <c r="AD149" s="1">
        <f>SUMIFS(super1[Qtde],super1[Item],tab_alimentos[[#This Row],[Item]],super1[Bairro],extras)+SUMIFS(supercb[Qtde],supercb[Item],tab_alimentos[[#This Row],[Item]],supercb[Bairro],extras)</f>
        <v>0</v>
      </c>
      <c r="AE149" s="1">
        <f t="shared" si="47"/>
        <v>0</v>
      </c>
      <c r="AF149" s="1">
        <f t="shared" si="48"/>
        <v>0</v>
      </c>
      <c r="AG149" s="26">
        <f t="shared" si="49"/>
        <v>0</v>
      </c>
      <c r="AH149" s="25" t="str">
        <f>higiene[[#This Row],[Item]]</f>
        <v>Papel Higiênico (08un)</v>
      </c>
      <c r="AI149" s="18">
        <f>IFERROR(higiene[[#This Row],[Kg equivalente]],0)</f>
        <v>1.6423076189419687</v>
      </c>
      <c r="AJ149" s="18">
        <f>IFERROR(higiene[[#This Row],[Preço por produto]],0)</f>
        <v>5.44</v>
      </c>
      <c r="AK149" s="18">
        <f>SUMIFS(super1[Qtde],super1[Item],tab_higiene[[#This Row],[Item]],super1[Bairro],mercado1)+SUMIFS(supercb[Qtde],supercb[Item],tab_higiene[[#This Row],[Item]],supercb[Bairro],mercado1)</f>
        <v>2</v>
      </c>
      <c r="AL149" s="18">
        <f>SUMIFS(super1[Qtde],super1[Item],tab_higiene[[#This Row],[Item]],super1[Bairro],mercado2)+SUMIFS(supercb[Qtde],supercb[Item],tab_higiene[[#This Row],[Item]],supercb[Bairro],mercado2)</f>
        <v>4</v>
      </c>
      <c r="AM149" s="18">
        <f>SUMIFS(super1[Qtde],super1[Item],tab_higiene[[#This Row],[Item]],super1[Bairro],mercado3)+SUMIFS(supercb[Qtde],supercb[Item],tab_higiene[[#This Row],[Item]],supercb[Bairro],mercado3)</f>
        <v>1</v>
      </c>
      <c r="AN149" s="18">
        <f>SUMIFS(super1[Qtde],super1[Item],tab_higiene[[#This Row],[Item]],super1[Bairro],mercado4)+SUMIFS(supercb[Qtde],supercb[Item],tab_higiene[[#This Row],[Item]],supercb[Bairro],mercado4)</f>
        <v>1</v>
      </c>
      <c r="AO149" s="18">
        <f>SUMIFS(super1[Qtde],super1[Item],tab_higiene[[#This Row],[Item]],super1[Bairro],mercado5)+SUMIFS(supercb[Qtde],supercb[Item],tab_higiene[[#This Row],[Item]],supercb[Bairro],mercado5)</f>
        <v>5</v>
      </c>
      <c r="AP149" s="18">
        <f>SUMIFS(super1[Qtde],super1[Item],tab_higiene[[#This Row],[Item]],super1[Bairro],mercado6)+SUMIFS(supercb[Qtde],supercb[Item],tab_higiene[[#This Row],[Item]],supercb[Bairro],mercado6)</f>
        <v>1</v>
      </c>
      <c r="AQ149" s="18">
        <f>SUMIFS(super1[Qtde],super1[Item],tab_higiene[[#This Row],[Item]],super1[Bairro],mercado7)+SUMIFS(supercb[Qtde],supercb[Item],tab_higiene[[#This Row],[Item]],supercb[Bairro],mercado7)</f>
        <v>2</v>
      </c>
      <c r="AR149" s="18">
        <f>SUMIFS(super1[Qtde],super1[Item],tab_higiene[[#This Row],[Item]],super1[Bairro],mercado8)+SUMIFS(supercb[Qtde],supercb[Item],tab_higiene[[#This Row],[Item]],supercb[Bairro],mercado8)</f>
        <v>3</v>
      </c>
      <c r="AS149" s="18">
        <f>SUMIFS(super1[Qtde],super1[Item],tab_higiene[[#This Row],[Item]],super1[Bairro],mercado9)+SUMIFS(supercb[Qtde],supercb[Item],tab_higiene[[#This Row],[Item]],supercb[Bairro],mercado9)</f>
        <v>0</v>
      </c>
      <c r="AT149" s="18">
        <f>SUMIFS(super1[Qtde],super1[Item],tab_higiene[[#This Row],[Item]],super1[Bairro],mercado10)+SUMIFS(supercb[Qtde],supercb[Item],tab_higiene[[#This Row],[Item]],supercb[Bairro],mercado10)</f>
        <v>1</v>
      </c>
      <c r="AU149" s="18">
        <f>SUMIFS(super1[Qtde],super1[Item],tab_higiene[[#This Row],[Item]],super1[Bairro],mercado11)+SUMIFS(supercb[Qtde],supercb[Item],tab_higiene[[#This Row],[Item]],supercb[Bairro],mercado11)</f>
        <v>0</v>
      </c>
      <c r="AV149" s="18">
        <f>SUMIFS(super1[Qtde],super1[Item],tab_higiene[[#This Row],[Item]],super1[Bairro],mercado12)+SUMIFS(supercb[Qtde],supercb[Item],tab_higiene[[#This Row],[Item]],supercb[Bairro],mercado12)</f>
        <v>0</v>
      </c>
      <c r="AW149" s="18">
        <f>SUMIFS(super1[Qtde],super1[Item],tab_higiene[[#This Row],[Item]],super1[Bairro],mercado13)+SUMIFS(supercb[Qtde],supercb[Item],tab_higiene[[#This Row],[Item]],supercb[Bairro],mercado13)</f>
        <v>0</v>
      </c>
      <c r="AX149" s="18">
        <f>SUMIFS(super1[Qtde],super1[Item],tab_higiene[[#This Row],[Item]],super1[Bairro],mercado14)+SUMIFS(supercb[Qtde],supercb[Item],tab_higiene[[#This Row],[Item]],supercb[Bairro],mercado14)</f>
        <v>0</v>
      </c>
      <c r="AY149" s="18">
        <f>SUMIFS(super1[Qtde],super1[Item],tab_higiene[[#This Row],[Item]],super1[Bairro],mercado15)+SUMIFS(supercb[Qtde],supercb[Item],tab_higiene[[#This Row],[Item]],supercb[Bairro],mercado15)</f>
        <v>0</v>
      </c>
      <c r="AZ149" s="18">
        <f>SUMIFS(super1[Qtde],super1[Item],tab_higiene[[#This Row],[Item]],super1[Bairro],mercado16)+SUMIFS(supercb[Qtde],supercb[Item],tab_higiene[[#This Row],[Item]],supercb[Bairro],mercado16)</f>
        <v>0</v>
      </c>
      <c r="BA149" s="18">
        <f>SUMIFS(super1[Qtde],super1[Item],tab_higiene[[#This Row],[Item]],super1[Bairro],mercado17)+SUMIFS(supercb[Qtde],supercb[Item],tab_higiene[[#This Row],[Item]],supercb[Bairro],mercado17)</f>
        <v>0</v>
      </c>
      <c r="BB149" s="18">
        <f>SUMIFS(super1[Qtde],super1[Item],tab_higiene[[#This Row],[Item]],super1[Bairro],mercado18)+SUMIFS(supercb[Qtde],supercb[Item],tab_higiene[[#This Row],[Item]],supercb[Bairro],mercado18)</f>
        <v>0</v>
      </c>
      <c r="BC149" s="18">
        <f>SUMIFS(super1[Qtde],super1[Item],tab_higiene[[#This Row],[Item]],super1[Bairro],extras)+SUMIFS(supercb[Qtde],supercb[Item],tab_higiene[[#This Row],[Item]],supercb[Bairro],extras)</f>
        <v>0</v>
      </c>
      <c r="BD149" s="1">
        <f t="shared" si="59"/>
        <v>20</v>
      </c>
      <c r="BE149" s="1">
        <f t="shared" si="60"/>
        <v>108.80000000000001</v>
      </c>
      <c r="BF149" s="26">
        <f t="shared" si="61"/>
        <v>32.846152378839378</v>
      </c>
      <c r="BI149" s="35" t="str">
        <f>tab_alimentos[[#This Row],[Item]]</f>
        <v>Kibe (500g)</v>
      </c>
      <c r="BJ149" s="35">
        <f t="shared" si="62"/>
        <v>5</v>
      </c>
      <c r="BK149" s="35" t="str">
        <f t="shared" si="63"/>
        <v>Kibe</v>
      </c>
      <c r="BL149" s="35">
        <f>tab_alimentos[[#This Row],[kg]]</f>
        <v>0</v>
      </c>
      <c r="BN149" s="35">
        <f>SUMIF($BJ$5:$BJ$158,#REF!,$BK$5:$BK$158)</f>
        <v>0</v>
      </c>
      <c r="BQ149"/>
      <c r="BR149" s="24"/>
      <c r="BS149"/>
      <c r="BT149" s="24"/>
    </row>
    <row r="150" spans="9:72" x14ac:dyDescent="0.25">
      <c r="I150" s="25" t="str">
        <f>alimentos[[#This Row],[Item]]</f>
        <v>L</v>
      </c>
      <c r="J150" s="1">
        <f>IFERROR(alimentos[[#This Row],[kg/embalagem]],0)</f>
        <v>0</v>
      </c>
      <c r="K150" s="18">
        <f>IFERROR(alimentos[[#This Row],[Preço]],0)</f>
        <v>0</v>
      </c>
      <c r="L150" s="1">
        <f>SUMIFS(super1[Qtde],super1[Item],tab_alimentos[[#This Row],[Item]],super1[Bairro],mercado1)+SUMIFS(supercb[Qtde],supercb[Item],tab_alimentos[[#This Row],[Item]],supercb[Bairro],mercado1)</f>
        <v>0</v>
      </c>
      <c r="M150" s="1">
        <f>SUMIFS(super1[Qtde],super1[Item],tab_alimentos[[#This Row],[Item]],super1[Bairro],mercado2)+SUMIFS(supercb[Qtde],supercb[Item],tab_alimentos[[#This Row],[Item]],supercb[Bairro],mercado2)</f>
        <v>0</v>
      </c>
      <c r="N150" s="1">
        <f>SUMIFS(super1[Qtde],super1[Item],tab_alimentos[[#This Row],[Item]],super1[Bairro],mercado3)+SUMIFS(supercb[Qtde],supercb[Item],tab_alimentos[[#This Row],[Item]],supercb[Bairro],mercado3)</f>
        <v>0</v>
      </c>
      <c r="O150" s="1">
        <f>SUMIFS(super1[Qtde],super1[Item],tab_alimentos[[#This Row],[Item]],super1[Bairro],mercado4)+SUMIFS(supercb[Qtde],supercb[Item],tab_alimentos[[#This Row],[Item]],supercb[Bairro],mercado4)</f>
        <v>0</v>
      </c>
      <c r="P150" s="1">
        <f>SUMIFS(super1[Qtde],super1[Item],tab_alimentos[[#This Row],[Item]],super1[Bairro],mercado5)+SUMIFS(supercb[Qtde],supercb[Item],tab_alimentos[[#This Row],[Item]],supercb[Bairro],mercado5)</f>
        <v>0</v>
      </c>
      <c r="Q150" s="1">
        <f>SUMIFS(super1[Qtde],super1[Item],tab_alimentos[[#This Row],[Item]],super1[Bairro],mercado6)+SUMIFS(supercb[Qtde],supercb[Item],tab_alimentos[[#This Row],[Item]],supercb[Bairro],mercado6)</f>
        <v>0</v>
      </c>
      <c r="R150" s="1">
        <f>SUMIFS(super1[Qtde],super1[Item],tab_alimentos[[#This Row],[Item]],super1[Bairro],mercado7)+SUMIFS(supercb[Qtde],supercb[Item],tab_alimentos[[#This Row],[Item]],supercb[Bairro],mercado7)</f>
        <v>0</v>
      </c>
      <c r="S150" s="1">
        <f>SUMIFS(super1[Qtde],super1[Item],tab_alimentos[[#This Row],[Item]],super1[Bairro],mercado8)+SUMIFS(supercb[Qtde],supercb[Item],tab_alimentos[[#This Row],[Item]],supercb[Bairro],mercado8)</f>
        <v>0</v>
      </c>
      <c r="T150" s="1">
        <f>SUMIFS(super1[Qtde],super1[Item],tab_alimentos[[#This Row],[Item]],super1[Bairro],mercado9)+SUMIFS(supercb[Qtde],supercb[Item],tab_alimentos[[#This Row],[Item]],supercb[Bairro],mercado9)</f>
        <v>0</v>
      </c>
      <c r="U150" s="1">
        <f>SUMIFS(super1[Qtde],super1[Item],tab_alimentos[[#This Row],[Item]],super1[Bairro],mercado10)+SUMIFS(supercb[Qtde],supercb[Item],tab_alimentos[[#This Row],[Item]],supercb[Bairro],mercado10)</f>
        <v>0</v>
      </c>
      <c r="V150" s="1">
        <f>SUMIFS(super1[Qtde],super1[Item],tab_alimentos[[#This Row],[Item]],super1[Bairro],mercado11)+SUMIFS(supercb[Qtde],supercb[Item],tab_alimentos[[#This Row],[Item]],supercb[Bairro],mercado11)</f>
        <v>0</v>
      </c>
      <c r="W150" s="1">
        <f>SUMIFS(super1[Qtde],super1[Item],tab_alimentos[[#This Row],[Item]],super1[Bairro],mercado12)+SUMIFS(supercb[Qtde],supercb[Item],tab_alimentos[[#This Row],[Item]],supercb[Bairro],mercado12)</f>
        <v>0</v>
      </c>
      <c r="X150" s="1">
        <f>SUMIFS(super1[Qtde],super1[Item],tab_alimentos[[#This Row],[Item]],super1[Bairro],mercado13)+SUMIFS(supercb[Qtde],supercb[Item],tab_alimentos[[#This Row],[Item]],supercb[Bairro],mercado13)</f>
        <v>0</v>
      </c>
      <c r="Y150" s="1">
        <f>SUMIFS(super1[Qtde],super1[Item],tab_alimentos[[#This Row],[Item]],super1[Bairro],mercado14)+SUMIFS(supercb[Qtde],supercb[Item],tab_alimentos[[#This Row],[Item]],supercb[Bairro],mercado14)</f>
        <v>0</v>
      </c>
      <c r="Z150" s="1">
        <f>SUMIFS(super1[Qtde],super1[Item],tab_alimentos[[#This Row],[Item]],super1[Bairro],mercado15)+SUMIFS(supercb[Qtde],supercb[Item],tab_alimentos[[#This Row],[Item]],supercb[Bairro],mercado15)</f>
        <v>0</v>
      </c>
      <c r="AA150" s="1">
        <f>SUMIFS(super1[Qtde],super1[Item],tab_alimentos[[#This Row],[Item]],super1[Bairro],mercado16)+SUMIFS(supercb[Qtde],supercb[Item],tab_alimentos[[#This Row],[Item]],supercb[Bairro],mercado16)</f>
        <v>0</v>
      </c>
      <c r="AB150" s="1">
        <f>SUMIFS(super1[Qtde],super1[Item],tab_alimentos[[#This Row],[Item]],super1[Bairro],mercado17)+SUMIFS(supercb[Qtde],supercb[Item],tab_alimentos[[#This Row],[Item]],supercb[Bairro],mercado17)</f>
        <v>0</v>
      </c>
      <c r="AC150" s="1">
        <f>SUMIFS(super1[Qtde],super1[Item],tab_alimentos[[#This Row],[Item]],super1[Bairro],mercado18)+SUMIFS(supercb[Qtde],supercb[Item],tab_alimentos[[#This Row],[Item]],supercb[Bairro],mercado18)</f>
        <v>0</v>
      </c>
      <c r="AD150" s="1">
        <f>SUMIFS(super1[Qtde],super1[Item],tab_alimentos[[#This Row],[Item]],super1[Bairro],extras)+SUMIFS(supercb[Qtde],supercb[Item],tab_alimentos[[#This Row],[Item]],supercb[Bairro],extras)</f>
        <v>0</v>
      </c>
      <c r="AE150" s="1">
        <f t="shared" si="47"/>
        <v>0</v>
      </c>
      <c r="AF150" s="1">
        <f t="shared" si="48"/>
        <v>0</v>
      </c>
      <c r="AG150" s="26">
        <f t="shared" si="49"/>
        <v>0</v>
      </c>
      <c r="AH150" s="25" t="str">
        <f>higiene[[#This Row],[Item]]</f>
        <v>Papel Higiênico (12un)</v>
      </c>
      <c r="AI150" s="18">
        <f>IFERROR(higiene[[#This Row],[Kg equivalente]],0)</f>
        <v>3.9518027080791125</v>
      </c>
      <c r="AJ150" s="18">
        <f>IFERROR(higiene[[#This Row],[Preço por produto]],0)</f>
        <v>13.090000000000002</v>
      </c>
      <c r="AK150" s="18">
        <f>SUMIFS(super1[Qtde],super1[Item],tab_higiene[[#This Row],[Item]],super1[Bairro],mercado1)+SUMIFS(supercb[Qtde],supercb[Item],tab_higiene[[#This Row],[Item]],supercb[Bairro],mercado1)</f>
        <v>0</v>
      </c>
      <c r="AL150" s="18">
        <f>SUMIFS(super1[Qtde],super1[Item],tab_higiene[[#This Row],[Item]],super1[Bairro],mercado2)+SUMIFS(supercb[Qtde],supercb[Item],tab_higiene[[#This Row],[Item]],supercb[Bairro],mercado2)</f>
        <v>1</v>
      </c>
      <c r="AM150" s="18">
        <f>SUMIFS(super1[Qtde],super1[Item],tab_higiene[[#This Row],[Item]],super1[Bairro],mercado3)+SUMIFS(supercb[Qtde],supercb[Item],tab_higiene[[#This Row],[Item]],supercb[Bairro],mercado3)</f>
        <v>1</v>
      </c>
      <c r="AN150" s="18">
        <f>SUMIFS(super1[Qtde],super1[Item],tab_higiene[[#This Row],[Item]],super1[Bairro],mercado4)+SUMIFS(supercb[Qtde],supercb[Item],tab_higiene[[#This Row],[Item]],supercb[Bairro],mercado4)</f>
        <v>1</v>
      </c>
      <c r="AO150" s="18">
        <f>SUMIFS(super1[Qtde],super1[Item],tab_higiene[[#This Row],[Item]],super1[Bairro],mercado5)+SUMIFS(supercb[Qtde],supercb[Item],tab_higiene[[#This Row],[Item]],supercb[Bairro],mercado5)</f>
        <v>3</v>
      </c>
      <c r="AP150" s="18">
        <f>SUMIFS(super1[Qtde],super1[Item],tab_higiene[[#This Row],[Item]],super1[Bairro],mercado6)+SUMIFS(supercb[Qtde],supercb[Item],tab_higiene[[#This Row],[Item]],supercb[Bairro],mercado6)</f>
        <v>1</v>
      </c>
      <c r="AQ150" s="18">
        <f>SUMIFS(super1[Qtde],super1[Item],tab_higiene[[#This Row],[Item]],super1[Bairro],mercado7)+SUMIFS(supercb[Qtde],supercb[Item],tab_higiene[[#This Row],[Item]],supercb[Bairro],mercado7)</f>
        <v>2</v>
      </c>
      <c r="AR150" s="18">
        <f>SUMIFS(super1[Qtde],super1[Item],tab_higiene[[#This Row],[Item]],super1[Bairro],mercado8)+SUMIFS(supercb[Qtde],supercb[Item],tab_higiene[[#This Row],[Item]],supercb[Bairro],mercado8)</f>
        <v>0</v>
      </c>
      <c r="AS150" s="18">
        <f>SUMIFS(super1[Qtde],super1[Item],tab_higiene[[#This Row],[Item]],super1[Bairro],mercado9)+SUMIFS(supercb[Qtde],supercb[Item],tab_higiene[[#This Row],[Item]],supercb[Bairro],mercado9)</f>
        <v>1</v>
      </c>
      <c r="AT150" s="18">
        <f>SUMIFS(super1[Qtde],super1[Item],tab_higiene[[#This Row],[Item]],super1[Bairro],mercado10)+SUMIFS(supercb[Qtde],supercb[Item],tab_higiene[[#This Row],[Item]],supercb[Bairro],mercado10)</f>
        <v>3</v>
      </c>
      <c r="AU150" s="18">
        <f>SUMIFS(super1[Qtde],super1[Item],tab_higiene[[#This Row],[Item]],super1[Bairro],mercado11)+SUMIFS(supercb[Qtde],supercb[Item],tab_higiene[[#This Row],[Item]],supercb[Bairro],mercado11)</f>
        <v>1</v>
      </c>
      <c r="AV150" s="18">
        <f>SUMIFS(super1[Qtde],super1[Item],tab_higiene[[#This Row],[Item]],super1[Bairro],mercado12)+SUMIFS(supercb[Qtde],supercb[Item],tab_higiene[[#This Row],[Item]],supercb[Bairro],mercado12)</f>
        <v>0</v>
      </c>
      <c r="AW150" s="18">
        <f>SUMIFS(super1[Qtde],super1[Item],tab_higiene[[#This Row],[Item]],super1[Bairro],mercado13)+SUMIFS(supercb[Qtde],supercb[Item],tab_higiene[[#This Row],[Item]],supercb[Bairro],mercado13)</f>
        <v>2</v>
      </c>
      <c r="AX150" s="18">
        <f>SUMIFS(super1[Qtde],super1[Item],tab_higiene[[#This Row],[Item]],super1[Bairro],mercado14)+SUMIFS(supercb[Qtde],supercb[Item],tab_higiene[[#This Row],[Item]],supercb[Bairro],mercado14)</f>
        <v>0</v>
      </c>
      <c r="AY150" s="18">
        <f>SUMIFS(super1[Qtde],super1[Item],tab_higiene[[#This Row],[Item]],super1[Bairro],mercado15)+SUMIFS(supercb[Qtde],supercb[Item],tab_higiene[[#This Row],[Item]],supercb[Bairro],mercado15)</f>
        <v>0</v>
      </c>
      <c r="AZ150" s="18">
        <f>SUMIFS(super1[Qtde],super1[Item],tab_higiene[[#This Row],[Item]],super1[Bairro],mercado16)+SUMIFS(supercb[Qtde],supercb[Item],tab_higiene[[#This Row],[Item]],supercb[Bairro],mercado16)</f>
        <v>0</v>
      </c>
      <c r="BA150" s="18">
        <f>SUMIFS(super1[Qtde],super1[Item],tab_higiene[[#This Row],[Item]],super1[Bairro],mercado17)+SUMIFS(supercb[Qtde],supercb[Item],tab_higiene[[#This Row],[Item]],supercb[Bairro],mercado17)</f>
        <v>0</v>
      </c>
      <c r="BB150" s="18">
        <f>SUMIFS(super1[Qtde],super1[Item],tab_higiene[[#This Row],[Item]],super1[Bairro],mercado18)+SUMIFS(supercb[Qtde],supercb[Item],tab_higiene[[#This Row],[Item]],supercb[Bairro],mercado18)</f>
        <v>0</v>
      </c>
      <c r="BC150" s="18">
        <f>SUMIFS(super1[Qtde],super1[Item],tab_higiene[[#This Row],[Item]],super1[Bairro],extras)+SUMIFS(supercb[Qtde],supercb[Item],tab_higiene[[#This Row],[Item]],supercb[Bairro],extras)</f>
        <v>0</v>
      </c>
      <c r="BD150" s="1">
        <f t="shared" si="59"/>
        <v>16</v>
      </c>
      <c r="BE150" s="1">
        <f t="shared" si="60"/>
        <v>209.44000000000003</v>
      </c>
      <c r="BF150" s="26">
        <f t="shared" si="61"/>
        <v>63.2288433292658</v>
      </c>
      <c r="BI150" s="35" t="str">
        <f>tab_alimentos[[#This Row],[Item]]</f>
        <v>L</v>
      </c>
      <c r="BJ150" s="35">
        <f t="shared" si="62"/>
        <v>0</v>
      </c>
      <c r="BK150" s="35" t="str">
        <f t="shared" si="63"/>
        <v>L</v>
      </c>
      <c r="BL150" s="35">
        <f>tab_alimentos[[#This Row],[kg]]</f>
        <v>0</v>
      </c>
      <c r="BN150" s="35">
        <f>SUMIF($BJ$5:$BJ$158,#REF!,$BK$5:$BK$158)</f>
        <v>0</v>
      </c>
      <c r="BQ150"/>
      <c r="BR150" s="24"/>
      <c r="BS150"/>
      <c r="BT150" s="24"/>
    </row>
    <row r="151" spans="9:72" x14ac:dyDescent="0.25">
      <c r="I151" s="25" t="str">
        <f>alimentos[[#This Row],[Item]]</f>
        <v>Leite (caixa com 12)</v>
      </c>
      <c r="J151" s="1">
        <f>IFERROR(alimentos[[#This Row],[kg/embalagem]],0)</f>
        <v>12</v>
      </c>
      <c r="K151" s="18">
        <f>IFERROR(alimentos[[#This Row],[Preço]],0)</f>
        <v>32.576000000000001</v>
      </c>
      <c r="L151" s="1">
        <f>SUMIFS(super1[Qtde],super1[Item],tab_alimentos[[#This Row],[Item]],super1[Bairro],mercado1)+SUMIFS(supercb[Qtde],supercb[Item],tab_alimentos[[#This Row],[Item]],supercb[Bairro],mercado1)</f>
        <v>0</v>
      </c>
      <c r="M151" s="1">
        <f>SUMIFS(super1[Qtde],super1[Item],tab_alimentos[[#This Row],[Item]],super1[Bairro],mercado2)+SUMIFS(supercb[Qtde],supercb[Item],tab_alimentos[[#This Row],[Item]],supercb[Bairro],mercado2)</f>
        <v>0</v>
      </c>
      <c r="N151" s="1">
        <f>SUMIFS(super1[Qtde],super1[Item],tab_alimentos[[#This Row],[Item]],super1[Bairro],mercado3)+SUMIFS(supercb[Qtde],supercb[Item],tab_alimentos[[#This Row],[Item]],supercb[Bairro],mercado3)</f>
        <v>0</v>
      </c>
      <c r="O151" s="1">
        <f>SUMIFS(super1[Qtde],super1[Item],tab_alimentos[[#This Row],[Item]],super1[Bairro],mercado4)+SUMIFS(supercb[Qtde],supercb[Item],tab_alimentos[[#This Row],[Item]],supercb[Bairro],mercado4)</f>
        <v>0</v>
      </c>
      <c r="P151" s="1">
        <f>SUMIFS(super1[Qtde],super1[Item],tab_alimentos[[#This Row],[Item]],super1[Bairro],mercado5)+SUMIFS(supercb[Qtde],supercb[Item],tab_alimentos[[#This Row],[Item]],supercb[Bairro],mercado5)</f>
        <v>0</v>
      </c>
      <c r="Q151" s="1">
        <f>SUMIFS(super1[Qtde],super1[Item],tab_alimentos[[#This Row],[Item]],super1[Bairro],mercado6)+SUMIFS(supercb[Qtde],supercb[Item],tab_alimentos[[#This Row],[Item]],supercb[Bairro],mercado6)</f>
        <v>1</v>
      </c>
      <c r="R151" s="1">
        <f>SUMIFS(super1[Qtde],super1[Item],tab_alimentos[[#This Row],[Item]],super1[Bairro],mercado7)+SUMIFS(supercb[Qtde],supercb[Item],tab_alimentos[[#This Row],[Item]],supercb[Bairro],mercado7)</f>
        <v>0</v>
      </c>
      <c r="S151" s="1">
        <f>SUMIFS(super1[Qtde],super1[Item],tab_alimentos[[#This Row],[Item]],super1[Bairro],mercado8)+SUMIFS(supercb[Qtde],supercb[Item],tab_alimentos[[#This Row],[Item]],supercb[Bairro],mercado8)</f>
        <v>0</v>
      </c>
      <c r="T151" s="1">
        <f>SUMIFS(super1[Qtde],super1[Item],tab_alimentos[[#This Row],[Item]],super1[Bairro],mercado9)+SUMIFS(supercb[Qtde],supercb[Item],tab_alimentos[[#This Row],[Item]],supercb[Bairro],mercado9)</f>
        <v>0</v>
      </c>
      <c r="U151" s="1">
        <f>SUMIFS(super1[Qtde],super1[Item],tab_alimentos[[#This Row],[Item]],super1[Bairro],mercado10)+SUMIFS(supercb[Qtde],supercb[Item],tab_alimentos[[#This Row],[Item]],supercb[Bairro],mercado10)</f>
        <v>0</v>
      </c>
      <c r="V151" s="1">
        <f>SUMIFS(super1[Qtde],super1[Item],tab_alimentos[[#This Row],[Item]],super1[Bairro],mercado11)+SUMIFS(supercb[Qtde],supercb[Item],tab_alimentos[[#This Row],[Item]],supercb[Bairro],mercado11)</f>
        <v>0</v>
      </c>
      <c r="W151" s="1">
        <f>SUMIFS(super1[Qtde],super1[Item],tab_alimentos[[#This Row],[Item]],super1[Bairro],mercado12)+SUMIFS(supercb[Qtde],supercb[Item],tab_alimentos[[#This Row],[Item]],supercb[Bairro],mercado12)</f>
        <v>0</v>
      </c>
      <c r="X151" s="1">
        <f>SUMIFS(super1[Qtde],super1[Item],tab_alimentos[[#This Row],[Item]],super1[Bairro],mercado13)+SUMIFS(supercb[Qtde],supercb[Item],tab_alimentos[[#This Row],[Item]],supercb[Bairro],mercado13)</f>
        <v>0</v>
      </c>
      <c r="Y151" s="1">
        <f>SUMIFS(super1[Qtde],super1[Item],tab_alimentos[[#This Row],[Item]],super1[Bairro],mercado14)+SUMIFS(supercb[Qtde],supercb[Item],tab_alimentos[[#This Row],[Item]],supercb[Bairro],mercado14)</f>
        <v>0</v>
      </c>
      <c r="Z151" s="1">
        <f>SUMIFS(super1[Qtde],super1[Item],tab_alimentos[[#This Row],[Item]],super1[Bairro],mercado15)+SUMIFS(supercb[Qtde],supercb[Item],tab_alimentos[[#This Row],[Item]],supercb[Bairro],mercado15)</f>
        <v>0</v>
      </c>
      <c r="AA151" s="1">
        <f>SUMIFS(super1[Qtde],super1[Item],tab_alimentos[[#This Row],[Item]],super1[Bairro],mercado16)+SUMIFS(supercb[Qtde],supercb[Item],tab_alimentos[[#This Row],[Item]],supercb[Bairro],mercado16)</f>
        <v>0</v>
      </c>
      <c r="AB151" s="1">
        <f>SUMIFS(super1[Qtde],super1[Item],tab_alimentos[[#This Row],[Item]],super1[Bairro],mercado17)+SUMIFS(supercb[Qtde],supercb[Item],tab_alimentos[[#This Row],[Item]],supercb[Bairro],mercado17)</f>
        <v>0</v>
      </c>
      <c r="AC151" s="1">
        <f>SUMIFS(super1[Qtde],super1[Item],tab_alimentos[[#This Row],[Item]],super1[Bairro],mercado18)+SUMIFS(supercb[Qtde],supercb[Item],tab_alimentos[[#This Row],[Item]],supercb[Bairro],mercado18)</f>
        <v>0</v>
      </c>
      <c r="AD151" s="1">
        <f>SUMIFS(super1[Qtde],super1[Item],tab_alimentos[[#This Row],[Item]],super1[Bairro],extras)+SUMIFS(supercb[Qtde],supercb[Item],tab_alimentos[[#This Row],[Item]],supercb[Bairro],extras)</f>
        <v>0</v>
      </c>
      <c r="AE151" s="1">
        <f t="shared" si="47"/>
        <v>1</v>
      </c>
      <c r="AF151" s="1">
        <f t="shared" si="48"/>
        <v>32.576000000000001</v>
      </c>
      <c r="AG151" s="26">
        <f t="shared" si="49"/>
        <v>12</v>
      </c>
      <c r="AH151" s="25" t="str">
        <f>higiene[[#This Row],[Item]]</f>
        <v>Papel Higiênico (16un)</v>
      </c>
      <c r="AI151" s="18">
        <f>IFERROR(higiene[[#This Row],[Kg equivalente]],0)</f>
        <v>4.4308090969371863</v>
      </c>
      <c r="AJ151" s="18">
        <f>IFERROR(higiene[[#This Row],[Preço por produto]],0)</f>
        <v>14.676666666666668</v>
      </c>
      <c r="AK151" s="18">
        <f>SUMIFS(super1[Qtde],super1[Item],tab_higiene[[#This Row],[Item]],super1[Bairro],mercado1)+SUMIFS(supercb[Qtde],supercb[Item],tab_higiene[[#This Row],[Item]],supercb[Bairro],mercado1)</f>
        <v>0</v>
      </c>
      <c r="AL151" s="18">
        <f>SUMIFS(super1[Qtde],super1[Item],tab_higiene[[#This Row],[Item]],super1[Bairro],mercado2)+SUMIFS(supercb[Qtde],supercb[Item],tab_higiene[[#This Row],[Item]],supercb[Bairro],mercado2)</f>
        <v>0</v>
      </c>
      <c r="AM151" s="18">
        <f>SUMIFS(super1[Qtde],super1[Item],tab_higiene[[#This Row],[Item]],super1[Bairro],mercado3)+SUMIFS(supercb[Qtde],supercb[Item],tab_higiene[[#This Row],[Item]],supercb[Bairro],mercado3)</f>
        <v>0</v>
      </c>
      <c r="AN151" s="18">
        <f>SUMIFS(super1[Qtde],super1[Item],tab_higiene[[#This Row],[Item]],super1[Bairro],mercado4)+SUMIFS(supercb[Qtde],supercb[Item],tab_higiene[[#This Row],[Item]],supercb[Bairro],mercado4)</f>
        <v>0</v>
      </c>
      <c r="AO151" s="18">
        <f>SUMIFS(super1[Qtde],super1[Item],tab_higiene[[#This Row],[Item]],super1[Bairro],mercado5)+SUMIFS(supercb[Qtde],supercb[Item],tab_higiene[[#This Row],[Item]],supercb[Bairro],mercado5)</f>
        <v>2</v>
      </c>
      <c r="AP151" s="18">
        <f>SUMIFS(super1[Qtde],super1[Item],tab_higiene[[#This Row],[Item]],super1[Bairro],mercado6)+SUMIFS(supercb[Qtde],supercb[Item],tab_higiene[[#This Row],[Item]],supercb[Bairro],mercado6)</f>
        <v>0</v>
      </c>
      <c r="AQ151" s="18">
        <f>SUMIFS(super1[Qtde],super1[Item],tab_higiene[[#This Row],[Item]],super1[Bairro],mercado7)+SUMIFS(supercb[Qtde],supercb[Item],tab_higiene[[#This Row],[Item]],supercb[Bairro],mercado7)</f>
        <v>2</v>
      </c>
      <c r="AR151" s="18">
        <f>SUMIFS(super1[Qtde],super1[Item],tab_higiene[[#This Row],[Item]],super1[Bairro],mercado8)+SUMIFS(supercb[Qtde],supercb[Item],tab_higiene[[#This Row],[Item]],supercb[Bairro],mercado8)</f>
        <v>0</v>
      </c>
      <c r="AS151" s="18">
        <f>SUMIFS(super1[Qtde],super1[Item],tab_higiene[[#This Row],[Item]],super1[Bairro],mercado9)+SUMIFS(supercb[Qtde],supercb[Item],tab_higiene[[#This Row],[Item]],supercb[Bairro],mercado9)</f>
        <v>0</v>
      </c>
      <c r="AT151" s="18">
        <f>SUMIFS(super1[Qtde],super1[Item],tab_higiene[[#This Row],[Item]],super1[Bairro],mercado10)+SUMIFS(supercb[Qtde],supercb[Item],tab_higiene[[#This Row],[Item]],supercb[Bairro],mercado10)</f>
        <v>3</v>
      </c>
      <c r="AU151" s="18">
        <f>SUMIFS(super1[Qtde],super1[Item],tab_higiene[[#This Row],[Item]],super1[Bairro],mercado11)+SUMIFS(supercb[Qtde],supercb[Item],tab_higiene[[#This Row],[Item]],supercb[Bairro],mercado11)</f>
        <v>1</v>
      </c>
      <c r="AV151" s="18">
        <f>SUMIFS(super1[Qtde],super1[Item],tab_higiene[[#This Row],[Item]],super1[Bairro],mercado12)+SUMIFS(supercb[Qtde],supercb[Item],tab_higiene[[#This Row],[Item]],supercb[Bairro],mercado12)</f>
        <v>0</v>
      </c>
      <c r="AW151" s="18">
        <f>SUMIFS(super1[Qtde],super1[Item],tab_higiene[[#This Row],[Item]],super1[Bairro],mercado13)+SUMIFS(supercb[Qtde],supercb[Item],tab_higiene[[#This Row],[Item]],supercb[Bairro],mercado13)</f>
        <v>4</v>
      </c>
      <c r="AX151" s="18">
        <f>SUMIFS(super1[Qtde],super1[Item],tab_higiene[[#This Row],[Item]],super1[Bairro],mercado14)+SUMIFS(supercb[Qtde],supercb[Item],tab_higiene[[#This Row],[Item]],supercb[Bairro],mercado14)</f>
        <v>0</v>
      </c>
      <c r="AY151" s="18">
        <f>SUMIFS(super1[Qtde],super1[Item],tab_higiene[[#This Row],[Item]],super1[Bairro],mercado15)+SUMIFS(supercb[Qtde],supercb[Item],tab_higiene[[#This Row],[Item]],supercb[Bairro],mercado15)</f>
        <v>0</v>
      </c>
      <c r="AZ151" s="18">
        <f>SUMIFS(super1[Qtde],super1[Item],tab_higiene[[#This Row],[Item]],super1[Bairro],mercado16)+SUMIFS(supercb[Qtde],supercb[Item],tab_higiene[[#This Row],[Item]],supercb[Bairro],mercado16)</f>
        <v>0</v>
      </c>
      <c r="BA151" s="18">
        <f>SUMIFS(super1[Qtde],super1[Item],tab_higiene[[#This Row],[Item]],super1[Bairro],mercado17)+SUMIFS(supercb[Qtde],supercb[Item],tab_higiene[[#This Row],[Item]],supercb[Bairro],mercado17)</f>
        <v>0</v>
      </c>
      <c r="BB151" s="18">
        <f>SUMIFS(super1[Qtde],super1[Item],tab_higiene[[#This Row],[Item]],super1[Bairro],mercado18)+SUMIFS(supercb[Qtde],supercb[Item],tab_higiene[[#This Row],[Item]],supercb[Bairro],mercado18)</f>
        <v>0</v>
      </c>
      <c r="BC151" s="18">
        <f>SUMIFS(super1[Qtde],super1[Item],tab_higiene[[#This Row],[Item]],super1[Bairro],extras)+SUMIFS(supercb[Qtde],supercb[Item],tab_higiene[[#This Row],[Item]],supercb[Bairro],extras)</f>
        <v>0</v>
      </c>
      <c r="BD151" s="1">
        <f t="shared" si="59"/>
        <v>12</v>
      </c>
      <c r="BE151" s="1">
        <f t="shared" si="60"/>
        <v>176.12</v>
      </c>
      <c r="BF151" s="26">
        <f t="shared" si="61"/>
        <v>53.169709163246239</v>
      </c>
      <c r="BI151" s="35" t="str">
        <f>tab_alimentos[[#This Row],[Item]]</f>
        <v>Leite (caixa com 12)</v>
      </c>
      <c r="BJ151" s="35">
        <f t="shared" si="62"/>
        <v>6</v>
      </c>
      <c r="BK151" s="35" t="str">
        <f t="shared" si="63"/>
        <v>Leite</v>
      </c>
      <c r="BL151" s="35">
        <f>tab_alimentos[[#This Row],[kg]]</f>
        <v>12</v>
      </c>
      <c r="BN151" s="35">
        <f>SUMIF($BJ$5:$BJ$158,#REF!,$BK$5:$BK$158)</f>
        <v>0</v>
      </c>
      <c r="BQ151"/>
      <c r="BR151" s="24"/>
      <c r="BS151"/>
      <c r="BT151" s="24"/>
    </row>
    <row r="152" spans="9:72" x14ac:dyDescent="0.25">
      <c r="I152" s="25" t="str">
        <f>alimentos[[#This Row],[Item]]</f>
        <v>Leite (caixa)</v>
      </c>
      <c r="J152" s="1">
        <f>IFERROR(alimentos[[#This Row],[kg/embalagem]],0)</f>
        <v>1</v>
      </c>
      <c r="K152" s="18">
        <f>IFERROR(alimentos[[#This Row],[Preço]],0)</f>
        <v>2.67</v>
      </c>
      <c r="L152" s="1">
        <f>SUMIFS(super1[Qtde],super1[Item],tab_alimentos[[#This Row],[Item]],super1[Bairro],mercado1)+SUMIFS(supercb[Qtde],supercb[Item],tab_alimentos[[#This Row],[Item]],supercb[Bairro],mercado1)</f>
        <v>29</v>
      </c>
      <c r="M152" s="1">
        <f>SUMIFS(super1[Qtde],super1[Item],tab_alimentos[[#This Row],[Item]],super1[Bairro],mercado2)+SUMIFS(supercb[Qtde],supercb[Item],tab_alimentos[[#This Row],[Item]],supercb[Bairro],mercado2)</f>
        <v>41</v>
      </c>
      <c r="N152" s="1">
        <f>SUMIFS(super1[Qtde],super1[Item],tab_alimentos[[#This Row],[Item]],super1[Bairro],mercado3)+SUMIFS(supercb[Qtde],supercb[Item],tab_alimentos[[#This Row],[Item]],supercb[Bairro],mercado3)</f>
        <v>5</v>
      </c>
      <c r="O152" s="1">
        <f>SUMIFS(super1[Qtde],super1[Item],tab_alimentos[[#This Row],[Item]],super1[Bairro],mercado4)+SUMIFS(supercb[Qtde],supercb[Item],tab_alimentos[[#This Row],[Item]],supercb[Bairro],mercado4)</f>
        <v>50</v>
      </c>
      <c r="P152" s="1">
        <f>SUMIFS(super1[Qtde],super1[Item],tab_alimentos[[#This Row],[Item]],super1[Bairro],mercado5)+SUMIFS(supercb[Qtde],supercb[Item],tab_alimentos[[#This Row],[Item]],supercb[Bairro],mercado5)</f>
        <v>94</v>
      </c>
      <c r="Q152" s="1">
        <f>SUMIFS(super1[Qtde],super1[Item],tab_alimentos[[#This Row],[Item]],super1[Bairro],mercado6)+SUMIFS(supercb[Qtde],supercb[Item],tab_alimentos[[#This Row],[Item]],supercb[Bairro],mercado6)</f>
        <v>49</v>
      </c>
      <c r="R152" s="1">
        <f>SUMIFS(super1[Qtde],super1[Item],tab_alimentos[[#This Row],[Item]],super1[Bairro],mercado7)+SUMIFS(supercb[Qtde],supercb[Item],tab_alimentos[[#This Row],[Item]],supercb[Bairro],mercado7)</f>
        <v>27</v>
      </c>
      <c r="S152" s="1">
        <f>SUMIFS(super1[Qtde],super1[Item],tab_alimentos[[#This Row],[Item]],super1[Bairro],mercado8)+SUMIFS(supercb[Qtde],supercb[Item],tab_alimentos[[#This Row],[Item]],supercb[Bairro],mercado8)</f>
        <v>28</v>
      </c>
      <c r="T152" s="1">
        <f>SUMIFS(super1[Qtde],super1[Item],tab_alimentos[[#This Row],[Item]],super1[Bairro],mercado9)+SUMIFS(supercb[Qtde],supercb[Item],tab_alimentos[[#This Row],[Item]],supercb[Bairro],mercado9)</f>
        <v>71</v>
      </c>
      <c r="U152" s="1">
        <f>SUMIFS(super1[Qtde],super1[Item],tab_alimentos[[#This Row],[Item]],super1[Bairro],mercado10)+SUMIFS(supercb[Qtde],supercb[Item],tab_alimentos[[#This Row],[Item]],supercb[Bairro],mercado10)</f>
        <v>68</v>
      </c>
      <c r="V152" s="1">
        <f>SUMIFS(super1[Qtde],super1[Item],tab_alimentos[[#This Row],[Item]],super1[Bairro],mercado11)+SUMIFS(supercb[Qtde],supercb[Item],tab_alimentos[[#This Row],[Item]],supercb[Bairro],mercado11)</f>
        <v>67</v>
      </c>
      <c r="W152" s="1">
        <f>SUMIFS(super1[Qtde],super1[Item],tab_alimentos[[#This Row],[Item]],super1[Bairro],mercado12)+SUMIFS(supercb[Qtde],supercb[Item],tab_alimentos[[#This Row],[Item]],supercb[Bairro],mercado12)</f>
        <v>0</v>
      </c>
      <c r="X152" s="1">
        <f>SUMIFS(super1[Qtde],super1[Item],tab_alimentos[[#This Row],[Item]],super1[Bairro],mercado13)+SUMIFS(supercb[Qtde],supercb[Item],tab_alimentos[[#This Row],[Item]],supercb[Bairro],mercado13)</f>
        <v>25</v>
      </c>
      <c r="Y152" s="1">
        <f>SUMIFS(super1[Qtde],super1[Item],tab_alimentos[[#This Row],[Item]],super1[Bairro],mercado14)+SUMIFS(supercb[Qtde],supercb[Item],tab_alimentos[[#This Row],[Item]],supercb[Bairro],mercado14)</f>
        <v>0</v>
      </c>
      <c r="Z152" s="1">
        <f>SUMIFS(super1[Qtde],super1[Item],tab_alimentos[[#This Row],[Item]],super1[Bairro],mercado15)+SUMIFS(supercb[Qtde],supercb[Item],tab_alimentos[[#This Row],[Item]],supercb[Bairro],mercado15)</f>
        <v>0</v>
      </c>
      <c r="AA152" s="1">
        <f>SUMIFS(super1[Qtde],super1[Item],tab_alimentos[[#This Row],[Item]],super1[Bairro],mercado16)+SUMIFS(supercb[Qtde],supercb[Item],tab_alimentos[[#This Row],[Item]],supercb[Bairro],mercado16)</f>
        <v>0</v>
      </c>
      <c r="AB152" s="1">
        <f>SUMIFS(super1[Qtde],super1[Item],tab_alimentos[[#This Row],[Item]],super1[Bairro],mercado17)+SUMIFS(supercb[Qtde],supercb[Item],tab_alimentos[[#This Row],[Item]],supercb[Bairro],mercado17)</f>
        <v>0</v>
      </c>
      <c r="AC152" s="1">
        <f>SUMIFS(super1[Qtde],super1[Item],tab_alimentos[[#This Row],[Item]],super1[Bairro],mercado18)+SUMIFS(supercb[Qtde],supercb[Item],tab_alimentos[[#This Row],[Item]],supercb[Bairro],mercado18)</f>
        <v>0</v>
      </c>
      <c r="AD152" s="1">
        <f>SUMIFS(super1[Qtde],super1[Item],tab_alimentos[[#This Row],[Item]],super1[Bairro],extras)+SUMIFS(supercb[Qtde],supercb[Item],tab_alimentos[[#This Row],[Item]],supercb[Bairro],extras)</f>
        <v>0</v>
      </c>
      <c r="AE152" s="1">
        <f t="shared" si="47"/>
        <v>554</v>
      </c>
      <c r="AF152" s="1">
        <f t="shared" si="48"/>
        <v>1479.18</v>
      </c>
      <c r="AG152" s="26">
        <f t="shared" si="49"/>
        <v>554</v>
      </c>
      <c r="AH152" s="25" t="str">
        <f>higiene[[#This Row],[Item]]</f>
        <v>Papel Higiênico (24un)</v>
      </c>
      <c r="AI152" s="18">
        <f>IFERROR(higiene[[#This Row],[Kg equivalente]],0)</f>
        <v>8.2688981034596551</v>
      </c>
      <c r="AJ152" s="18">
        <f>IFERROR(higiene[[#This Row],[Preço por produto]],0)</f>
        <v>27.39</v>
      </c>
      <c r="AK152" s="18">
        <f>SUMIFS(super1[Qtde],super1[Item],tab_higiene[[#This Row],[Item]],super1[Bairro],mercado1)+SUMIFS(supercb[Qtde],supercb[Item],tab_higiene[[#This Row],[Item]],supercb[Bairro],mercado1)</f>
        <v>0</v>
      </c>
      <c r="AL152" s="18">
        <f>SUMIFS(super1[Qtde],super1[Item],tab_higiene[[#This Row],[Item]],super1[Bairro],mercado2)+SUMIFS(supercb[Qtde],supercb[Item],tab_higiene[[#This Row],[Item]],supercb[Bairro],mercado2)</f>
        <v>0</v>
      </c>
      <c r="AM152" s="18">
        <f>SUMIFS(super1[Qtde],super1[Item],tab_higiene[[#This Row],[Item]],super1[Bairro],mercado3)+SUMIFS(supercb[Qtde],supercb[Item],tab_higiene[[#This Row],[Item]],supercb[Bairro],mercado3)</f>
        <v>0</v>
      </c>
      <c r="AN152" s="18">
        <f>SUMIFS(super1[Qtde],super1[Item],tab_higiene[[#This Row],[Item]],super1[Bairro],mercado4)+SUMIFS(supercb[Qtde],supercb[Item],tab_higiene[[#This Row],[Item]],supercb[Bairro],mercado4)</f>
        <v>0</v>
      </c>
      <c r="AO152" s="18">
        <f>SUMIFS(super1[Qtde],super1[Item],tab_higiene[[#This Row],[Item]],super1[Bairro],mercado5)+SUMIFS(supercb[Qtde],supercb[Item],tab_higiene[[#This Row],[Item]],supercb[Bairro],mercado5)</f>
        <v>0</v>
      </c>
      <c r="AP152" s="18">
        <f>SUMIFS(super1[Qtde],super1[Item],tab_higiene[[#This Row],[Item]],super1[Bairro],mercado6)+SUMIFS(supercb[Qtde],supercb[Item],tab_higiene[[#This Row],[Item]],supercb[Bairro],mercado6)</f>
        <v>0</v>
      </c>
      <c r="AQ152" s="18">
        <f>SUMIFS(super1[Qtde],super1[Item],tab_higiene[[#This Row],[Item]],super1[Bairro],mercado7)+SUMIFS(supercb[Qtde],supercb[Item],tab_higiene[[#This Row],[Item]],supercb[Bairro],mercado7)</f>
        <v>0</v>
      </c>
      <c r="AR152" s="18">
        <f>SUMIFS(super1[Qtde],super1[Item],tab_higiene[[#This Row],[Item]],super1[Bairro],mercado8)+SUMIFS(supercb[Qtde],supercb[Item],tab_higiene[[#This Row],[Item]],supercb[Bairro],mercado8)</f>
        <v>0</v>
      </c>
      <c r="AS152" s="18">
        <f>SUMIFS(super1[Qtde],super1[Item],tab_higiene[[#This Row],[Item]],super1[Bairro],mercado9)+SUMIFS(supercb[Qtde],supercb[Item],tab_higiene[[#This Row],[Item]],supercb[Bairro],mercado9)</f>
        <v>0</v>
      </c>
      <c r="AT152" s="18">
        <f>SUMIFS(super1[Qtde],super1[Item],tab_higiene[[#This Row],[Item]],super1[Bairro],mercado10)+SUMIFS(supercb[Qtde],supercb[Item],tab_higiene[[#This Row],[Item]],supercb[Bairro],mercado10)</f>
        <v>0</v>
      </c>
      <c r="AU152" s="18">
        <f>SUMIFS(super1[Qtde],super1[Item],tab_higiene[[#This Row],[Item]],super1[Bairro],mercado11)+SUMIFS(supercb[Qtde],supercb[Item],tab_higiene[[#This Row],[Item]],supercb[Bairro],mercado11)</f>
        <v>1</v>
      </c>
      <c r="AV152" s="18">
        <f>SUMIFS(super1[Qtde],super1[Item],tab_higiene[[#This Row],[Item]],super1[Bairro],mercado12)+SUMIFS(supercb[Qtde],supercb[Item],tab_higiene[[#This Row],[Item]],supercb[Bairro],mercado12)</f>
        <v>0</v>
      </c>
      <c r="AW152" s="18">
        <f>SUMIFS(super1[Qtde],super1[Item],tab_higiene[[#This Row],[Item]],super1[Bairro],mercado13)+SUMIFS(supercb[Qtde],supercb[Item],tab_higiene[[#This Row],[Item]],supercb[Bairro],mercado13)</f>
        <v>0</v>
      </c>
      <c r="AX152" s="18">
        <f>SUMIFS(super1[Qtde],super1[Item],tab_higiene[[#This Row],[Item]],super1[Bairro],mercado14)+SUMIFS(supercb[Qtde],supercb[Item],tab_higiene[[#This Row],[Item]],supercb[Bairro],mercado14)</f>
        <v>0</v>
      </c>
      <c r="AY152" s="18">
        <f>SUMIFS(super1[Qtde],super1[Item],tab_higiene[[#This Row],[Item]],super1[Bairro],mercado15)+SUMIFS(supercb[Qtde],supercb[Item],tab_higiene[[#This Row],[Item]],supercb[Bairro],mercado15)</f>
        <v>0</v>
      </c>
      <c r="AZ152" s="18">
        <f>SUMIFS(super1[Qtde],super1[Item],tab_higiene[[#This Row],[Item]],super1[Bairro],mercado16)+SUMIFS(supercb[Qtde],supercb[Item],tab_higiene[[#This Row],[Item]],supercb[Bairro],mercado16)</f>
        <v>0</v>
      </c>
      <c r="BA152" s="18">
        <f>SUMIFS(super1[Qtde],super1[Item],tab_higiene[[#This Row],[Item]],super1[Bairro],mercado17)+SUMIFS(supercb[Qtde],supercb[Item],tab_higiene[[#This Row],[Item]],supercb[Bairro],mercado17)</f>
        <v>0</v>
      </c>
      <c r="BB152" s="18">
        <f>SUMIFS(super1[Qtde],super1[Item],tab_higiene[[#This Row],[Item]],super1[Bairro],mercado18)+SUMIFS(supercb[Qtde],supercb[Item],tab_higiene[[#This Row],[Item]],supercb[Bairro],mercado18)</f>
        <v>0</v>
      </c>
      <c r="BC152" s="18">
        <f>SUMIFS(super1[Qtde],super1[Item],tab_higiene[[#This Row],[Item]],super1[Bairro],extras)+SUMIFS(supercb[Qtde],supercb[Item],tab_higiene[[#This Row],[Item]],supercb[Bairro],extras)</f>
        <v>0</v>
      </c>
      <c r="BD152" s="1">
        <f t="shared" si="59"/>
        <v>1</v>
      </c>
      <c r="BE152" s="1">
        <f t="shared" si="60"/>
        <v>27.39</v>
      </c>
      <c r="BF152" s="26">
        <f t="shared" si="61"/>
        <v>8.2688981034596551</v>
      </c>
      <c r="BI152" s="35" t="str">
        <f>tab_alimentos[[#This Row],[Item]]</f>
        <v>Leite (caixa)</v>
      </c>
      <c r="BJ152" s="35">
        <f t="shared" si="62"/>
        <v>6</v>
      </c>
      <c r="BK152" s="35" t="str">
        <f t="shared" si="63"/>
        <v>Leite</v>
      </c>
      <c r="BL152" s="35">
        <f>tab_alimentos[[#This Row],[kg]]</f>
        <v>554</v>
      </c>
      <c r="BN152" s="35">
        <f>SUMIF($BJ$5:$BJ$158,#REF!,$BK$5:$BK$158)</f>
        <v>0</v>
      </c>
      <c r="BQ152"/>
      <c r="BR152" s="24"/>
      <c r="BS152"/>
      <c r="BT152" s="24"/>
    </row>
    <row r="153" spans="9:72" x14ac:dyDescent="0.25">
      <c r="I153" s="25" t="str">
        <f>alimentos[[#This Row],[Item]]</f>
        <v>Leite condensado</v>
      </c>
      <c r="J153" s="1">
        <f>IFERROR(alimentos[[#This Row],[kg/embalagem]],0)</f>
        <v>0.4</v>
      </c>
      <c r="K153" s="18">
        <f>IFERROR(alimentos[[#This Row],[Preço]],0)</f>
        <v>3.2366666666666668</v>
      </c>
      <c r="L153" s="1">
        <f>SUMIFS(super1[Qtde],super1[Item],tab_alimentos[[#This Row],[Item]],super1[Bairro],mercado1)+SUMIFS(supercb[Qtde],supercb[Item],tab_alimentos[[#This Row],[Item]],supercb[Bairro],mercado1)</f>
        <v>0</v>
      </c>
      <c r="M153" s="1">
        <f>SUMIFS(super1[Qtde],super1[Item],tab_alimentos[[#This Row],[Item]],super1[Bairro],mercado2)+SUMIFS(supercb[Qtde],supercb[Item],tab_alimentos[[#This Row],[Item]],supercb[Bairro],mercado2)</f>
        <v>1</v>
      </c>
      <c r="N153" s="1">
        <f>SUMIFS(super1[Qtde],super1[Item],tab_alimentos[[#This Row],[Item]],super1[Bairro],mercado3)+SUMIFS(supercb[Qtde],supercb[Item],tab_alimentos[[#This Row],[Item]],supercb[Bairro],mercado3)</f>
        <v>0</v>
      </c>
      <c r="O153" s="1">
        <f>SUMIFS(super1[Qtde],super1[Item],tab_alimentos[[#This Row],[Item]],super1[Bairro],mercado4)+SUMIFS(supercb[Qtde],supercb[Item],tab_alimentos[[#This Row],[Item]],supercb[Bairro],mercado4)</f>
        <v>0</v>
      </c>
      <c r="P153" s="1">
        <f>SUMIFS(super1[Qtde],super1[Item],tab_alimentos[[#This Row],[Item]],super1[Bairro],mercado5)+SUMIFS(supercb[Qtde],supercb[Item],tab_alimentos[[#This Row],[Item]],supercb[Bairro],mercado5)</f>
        <v>0</v>
      </c>
      <c r="Q153" s="1">
        <f>SUMIFS(super1[Qtde],super1[Item],tab_alimentos[[#This Row],[Item]],super1[Bairro],mercado6)+SUMIFS(supercb[Qtde],supercb[Item],tab_alimentos[[#This Row],[Item]],supercb[Bairro],mercado6)</f>
        <v>0</v>
      </c>
      <c r="R153" s="1">
        <f>SUMIFS(super1[Qtde],super1[Item],tab_alimentos[[#This Row],[Item]],super1[Bairro],mercado7)+SUMIFS(supercb[Qtde],supercb[Item],tab_alimentos[[#This Row],[Item]],supercb[Bairro],mercado7)</f>
        <v>0</v>
      </c>
      <c r="S153" s="1">
        <f>SUMIFS(super1[Qtde],super1[Item],tab_alimentos[[#This Row],[Item]],super1[Bairro],mercado8)+SUMIFS(supercb[Qtde],supercb[Item],tab_alimentos[[#This Row],[Item]],supercb[Bairro],mercado8)</f>
        <v>0</v>
      </c>
      <c r="T153" s="1">
        <f>SUMIFS(super1[Qtde],super1[Item],tab_alimentos[[#This Row],[Item]],super1[Bairro],mercado9)+SUMIFS(supercb[Qtde],supercb[Item],tab_alimentos[[#This Row],[Item]],supercb[Bairro],mercado9)</f>
        <v>0</v>
      </c>
      <c r="U153" s="1">
        <f>SUMIFS(super1[Qtde],super1[Item],tab_alimentos[[#This Row],[Item]],super1[Bairro],mercado10)+SUMIFS(supercb[Qtde],supercb[Item],tab_alimentos[[#This Row],[Item]],supercb[Bairro],mercado10)</f>
        <v>0</v>
      </c>
      <c r="V153" s="1">
        <f>SUMIFS(super1[Qtde],super1[Item],tab_alimentos[[#This Row],[Item]],super1[Bairro],mercado11)+SUMIFS(supercb[Qtde],supercb[Item],tab_alimentos[[#This Row],[Item]],supercb[Bairro],mercado11)</f>
        <v>2</v>
      </c>
      <c r="W153" s="1">
        <f>SUMIFS(super1[Qtde],super1[Item],tab_alimentos[[#This Row],[Item]],super1[Bairro],mercado12)+SUMIFS(supercb[Qtde],supercb[Item],tab_alimentos[[#This Row],[Item]],supercb[Bairro],mercado12)</f>
        <v>0</v>
      </c>
      <c r="X153" s="1">
        <f>SUMIFS(super1[Qtde],super1[Item],tab_alimentos[[#This Row],[Item]],super1[Bairro],mercado13)+SUMIFS(supercb[Qtde],supercb[Item],tab_alimentos[[#This Row],[Item]],supercb[Bairro],mercado13)</f>
        <v>0</v>
      </c>
      <c r="Y153" s="1">
        <f>SUMIFS(super1[Qtde],super1[Item],tab_alimentos[[#This Row],[Item]],super1[Bairro],mercado14)+SUMIFS(supercb[Qtde],supercb[Item],tab_alimentos[[#This Row],[Item]],supercb[Bairro],mercado14)</f>
        <v>0</v>
      </c>
      <c r="Z153" s="1">
        <f>SUMIFS(super1[Qtde],super1[Item],tab_alimentos[[#This Row],[Item]],super1[Bairro],mercado15)+SUMIFS(supercb[Qtde],supercb[Item],tab_alimentos[[#This Row],[Item]],supercb[Bairro],mercado15)</f>
        <v>0</v>
      </c>
      <c r="AA153" s="1">
        <f>SUMIFS(super1[Qtde],super1[Item],tab_alimentos[[#This Row],[Item]],super1[Bairro],mercado16)+SUMIFS(supercb[Qtde],supercb[Item],tab_alimentos[[#This Row],[Item]],supercb[Bairro],mercado16)</f>
        <v>0</v>
      </c>
      <c r="AB153" s="1">
        <f>SUMIFS(super1[Qtde],super1[Item],tab_alimentos[[#This Row],[Item]],super1[Bairro],mercado17)+SUMIFS(supercb[Qtde],supercb[Item],tab_alimentos[[#This Row],[Item]],supercb[Bairro],mercado17)</f>
        <v>0</v>
      </c>
      <c r="AC153" s="1">
        <f>SUMIFS(super1[Qtde],super1[Item],tab_alimentos[[#This Row],[Item]],super1[Bairro],mercado18)+SUMIFS(supercb[Qtde],supercb[Item],tab_alimentos[[#This Row],[Item]],supercb[Bairro],mercado18)</f>
        <v>0</v>
      </c>
      <c r="AD153" s="1">
        <f>SUMIFS(super1[Qtde],super1[Item],tab_alimentos[[#This Row],[Item]],super1[Bairro],extras)+SUMIFS(supercb[Qtde],supercb[Item],tab_alimentos[[#This Row],[Item]],supercb[Bairro],extras)</f>
        <v>0</v>
      </c>
      <c r="AE153" s="1">
        <f t="shared" si="47"/>
        <v>3</v>
      </c>
      <c r="AF153" s="1">
        <f t="shared" si="48"/>
        <v>9.7100000000000009</v>
      </c>
      <c r="AG153" s="26">
        <f t="shared" si="49"/>
        <v>1.2000000000000002</v>
      </c>
      <c r="AH153" s="25" t="str">
        <f>higiene[[#This Row],[Item]]</f>
        <v>Papel Toalha (12un)</v>
      </c>
      <c r="AI153" s="18">
        <f>IFERROR(higiene[[#This Row],[Kg equivalente]],0)</f>
        <v>13.85697053482286</v>
      </c>
      <c r="AJ153" s="18">
        <f>IFERROR(higiene[[#This Row],[Preço por produto]],0)</f>
        <v>45.9</v>
      </c>
      <c r="AK153" s="18">
        <f>SUMIFS(super1[Qtde],super1[Item],tab_higiene[[#This Row],[Item]],super1[Bairro],mercado1)+SUMIFS(supercb[Qtde],supercb[Item],tab_higiene[[#This Row],[Item]],supercb[Bairro],mercado1)</f>
        <v>0</v>
      </c>
      <c r="AL153" s="18">
        <f>SUMIFS(super1[Qtde],super1[Item],tab_higiene[[#This Row],[Item]],super1[Bairro],mercado2)+SUMIFS(supercb[Qtde],supercb[Item],tab_higiene[[#This Row],[Item]],supercb[Bairro],mercado2)</f>
        <v>0</v>
      </c>
      <c r="AM153" s="18">
        <f>SUMIFS(super1[Qtde],super1[Item],tab_higiene[[#This Row],[Item]],super1[Bairro],mercado3)+SUMIFS(supercb[Qtde],supercb[Item],tab_higiene[[#This Row],[Item]],supercb[Bairro],mercado3)</f>
        <v>0</v>
      </c>
      <c r="AN153" s="18">
        <f>SUMIFS(super1[Qtde],super1[Item],tab_higiene[[#This Row],[Item]],super1[Bairro],mercado4)+SUMIFS(supercb[Qtde],supercb[Item],tab_higiene[[#This Row],[Item]],supercb[Bairro],mercado4)</f>
        <v>0</v>
      </c>
      <c r="AO153" s="18">
        <f>SUMIFS(super1[Qtde],super1[Item],tab_higiene[[#This Row],[Item]],super1[Bairro],mercado5)+SUMIFS(supercb[Qtde],supercb[Item],tab_higiene[[#This Row],[Item]],supercb[Bairro],mercado5)</f>
        <v>0</v>
      </c>
      <c r="AP153" s="18">
        <f>SUMIFS(super1[Qtde],super1[Item],tab_higiene[[#This Row],[Item]],super1[Bairro],mercado6)+SUMIFS(supercb[Qtde],supercb[Item],tab_higiene[[#This Row],[Item]],supercb[Bairro],mercado6)</f>
        <v>0</v>
      </c>
      <c r="AQ153" s="18">
        <f>SUMIFS(super1[Qtde],super1[Item],tab_higiene[[#This Row],[Item]],super1[Bairro],mercado7)+SUMIFS(supercb[Qtde],supercb[Item],tab_higiene[[#This Row],[Item]],supercb[Bairro],mercado7)</f>
        <v>0</v>
      </c>
      <c r="AR153" s="18">
        <f>SUMIFS(super1[Qtde],super1[Item],tab_higiene[[#This Row],[Item]],super1[Bairro],mercado8)+SUMIFS(supercb[Qtde],supercb[Item],tab_higiene[[#This Row],[Item]],supercb[Bairro],mercado8)</f>
        <v>0</v>
      </c>
      <c r="AS153" s="18">
        <f>SUMIFS(super1[Qtde],super1[Item],tab_higiene[[#This Row],[Item]],super1[Bairro],mercado9)+SUMIFS(supercb[Qtde],supercb[Item],tab_higiene[[#This Row],[Item]],supercb[Bairro],mercado9)</f>
        <v>3</v>
      </c>
      <c r="AT153" s="18">
        <f>SUMIFS(super1[Qtde],super1[Item],tab_higiene[[#This Row],[Item]],super1[Bairro],mercado10)+SUMIFS(supercb[Qtde],supercb[Item],tab_higiene[[#This Row],[Item]],supercb[Bairro],mercado10)</f>
        <v>1</v>
      </c>
      <c r="AU153" s="18">
        <f>SUMIFS(super1[Qtde],super1[Item],tab_higiene[[#This Row],[Item]],super1[Bairro],mercado11)+SUMIFS(supercb[Qtde],supercb[Item],tab_higiene[[#This Row],[Item]],supercb[Bairro],mercado11)</f>
        <v>0</v>
      </c>
      <c r="AV153" s="18">
        <f>SUMIFS(super1[Qtde],super1[Item],tab_higiene[[#This Row],[Item]],super1[Bairro],mercado12)+SUMIFS(supercb[Qtde],supercb[Item],tab_higiene[[#This Row],[Item]],supercb[Bairro],mercado12)</f>
        <v>0</v>
      </c>
      <c r="AW153" s="18">
        <f>SUMIFS(super1[Qtde],super1[Item],tab_higiene[[#This Row],[Item]],super1[Bairro],mercado13)+SUMIFS(supercb[Qtde],supercb[Item],tab_higiene[[#This Row],[Item]],supercb[Bairro],mercado13)</f>
        <v>0</v>
      </c>
      <c r="AX153" s="18">
        <f>SUMIFS(super1[Qtde],super1[Item],tab_higiene[[#This Row],[Item]],super1[Bairro],mercado14)+SUMIFS(supercb[Qtde],supercb[Item],tab_higiene[[#This Row],[Item]],supercb[Bairro],mercado14)</f>
        <v>0</v>
      </c>
      <c r="AY153" s="18">
        <f>SUMIFS(super1[Qtde],super1[Item],tab_higiene[[#This Row],[Item]],super1[Bairro],mercado15)+SUMIFS(supercb[Qtde],supercb[Item],tab_higiene[[#This Row],[Item]],supercb[Bairro],mercado15)</f>
        <v>0</v>
      </c>
      <c r="AZ153" s="18">
        <f>SUMIFS(super1[Qtde],super1[Item],tab_higiene[[#This Row],[Item]],super1[Bairro],mercado16)+SUMIFS(supercb[Qtde],supercb[Item],tab_higiene[[#This Row],[Item]],supercb[Bairro],mercado16)</f>
        <v>0</v>
      </c>
      <c r="BA153" s="18">
        <f>SUMIFS(super1[Qtde],super1[Item],tab_higiene[[#This Row],[Item]],super1[Bairro],mercado17)+SUMIFS(supercb[Qtde],supercb[Item],tab_higiene[[#This Row],[Item]],supercb[Bairro],mercado17)</f>
        <v>0</v>
      </c>
      <c r="BB153" s="18">
        <f>SUMIFS(super1[Qtde],super1[Item],tab_higiene[[#This Row],[Item]],super1[Bairro],mercado18)+SUMIFS(supercb[Qtde],supercb[Item],tab_higiene[[#This Row],[Item]],supercb[Bairro],mercado18)</f>
        <v>0</v>
      </c>
      <c r="BC153" s="18">
        <f>SUMIFS(super1[Qtde],super1[Item],tab_higiene[[#This Row],[Item]],super1[Bairro],extras)+SUMIFS(supercb[Qtde],supercb[Item],tab_higiene[[#This Row],[Item]],supercb[Bairro],extras)</f>
        <v>0</v>
      </c>
      <c r="BD153" s="1">
        <f t="shared" si="59"/>
        <v>4</v>
      </c>
      <c r="BE153" s="1">
        <f t="shared" si="60"/>
        <v>183.6</v>
      </c>
      <c r="BF153" s="26">
        <f t="shared" si="61"/>
        <v>55.427882139291441</v>
      </c>
      <c r="BI153" s="35" t="str">
        <f>tab_alimentos[[#This Row],[Item]]</f>
        <v>Leite condensado</v>
      </c>
      <c r="BJ153" s="35">
        <f t="shared" si="62"/>
        <v>0</v>
      </c>
      <c r="BK153" s="35" t="str">
        <f t="shared" si="63"/>
        <v>Leite condensado</v>
      </c>
      <c r="BL153" s="35">
        <f>tab_alimentos[[#This Row],[kg]]</f>
        <v>1.2000000000000002</v>
      </c>
      <c r="BN153" s="35">
        <f>SUMIF($BJ$5:$BJ$158,#REF!,$BK$5:$BK$158)</f>
        <v>0</v>
      </c>
      <c r="BQ153"/>
      <c r="BR153" s="24"/>
      <c r="BS153"/>
      <c r="BT153" s="24"/>
    </row>
    <row r="154" spans="9:72" x14ac:dyDescent="0.25">
      <c r="I154" s="25" t="str">
        <f>alimentos[[#This Row],[Item]]</f>
        <v>Leite de Coco (200mL)</v>
      </c>
      <c r="J154" s="1">
        <f>IFERROR(alimentos[[#This Row],[kg/embalagem]],0)</f>
        <v>0.2</v>
      </c>
      <c r="K154" s="18">
        <f>IFERROR(alimentos[[#This Row],[Preço]],0)</f>
        <v>3.6566666666666676</v>
      </c>
      <c r="L154" s="1">
        <f>SUMIFS(super1[Qtde],super1[Item],tab_alimentos[[#This Row],[Item]],super1[Bairro],mercado1)+SUMIFS(supercb[Qtde],supercb[Item],tab_alimentos[[#This Row],[Item]],supercb[Bairro],mercado1)</f>
        <v>0</v>
      </c>
      <c r="M154" s="1">
        <f>SUMIFS(super1[Qtde],super1[Item],tab_alimentos[[#This Row],[Item]],super1[Bairro],mercado2)+SUMIFS(supercb[Qtde],supercb[Item],tab_alimentos[[#This Row],[Item]],supercb[Bairro],mercado2)</f>
        <v>0</v>
      </c>
      <c r="N154" s="1">
        <f>SUMIFS(super1[Qtde],super1[Item],tab_alimentos[[#This Row],[Item]],super1[Bairro],mercado3)+SUMIFS(supercb[Qtde],supercb[Item],tab_alimentos[[#This Row],[Item]],supercb[Bairro],mercado3)</f>
        <v>0</v>
      </c>
      <c r="O154" s="1">
        <f>SUMIFS(super1[Qtde],super1[Item],tab_alimentos[[#This Row],[Item]],super1[Bairro],mercado4)+SUMIFS(supercb[Qtde],supercb[Item],tab_alimentos[[#This Row],[Item]],supercb[Bairro],mercado4)</f>
        <v>0</v>
      </c>
      <c r="P154" s="1">
        <f>SUMIFS(super1[Qtde],super1[Item],tab_alimentos[[#This Row],[Item]],super1[Bairro],mercado5)+SUMIFS(supercb[Qtde],supercb[Item],tab_alimentos[[#This Row],[Item]],supercb[Bairro],mercado5)</f>
        <v>0</v>
      </c>
      <c r="Q154" s="1">
        <f>SUMIFS(super1[Qtde],super1[Item],tab_alimentos[[#This Row],[Item]],super1[Bairro],mercado6)+SUMIFS(supercb[Qtde],supercb[Item],tab_alimentos[[#This Row],[Item]],supercb[Bairro],mercado6)</f>
        <v>0</v>
      </c>
      <c r="R154" s="1">
        <f>SUMIFS(super1[Qtde],super1[Item],tab_alimentos[[#This Row],[Item]],super1[Bairro],mercado7)+SUMIFS(supercb[Qtde],supercb[Item],tab_alimentos[[#This Row],[Item]],supercb[Bairro],mercado7)</f>
        <v>0</v>
      </c>
      <c r="S154" s="1">
        <f>SUMIFS(super1[Qtde],super1[Item],tab_alimentos[[#This Row],[Item]],super1[Bairro],mercado8)+SUMIFS(supercb[Qtde],supercb[Item],tab_alimentos[[#This Row],[Item]],supercb[Bairro],mercado8)</f>
        <v>0</v>
      </c>
      <c r="T154" s="1">
        <f>SUMIFS(super1[Qtde],super1[Item],tab_alimentos[[#This Row],[Item]],super1[Bairro],mercado9)+SUMIFS(supercb[Qtde],supercb[Item],tab_alimentos[[#This Row],[Item]],supercb[Bairro],mercado9)</f>
        <v>0</v>
      </c>
      <c r="U154" s="1">
        <f>SUMIFS(super1[Qtde],super1[Item],tab_alimentos[[#This Row],[Item]],super1[Bairro],mercado10)+SUMIFS(supercb[Qtde],supercb[Item],tab_alimentos[[#This Row],[Item]],supercb[Bairro],mercado10)</f>
        <v>0</v>
      </c>
      <c r="V154" s="1">
        <f>SUMIFS(super1[Qtde],super1[Item],tab_alimentos[[#This Row],[Item]],super1[Bairro],mercado11)+SUMIFS(supercb[Qtde],supercb[Item],tab_alimentos[[#This Row],[Item]],supercb[Bairro],mercado11)</f>
        <v>0</v>
      </c>
      <c r="W154" s="1">
        <f>SUMIFS(super1[Qtde],super1[Item],tab_alimentos[[#This Row],[Item]],super1[Bairro],mercado12)+SUMIFS(supercb[Qtde],supercb[Item],tab_alimentos[[#This Row],[Item]],supercb[Bairro],mercado12)</f>
        <v>0</v>
      </c>
      <c r="X154" s="1">
        <f>SUMIFS(super1[Qtde],super1[Item],tab_alimentos[[#This Row],[Item]],super1[Bairro],mercado13)+SUMIFS(supercb[Qtde],supercb[Item],tab_alimentos[[#This Row],[Item]],supercb[Bairro],mercado13)</f>
        <v>0</v>
      </c>
      <c r="Y154" s="1">
        <f>SUMIFS(super1[Qtde],super1[Item],tab_alimentos[[#This Row],[Item]],super1[Bairro],mercado14)+SUMIFS(supercb[Qtde],supercb[Item],tab_alimentos[[#This Row],[Item]],supercb[Bairro],mercado14)</f>
        <v>0</v>
      </c>
      <c r="Z154" s="1">
        <f>SUMIFS(super1[Qtde],super1[Item],tab_alimentos[[#This Row],[Item]],super1[Bairro],mercado15)+SUMIFS(supercb[Qtde],supercb[Item],tab_alimentos[[#This Row],[Item]],supercb[Bairro],mercado15)</f>
        <v>0</v>
      </c>
      <c r="AA154" s="1">
        <f>SUMIFS(super1[Qtde],super1[Item],tab_alimentos[[#This Row],[Item]],super1[Bairro],mercado16)+SUMIFS(supercb[Qtde],supercb[Item],tab_alimentos[[#This Row],[Item]],supercb[Bairro],mercado16)</f>
        <v>0</v>
      </c>
      <c r="AB154" s="1">
        <f>SUMIFS(super1[Qtde],super1[Item],tab_alimentos[[#This Row],[Item]],super1[Bairro],mercado17)+SUMIFS(supercb[Qtde],supercb[Item],tab_alimentos[[#This Row],[Item]],supercb[Bairro],mercado17)</f>
        <v>0</v>
      </c>
      <c r="AC154" s="1">
        <f>SUMIFS(super1[Qtde],super1[Item],tab_alimentos[[#This Row],[Item]],super1[Bairro],mercado18)+SUMIFS(supercb[Qtde],supercb[Item],tab_alimentos[[#This Row],[Item]],supercb[Bairro],mercado18)</f>
        <v>0</v>
      </c>
      <c r="AD154" s="1">
        <f>SUMIFS(super1[Qtde],super1[Item],tab_alimentos[[#This Row],[Item]],super1[Bairro],extras)+SUMIFS(supercb[Qtde],supercb[Item],tab_alimentos[[#This Row],[Item]],supercb[Bairro],extras)</f>
        <v>0</v>
      </c>
      <c r="AE154" s="1">
        <f t="shared" si="47"/>
        <v>0</v>
      </c>
      <c r="AF154" s="1">
        <f t="shared" si="48"/>
        <v>0</v>
      </c>
      <c r="AG154" s="26">
        <f t="shared" si="49"/>
        <v>0</v>
      </c>
      <c r="AH154" s="25" t="str">
        <f>higiene[[#This Row],[Item]]</f>
        <v>Papel Toalha (2un)</v>
      </c>
      <c r="AI154" s="18">
        <f>IFERROR(higiene[[#This Row],[Kg equivalente]],0)</f>
        <v>1.0771605853648796</v>
      </c>
      <c r="AJ154" s="18">
        <f>IFERROR(higiene[[#This Row],[Preço por produto]],0)</f>
        <v>3.5680000000000001</v>
      </c>
      <c r="AK154" s="18">
        <f>SUMIFS(super1[Qtde],super1[Item],tab_higiene[[#This Row],[Item]],super1[Bairro],mercado1)+SUMIFS(supercb[Qtde],supercb[Item],tab_higiene[[#This Row],[Item]],supercb[Bairro],mercado1)</f>
        <v>0</v>
      </c>
      <c r="AL154" s="18">
        <f>SUMIFS(super1[Qtde],super1[Item],tab_higiene[[#This Row],[Item]],super1[Bairro],mercado2)+SUMIFS(supercb[Qtde],supercb[Item],tab_higiene[[#This Row],[Item]],supercb[Bairro],mercado2)</f>
        <v>0</v>
      </c>
      <c r="AM154" s="18">
        <f>SUMIFS(super1[Qtde],super1[Item],tab_higiene[[#This Row],[Item]],super1[Bairro],mercado3)+SUMIFS(supercb[Qtde],supercb[Item],tab_higiene[[#This Row],[Item]],supercb[Bairro],mercado3)</f>
        <v>0</v>
      </c>
      <c r="AN154" s="18">
        <f>SUMIFS(super1[Qtde],super1[Item],tab_higiene[[#This Row],[Item]],super1[Bairro],mercado4)+SUMIFS(supercb[Qtde],supercb[Item],tab_higiene[[#This Row],[Item]],supercb[Bairro],mercado4)</f>
        <v>0</v>
      </c>
      <c r="AO154" s="18">
        <f>SUMIFS(super1[Qtde],super1[Item],tab_higiene[[#This Row],[Item]],super1[Bairro],mercado5)+SUMIFS(supercb[Qtde],supercb[Item],tab_higiene[[#This Row],[Item]],supercb[Bairro],mercado5)</f>
        <v>0</v>
      </c>
      <c r="AP154" s="18">
        <f>SUMIFS(super1[Qtde],super1[Item],tab_higiene[[#This Row],[Item]],super1[Bairro],mercado6)+SUMIFS(supercb[Qtde],supercb[Item],tab_higiene[[#This Row],[Item]],supercb[Bairro],mercado6)</f>
        <v>0</v>
      </c>
      <c r="AQ154" s="18">
        <f>SUMIFS(super1[Qtde],super1[Item],tab_higiene[[#This Row],[Item]],super1[Bairro],mercado7)+SUMIFS(supercb[Qtde],supercb[Item],tab_higiene[[#This Row],[Item]],supercb[Bairro],mercado7)</f>
        <v>0</v>
      </c>
      <c r="AR154" s="18">
        <f>SUMIFS(super1[Qtde],super1[Item],tab_higiene[[#This Row],[Item]],super1[Bairro],mercado8)+SUMIFS(supercb[Qtde],supercb[Item],tab_higiene[[#This Row],[Item]],supercb[Bairro],mercado8)</f>
        <v>0</v>
      </c>
      <c r="AS154" s="18">
        <f>SUMIFS(super1[Qtde],super1[Item],tab_higiene[[#This Row],[Item]],super1[Bairro],mercado9)+SUMIFS(supercb[Qtde],supercb[Item],tab_higiene[[#This Row],[Item]],supercb[Bairro],mercado9)</f>
        <v>0</v>
      </c>
      <c r="AT154" s="18">
        <f>SUMIFS(super1[Qtde],super1[Item],tab_higiene[[#This Row],[Item]],super1[Bairro],mercado10)+SUMIFS(supercb[Qtde],supercb[Item],tab_higiene[[#This Row],[Item]],supercb[Bairro],mercado10)</f>
        <v>0</v>
      </c>
      <c r="AU154" s="18">
        <f>SUMIFS(super1[Qtde],super1[Item],tab_higiene[[#This Row],[Item]],super1[Bairro],mercado11)+SUMIFS(supercb[Qtde],supercb[Item],tab_higiene[[#This Row],[Item]],supercb[Bairro],mercado11)</f>
        <v>0</v>
      </c>
      <c r="AV154" s="18">
        <f>SUMIFS(super1[Qtde],super1[Item],tab_higiene[[#This Row],[Item]],super1[Bairro],mercado12)+SUMIFS(supercb[Qtde],supercb[Item],tab_higiene[[#This Row],[Item]],supercb[Bairro],mercado12)</f>
        <v>0</v>
      </c>
      <c r="AW154" s="18">
        <f>SUMIFS(super1[Qtde],super1[Item],tab_higiene[[#This Row],[Item]],super1[Bairro],mercado13)+SUMIFS(supercb[Qtde],supercb[Item],tab_higiene[[#This Row],[Item]],supercb[Bairro],mercado13)</f>
        <v>0</v>
      </c>
      <c r="AX154" s="18">
        <f>SUMIFS(super1[Qtde],super1[Item],tab_higiene[[#This Row],[Item]],super1[Bairro],mercado14)+SUMIFS(supercb[Qtde],supercb[Item],tab_higiene[[#This Row],[Item]],supercb[Bairro],mercado14)</f>
        <v>0</v>
      </c>
      <c r="AY154" s="18">
        <f>SUMIFS(super1[Qtde],super1[Item],tab_higiene[[#This Row],[Item]],super1[Bairro],mercado15)+SUMIFS(supercb[Qtde],supercb[Item],tab_higiene[[#This Row],[Item]],supercb[Bairro],mercado15)</f>
        <v>0</v>
      </c>
      <c r="AZ154" s="18">
        <f>SUMIFS(super1[Qtde],super1[Item],tab_higiene[[#This Row],[Item]],super1[Bairro],mercado16)+SUMIFS(supercb[Qtde],supercb[Item],tab_higiene[[#This Row],[Item]],supercb[Bairro],mercado16)</f>
        <v>0</v>
      </c>
      <c r="BA154" s="18">
        <f>SUMIFS(super1[Qtde],super1[Item],tab_higiene[[#This Row],[Item]],super1[Bairro],mercado17)+SUMIFS(supercb[Qtde],supercb[Item],tab_higiene[[#This Row],[Item]],supercb[Bairro],mercado17)</f>
        <v>0</v>
      </c>
      <c r="BB154" s="18">
        <f>SUMIFS(super1[Qtde],super1[Item],tab_higiene[[#This Row],[Item]],super1[Bairro],mercado18)+SUMIFS(supercb[Qtde],supercb[Item],tab_higiene[[#This Row],[Item]],supercb[Bairro],mercado18)</f>
        <v>0</v>
      </c>
      <c r="BC154" s="18">
        <f>SUMIFS(super1[Qtde],super1[Item],tab_higiene[[#This Row],[Item]],super1[Bairro],extras)+SUMIFS(supercb[Qtde],supercb[Item],tab_higiene[[#This Row],[Item]],supercb[Bairro],extras)</f>
        <v>0</v>
      </c>
      <c r="BD154" s="1">
        <f t="shared" si="59"/>
        <v>0</v>
      </c>
      <c r="BE154" s="1">
        <f t="shared" si="60"/>
        <v>0</v>
      </c>
      <c r="BF154" s="26">
        <f t="shared" si="61"/>
        <v>0</v>
      </c>
      <c r="BI154" s="35" t="str">
        <f>tab_alimentos[[#This Row],[Item]]</f>
        <v>Leite de Coco (200mL)</v>
      </c>
      <c r="BJ154" s="35">
        <f t="shared" si="62"/>
        <v>14</v>
      </c>
      <c r="BK154" s="35" t="str">
        <f t="shared" si="63"/>
        <v>Leite de Coco</v>
      </c>
      <c r="BL154" s="35">
        <f>tab_alimentos[[#This Row],[kg]]</f>
        <v>0</v>
      </c>
      <c r="BN154" s="35">
        <f>SUMIF($BJ$5:$BJ$158,#REF!,$BK$5:$BK$158)</f>
        <v>0</v>
      </c>
      <c r="BQ154"/>
      <c r="BR154" s="24"/>
      <c r="BS154"/>
      <c r="BT154" s="24"/>
    </row>
    <row r="155" spans="9:72" x14ac:dyDescent="0.25">
      <c r="I155" s="25" t="str">
        <f>alimentos[[#This Row],[Item]]</f>
        <v>Leite de soja (1L)</v>
      </c>
      <c r="J155" s="1">
        <f>IFERROR(alimentos[[#This Row],[kg/embalagem]],0)</f>
        <v>1</v>
      </c>
      <c r="K155" s="18">
        <f>IFERROR(alimentos[[#This Row],[Preço]],0)</f>
        <v>4.9066666666666672</v>
      </c>
      <c r="L155" s="1">
        <f>SUMIFS(super1[Qtde],super1[Item],tab_alimentos[[#This Row],[Item]],super1[Bairro],mercado1)+SUMIFS(supercb[Qtde],supercb[Item],tab_alimentos[[#This Row],[Item]],supercb[Bairro],mercado1)</f>
        <v>0</v>
      </c>
      <c r="M155" s="1">
        <f>SUMIFS(super1[Qtde],super1[Item],tab_alimentos[[#This Row],[Item]],super1[Bairro],mercado2)+SUMIFS(supercb[Qtde],supercb[Item],tab_alimentos[[#This Row],[Item]],supercb[Bairro],mercado2)</f>
        <v>0</v>
      </c>
      <c r="N155" s="1">
        <f>SUMIFS(super1[Qtde],super1[Item],tab_alimentos[[#This Row],[Item]],super1[Bairro],mercado3)+SUMIFS(supercb[Qtde],supercb[Item],tab_alimentos[[#This Row],[Item]],supercb[Bairro],mercado3)</f>
        <v>0</v>
      </c>
      <c r="O155" s="1">
        <f>SUMIFS(super1[Qtde],super1[Item],tab_alimentos[[#This Row],[Item]],super1[Bairro],mercado4)+SUMIFS(supercb[Qtde],supercb[Item],tab_alimentos[[#This Row],[Item]],supercb[Bairro],mercado4)</f>
        <v>0</v>
      </c>
      <c r="P155" s="1">
        <f>SUMIFS(super1[Qtde],super1[Item],tab_alimentos[[#This Row],[Item]],super1[Bairro],mercado5)+SUMIFS(supercb[Qtde],supercb[Item],tab_alimentos[[#This Row],[Item]],supercb[Bairro],mercado5)</f>
        <v>0</v>
      </c>
      <c r="Q155" s="1">
        <f>SUMIFS(super1[Qtde],super1[Item],tab_alimentos[[#This Row],[Item]],super1[Bairro],mercado6)+SUMIFS(supercb[Qtde],supercb[Item],tab_alimentos[[#This Row],[Item]],supercb[Bairro],mercado6)</f>
        <v>0</v>
      </c>
      <c r="R155" s="1">
        <f>SUMIFS(super1[Qtde],super1[Item],tab_alimentos[[#This Row],[Item]],super1[Bairro],mercado7)+SUMIFS(supercb[Qtde],supercb[Item],tab_alimentos[[#This Row],[Item]],supercb[Bairro],mercado7)</f>
        <v>0</v>
      </c>
      <c r="S155" s="1">
        <f>SUMIFS(super1[Qtde],super1[Item],tab_alimentos[[#This Row],[Item]],super1[Bairro],mercado8)+SUMIFS(supercb[Qtde],supercb[Item],tab_alimentos[[#This Row],[Item]],supercb[Bairro],mercado8)</f>
        <v>0</v>
      </c>
      <c r="T155" s="1">
        <f>SUMIFS(super1[Qtde],super1[Item],tab_alimentos[[#This Row],[Item]],super1[Bairro],mercado9)+SUMIFS(supercb[Qtde],supercb[Item],tab_alimentos[[#This Row],[Item]],supercb[Bairro],mercado9)</f>
        <v>0</v>
      </c>
      <c r="U155" s="1">
        <f>SUMIFS(super1[Qtde],super1[Item],tab_alimentos[[#This Row],[Item]],super1[Bairro],mercado10)+SUMIFS(supercb[Qtde],supercb[Item],tab_alimentos[[#This Row],[Item]],supercb[Bairro],mercado10)</f>
        <v>0</v>
      </c>
      <c r="V155" s="1">
        <f>SUMIFS(super1[Qtde],super1[Item],tab_alimentos[[#This Row],[Item]],super1[Bairro],mercado11)+SUMIFS(supercb[Qtde],supercb[Item],tab_alimentos[[#This Row],[Item]],supercb[Bairro],mercado11)</f>
        <v>0</v>
      </c>
      <c r="W155" s="1">
        <f>SUMIFS(super1[Qtde],super1[Item],tab_alimentos[[#This Row],[Item]],super1[Bairro],mercado12)+SUMIFS(supercb[Qtde],supercb[Item],tab_alimentos[[#This Row],[Item]],supercb[Bairro],mercado12)</f>
        <v>0</v>
      </c>
      <c r="X155" s="1">
        <f>SUMIFS(super1[Qtde],super1[Item],tab_alimentos[[#This Row],[Item]],super1[Bairro],mercado13)+SUMIFS(supercb[Qtde],supercb[Item],tab_alimentos[[#This Row],[Item]],supercb[Bairro],mercado13)</f>
        <v>0</v>
      </c>
      <c r="Y155" s="1">
        <f>SUMIFS(super1[Qtde],super1[Item],tab_alimentos[[#This Row],[Item]],super1[Bairro],mercado14)+SUMIFS(supercb[Qtde],supercb[Item],tab_alimentos[[#This Row],[Item]],supercb[Bairro],mercado14)</f>
        <v>0</v>
      </c>
      <c r="Z155" s="1">
        <f>SUMIFS(super1[Qtde],super1[Item],tab_alimentos[[#This Row],[Item]],super1[Bairro],mercado15)+SUMIFS(supercb[Qtde],supercb[Item],tab_alimentos[[#This Row],[Item]],supercb[Bairro],mercado15)</f>
        <v>0</v>
      </c>
      <c r="AA155" s="1">
        <f>SUMIFS(super1[Qtde],super1[Item],tab_alimentos[[#This Row],[Item]],super1[Bairro],mercado16)+SUMIFS(supercb[Qtde],supercb[Item],tab_alimentos[[#This Row],[Item]],supercb[Bairro],mercado16)</f>
        <v>0</v>
      </c>
      <c r="AB155" s="1">
        <f>SUMIFS(super1[Qtde],super1[Item],tab_alimentos[[#This Row],[Item]],super1[Bairro],mercado17)+SUMIFS(supercb[Qtde],supercb[Item],tab_alimentos[[#This Row],[Item]],supercb[Bairro],mercado17)</f>
        <v>0</v>
      </c>
      <c r="AC155" s="1">
        <f>SUMIFS(super1[Qtde],super1[Item],tab_alimentos[[#This Row],[Item]],super1[Bairro],mercado18)+SUMIFS(supercb[Qtde],supercb[Item],tab_alimentos[[#This Row],[Item]],supercb[Bairro],mercado18)</f>
        <v>0</v>
      </c>
      <c r="AD155" s="1">
        <f>SUMIFS(super1[Qtde],super1[Item],tab_alimentos[[#This Row],[Item]],super1[Bairro],extras)+SUMIFS(supercb[Qtde],supercb[Item],tab_alimentos[[#This Row],[Item]],supercb[Bairro],extras)</f>
        <v>0</v>
      </c>
      <c r="AE155" s="1">
        <f t="shared" si="47"/>
        <v>0</v>
      </c>
      <c r="AF155" s="1">
        <f t="shared" si="48"/>
        <v>0</v>
      </c>
      <c r="AG155" s="26">
        <f t="shared" si="49"/>
        <v>0</v>
      </c>
      <c r="AH155" s="25" t="str">
        <f>higiene[[#This Row],[Item]]</f>
        <v>Pasta de Dente (180g)</v>
      </c>
      <c r="AI155" s="18">
        <f>IFERROR(higiene[[#This Row],[Kg equivalente]],0)</f>
        <v>1.5668339232185327</v>
      </c>
      <c r="AJ155" s="18">
        <f>IFERROR(higiene[[#This Row],[Preço por produto]],0)</f>
        <v>5.19</v>
      </c>
      <c r="AK155" s="18">
        <f>SUMIFS(super1[Qtde],super1[Item],tab_higiene[[#This Row],[Item]],super1[Bairro],mercado1)+SUMIFS(supercb[Qtde],supercb[Item],tab_higiene[[#This Row],[Item]],supercb[Bairro],mercado1)</f>
        <v>0</v>
      </c>
      <c r="AL155" s="18">
        <f>SUMIFS(super1[Qtde],super1[Item],tab_higiene[[#This Row],[Item]],super1[Bairro],mercado2)+SUMIFS(supercb[Qtde],supercb[Item],tab_higiene[[#This Row],[Item]],supercb[Bairro],mercado2)</f>
        <v>0</v>
      </c>
      <c r="AM155" s="18">
        <f>SUMIFS(super1[Qtde],super1[Item],tab_higiene[[#This Row],[Item]],super1[Bairro],mercado3)+SUMIFS(supercb[Qtde],supercb[Item],tab_higiene[[#This Row],[Item]],supercb[Bairro],mercado3)</f>
        <v>0</v>
      </c>
      <c r="AN155" s="18">
        <f>SUMIFS(super1[Qtde],super1[Item],tab_higiene[[#This Row],[Item]],super1[Bairro],mercado4)+SUMIFS(supercb[Qtde],supercb[Item],tab_higiene[[#This Row],[Item]],supercb[Bairro],mercado4)</f>
        <v>0</v>
      </c>
      <c r="AO155" s="18">
        <f>SUMIFS(super1[Qtde],super1[Item],tab_higiene[[#This Row],[Item]],super1[Bairro],mercado5)+SUMIFS(supercb[Qtde],supercb[Item],tab_higiene[[#This Row],[Item]],supercb[Bairro],mercado5)</f>
        <v>1</v>
      </c>
      <c r="AP155" s="18">
        <f>SUMIFS(super1[Qtde],super1[Item],tab_higiene[[#This Row],[Item]],super1[Bairro],mercado6)+SUMIFS(supercb[Qtde],supercb[Item],tab_higiene[[#This Row],[Item]],supercb[Bairro],mercado6)</f>
        <v>0</v>
      </c>
      <c r="AQ155" s="18">
        <f>SUMIFS(super1[Qtde],super1[Item],tab_higiene[[#This Row],[Item]],super1[Bairro],mercado7)+SUMIFS(supercb[Qtde],supercb[Item],tab_higiene[[#This Row],[Item]],supercb[Bairro],mercado7)</f>
        <v>2</v>
      </c>
      <c r="AR155" s="18">
        <f>SUMIFS(super1[Qtde],super1[Item],tab_higiene[[#This Row],[Item]],super1[Bairro],mercado8)+SUMIFS(supercb[Qtde],supercb[Item],tab_higiene[[#This Row],[Item]],supercb[Bairro],mercado8)</f>
        <v>1</v>
      </c>
      <c r="AS155" s="18">
        <f>SUMIFS(super1[Qtde],super1[Item],tab_higiene[[#This Row],[Item]],super1[Bairro],mercado9)+SUMIFS(supercb[Qtde],supercb[Item],tab_higiene[[#This Row],[Item]],supercb[Bairro],mercado9)</f>
        <v>0</v>
      </c>
      <c r="AT155" s="18">
        <f>SUMIFS(super1[Qtde],super1[Item],tab_higiene[[#This Row],[Item]],super1[Bairro],mercado10)+SUMIFS(supercb[Qtde],supercb[Item],tab_higiene[[#This Row],[Item]],supercb[Bairro],mercado10)</f>
        <v>1</v>
      </c>
      <c r="AU155" s="18">
        <f>SUMIFS(super1[Qtde],super1[Item],tab_higiene[[#This Row],[Item]],super1[Bairro],mercado11)+SUMIFS(supercb[Qtde],supercb[Item],tab_higiene[[#This Row],[Item]],supercb[Bairro],mercado11)</f>
        <v>0</v>
      </c>
      <c r="AV155" s="18">
        <f>SUMIFS(super1[Qtde],super1[Item],tab_higiene[[#This Row],[Item]],super1[Bairro],mercado12)+SUMIFS(supercb[Qtde],supercb[Item],tab_higiene[[#This Row],[Item]],supercb[Bairro],mercado12)</f>
        <v>0</v>
      </c>
      <c r="AW155" s="18">
        <f>SUMIFS(super1[Qtde],super1[Item],tab_higiene[[#This Row],[Item]],super1[Bairro],mercado13)+SUMIFS(supercb[Qtde],supercb[Item],tab_higiene[[#This Row],[Item]],supercb[Bairro],mercado13)</f>
        <v>1</v>
      </c>
      <c r="AX155" s="18">
        <f>SUMIFS(super1[Qtde],super1[Item],tab_higiene[[#This Row],[Item]],super1[Bairro],mercado14)+SUMIFS(supercb[Qtde],supercb[Item],tab_higiene[[#This Row],[Item]],supercb[Bairro],mercado14)</f>
        <v>0</v>
      </c>
      <c r="AY155" s="18">
        <f>SUMIFS(super1[Qtde],super1[Item],tab_higiene[[#This Row],[Item]],super1[Bairro],mercado15)+SUMIFS(supercb[Qtde],supercb[Item],tab_higiene[[#This Row],[Item]],supercb[Bairro],mercado15)</f>
        <v>0</v>
      </c>
      <c r="AZ155" s="18">
        <f>SUMIFS(super1[Qtde],super1[Item],tab_higiene[[#This Row],[Item]],super1[Bairro],mercado16)+SUMIFS(supercb[Qtde],supercb[Item],tab_higiene[[#This Row],[Item]],supercb[Bairro],mercado16)</f>
        <v>0</v>
      </c>
      <c r="BA155" s="18">
        <f>SUMIFS(super1[Qtde],super1[Item],tab_higiene[[#This Row],[Item]],super1[Bairro],mercado17)+SUMIFS(supercb[Qtde],supercb[Item],tab_higiene[[#This Row],[Item]],supercb[Bairro],mercado17)</f>
        <v>0</v>
      </c>
      <c r="BB155" s="18">
        <f>SUMIFS(super1[Qtde],super1[Item],tab_higiene[[#This Row],[Item]],super1[Bairro],mercado18)+SUMIFS(supercb[Qtde],supercb[Item],tab_higiene[[#This Row],[Item]],supercb[Bairro],mercado18)</f>
        <v>0</v>
      </c>
      <c r="BC155" s="18">
        <f>SUMIFS(super1[Qtde],super1[Item],tab_higiene[[#This Row],[Item]],super1[Bairro],extras)+SUMIFS(supercb[Qtde],supercb[Item],tab_higiene[[#This Row],[Item]],supercb[Bairro],extras)</f>
        <v>0</v>
      </c>
      <c r="BD155" s="1">
        <f t="shared" ref="BD155:BD170" si="64">SUM(AK155:BB155)</f>
        <v>6</v>
      </c>
      <c r="BE155" s="1">
        <f t="shared" ref="BE155:BE170" si="65">IFERROR(BD155*AJ155,0)</f>
        <v>31.14</v>
      </c>
      <c r="BF155" s="26">
        <f t="shared" ref="BF155:BF170" si="66">IFERROR(AI155*BD155,0)</f>
        <v>9.4010035393111959</v>
      </c>
      <c r="BI155" s="35" t="str">
        <f>tab_alimentos[[#This Row],[Item]]</f>
        <v>Leite de soja (1L)</v>
      </c>
      <c r="BJ155" s="35">
        <f t="shared" si="62"/>
        <v>14</v>
      </c>
      <c r="BK155" s="35" t="str">
        <f t="shared" si="63"/>
        <v>Leite de soja</v>
      </c>
      <c r="BL155" s="35">
        <f>tab_alimentos[[#This Row],[kg]]</f>
        <v>0</v>
      </c>
      <c r="BN155" s="35">
        <f>SUMIF($BJ$5:$BJ$158,#REF!,$BK$5:$BK$158)</f>
        <v>0</v>
      </c>
      <c r="BQ155"/>
      <c r="BR155" s="24"/>
      <c r="BS155"/>
      <c r="BT155" s="24"/>
    </row>
    <row r="156" spans="9:72" x14ac:dyDescent="0.25">
      <c r="I156" s="25" t="str">
        <f>alimentos[[#This Row],[Item]]</f>
        <v>Leite em Pó (200g)</v>
      </c>
      <c r="J156" s="1">
        <f>IFERROR(alimentos[[#This Row],[kg/embalagem]],0)</f>
        <v>0.2</v>
      </c>
      <c r="K156" s="18">
        <f>IFERROR(alimentos[[#This Row],[Preço]],0)</f>
        <v>7.99</v>
      </c>
      <c r="L156" s="1">
        <f>SUMIFS(super1[Qtde],super1[Item],tab_alimentos[[#This Row],[Item]],super1[Bairro],mercado1)+SUMIFS(supercb[Qtde],supercb[Item],tab_alimentos[[#This Row],[Item]],supercb[Bairro],mercado1)</f>
        <v>0</v>
      </c>
      <c r="M156" s="1">
        <f>SUMIFS(super1[Qtde],super1[Item],tab_alimentos[[#This Row],[Item]],super1[Bairro],mercado2)+SUMIFS(supercb[Qtde],supercb[Item],tab_alimentos[[#This Row],[Item]],supercb[Bairro],mercado2)</f>
        <v>0</v>
      </c>
      <c r="N156" s="1">
        <f>SUMIFS(super1[Qtde],super1[Item],tab_alimentos[[#This Row],[Item]],super1[Bairro],mercado3)+SUMIFS(supercb[Qtde],supercb[Item],tab_alimentos[[#This Row],[Item]],supercb[Bairro],mercado3)</f>
        <v>0</v>
      </c>
      <c r="O156" s="1">
        <f>SUMIFS(super1[Qtde],super1[Item],tab_alimentos[[#This Row],[Item]],super1[Bairro],mercado4)+SUMIFS(supercb[Qtde],supercb[Item],tab_alimentos[[#This Row],[Item]],supercb[Bairro],mercado4)</f>
        <v>0</v>
      </c>
      <c r="P156" s="1">
        <f>SUMIFS(super1[Qtde],super1[Item],tab_alimentos[[#This Row],[Item]],super1[Bairro],mercado5)+SUMIFS(supercb[Qtde],supercb[Item],tab_alimentos[[#This Row],[Item]],supercb[Bairro],mercado5)</f>
        <v>0</v>
      </c>
      <c r="Q156" s="1">
        <f>SUMIFS(super1[Qtde],super1[Item],tab_alimentos[[#This Row],[Item]],super1[Bairro],mercado6)+SUMIFS(supercb[Qtde],supercb[Item],tab_alimentos[[#This Row],[Item]],supercb[Bairro],mercado6)</f>
        <v>0</v>
      </c>
      <c r="R156" s="1">
        <f>SUMIFS(super1[Qtde],super1[Item],tab_alimentos[[#This Row],[Item]],super1[Bairro],mercado7)+SUMIFS(supercb[Qtde],supercb[Item],tab_alimentos[[#This Row],[Item]],supercb[Bairro],mercado7)</f>
        <v>0</v>
      </c>
      <c r="S156" s="1">
        <f>SUMIFS(super1[Qtde],super1[Item],tab_alimentos[[#This Row],[Item]],super1[Bairro],mercado8)+SUMIFS(supercb[Qtde],supercb[Item],tab_alimentos[[#This Row],[Item]],supercb[Bairro],mercado8)</f>
        <v>0</v>
      </c>
      <c r="T156" s="1">
        <f>SUMIFS(super1[Qtde],super1[Item],tab_alimentos[[#This Row],[Item]],super1[Bairro],mercado9)+SUMIFS(supercb[Qtde],supercb[Item],tab_alimentos[[#This Row],[Item]],supercb[Bairro],mercado9)</f>
        <v>0</v>
      </c>
      <c r="U156" s="1">
        <f>SUMIFS(super1[Qtde],super1[Item],tab_alimentos[[#This Row],[Item]],super1[Bairro],mercado10)+SUMIFS(supercb[Qtde],supercb[Item],tab_alimentos[[#This Row],[Item]],supercb[Bairro],mercado10)</f>
        <v>0</v>
      </c>
      <c r="V156" s="1">
        <f>SUMIFS(super1[Qtde],super1[Item],tab_alimentos[[#This Row],[Item]],super1[Bairro],mercado11)+SUMIFS(supercb[Qtde],supercb[Item],tab_alimentos[[#This Row],[Item]],supercb[Bairro],mercado11)</f>
        <v>0</v>
      </c>
      <c r="W156" s="1">
        <f>SUMIFS(super1[Qtde],super1[Item],tab_alimentos[[#This Row],[Item]],super1[Bairro],mercado12)+SUMIFS(supercb[Qtde],supercb[Item],tab_alimentos[[#This Row],[Item]],supercb[Bairro],mercado12)</f>
        <v>0</v>
      </c>
      <c r="X156" s="1">
        <f>SUMIFS(super1[Qtde],super1[Item],tab_alimentos[[#This Row],[Item]],super1[Bairro],mercado13)+SUMIFS(supercb[Qtde],supercb[Item],tab_alimentos[[#This Row],[Item]],supercb[Bairro],mercado13)</f>
        <v>0</v>
      </c>
      <c r="Y156" s="1">
        <f>SUMIFS(super1[Qtde],super1[Item],tab_alimentos[[#This Row],[Item]],super1[Bairro],mercado14)+SUMIFS(supercb[Qtde],supercb[Item],tab_alimentos[[#This Row],[Item]],supercb[Bairro],mercado14)</f>
        <v>0</v>
      </c>
      <c r="Z156" s="1">
        <f>SUMIFS(super1[Qtde],super1[Item],tab_alimentos[[#This Row],[Item]],super1[Bairro],mercado15)+SUMIFS(supercb[Qtde],supercb[Item],tab_alimentos[[#This Row],[Item]],supercb[Bairro],mercado15)</f>
        <v>0</v>
      </c>
      <c r="AA156" s="1">
        <f>SUMIFS(super1[Qtde],super1[Item],tab_alimentos[[#This Row],[Item]],super1[Bairro],mercado16)+SUMIFS(supercb[Qtde],supercb[Item],tab_alimentos[[#This Row],[Item]],supercb[Bairro],mercado16)</f>
        <v>0</v>
      </c>
      <c r="AB156" s="1">
        <f>SUMIFS(super1[Qtde],super1[Item],tab_alimentos[[#This Row],[Item]],super1[Bairro],mercado17)+SUMIFS(supercb[Qtde],supercb[Item],tab_alimentos[[#This Row],[Item]],supercb[Bairro],mercado17)</f>
        <v>0</v>
      </c>
      <c r="AC156" s="1">
        <f>SUMIFS(super1[Qtde],super1[Item],tab_alimentos[[#This Row],[Item]],super1[Bairro],mercado18)+SUMIFS(supercb[Qtde],supercb[Item],tab_alimentos[[#This Row],[Item]],supercb[Bairro],mercado18)</f>
        <v>0</v>
      </c>
      <c r="AD156" s="1">
        <f>SUMIFS(super1[Qtde],super1[Item],tab_alimentos[[#This Row],[Item]],super1[Bairro],extras)+SUMIFS(supercb[Qtde],supercb[Item],tab_alimentos[[#This Row],[Item]],supercb[Bairro],extras)</f>
        <v>0</v>
      </c>
      <c r="AE156" s="1">
        <f t="shared" si="47"/>
        <v>0</v>
      </c>
      <c r="AF156" s="1">
        <f t="shared" si="48"/>
        <v>0</v>
      </c>
      <c r="AG156" s="26">
        <f t="shared" si="49"/>
        <v>0</v>
      </c>
      <c r="AH156" s="25" t="str">
        <f>higiene[[#This Row],[Item]]</f>
        <v>Pasta de dente (3un)</v>
      </c>
      <c r="AI156" s="18">
        <f>IFERROR(higiene[[#This Row],[Kg equivalente]],0)</f>
        <v>1.5034360188108464</v>
      </c>
      <c r="AJ156" s="18">
        <f>IFERROR(higiene[[#This Row],[Preço por produto]],0)</f>
        <v>4.9800000000000004</v>
      </c>
      <c r="AK156" s="18">
        <f>SUMIFS(super1[Qtde],super1[Item],tab_higiene[[#This Row],[Item]],super1[Bairro],mercado1)+SUMIFS(supercb[Qtde],supercb[Item],tab_higiene[[#This Row],[Item]],supercb[Bairro],mercado1)</f>
        <v>0</v>
      </c>
      <c r="AL156" s="18">
        <f>SUMIFS(super1[Qtde],super1[Item],tab_higiene[[#This Row],[Item]],super1[Bairro],mercado2)+SUMIFS(supercb[Qtde],supercb[Item],tab_higiene[[#This Row],[Item]],supercb[Bairro],mercado2)</f>
        <v>0</v>
      </c>
      <c r="AM156" s="18">
        <f>SUMIFS(super1[Qtde],super1[Item],tab_higiene[[#This Row],[Item]],super1[Bairro],mercado3)+SUMIFS(supercb[Qtde],supercb[Item],tab_higiene[[#This Row],[Item]],supercb[Bairro],mercado3)</f>
        <v>1</v>
      </c>
      <c r="AN156" s="18">
        <f>SUMIFS(super1[Qtde],super1[Item],tab_higiene[[#This Row],[Item]],super1[Bairro],mercado4)+SUMIFS(supercb[Qtde],supercb[Item],tab_higiene[[#This Row],[Item]],supercb[Bairro],mercado4)</f>
        <v>0</v>
      </c>
      <c r="AO156" s="18">
        <f>SUMIFS(super1[Qtde],super1[Item],tab_higiene[[#This Row],[Item]],super1[Bairro],mercado5)+SUMIFS(supercb[Qtde],supercb[Item],tab_higiene[[#This Row],[Item]],supercb[Bairro],mercado5)</f>
        <v>0</v>
      </c>
      <c r="AP156" s="18">
        <f>SUMIFS(super1[Qtde],super1[Item],tab_higiene[[#This Row],[Item]],super1[Bairro],mercado6)+SUMIFS(supercb[Qtde],supercb[Item],tab_higiene[[#This Row],[Item]],supercb[Bairro],mercado6)</f>
        <v>0</v>
      </c>
      <c r="AQ156" s="18">
        <f>SUMIFS(super1[Qtde],super1[Item],tab_higiene[[#This Row],[Item]],super1[Bairro],mercado7)+SUMIFS(supercb[Qtde],supercb[Item],tab_higiene[[#This Row],[Item]],supercb[Bairro],mercado7)</f>
        <v>0</v>
      </c>
      <c r="AR156" s="18">
        <f>SUMIFS(super1[Qtde],super1[Item],tab_higiene[[#This Row],[Item]],super1[Bairro],mercado8)+SUMIFS(supercb[Qtde],supercb[Item],tab_higiene[[#This Row],[Item]],supercb[Bairro],mercado8)</f>
        <v>0</v>
      </c>
      <c r="AS156" s="18">
        <f>SUMIFS(super1[Qtde],super1[Item],tab_higiene[[#This Row],[Item]],super1[Bairro],mercado9)+SUMIFS(supercb[Qtde],supercb[Item],tab_higiene[[#This Row],[Item]],supercb[Bairro],mercado9)</f>
        <v>0</v>
      </c>
      <c r="AT156" s="18">
        <f>SUMIFS(super1[Qtde],super1[Item],tab_higiene[[#This Row],[Item]],super1[Bairro],mercado10)+SUMIFS(supercb[Qtde],supercb[Item],tab_higiene[[#This Row],[Item]],supercb[Bairro],mercado10)</f>
        <v>0</v>
      </c>
      <c r="AU156" s="18">
        <f>SUMIFS(super1[Qtde],super1[Item],tab_higiene[[#This Row],[Item]],super1[Bairro],mercado11)+SUMIFS(supercb[Qtde],supercb[Item],tab_higiene[[#This Row],[Item]],supercb[Bairro],mercado11)</f>
        <v>0</v>
      </c>
      <c r="AV156" s="18">
        <f>SUMIFS(super1[Qtde],super1[Item],tab_higiene[[#This Row],[Item]],super1[Bairro],mercado12)+SUMIFS(supercb[Qtde],supercb[Item],tab_higiene[[#This Row],[Item]],supercb[Bairro],mercado12)</f>
        <v>0</v>
      </c>
      <c r="AW156" s="18">
        <f>SUMIFS(super1[Qtde],super1[Item],tab_higiene[[#This Row],[Item]],super1[Bairro],mercado13)+SUMIFS(supercb[Qtde],supercb[Item],tab_higiene[[#This Row],[Item]],supercb[Bairro],mercado13)</f>
        <v>0</v>
      </c>
      <c r="AX156" s="18">
        <f>SUMIFS(super1[Qtde],super1[Item],tab_higiene[[#This Row],[Item]],super1[Bairro],mercado14)+SUMIFS(supercb[Qtde],supercb[Item],tab_higiene[[#This Row],[Item]],supercb[Bairro],mercado14)</f>
        <v>0</v>
      </c>
      <c r="AY156" s="18">
        <f>SUMIFS(super1[Qtde],super1[Item],tab_higiene[[#This Row],[Item]],super1[Bairro],mercado15)+SUMIFS(supercb[Qtde],supercb[Item],tab_higiene[[#This Row],[Item]],supercb[Bairro],mercado15)</f>
        <v>0</v>
      </c>
      <c r="AZ156" s="18">
        <f>SUMIFS(super1[Qtde],super1[Item],tab_higiene[[#This Row],[Item]],super1[Bairro],mercado16)+SUMIFS(supercb[Qtde],supercb[Item],tab_higiene[[#This Row],[Item]],supercb[Bairro],mercado16)</f>
        <v>0</v>
      </c>
      <c r="BA156" s="18">
        <f>SUMIFS(super1[Qtde],super1[Item],tab_higiene[[#This Row],[Item]],super1[Bairro],mercado17)+SUMIFS(supercb[Qtde],supercb[Item],tab_higiene[[#This Row],[Item]],supercb[Bairro],mercado17)</f>
        <v>0</v>
      </c>
      <c r="BB156" s="18">
        <f>SUMIFS(super1[Qtde],super1[Item],tab_higiene[[#This Row],[Item]],super1[Bairro],mercado18)+SUMIFS(supercb[Qtde],supercb[Item],tab_higiene[[#This Row],[Item]],supercb[Bairro],mercado18)</f>
        <v>0</v>
      </c>
      <c r="BC156" s="18">
        <f>SUMIFS(super1[Qtde],super1[Item],tab_higiene[[#This Row],[Item]],super1[Bairro],extras)+SUMIFS(supercb[Qtde],supercb[Item],tab_higiene[[#This Row],[Item]],supercb[Bairro],extras)</f>
        <v>0</v>
      </c>
      <c r="BD156" s="1">
        <f t="shared" si="64"/>
        <v>1</v>
      </c>
      <c r="BE156" s="1">
        <f t="shared" si="65"/>
        <v>4.9800000000000004</v>
      </c>
      <c r="BF156" s="26">
        <f t="shared" si="66"/>
        <v>1.5034360188108464</v>
      </c>
      <c r="BI156" s="35" t="str">
        <f>tab_alimentos[[#This Row],[Item]]</f>
        <v>Leite em Pó (200g)</v>
      </c>
      <c r="BJ156" s="35">
        <f t="shared" si="62"/>
        <v>12</v>
      </c>
      <c r="BK156" s="35" t="str">
        <f t="shared" si="63"/>
        <v>Leite em Pó</v>
      </c>
      <c r="BL156" s="35">
        <f>tab_alimentos[[#This Row],[kg]]</f>
        <v>0</v>
      </c>
      <c r="BN156" s="35">
        <f>SUMIF($BJ$5:$BJ$158,#REF!,$BK$5:$BK$158)</f>
        <v>0</v>
      </c>
      <c r="BQ156"/>
      <c r="BR156" s="24"/>
      <c r="BS156"/>
      <c r="BT156" s="24"/>
    </row>
    <row r="157" spans="9:72" x14ac:dyDescent="0.25">
      <c r="I157" s="25" t="str">
        <f>alimentos[[#This Row],[Item]]</f>
        <v>Leite em pó (280g)</v>
      </c>
      <c r="J157" s="1">
        <f>IFERROR(alimentos[[#This Row],[kg/embalagem]],0)</f>
        <v>0.28000000000000003</v>
      </c>
      <c r="K157" s="18">
        <f>IFERROR(alimentos[[#This Row],[Preço]],0)</f>
        <v>11.286000000000001</v>
      </c>
      <c r="L157" s="18">
        <f>SUMIFS(super1[Qtde],super1[Item],tab_alimentos[[#This Row],[Item]],super1[Bairro],mercado1)+SUMIFS(supercb[Qtde],supercb[Item],tab_alimentos[[#This Row],[Item]],supercb[Bairro],mercado1)</f>
        <v>0</v>
      </c>
      <c r="M157" s="18">
        <f>SUMIFS(super1[Qtde],super1[Item],tab_alimentos[[#This Row],[Item]],super1[Bairro],mercado2)+SUMIFS(supercb[Qtde],supercb[Item],tab_alimentos[[#This Row],[Item]],supercb[Bairro],mercado2)</f>
        <v>0</v>
      </c>
      <c r="N157" s="1">
        <f>SUMIFS(super1[Qtde],super1[Item],tab_alimentos[[#This Row],[Item]],super1[Bairro],mercado3)+SUMIFS(supercb[Qtde],supercb[Item],tab_alimentos[[#This Row],[Item]],supercb[Bairro],mercado3)</f>
        <v>0</v>
      </c>
      <c r="O157" s="18">
        <f>SUMIFS(super1[Qtde],super1[Item],tab_alimentos[[#This Row],[Item]],super1[Bairro],mercado4)+SUMIFS(supercb[Qtde],supercb[Item],tab_alimentos[[#This Row],[Item]],supercb[Bairro],mercado4)</f>
        <v>0</v>
      </c>
      <c r="P157" s="18">
        <f>SUMIFS(super1[Qtde],super1[Item],tab_alimentos[[#This Row],[Item]],super1[Bairro],mercado5)+SUMIFS(supercb[Qtde],supercb[Item],tab_alimentos[[#This Row],[Item]],supercb[Bairro],mercado5)</f>
        <v>0</v>
      </c>
      <c r="Q157" s="18">
        <f>SUMIFS(super1[Qtde],super1[Item],tab_alimentos[[#This Row],[Item]],super1[Bairro],mercado6)+SUMIFS(supercb[Qtde],supercb[Item],tab_alimentos[[#This Row],[Item]],supercb[Bairro],mercado6)</f>
        <v>0</v>
      </c>
      <c r="R157" s="18">
        <f>SUMIFS(super1[Qtde],super1[Item],tab_alimentos[[#This Row],[Item]],super1[Bairro],mercado7)+SUMIFS(supercb[Qtde],supercb[Item],tab_alimentos[[#This Row],[Item]],supercb[Bairro],mercado7)</f>
        <v>0</v>
      </c>
      <c r="S157" s="18">
        <f>SUMIFS(super1[Qtde],super1[Item],tab_alimentos[[#This Row],[Item]],super1[Bairro],mercado8)+SUMIFS(supercb[Qtde],supercb[Item],tab_alimentos[[#This Row],[Item]],supercb[Bairro],mercado8)</f>
        <v>0</v>
      </c>
      <c r="T157" s="18">
        <f>SUMIFS(super1[Qtde],super1[Item],tab_alimentos[[#This Row],[Item]],super1[Bairro],mercado9)+SUMIFS(supercb[Qtde],supercb[Item],tab_alimentos[[#This Row],[Item]],supercb[Bairro],mercado9)</f>
        <v>0</v>
      </c>
      <c r="U157" s="18">
        <f>SUMIFS(super1[Qtde],super1[Item],tab_alimentos[[#This Row],[Item]],super1[Bairro],mercado10)+SUMIFS(supercb[Qtde],supercb[Item],tab_alimentos[[#This Row],[Item]],supercb[Bairro],mercado10)</f>
        <v>0</v>
      </c>
      <c r="V157" s="18">
        <f>SUMIFS(super1[Qtde],super1[Item],tab_alimentos[[#This Row],[Item]],super1[Bairro],mercado11)+SUMIFS(supercb[Qtde],supercb[Item],tab_alimentos[[#This Row],[Item]],supercb[Bairro],mercado11)</f>
        <v>0</v>
      </c>
      <c r="W157" s="18">
        <f>SUMIFS(super1[Qtde],super1[Item],tab_alimentos[[#This Row],[Item]],super1[Bairro],mercado12)+SUMIFS(supercb[Qtde],supercb[Item],tab_alimentos[[#This Row],[Item]],supercb[Bairro],mercado12)</f>
        <v>0</v>
      </c>
      <c r="X157" s="18">
        <f>SUMIFS(super1[Qtde],super1[Item],tab_alimentos[[#This Row],[Item]],super1[Bairro],mercado13)+SUMIFS(supercb[Qtde],supercb[Item],tab_alimentos[[#This Row],[Item]],supercb[Bairro],mercado13)</f>
        <v>0</v>
      </c>
      <c r="Y157" s="18">
        <f>SUMIFS(super1[Qtde],super1[Item],tab_alimentos[[#This Row],[Item]],super1[Bairro],mercado14)+SUMIFS(supercb[Qtde],supercb[Item],tab_alimentos[[#This Row],[Item]],supercb[Bairro],mercado14)</f>
        <v>0</v>
      </c>
      <c r="Z157" s="18">
        <f>SUMIFS(super1[Qtde],super1[Item],tab_alimentos[[#This Row],[Item]],super1[Bairro],mercado15)+SUMIFS(supercb[Qtde],supercb[Item],tab_alimentos[[#This Row],[Item]],supercb[Bairro],mercado15)</f>
        <v>0</v>
      </c>
      <c r="AA157" s="18">
        <f>SUMIFS(super1[Qtde],super1[Item],tab_alimentos[[#This Row],[Item]],super1[Bairro],mercado16)+SUMIFS(supercb[Qtde],supercb[Item],tab_alimentos[[#This Row],[Item]],supercb[Bairro],mercado16)</f>
        <v>0</v>
      </c>
      <c r="AB157" s="18">
        <f>SUMIFS(super1[Qtde],super1[Item],tab_alimentos[[#This Row],[Item]],super1[Bairro],mercado17)+SUMIFS(supercb[Qtde],supercb[Item],tab_alimentos[[#This Row],[Item]],supercb[Bairro],mercado17)</f>
        <v>0</v>
      </c>
      <c r="AC157" s="18">
        <f>SUMIFS(super1[Qtde],super1[Item],tab_alimentos[[#This Row],[Item]],super1[Bairro],mercado18)+SUMIFS(supercb[Qtde],supercb[Item],tab_alimentos[[#This Row],[Item]],supercb[Bairro],mercado18)</f>
        <v>0</v>
      </c>
      <c r="AD157" s="18">
        <f>SUMIFS(super1[Qtde],super1[Item],tab_alimentos[[#This Row],[Item]],super1[Bairro],extras)+SUMIFS(supercb[Qtde],supercb[Item],tab_alimentos[[#This Row],[Item]],supercb[Bairro],extras)</f>
        <v>0</v>
      </c>
      <c r="AE157" s="1">
        <f t="shared" ref="AE157:AE204" si="67">SUM(L157:AC157)</f>
        <v>0</v>
      </c>
      <c r="AF157" s="1">
        <f t="shared" ref="AF157:AF204" si="68">IFERROR(AE157*K157,0)</f>
        <v>0</v>
      </c>
      <c r="AG157" s="26">
        <f t="shared" ref="AG157:AG204" si="69">IFERROR(J157*AE157,0)</f>
        <v>0</v>
      </c>
      <c r="AH157" s="25" t="str">
        <f>higiene[[#This Row],[Item]]</f>
        <v>Pasta de Dente (50g)</v>
      </c>
      <c r="AI157" s="18">
        <f>IFERROR(higiene[[#This Row],[Kg equivalente]],0)</f>
        <v>2.1776677006068752</v>
      </c>
      <c r="AJ157" s="18">
        <f>IFERROR(higiene[[#This Row],[Preço por produto]],0)</f>
        <v>7.2133333333333338</v>
      </c>
      <c r="AK157" s="18">
        <f>SUMIFS(super1[Qtde],super1[Item],tab_higiene[[#This Row],[Item]],super1[Bairro],mercado1)+SUMIFS(supercb[Qtde],supercb[Item],tab_higiene[[#This Row],[Item]],supercb[Bairro],mercado1)</f>
        <v>0</v>
      </c>
      <c r="AL157" s="18">
        <f>SUMIFS(super1[Qtde],super1[Item],tab_higiene[[#This Row],[Item]],super1[Bairro],mercado2)+SUMIFS(supercb[Qtde],supercb[Item],tab_higiene[[#This Row],[Item]],supercb[Bairro],mercado2)</f>
        <v>0</v>
      </c>
      <c r="AM157" s="18">
        <f>SUMIFS(super1[Qtde],super1[Item],tab_higiene[[#This Row],[Item]],super1[Bairro],mercado3)+SUMIFS(supercb[Qtde],supercb[Item],tab_higiene[[#This Row],[Item]],supercb[Bairro],mercado3)</f>
        <v>0</v>
      </c>
      <c r="AN157" s="18">
        <f>SUMIFS(super1[Qtde],super1[Item],tab_higiene[[#This Row],[Item]],super1[Bairro],mercado4)+SUMIFS(supercb[Qtde],supercb[Item],tab_higiene[[#This Row],[Item]],supercb[Bairro],mercado4)</f>
        <v>0</v>
      </c>
      <c r="AO157" s="18">
        <f>SUMIFS(super1[Qtde],super1[Item],tab_higiene[[#This Row],[Item]],super1[Bairro],mercado5)+SUMIFS(supercb[Qtde],supercb[Item],tab_higiene[[#This Row],[Item]],supercb[Bairro],mercado5)</f>
        <v>2</v>
      </c>
      <c r="AP157" s="18">
        <f>SUMIFS(super1[Qtde],super1[Item],tab_higiene[[#This Row],[Item]],super1[Bairro],mercado6)+SUMIFS(supercb[Qtde],supercb[Item],tab_higiene[[#This Row],[Item]],supercb[Bairro],mercado6)</f>
        <v>0</v>
      </c>
      <c r="AQ157" s="18">
        <f>SUMIFS(super1[Qtde],super1[Item],tab_higiene[[#This Row],[Item]],super1[Bairro],mercado7)+SUMIFS(supercb[Qtde],supercb[Item],tab_higiene[[#This Row],[Item]],supercb[Bairro],mercado7)</f>
        <v>0</v>
      </c>
      <c r="AR157" s="18">
        <f>SUMIFS(super1[Qtde],super1[Item],tab_higiene[[#This Row],[Item]],super1[Bairro],mercado8)+SUMIFS(supercb[Qtde],supercb[Item],tab_higiene[[#This Row],[Item]],supercb[Bairro],mercado8)</f>
        <v>0</v>
      </c>
      <c r="AS157" s="18">
        <f>SUMIFS(super1[Qtde],super1[Item],tab_higiene[[#This Row],[Item]],super1[Bairro],mercado9)+SUMIFS(supercb[Qtde],supercb[Item],tab_higiene[[#This Row],[Item]],supercb[Bairro],mercado9)</f>
        <v>0</v>
      </c>
      <c r="AT157" s="18">
        <f>SUMIFS(super1[Qtde],super1[Item],tab_higiene[[#This Row],[Item]],super1[Bairro],mercado10)+SUMIFS(supercb[Qtde],supercb[Item],tab_higiene[[#This Row],[Item]],supercb[Bairro],mercado10)</f>
        <v>3</v>
      </c>
      <c r="AU157" s="18">
        <f>SUMIFS(super1[Qtde],super1[Item],tab_higiene[[#This Row],[Item]],super1[Bairro],mercado11)+SUMIFS(supercb[Qtde],supercb[Item],tab_higiene[[#This Row],[Item]],supercb[Bairro],mercado11)</f>
        <v>0</v>
      </c>
      <c r="AV157" s="18">
        <f>SUMIFS(super1[Qtde],super1[Item],tab_higiene[[#This Row],[Item]],super1[Bairro],mercado12)+SUMIFS(supercb[Qtde],supercb[Item],tab_higiene[[#This Row],[Item]],supercb[Bairro],mercado12)</f>
        <v>0</v>
      </c>
      <c r="AW157" s="18">
        <f>SUMIFS(super1[Qtde],super1[Item],tab_higiene[[#This Row],[Item]],super1[Bairro],mercado13)+SUMIFS(supercb[Qtde],supercb[Item],tab_higiene[[#This Row],[Item]],supercb[Bairro],mercado13)</f>
        <v>0</v>
      </c>
      <c r="AX157" s="18">
        <f>SUMIFS(super1[Qtde],super1[Item],tab_higiene[[#This Row],[Item]],super1[Bairro],mercado14)+SUMIFS(supercb[Qtde],supercb[Item],tab_higiene[[#This Row],[Item]],supercb[Bairro],mercado14)</f>
        <v>0</v>
      </c>
      <c r="AY157" s="18">
        <f>SUMIFS(super1[Qtde],super1[Item],tab_higiene[[#This Row],[Item]],super1[Bairro],mercado15)+SUMIFS(supercb[Qtde],supercb[Item],tab_higiene[[#This Row],[Item]],supercb[Bairro],mercado15)</f>
        <v>0</v>
      </c>
      <c r="AZ157" s="18">
        <f>SUMIFS(super1[Qtde],super1[Item],tab_higiene[[#This Row],[Item]],super1[Bairro],mercado16)+SUMIFS(supercb[Qtde],supercb[Item],tab_higiene[[#This Row],[Item]],supercb[Bairro],mercado16)</f>
        <v>0</v>
      </c>
      <c r="BA157" s="18">
        <f>SUMIFS(super1[Qtde],super1[Item],tab_higiene[[#This Row],[Item]],super1[Bairro],mercado17)+SUMIFS(supercb[Qtde],supercb[Item],tab_higiene[[#This Row],[Item]],supercb[Bairro],mercado17)</f>
        <v>0</v>
      </c>
      <c r="BB157" s="18">
        <f>SUMIFS(super1[Qtde],super1[Item],tab_higiene[[#This Row],[Item]],super1[Bairro],mercado18)+SUMIFS(supercb[Qtde],supercb[Item],tab_higiene[[#This Row],[Item]],supercb[Bairro],mercado18)</f>
        <v>0</v>
      </c>
      <c r="BC157" s="18">
        <f>SUMIFS(super1[Qtde],super1[Item],tab_higiene[[#This Row],[Item]],super1[Bairro],extras)+SUMIFS(supercb[Qtde],supercb[Item],tab_higiene[[#This Row],[Item]],supercb[Bairro],extras)</f>
        <v>0</v>
      </c>
      <c r="BD157" s="1">
        <f t="shared" si="64"/>
        <v>5</v>
      </c>
      <c r="BE157" s="1">
        <f t="shared" si="65"/>
        <v>36.06666666666667</v>
      </c>
      <c r="BF157" s="26">
        <f t="shared" si="66"/>
        <v>10.888338503034376</v>
      </c>
      <c r="BI157" s="35" t="str">
        <f>tab_alimentos[[#This Row],[Item]]</f>
        <v>Leite em pó (280g)</v>
      </c>
      <c r="BJ157" s="35">
        <f t="shared" si="62"/>
        <v>12</v>
      </c>
      <c r="BK157" s="35" t="str">
        <f t="shared" si="63"/>
        <v>Leite em pó</v>
      </c>
      <c r="BL157" s="35">
        <f>tab_alimentos[[#This Row],[kg]]</f>
        <v>0</v>
      </c>
      <c r="BN157" s="35">
        <f>SUMIF($BJ$5:$BJ$158,#REF!,$BK$5:$BK$158)</f>
        <v>0</v>
      </c>
      <c r="BQ157"/>
      <c r="BR157" s="24"/>
      <c r="BS157"/>
      <c r="BT157" s="24"/>
    </row>
    <row r="158" spans="9:72" x14ac:dyDescent="0.25">
      <c r="I158" s="25" t="str">
        <f>alimentos[[#This Row],[Item]]</f>
        <v>Leite em pó (300g)</v>
      </c>
      <c r="J158" s="1">
        <f>IFERROR(alimentos[[#This Row],[kg/embalagem]],0)</f>
        <v>0.3</v>
      </c>
      <c r="K158" s="18">
        <f>IFERROR(alimentos[[#This Row],[Preço]],0)</f>
        <v>11.69</v>
      </c>
      <c r="L158" s="18">
        <f>SUMIFS(super1[Qtde],super1[Item],tab_alimentos[[#This Row],[Item]],super1[Bairro],mercado1)+SUMIFS(supercb[Qtde],supercb[Item],tab_alimentos[[#This Row],[Item]],supercb[Bairro],mercado1)</f>
        <v>0</v>
      </c>
      <c r="M158" s="18">
        <f>SUMIFS(super1[Qtde],super1[Item],tab_alimentos[[#This Row],[Item]],super1[Bairro],mercado2)+SUMIFS(supercb[Qtde],supercb[Item],tab_alimentos[[#This Row],[Item]],supercb[Bairro],mercado2)</f>
        <v>0</v>
      </c>
      <c r="N158" s="1">
        <f>SUMIFS(super1[Qtde],super1[Item],tab_alimentos[[#This Row],[Item]],super1[Bairro],mercado3)+SUMIFS(supercb[Qtde],supercb[Item],tab_alimentos[[#This Row],[Item]],supercb[Bairro],mercado3)</f>
        <v>0</v>
      </c>
      <c r="O158" s="18">
        <f>SUMIFS(super1[Qtde],super1[Item],tab_alimentos[[#This Row],[Item]],super1[Bairro],mercado4)+SUMIFS(supercb[Qtde],supercb[Item],tab_alimentos[[#This Row],[Item]],supercb[Bairro],mercado4)</f>
        <v>0</v>
      </c>
      <c r="P158" s="18">
        <f>SUMIFS(super1[Qtde],super1[Item],tab_alimentos[[#This Row],[Item]],super1[Bairro],mercado5)+SUMIFS(supercb[Qtde],supercb[Item],tab_alimentos[[#This Row],[Item]],supercb[Bairro],mercado5)</f>
        <v>0</v>
      </c>
      <c r="Q158" s="18">
        <f>SUMIFS(super1[Qtde],super1[Item],tab_alimentos[[#This Row],[Item]],super1[Bairro],mercado6)+SUMIFS(supercb[Qtde],supercb[Item],tab_alimentos[[#This Row],[Item]],supercb[Bairro],mercado6)</f>
        <v>0</v>
      </c>
      <c r="R158" s="18">
        <f>SUMIFS(super1[Qtde],super1[Item],tab_alimentos[[#This Row],[Item]],super1[Bairro],mercado7)+SUMIFS(supercb[Qtde],supercb[Item],tab_alimentos[[#This Row],[Item]],supercb[Bairro],mercado7)</f>
        <v>0</v>
      </c>
      <c r="S158" s="18">
        <f>SUMIFS(super1[Qtde],super1[Item],tab_alimentos[[#This Row],[Item]],super1[Bairro],mercado8)+SUMIFS(supercb[Qtde],supercb[Item],tab_alimentos[[#This Row],[Item]],supercb[Bairro],mercado8)</f>
        <v>0</v>
      </c>
      <c r="T158" s="18">
        <f>SUMIFS(super1[Qtde],super1[Item],tab_alimentos[[#This Row],[Item]],super1[Bairro],mercado9)+SUMIFS(supercb[Qtde],supercb[Item],tab_alimentos[[#This Row],[Item]],supercb[Bairro],mercado9)</f>
        <v>0</v>
      </c>
      <c r="U158" s="18">
        <f>SUMIFS(super1[Qtde],super1[Item],tab_alimentos[[#This Row],[Item]],super1[Bairro],mercado10)+SUMIFS(supercb[Qtde],supercb[Item],tab_alimentos[[#This Row],[Item]],supercb[Bairro],mercado10)</f>
        <v>0</v>
      </c>
      <c r="V158" s="18">
        <f>SUMIFS(super1[Qtde],super1[Item],tab_alimentos[[#This Row],[Item]],super1[Bairro],mercado11)+SUMIFS(supercb[Qtde],supercb[Item],tab_alimentos[[#This Row],[Item]],supercb[Bairro],mercado11)</f>
        <v>0</v>
      </c>
      <c r="W158" s="18">
        <f>SUMIFS(super1[Qtde],super1[Item],tab_alimentos[[#This Row],[Item]],super1[Bairro],mercado12)+SUMIFS(supercb[Qtde],supercb[Item],tab_alimentos[[#This Row],[Item]],supercb[Bairro],mercado12)</f>
        <v>0</v>
      </c>
      <c r="X158" s="18">
        <f>SUMIFS(super1[Qtde],super1[Item],tab_alimentos[[#This Row],[Item]],super1[Bairro],mercado13)+SUMIFS(supercb[Qtde],supercb[Item],tab_alimentos[[#This Row],[Item]],supercb[Bairro],mercado13)</f>
        <v>0</v>
      </c>
      <c r="Y158" s="18">
        <f>SUMIFS(super1[Qtde],super1[Item],tab_alimentos[[#This Row],[Item]],super1[Bairro],mercado14)+SUMIFS(supercb[Qtde],supercb[Item],tab_alimentos[[#This Row],[Item]],supercb[Bairro],mercado14)</f>
        <v>0</v>
      </c>
      <c r="Z158" s="18">
        <f>SUMIFS(super1[Qtde],super1[Item],tab_alimentos[[#This Row],[Item]],super1[Bairro],mercado15)+SUMIFS(supercb[Qtde],supercb[Item],tab_alimentos[[#This Row],[Item]],supercb[Bairro],mercado15)</f>
        <v>0</v>
      </c>
      <c r="AA158" s="18">
        <f>SUMIFS(super1[Qtde],super1[Item],tab_alimentos[[#This Row],[Item]],super1[Bairro],mercado16)+SUMIFS(supercb[Qtde],supercb[Item],tab_alimentos[[#This Row],[Item]],supercb[Bairro],mercado16)</f>
        <v>0</v>
      </c>
      <c r="AB158" s="18">
        <f>SUMIFS(super1[Qtde],super1[Item],tab_alimentos[[#This Row],[Item]],super1[Bairro],mercado17)+SUMIFS(supercb[Qtde],supercb[Item],tab_alimentos[[#This Row],[Item]],supercb[Bairro],mercado17)</f>
        <v>0</v>
      </c>
      <c r="AC158" s="18">
        <f>SUMIFS(super1[Qtde],super1[Item],tab_alimentos[[#This Row],[Item]],super1[Bairro],mercado18)+SUMIFS(supercb[Qtde],supercb[Item],tab_alimentos[[#This Row],[Item]],supercb[Bairro],mercado18)</f>
        <v>0</v>
      </c>
      <c r="AD158" s="18">
        <f>SUMIFS(super1[Qtde],super1[Item],tab_alimentos[[#This Row],[Item]],super1[Bairro],extras)+SUMIFS(supercb[Qtde],supercb[Item],tab_alimentos[[#This Row],[Item]],supercb[Bairro],extras)</f>
        <v>0</v>
      </c>
      <c r="AE158" s="1">
        <f t="shared" si="67"/>
        <v>0</v>
      </c>
      <c r="AF158" s="1">
        <f t="shared" si="68"/>
        <v>0</v>
      </c>
      <c r="AG158" s="26">
        <f t="shared" si="69"/>
        <v>0</v>
      </c>
      <c r="AH158" s="25" t="str">
        <f>higiene[[#This Row],[Item]]</f>
        <v>Pasta de Dente (70g)</v>
      </c>
      <c r="AI158" s="18">
        <f>IFERROR(higiene[[#This Row],[Kg equivalente]],0)</f>
        <v>0.73913906011818398</v>
      </c>
      <c r="AJ158" s="18">
        <f>IFERROR(higiene[[#This Row],[Preço por produto]],0)</f>
        <v>2.4483333333333337</v>
      </c>
      <c r="AK158" s="18">
        <f>SUMIFS(super1[Qtde],super1[Item],tab_higiene[[#This Row],[Item]],super1[Bairro],mercado1)+SUMIFS(supercb[Qtde],supercb[Item],tab_higiene[[#This Row],[Item]],supercb[Bairro],mercado1)</f>
        <v>4</v>
      </c>
      <c r="AL158" s="18">
        <f>SUMIFS(super1[Qtde],super1[Item],tab_higiene[[#This Row],[Item]],super1[Bairro],mercado2)+SUMIFS(supercb[Qtde],supercb[Item],tab_higiene[[#This Row],[Item]],supercb[Bairro],mercado2)</f>
        <v>27</v>
      </c>
      <c r="AM158" s="18">
        <f>SUMIFS(super1[Qtde],super1[Item],tab_higiene[[#This Row],[Item]],super1[Bairro],mercado3)+SUMIFS(supercb[Qtde],supercb[Item],tab_higiene[[#This Row],[Item]],supercb[Bairro],mercado3)</f>
        <v>9</v>
      </c>
      <c r="AN158" s="18">
        <f>SUMIFS(super1[Qtde],super1[Item],tab_higiene[[#This Row],[Item]],super1[Bairro],mercado4)+SUMIFS(supercb[Qtde],supercb[Item],tab_higiene[[#This Row],[Item]],supercb[Bairro],mercado4)</f>
        <v>19</v>
      </c>
      <c r="AO158" s="18">
        <f>SUMIFS(super1[Qtde],super1[Item],tab_higiene[[#This Row],[Item]],super1[Bairro],mercado5)+SUMIFS(supercb[Qtde],supercb[Item],tab_higiene[[#This Row],[Item]],supercb[Bairro],mercado5)</f>
        <v>40</v>
      </c>
      <c r="AP158" s="18">
        <f>SUMIFS(super1[Qtde],super1[Item],tab_higiene[[#This Row],[Item]],super1[Bairro],mercado6)+SUMIFS(supercb[Qtde],supercb[Item],tab_higiene[[#This Row],[Item]],supercb[Bairro],mercado6)</f>
        <v>4</v>
      </c>
      <c r="AQ158" s="18">
        <f>SUMIFS(super1[Qtde],super1[Item],tab_higiene[[#This Row],[Item]],super1[Bairro],mercado7)+SUMIFS(supercb[Qtde],supercb[Item],tab_higiene[[#This Row],[Item]],supercb[Bairro],mercado7)</f>
        <v>18</v>
      </c>
      <c r="AR158" s="18">
        <f>SUMIFS(super1[Qtde],super1[Item],tab_higiene[[#This Row],[Item]],super1[Bairro],mercado8)+SUMIFS(supercb[Qtde],supercb[Item],tab_higiene[[#This Row],[Item]],supercb[Bairro],mercado8)</f>
        <v>64</v>
      </c>
      <c r="AS158" s="18">
        <f>SUMIFS(super1[Qtde],super1[Item],tab_higiene[[#This Row],[Item]],super1[Bairro],mercado9)+SUMIFS(supercb[Qtde],supercb[Item],tab_higiene[[#This Row],[Item]],supercb[Bairro],mercado9)</f>
        <v>76</v>
      </c>
      <c r="AT158" s="18">
        <f>SUMIFS(super1[Qtde],super1[Item],tab_higiene[[#This Row],[Item]],super1[Bairro],mercado10)+SUMIFS(supercb[Qtde],supercb[Item],tab_higiene[[#This Row],[Item]],supercb[Bairro],mercado10)</f>
        <v>40</v>
      </c>
      <c r="AU158" s="18">
        <f>SUMIFS(super1[Qtde],super1[Item],tab_higiene[[#This Row],[Item]],super1[Bairro],mercado11)+SUMIFS(supercb[Qtde],supercb[Item],tab_higiene[[#This Row],[Item]],supercb[Bairro],mercado11)</f>
        <v>30</v>
      </c>
      <c r="AV158" s="18">
        <f>SUMIFS(super1[Qtde],super1[Item],tab_higiene[[#This Row],[Item]],super1[Bairro],mercado12)+SUMIFS(supercb[Qtde],supercb[Item],tab_higiene[[#This Row],[Item]],supercb[Bairro],mercado12)</f>
        <v>0</v>
      </c>
      <c r="AW158" s="18">
        <f>SUMIFS(super1[Qtde],super1[Item],tab_higiene[[#This Row],[Item]],super1[Bairro],mercado13)+SUMIFS(supercb[Qtde],supercb[Item],tab_higiene[[#This Row],[Item]],supercb[Bairro],mercado13)</f>
        <v>30</v>
      </c>
      <c r="AX158" s="18">
        <f>SUMIFS(super1[Qtde],super1[Item],tab_higiene[[#This Row],[Item]],super1[Bairro],mercado14)+SUMIFS(supercb[Qtde],supercb[Item],tab_higiene[[#This Row],[Item]],supercb[Bairro],mercado14)</f>
        <v>0</v>
      </c>
      <c r="AY158" s="18">
        <f>SUMIFS(super1[Qtde],super1[Item],tab_higiene[[#This Row],[Item]],super1[Bairro],mercado15)+SUMIFS(supercb[Qtde],supercb[Item],tab_higiene[[#This Row],[Item]],supercb[Bairro],mercado15)</f>
        <v>0</v>
      </c>
      <c r="AZ158" s="18">
        <f>SUMIFS(super1[Qtde],super1[Item],tab_higiene[[#This Row],[Item]],super1[Bairro],mercado16)+SUMIFS(supercb[Qtde],supercb[Item],tab_higiene[[#This Row],[Item]],supercb[Bairro],mercado16)</f>
        <v>0</v>
      </c>
      <c r="BA158" s="18">
        <f>SUMIFS(super1[Qtde],super1[Item],tab_higiene[[#This Row],[Item]],super1[Bairro],mercado17)+SUMIFS(supercb[Qtde],supercb[Item],tab_higiene[[#This Row],[Item]],supercb[Bairro],mercado17)</f>
        <v>0</v>
      </c>
      <c r="BB158" s="18">
        <f>SUMIFS(super1[Qtde],super1[Item],tab_higiene[[#This Row],[Item]],super1[Bairro],mercado18)+SUMIFS(supercb[Qtde],supercb[Item],tab_higiene[[#This Row],[Item]],supercb[Bairro],mercado18)</f>
        <v>0</v>
      </c>
      <c r="BC158" s="18">
        <f>SUMIFS(super1[Qtde],super1[Item],tab_higiene[[#This Row],[Item]],super1[Bairro],extras)+SUMIFS(supercb[Qtde],supercb[Item],tab_higiene[[#This Row],[Item]],supercb[Bairro],extras)</f>
        <v>0</v>
      </c>
      <c r="BD158" s="1">
        <f t="shared" si="64"/>
        <v>361</v>
      </c>
      <c r="BE158" s="1">
        <f t="shared" si="65"/>
        <v>883.84833333333347</v>
      </c>
      <c r="BF158" s="26">
        <f t="shared" si="66"/>
        <v>266.82920070266442</v>
      </c>
      <c r="BI158" s="35" t="str">
        <f>tab_alimentos[[#This Row],[Item]]</f>
        <v>Leite em pó (300g)</v>
      </c>
      <c r="BJ158" s="35">
        <f t="shared" si="62"/>
        <v>12</v>
      </c>
      <c r="BK158" s="35" t="str">
        <f t="shared" si="63"/>
        <v>Leite em pó</v>
      </c>
      <c r="BL158" s="35">
        <f>tab_alimentos[[#This Row],[kg]]</f>
        <v>0</v>
      </c>
      <c r="BN158" s="35">
        <f>SUMIF($BJ$5:$BJ$158,#REF!,$BK$5:$BK$158)</f>
        <v>0</v>
      </c>
      <c r="BQ158"/>
      <c r="BR158" s="24"/>
      <c r="BS158"/>
      <c r="BT158" s="24"/>
    </row>
    <row r="159" spans="9:72" x14ac:dyDescent="0.25">
      <c r="I159" s="25" t="str">
        <f>alimentos[[#This Row],[Item]]</f>
        <v>Leite em pó (400g)</v>
      </c>
      <c r="J159" s="1">
        <f>IFERROR(alimentos[[#This Row],[kg/embalagem]],0)</f>
        <v>0.4</v>
      </c>
      <c r="K159" s="18">
        <f>IFERROR(alimentos[[#This Row],[Preço]],0)</f>
        <v>9.8166666666666682</v>
      </c>
      <c r="L159" s="18">
        <f>SUMIFS(super1[Qtde],super1[Item],tab_alimentos[[#This Row],[Item]],super1[Bairro],mercado1)+SUMIFS(supercb[Qtde],supercb[Item],tab_alimentos[[#This Row],[Item]],supercb[Bairro],mercado1)</f>
        <v>0</v>
      </c>
      <c r="M159" s="18">
        <f>SUMIFS(super1[Qtde],super1[Item],tab_alimentos[[#This Row],[Item]],super1[Bairro],mercado2)+SUMIFS(supercb[Qtde],supercb[Item],tab_alimentos[[#This Row],[Item]],supercb[Bairro],mercado2)</f>
        <v>0</v>
      </c>
      <c r="N159" s="1">
        <f>SUMIFS(super1[Qtde],super1[Item],tab_alimentos[[#This Row],[Item]],super1[Bairro],mercado3)+SUMIFS(supercb[Qtde],supercb[Item],tab_alimentos[[#This Row],[Item]],supercb[Bairro],mercado3)</f>
        <v>1</v>
      </c>
      <c r="O159" s="18">
        <f>SUMIFS(super1[Qtde],super1[Item],tab_alimentos[[#This Row],[Item]],super1[Bairro],mercado4)+SUMIFS(supercb[Qtde],supercb[Item],tab_alimentos[[#This Row],[Item]],supercb[Bairro],mercado4)</f>
        <v>0</v>
      </c>
      <c r="P159" s="18">
        <f>SUMIFS(super1[Qtde],super1[Item],tab_alimentos[[#This Row],[Item]],super1[Bairro],mercado5)+SUMIFS(supercb[Qtde],supercb[Item],tab_alimentos[[#This Row],[Item]],supercb[Bairro],mercado5)</f>
        <v>5</v>
      </c>
      <c r="Q159" s="18">
        <f>SUMIFS(super1[Qtde],super1[Item],tab_alimentos[[#This Row],[Item]],super1[Bairro],mercado6)+SUMIFS(supercb[Qtde],supercb[Item],tab_alimentos[[#This Row],[Item]],supercb[Bairro],mercado6)</f>
        <v>0</v>
      </c>
      <c r="R159" s="18">
        <f>SUMIFS(super1[Qtde],super1[Item],tab_alimentos[[#This Row],[Item]],super1[Bairro],mercado7)+SUMIFS(supercb[Qtde],supercb[Item],tab_alimentos[[#This Row],[Item]],supercb[Bairro],mercado7)</f>
        <v>0</v>
      </c>
      <c r="S159" s="18">
        <f>SUMIFS(super1[Qtde],super1[Item],tab_alimentos[[#This Row],[Item]],super1[Bairro],mercado8)+SUMIFS(supercb[Qtde],supercb[Item],tab_alimentos[[#This Row],[Item]],supercb[Bairro],mercado8)</f>
        <v>0</v>
      </c>
      <c r="T159" s="18">
        <f>SUMIFS(super1[Qtde],super1[Item],tab_alimentos[[#This Row],[Item]],super1[Bairro],mercado9)+SUMIFS(supercb[Qtde],supercb[Item],tab_alimentos[[#This Row],[Item]],supercb[Bairro],mercado9)</f>
        <v>0</v>
      </c>
      <c r="U159" s="18">
        <f>SUMIFS(super1[Qtde],super1[Item],tab_alimentos[[#This Row],[Item]],super1[Bairro],mercado10)+SUMIFS(supercb[Qtde],supercb[Item],tab_alimentos[[#This Row],[Item]],supercb[Bairro],mercado10)</f>
        <v>20</v>
      </c>
      <c r="V159" s="18">
        <f>SUMIFS(super1[Qtde],super1[Item],tab_alimentos[[#This Row],[Item]],super1[Bairro],mercado11)+SUMIFS(supercb[Qtde],supercb[Item],tab_alimentos[[#This Row],[Item]],supercb[Bairro],mercado11)</f>
        <v>2</v>
      </c>
      <c r="W159" s="18">
        <f>SUMIFS(super1[Qtde],super1[Item],tab_alimentos[[#This Row],[Item]],super1[Bairro],mercado12)+SUMIFS(supercb[Qtde],supercb[Item],tab_alimentos[[#This Row],[Item]],supercb[Bairro],mercado12)</f>
        <v>0</v>
      </c>
      <c r="X159" s="18">
        <f>SUMIFS(super1[Qtde],super1[Item],tab_alimentos[[#This Row],[Item]],super1[Bairro],mercado13)+SUMIFS(supercb[Qtde],supercb[Item],tab_alimentos[[#This Row],[Item]],supercb[Bairro],mercado13)</f>
        <v>9</v>
      </c>
      <c r="Y159" s="18">
        <f>SUMIFS(super1[Qtde],super1[Item],tab_alimentos[[#This Row],[Item]],super1[Bairro],mercado14)+SUMIFS(supercb[Qtde],supercb[Item],tab_alimentos[[#This Row],[Item]],supercb[Bairro],mercado14)</f>
        <v>0</v>
      </c>
      <c r="Z159" s="18">
        <f>SUMIFS(super1[Qtde],super1[Item],tab_alimentos[[#This Row],[Item]],super1[Bairro],mercado15)+SUMIFS(supercb[Qtde],supercb[Item],tab_alimentos[[#This Row],[Item]],supercb[Bairro],mercado15)</f>
        <v>0</v>
      </c>
      <c r="AA159" s="18">
        <f>SUMIFS(super1[Qtde],super1[Item],tab_alimentos[[#This Row],[Item]],super1[Bairro],mercado16)+SUMIFS(supercb[Qtde],supercb[Item],tab_alimentos[[#This Row],[Item]],supercb[Bairro],mercado16)</f>
        <v>0</v>
      </c>
      <c r="AB159" s="18">
        <f>SUMIFS(super1[Qtde],super1[Item],tab_alimentos[[#This Row],[Item]],super1[Bairro],mercado17)+SUMIFS(supercb[Qtde],supercb[Item],tab_alimentos[[#This Row],[Item]],supercb[Bairro],mercado17)</f>
        <v>0</v>
      </c>
      <c r="AC159" s="18">
        <f>SUMIFS(super1[Qtde],super1[Item],tab_alimentos[[#This Row],[Item]],super1[Bairro],mercado18)+SUMIFS(supercb[Qtde],supercb[Item],tab_alimentos[[#This Row],[Item]],supercb[Bairro],mercado18)</f>
        <v>0</v>
      </c>
      <c r="AD159" s="18">
        <f>SUMIFS(super1[Qtde],super1[Item],tab_alimentos[[#This Row],[Item]],super1[Bairro],extras)+SUMIFS(supercb[Qtde],supercb[Item],tab_alimentos[[#This Row],[Item]],supercb[Bairro],extras)</f>
        <v>0</v>
      </c>
      <c r="AE159" s="1">
        <f t="shared" si="67"/>
        <v>37</v>
      </c>
      <c r="AF159" s="1">
        <f t="shared" si="68"/>
        <v>363.2166666666667</v>
      </c>
      <c r="AG159" s="26">
        <f t="shared" si="69"/>
        <v>14.8</v>
      </c>
      <c r="AH159" s="25" t="str">
        <f>higiene[[#This Row],[Item]]</f>
        <v>Pasta de Dente (90g)</v>
      </c>
      <c r="AI159" s="18">
        <f>IFERROR(higiene[[#This Row],[Kg equivalente]],0)</f>
        <v>0.80203380655438061</v>
      </c>
      <c r="AJ159" s="18">
        <f>IFERROR(higiene[[#This Row],[Preço por produto]],0)</f>
        <v>2.6566666666666667</v>
      </c>
      <c r="AK159" s="18">
        <f>SUMIFS(super1[Qtde],super1[Item],tab_higiene[[#This Row],[Item]],super1[Bairro],mercado1)+SUMIFS(supercb[Qtde],supercb[Item],tab_higiene[[#This Row],[Item]],supercb[Bairro],mercado1)</f>
        <v>19</v>
      </c>
      <c r="AL159" s="18">
        <f>SUMIFS(super1[Qtde],super1[Item],tab_higiene[[#This Row],[Item]],super1[Bairro],mercado2)+SUMIFS(supercb[Qtde],supercb[Item],tab_higiene[[#This Row],[Item]],supercb[Bairro],mercado2)</f>
        <v>1</v>
      </c>
      <c r="AM159" s="18">
        <f>SUMIFS(super1[Qtde],super1[Item],tab_higiene[[#This Row],[Item]],super1[Bairro],mercado3)+SUMIFS(supercb[Qtde],supercb[Item],tab_higiene[[#This Row],[Item]],supercb[Bairro],mercado3)</f>
        <v>0</v>
      </c>
      <c r="AN159" s="18">
        <f>SUMIFS(super1[Qtde],super1[Item],tab_higiene[[#This Row],[Item]],super1[Bairro],mercado4)+SUMIFS(supercb[Qtde],supercb[Item],tab_higiene[[#This Row],[Item]],supercb[Bairro],mercado4)</f>
        <v>19</v>
      </c>
      <c r="AO159" s="18">
        <f>SUMIFS(super1[Qtde],super1[Item],tab_higiene[[#This Row],[Item]],super1[Bairro],mercado5)+SUMIFS(supercb[Qtde],supercb[Item],tab_higiene[[#This Row],[Item]],supercb[Bairro],mercado5)</f>
        <v>23</v>
      </c>
      <c r="AP159" s="18">
        <f>SUMIFS(super1[Qtde],super1[Item],tab_higiene[[#This Row],[Item]],super1[Bairro],mercado6)+SUMIFS(supercb[Qtde],supercb[Item],tab_higiene[[#This Row],[Item]],supercb[Bairro],mercado6)</f>
        <v>13</v>
      </c>
      <c r="AQ159" s="18">
        <f>SUMIFS(super1[Qtde],super1[Item],tab_higiene[[#This Row],[Item]],super1[Bairro],mercado7)+SUMIFS(supercb[Qtde],supercb[Item],tab_higiene[[#This Row],[Item]],supercb[Bairro],mercado7)</f>
        <v>16</v>
      </c>
      <c r="AR159" s="18">
        <f>SUMIFS(super1[Qtde],super1[Item],tab_higiene[[#This Row],[Item]],super1[Bairro],mercado8)+SUMIFS(supercb[Qtde],supercb[Item],tab_higiene[[#This Row],[Item]],supercb[Bairro],mercado8)</f>
        <v>0</v>
      </c>
      <c r="AS159" s="18">
        <f>SUMIFS(super1[Qtde],super1[Item],tab_higiene[[#This Row],[Item]],super1[Bairro],mercado9)+SUMIFS(supercb[Qtde],supercb[Item],tab_higiene[[#This Row],[Item]],supercb[Bairro],mercado9)</f>
        <v>32</v>
      </c>
      <c r="AT159" s="18">
        <f>SUMIFS(super1[Qtde],super1[Item],tab_higiene[[#This Row],[Item]],super1[Bairro],mercado10)+SUMIFS(supercb[Qtde],supercb[Item],tab_higiene[[#This Row],[Item]],supercb[Bairro],mercado10)</f>
        <v>44</v>
      </c>
      <c r="AU159" s="18">
        <f>SUMIFS(super1[Qtde],super1[Item],tab_higiene[[#This Row],[Item]],super1[Bairro],mercado11)+SUMIFS(supercb[Qtde],supercb[Item],tab_higiene[[#This Row],[Item]],supercb[Bairro],mercado11)</f>
        <v>25</v>
      </c>
      <c r="AV159" s="18">
        <f>SUMIFS(super1[Qtde],super1[Item],tab_higiene[[#This Row],[Item]],super1[Bairro],mercado12)+SUMIFS(supercb[Qtde],supercb[Item],tab_higiene[[#This Row],[Item]],supercb[Bairro],mercado12)</f>
        <v>0</v>
      </c>
      <c r="AW159" s="18">
        <f>SUMIFS(super1[Qtde],super1[Item],tab_higiene[[#This Row],[Item]],super1[Bairro],mercado13)+SUMIFS(supercb[Qtde],supercb[Item],tab_higiene[[#This Row],[Item]],supercb[Bairro],mercado13)</f>
        <v>21</v>
      </c>
      <c r="AX159" s="18">
        <f>SUMIFS(super1[Qtde],super1[Item],tab_higiene[[#This Row],[Item]],super1[Bairro],mercado14)+SUMIFS(supercb[Qtde],supercb[Item],tab_higiene[[#This Row],[Item]],supercb[Bairro],mercado14)</f>
        <v>0</v>
      </c>
      <c r="AY159" s="18">
        <f>SUMIFS(super1[Qtde],super1[Item],tab_higiene[[#This Row],[Item]],super1[Bairro],mercado15)+SUMIFS(supercb[Qtde],supercb[Item],tab_higiene[[#This Row],[Item]],supercb[Bairro],mercado15)</f>
        <v>0</v>
      </c>
      <c r="AZ159" s="18">
        <f>SUMIFS(super1[Qtde],super1[Item],tab_higiene[[#This Row],[Item]],super1[Bairro],mercado16)+SUMIFS(supercb[Qtde],supercb[Item],tab_higiene[[#This Row],[Item]],supercb[Bairro],mercado16)</f>
        <v>0</v>
      </c>
      <c r="BA159" s="18">
        <f>SUMIFS(super1[Qtde],super1[Item],tab_higiene[[#This Row],[Item]],super1[Bairro],mercado17)+SUMIFS(supercb[Qtde],supercb[Item],tab_higiene[[#This Row],[Item]],supercb[Bairro],mercado17)</f>
        <v>0</v>
      </c>
      <c r="BB159" s="18">
        <f>SUMIFS(super1[Qtde],super1[Item],tab_higiene[[#This Row],[Item]],super1[Bairro],mercado18)+SUMIFS(supercb[Qtde],supercb[Item],tab_higiene[[#This Row],[Item]],supercb[Bairro],mercado18)</f>
        <v>0</v>
      </c>
      <c r="BC159" s="18">
        <f>SUMIFS(super1[Qtde],super1[Item],tab_higiene[[#This Row],[Item]],super1[Bairro],extras)+SUMIFS(supercb[Qtde],supercb[Item],tab_higiene[[#This Row],[Item]],supercb[Bairro],extras)</f>
        <v>0</v>
      </c>
      <c r="BD159" s="1">
        <f t="shared" si="64"/>
        <v>213</v>
      </c>
      <c r="BE159" s="1">
        <f t="shared" si="65"/>
        <v>565.87</v>
      </c>
      <c r="BF159" s="26">
        <f t="shared" si="66"/>
        <v>170.83320079608308</v>
      </c>
    </row>
    <row r="160" spans="9:72" x14ac:dyDescent="0.25">
      <c r="I160" s="25" t="str">
        <f>alimentos[[#This Row],[Item]]</f>
        <v>Leite em Pó (500g)</v>
      </c>
      <c r="J160" s="1">
        <f>IFERROR(alimentos[[#This Row],[kg/embalagem]],0)</f>
        <v>0.5</v>
      </c>
      <c r="K160" s="18">
        <f>IFERROR(alimentos[[#This Row],[Preço]],0)</f>
        <v>22.49</v>
      </c>
      <c r="L160" s="18">
        <f>SUMIFS(super1[Qtde],super1[Item],tab_alimentos[[#This Row],[Item]],super1[Bairro],mercado1)+SUMIFS(supercb[Qtde],supercb[Item],tab_alimentos[[#This Row],[Item]],supercb[Bairro],mercado1)</f>
        <v>0</v>
      </c>
      <c r="M160" s="18">
        <f>SUMIFS(super1[Qtde],super1[Item],tab_alimentos[[#This Row],[Item]],super1[Bairro],mercado2)+SUMIFS(supercb[Qtde],supercb[Item],tab_alimentos[[#This Row],[Item]],supercb[Bairro],mercado2)</f>
        <v>0</v>
      </c>
      <c r="N160" s="1">
        <f>SUMIFS(super1[Qtde],super1[Item],tab_alimentos[[#This Row],[Item]],super1[Bairro],mercado3)+SUMIFS(supercb[Qtde],supercb[Item],tab_alimentos[[#This Row],[Item]],supercb[Bairro],mercado3)</f>
        <v>0</v>
      </c>
      <c r="O160" s="18">
        <f>SUMIFS(super1[Qtde],super1[Item],tab_alimentos[[#This Row],[Item]],super1[Bairro],mercado4)+SUMIFS(supercb[Qtde],supercb[Item],tab_alimentos[[#This Row],[Item]],supercb[Bairro],mercado4)</f>
        <v>0</v>
      </c>
      <c r="P160" s="18">
        <f>SUMIFS(super1[Qtde],super1[Item],tab_alimentos[[#This Row],[Item]],super1[Bairro],mercado5)+SUMIFS(supercb[Qtde],supercb[Item],tab_alimentos[[#This Row],[Item]],supercb[Bairro],mercado5)</f>
        <v>0</v>
      </c>
      <c r="Q160" s="18">
        <f>SUMIFS(super1[Qtde],super1[Item],tab_alimentos[[#This Row],[Item]],super1[Bairro],mercado6)+SUMIFS(supercb[Qtde],supercb[Item],tab_alimentos[[#This Row],[Item]],supercb[Bairro],mercado6)</f>
        <v>0</v>
      </c>
      <c r="R160" s="18">
        <f>SUMIFS(super1[Qtde],super1[Item],tab_alimentos[[#This Row],[Item]],super1[Bairro],mercado7)+SUMIFS(supercb[Qtde],supercb[Item],tab_alimentos[[#This Row],[Item]],supercb[Bairro],mercado7)</f>
        <v>0</v>
      </c>
      <c r="S160" s="18">
        <f>SUMIFS(super1[Qtde],super1[Item],tab_alimentos[[#This Row],[Item]],super1[Bairro],mercado8)+SUMIFS(supercb[Qtde],supercb[Item],tab_alimentos[[#This Row],[Item]],supercb[Bairro],mercado8)</f>
        <v>0</v>
      </c>
      <c r="T160" s="18">
        <f>SUMIFS(super1[Qtde],super1[Item],tab_alimentos[[#This Row],[Item]],super1[Bairro],mercado9)+SUMIFS(supercb[Qtde],supercb[Item],tab_alimentos[[#This Row],[Item]],supercb[Bairro],mercado9)</f>
        <v>0</v>
      </c>
      <c r="U160" s="18">
        <f>SUMIFS(super1[Qtde],super1[Item],tab_alimentos[[#This Row],[Item]],super1[Bairro],mercado10)+SUMIFS(supercb[Qtde],supercb[Item],tab_alimentos[[#This Row],[Item]],supercb[Bairro],mercado10)</f>
        <v>0</v>
      </c>
      <c r="V160" s="18">
        <f>SUMIFS(super1[Qtde],super1[Item],tab_alimentos[[#This Row],[Item]],super1[Bairro],mercado11)+SUMIFS(supercb[Qtde],supercb[Item],tab_alimentos[[#This Row],[Item]],supercb[Bairro],mercado11)</f>
        <v>0</v>
      </c>
      <c r="W160" s="18">
        <f>SUMIFS(super1[Qtde],super1[Item],tab_alimentos[[#This Row],[Item]],super1[Bairro],mercado12)+SUMIFS(supercb[Qtde],supercb[Item],tab_alimentos[[#This Row],[Item]],supercb[Bairro],mercado12)</f>
        <v>0</v>
      </c>
      <c r="X160" s="18">
        <f>SUMIFS(super1[Qtde],super1[Item],tab_alimentos[[#This Row],[Item]],super1[Bairro],mercado13)+SUMIFS(supercb[Qtde],supercb[Item],tab_alimentos[[#This Row],[Item]],supercb[Bairro],mercado13)</f>
        <v>0</v>
      </c>
      <c r="Y160" s="18">
        <f>SUMIFS(super1[Qtde],super1[Item],tab_alimentos[[#This Row],[Item]],super1[Bairro],mercado14)+SUMIFS(supercb[Qtde],supercb[Item],tab_alimentos[[#This Row],[Item]],supercb[Bairro],mercado14)</f>
        <v>0</v>
      </c>
      <c r="Z160" s="18">
        <f>SUMIFS(super1[Qtde],super1[Item],tab_alimentos[[#This Row],[Item]],super1[Bairro],mercado15)+SUMIFS(supercb[Qtde],supercb[Item],tab_alimentos[[#This Row],[Item]],supercb[Bairro],mercado15)</f>
        <v>0</v>
      </c>
      <c r="AA160" s="18">
        <f>SUMIFS(super1[Qtde],super1[Item],tab_alimentos[[#This Row],[Item]],super1[Bairro],mercado16)+SUMIFS(supercb[Qtde],supercb[Item],tab_alimentos[[#This Row],[Item]],supercb[Bairro],mercado16)</f>
        <v>0</v>
      </c>
      <c r="AB160" s="18">
        <f>SUMIFS(super1[Qtde],super1[Item],tab_alimentos[[#This Row],[Item]],super1[Bairro],mercado17)+SUMIFS(supercb[Qtde],supercb[Item],tab_alimentos[[#This Row],[Item]],supercb[Bairro],mercado17)</f>
        <v>0</v>
      </c>
      <c r="AC160" s="18">
        <f>SUMIFS(super1[Qtde],super1[Item],tab_alimentos[[#This Row],[Item]],super1[Bairro],mercado18)+SUMIFS(supercb[Qtde],supercb[Item],tab_alimentos[[#This Row],[Item]],supercb[Bairro],mercado18)</f>
        <v>0</v>
      </c>
      <c r="AD160" s="18">
        <f>SUMIFS(super1[Qtde],super1[Item],tab_alimentos[[#This Row],[Item]],super1[Bairro],extras)+SUMIFS(supercb[Qtde],supercb[Item],tab_alimentos[[#This Row],[Item]],supercb[Bairro],extras)</f>
        <v>0</v>
      </c>
      <c r="AE160" s="1">
        <f t="shared" si="67"/>
        <v>0</v>
      </c>
      <c r="AF160" s="1">
        <f t="shared" si="68"/>
        <v>0</v>
      </c>
      <c r="AG160" s="26">
        <f t="shared" si="69"/>
        <v>0</v>
      </c>
      <c r="AH160" s="25" t="str">
        <f>higiene[[#This Row],[Item]]</f>
        <v>Pasta de dente 4 un</v>
      </c>
      <c r="AI160" s="18">
        <f>IFERROR(higiene[[#This Row],[Kg equivalente]],0)</f>
        <v>2.2823245586767062</v>
      </c>
      <c r="AJ160" s="18">
        <f>IFERROR(higiene[[#This Row],[Preço por produto]],0)</f>
        <v>7.56</v>
      </c>
      <c r="AK160" s="18">
        <f>SUMIFS(super1[Qtde],super1[Item],tab_higiene[[#This Row],[Item]],super1[Bairro],mercado1)+SUMIFS(supercb[Qtde],supercb[Item],tab_higiene[[#This Row],[Item]],supercb[Bairro],mercado1)</f>
        <v>0</v>
      </c>
      <c r="AL160" s="18">
        <f>SUMIFS(super1[Qtde],super1[Item],tab_higiene[[#This Row],[Item]],super1[Bairro],mercado2)+SUMIFS(supercb[Qtde],supercb[Item],tab_higiene[[#This Row],[Item]],supercb[Bairro],mercado2)</f>
        <v>0</v>
      </c>
      <c r="AM160" s="18">
        <f>SUMIFS(super1[Qtde],super1[Item],tab_higiene[[#This Row],[Item]],super1[Bairro],mercado3)+SUMIFS(supercb[Qtde],supercb[Item],tab_higiene[[#This Row],[Item]],supercb[Bairro],mercado3)</f>
        <v>0</v>
      </c>
      <c r="AN160" s="18">
        <f>SUMIFS(super1[Qtde],super1[Item],tab_higiene[[#This Row],[Item]],super1[Bairro],mercado4)+SUMIFS(supercb[Qtde],supercb[Item],tab_higiene[[#This Row],[Item]],supercb[Bairro],mercado4)</f>
        <v>0</v>
      </c>
      <c r="AO160" s="18">
        <f>SUMIFS(super1[Qtde],super1[Item],tab_higiene[[#This Row],[Item]],super1[Bairro],mercado5)+SUMIFS(supercb[Qtde],supercb[Item],tab_higiene[[#This Row],[Item]],supercb[Bairro],mercado5)</f>
        <v>0</v>
      </c>
      <c r="AP160" s="18">
        <f>SUMIFS(super1[Qtde],super1[Item],tab_higiene[[#This Row],[Item]],super1[Bairro],mercado6)+SUMIFS(supercb[Qtde],supercb[Item],tab_higiene[[#This Row],[Item]],supercb[Bairro],mercado6)</f>
        <v>0</v>
      </c>
      <c r="AQ160" s="18">
        <f>SUMIFS(super1[Qtde],super1[Item],tab_higiene[[#This Row],[Item]],super1[Bairro],mercado7)+SUMIFS(supercb[Qtde],supercb[Item],tab_higiene[[#This Row],[Item]],supercb[Bairro],mercado7)</f>
        <v>0</v>
      </c>
      <c r="AR160" s="18">
        <f>SUMIFS(super1[Qtde],super1[Item],tab_higiene[[#This Row],[Item]],super1[Bairro],mercado8)+SUMIFS(supercb[Qtde],supercb[Item],tab_higiene[[#This Row],[Item]],supercb[Bairro],mercado8)</f>
        <v>0</v>
      </c>
      <c r="AS160" s="18">
        <f>SUMIFS(super1[Qtde],super1[Item],tab_higiene[[#This Row],[Item]],super1[Bairro],mercado9)+SUMIFS(supercb[Qtde],supercb[Item],tab_higiene[[#This Row],[Item]],supercb[Bairro],mercado9)</f>
        <v>1</v>
      </c>
      <c r="AT160" s="18">
        <f>SUMIFS(super1[Qtde],super1[Item],tab_higiene[[#This Row],[Item]],super1[Bairro],mercado10)+SUMIFS(supercb[Qtde],supercb[Item],tab_higiene[[#This Row],[Item]],supercb[Bairro],mercado10)</f>
        <v>0</v>
      </c>
      <c r="AU160" s="18">
        <f>SUMIFS(super1[Qtde],super1[Item],tab_higiene[[#This Row],[Item]],super1[Bairro],mercado11)+SUMIFS(supercb[Qtde],supercb[Item],tab_higiene[[#This Row],[Item]],supercb[Bairro],mercado11)</f>
        <v>0</v>
      </c>
      <c r="AV160" s="18">
        <f>SUMIFS(super1[Qtde],super1[Item],tab_higiene[[#This Row],[Item]],super1[Bairro],mercado12)+SUMIFS(supercb[Qtde],supercb[Item],tab_higiene[[#This Row],[Item]],supercb[Bairro],mercado12)</f>
        <v>0</v>
      </c>
      <c r="AW160" s="18">
        <f>SUMIFS(super1[Qtde],super1[Item],tab_higiene[[#This Row],[Item]],super1[Bairro],mercado13)+SUMIFS(supercb[Qtde],supercb[Item],tab_higiene[[#This Row],[Item]],supercb[Bairro],mercado13)</f>
        <v>0</v>
      </c>
      <c r="AX160" s="18">
        <f>SUMIFS(super1[Qtde],super1[Item],tab_higiene[[#This Row],[Item]],super1[Bairro],mercado14)+SUMIFS(supercb[Qtde],supercb[Item],tab_higiene[[#This Row],[Item]],supercb[Bairro],mercado14)</f>
        <v>0</v>
      </c>
      <c r="AY160" s="18">
        <f>SUMIFS(super1[Qtde],super1[Item],tab_higiene[[#This Row],[Item]],super1[Bairro],mercado15)+SUMIFS(supercb[Qtde],supercb[Item],tab_higiene[[#This Row],[Item]],supercb[Bairro],mercado15)</f>
        <v>0</v>
      </c>
      <c r="AZ160" s="18">
        <f>SUMIFS(super1[Qtde],super1[Item],tab_higiene[[#This Row],[Item]],super1[Bairro],mercado16)+SUMIFS(supercb[Qtde],supercb[Item],tab_higiene[[#This Row],[Item]],supercb[Bairro],mercado16)</f>
        <v>0</v>
      </c>
      <c r="BA160" s="18">
        <f>SUMIFS(super1[Qtde],super1[Item],tab_higiene[[#This Row],[Item]],super1[Bairro],mercado17)+SUMIFS(supercb[Qtde],supercb[Item],tab_higiene[[#This Row],[Item]],supercb[Bairro],mercado17)</f>
        <v>0</v>
      </c>
      <c r="BB160" s="18">
        <f>SUMIFS(super1[Qtde],super1[Item],tab_higiene[[#This Row],[Item]],super1[Bairro],mercado18)+SUMIFS(supercb[Qtde],supercb[Item],tab_higiene[[#This Row],[Item]],supercb[Bairro],mercado18)</f>
        <v>0</v>
      </c>
      <c r="BC160" s="18">
        <f>SUMIFS(super1[Qtde],super1[Item],tab_higiene[[#This Row],[Item]],super1[Bairro],extras)+SUMIFS(supercb[Qtde],supercb[Item],tab_higiene[[#This Row],[Item]],supercb[Bairro],extras)</f>
        <v>0</v>
      </c>
      <c r="BD160" s="1">
        <f t="shared" si="64"/>
        <v>1</v>
      </c>
      <c r="BE160" s="1">
        <f t="shared" si="65"/>
        <v>7.56</v>
      </c>
      <c r="BF160" s="26">
        <f t="shared" si="66"/>
        <v>2.2823245586767062</v>
      </c>
    </row>
    <row r="161" spans="9:58" x14ac:dyDescent="0.25">
      <c r="I161" s="25" t="str">
        <f>alimentos[[#This Row],[Item]]</f>
        <v>Leite em pó (800g)</v>
      </c>
      <c r="J161" s="1">
        <f>IFERROR(alimentos[[#This Row],[kg/embalagem]],0)</f>
        <v>0.8</v>
      </c>
      <c r="K161" s="18">
        <f>IFERROR(alimentos[[#This Row],[Preço]],0)</f>
        <v>24.797499999999999</v>
      </c>
      <c r="L161" s="18">
        <f>SUMIFS(super1[Qtde],super1[Item],tab_alimentos[[#This Row],[Item]],super1[Bairro],mercado1)+SUMIFS(supercb[Qtde],supercb[Item],tab_alimentos[[#This Row],[Item]],supercb[Bairro],mercado1)</f>
        <v>0</v>
      </c>
      <c r="M161" s="18">
        <f>SUMIFS(super1[Qtde],super1[Item],tab_alimentos[[#This Row],[Item]],super1[Bairro],mercado2)+SUMIFS(supercb[Qtde],supercb[Item],tab_alimentos[[#This Row],[Item]],supercb[Bairro],mercado2)</f>
        <v>0</v>
      </c>
      <c r="N161" s="1">
        <f>SUMIFS(super1[Qtde],super1[Item],tab_alimentos[[#This Row],[Item]],super1[Bairro],mercado3)+SUMIFS(supercb[Qtde],supercb[Item],tab_alimentos[[#This Row],[Item]],supercb[Bairro],mercado3)</f>
        <v>0</v>
      </c>
      <c r="O161" s="18">
        <f>SUMIFS(super1[Qtde],super1[Item],tab_alimentos[[#This Row],[Item]],super1[Bairro],mercado4)+SUMIFS(supercb[Qtde],supercb[Item],tab_alimentos[[#This Row],[Item]],supercb[Bairro],mercado4)</f>
        <v>0</v>
      </c>
      <c r="P161" s="18">
        <f>SUMIFS(super1[Qtde],super1[Item],tab_alimentos[[#This Row],[Item]],super1[Bairro],mercado5)+SUMIFS(supercb[Qtde],supercb[Item],tab_alimentos[[#This Row],[Item]],supercb[Bairro],mercado5)</f>
        <v>0</v>
      </c>
      <c r="Q161" s="18">
        <f>SUMIFS(super1[Qtde],super1[Item],tab_alimentos[[#This Row],[Item]],super1[Bairro],mercado6)+SUMIFS(supercb[Qtde],supercb[Item],tab_alimentos[[#This Row],[Item]],supercb[Bairro],mercado6)</f>
        <v>0</v>
      </c>
      <c r="R161" s="18">
        <f>SUMIFS(super1[Qtde],super1[Item],tab_alimentos[[#This Row],[Item]],super1[Bairro],mercado7)+SUMIFS(supercb[Qtde],supercb[Item],tab_alimentos[[#This Row],[Item]],supercb[Bairro],mercado7)</f>
        <v>0</v>
      </c>
      <c r="S161" s="18">
        <f>SUMIFS(super1[Qtde],super1[Item],tab_alimentos[[#This Row],[Item]],super1[Bairro],mercado8)+SUMIFS(supercb[Qtde],supercb[Item],tab_alimentos[[#This Row],[Item]],supercb[Bairro],mercado8)</f>
        <v>0</v>
      </c>
      <c r="T161" s="18">
        <f>SUMIFS(super1[Qtde],super1[Item],tab_alimentos[[#This Row],[Item]],super1[Bairro],mercado9)+SUMIFS(supercb[Qtde],supercb[Item],tab_alimentos[[#This Row],[Item]],supercb[Bairro],mercado9)</f>
        <v>1</v>
      </c>
      <c r="U161" s="18">
        <f>SUMIFS(super1[Qtde],super1[Item],tab_alimentos[[#This Row],[Item]],super1[Bairro],mercado10)+SUMIFS(supercb[Qtde],supercb[Item],tab_alimentos[[#This Row],[Item]],supercb[Bairro],mercado10)</f>
        <v>0</v>
      </c>
      <c r="V161" s="18">
        <f>SUMIFS(super1[Qtde],super1[Item],tab_alimentos[[#This Row],[Item]],super1[Bairro],mercado11)+SUMIFS(supercb[Qtde],supercb[Item],tab_alimentos[[#This Row],[Item]],supercb[Bairro],mercado11)</f>
        <v>0</v>
      </c>
      <c r="W161" s="18">
        <f>SUMIFS(super1[Qtde],super1[Item],tab_alimentos[[#This Row],[Item]],super1[Bairro],mercado12)+SUMIFS(supercb[Qtde],supercb[Item],tab_alimentos[[#This Row],[Item]],supercb[Bairro],mercado12)</f>
        <v>0</v>
      </c>
      <c r="X161" s="18">
        <f>SUMIFS(super1[Qtde],super1[Item],tab_alimentos[[#This Row],[Item]],super1[Bairro],mercado13)+SUMIFS(supercb[Qtde],supercb[Item],tab_alimentos[[#This Row],[Item]],supercb[Bairro],mercado13)</f>
        <v>0</v>
      </c>
      <c r="Y161" s="18">
        <f>SUMIFS(super1[Qtde],super1[Item],tab_alimentos[[#This Row],[Item]],super1[Bairro],mercado14)+SUMIFS(supercb[Qtde],supercb[Item],tab_alimentos[[#This Row],[Item]],supercb[Bairro],mercado14)</f>
        <v>0</v>
      </c>
      <c r="Z161" s="18">
        <f>SUMIFS(super1[Qtde],super1[Item],tab_alimentos[[#This Row],[Item]],super1[Bairro],mercado15)+SUMIFS(supercb[Qtde],supercb[Item],tab_alimentos[[#This Row],[Item]],supercb[Bairro],mercado15)</f>
        <v>0</v>
      </c>
      <c r="AA161" s="18">
        <f>SUMIFS(super1[Qtde],super1[Item],tab_alimentos[[#This Row],[Item]],super1[Bairro],mercado16)+SUMIFS(supercb[Qtde],supercb[Item],tab_alimentos[[#This Row],[Item]],supercb[Bairro],mercado16)</f>
        <v>0</v>
      </c>
      <c r="AB161" s="18">
        <f>SUMIFS(super1[Qtde],super1[Item],tab_alimentos[[#This Row],[Item]],super1[Bairro],mercado17)+SUMIFS(supercb[Qtde],supercb[Item],tab_alimentos[[#This Row],[Item]],supercb[Bairro],mercado17)</f>
        <v>0</v>
      </c>
      <c r="AC161" s="18">
        <f>SUMIFS(super1[Qtde],super1[Item],tab_alimentos[[#This Row],[Item]],super1[Bairro],mercado18)+SUMIFS(supercb[Qtde],supercb[Item],tab_alimentos[[#This Row],[Item]],supercb[Bairro],mercado18)</f>
        <v>0</v>
      </c>
      <c r="AD161" s="18">
        <f>SUMIFS(super1[Qtde],super1[Item],tab_alimentos[[#This Row],[Item]],super1[Bairro],extras)+SUMIFS(supercb[Qtde],supercb[Item],tab_alimentos[[#This Row],[Item]],supercb[Bairro],extras)</f>
        <v>0</v>
      </c>
      <c r="AE161" s="1">
        <f t="shared" si="67"/>
        <v>1</v>
      </c>
      <c r="AF161" s="1">
        <f t="shared" si="68"/>
        <v>24.797499999999999</v>
      </c>
      <c r="AG161" s="26">
        <f t="shared" si="69"/>
        <v>0.8</v>
      </c>
      <c r="AH161" s="25" t="str">
        <f>higiene[[#This Row],[Item]]</f>
        <v>Polvilho antisséptico (100g)</v>
      </c>
      <c r="AI161" s="18">
        <f>IFERROR(higiene[[#This Row],[Kg equivalente]],0)</f>
        <v>3.3042383987720307</v>
      </c>
      <c r="AJ161" s="18">
        <f>IFERROR(higiene[[#This Row],[Preço por produto]],0)</f>
        <v>10.945</v>
      </c>
      <c r="AK161" s="18">
        <f>SUMIFS(super1[Qtde],super1[Item],tab_higiene[[#This Row],[Item]],super1[Bairro],mercado1)+SUMIFS(supercb[Qtde],supercb[Item],tab_higiene[[#This Row],[Item]],supercb[Bairro],mercado1)</f>
        <v>0</v>
      </c>
      <c r="AL161" s="18">
        <f>SUMIFS(super1[Qtde],super1[Item],tab_higiene[[#This Row],[Item]],super1[Bairro],mercado2)+SUMIFS(supercb[Qtde],supercb[Item],tab_higiene[[#This Row],[Item]],supercb[Bairro],mercado2)</f>
        <v>0</v>
      </c>
      <c r="AM161" s="18">
        <f>SUMIFS(super1[Qtde],super1[Item],tab_higiene[[#This Row],[Item]],super1[Bairro],mercado3)+SUMIFS(supercb[Qtde],supercb[Item],tab_higiene[[#This Row],[Item]],supercb[Bairro],mercado3)</f>
        <v>0</v>
      </c>
      <c r="AN161" s="18">
        <f>SUMIFS(super1[Qtde],super1[Item],tab_higiene[[#This Row],[Item]],super1[Bairro],mercado4)+SUMIFS(supercb[Qtde],supercb[Item],tab_higiene[[#This Row],[Item]],supercb[Bairro],mercado4)</f>
        <v>0</v>
      </c>
      <c r="AO161" s="18">
        <f>SUMIFS(super1[Qtde],super1[Item],tab_higiene[[#This Row],[Item]],super1[Bairro],mercado5)+SUMIFS(supercb[Qtde],supercb[Item],tab_higiene[[#This Row],[Item]],supercb[Bairro],mercado5)</f>
        <v>0</v>
      </c>
      <c r="AP161" s="18">
        <f>SUMIFS(super1[Qtde],super1[Item],tab_higiene[[#This Row],[Item]],super1[Bairro],mercado6)+SUMIFS(supercb[Qtde],supercb[Item],tab_higiene[[#This Row],[Item]],supercb[Bairro],mercado6)</f>
        <v>0</v>
      </c>
      <c r="AQ161" s="18">
        <f>SUMIFS(super1[Qtde],super1[Item],tab_higiene[[#This Row],[Item]],super1[Bairro],mercado7)+SUMIFS(supercb[Qtde],supercb[Item],tab_higiene[[#This Row],[Item]],supercb[Bairro],mercado7)</f>
        <v>0</v>
      </c>
      <c r="AR161" s="18">
        <f>SUMIFS(super1[Qtde],super1[Item],tab_higiene[[#This Row],[Item]],super1[Bairro],mercado8)+SUMIFS(supercb[Qtde],supercb[Item],tab_higiene[[#This Row],[Item]],supercb[Bairro],mercado8)</f>
        <v>0</v>
      </c>
      <c r="AS161" s="18">
        <f>SUMIFS(super1[Qtde],super1[Item],tab_higiene[[#This Row],[Item]],super1[Bairro],mercado9)+SUMIFS(supercb[Qtde],supercb[Item],tab_higiene[[#This Row],[Item]],supercb[Bairro],mercado9)</f>
        <v>0</v>
      </c>
      <c r="AT161" s="18">
        <f>SUMIFS(super1[Qtde],super1[Item],tab_higiene[[#This Row],[Item]],super1[Bairro],mercado10)+SUMIFS(supercb[Qtde],supercb[Item],tab_higiene[[#This Row],[Item]],supercb[Bairro],mercado10)</f>
        <v>0</v>
      </c>
      <c r="AU161" s="18">
        <f>SUMIFS(super1[Qtde],super1[Item],tab_higiene[[#This Row],[Item]],super1[Bairro],mercado11)+SUMIFS(supercb[Qtde],supercb[Item],tab_higiene[[#This Row],[Item]],supercb[Bairro],mercado11)</f>
        <v>0</v>
      </c>
      <c r="AV161" s="18">
        <f>SUMIFS(super1[Qtde],super1[Item],tab_higiene[[#This Row],[Item]],super1[Bairro],mercado12)+SUMIFS(supercb[Qtde],supercb[Item],tab_higiene[[#This Row],[Item]],supercb[Bairro],mercado12)</f>
        <v>0</v>
      </c>
      <c r="AW161" s="18">
        <f>SUMIFS(super1[Qtde],super1[Item],tab_higiene[[#This Row],[Item]],super1[Bairro],mercado13)+SUMIFS(supercb[Qtde],supercb[Item],tab_higiene[[#This Row],[Item]],supercb[Bairro],mercado13)</f>
        <v>0</v>
      </c>
      <c r="AX161" s="18">
        <f>SUMIFS(super1[Qtde],super1[Item],tab_higiene[[#This Row],[Item]],super1[Bairro],mercado14)+SUMIFS(supercb[Qtde],supercb[Item],tab_higiene[[#This Row],[Item]],supercb[Bairro],mercado14)</f>
        <v>0</v>
      </c>
      <c r="AY161" s="18">
        <f>SUMIFS(super1[Qtde],super1[Item],tab_higiene[[#This Row],[Item]],super1[Bairro],mercado15)+SUMIFS(supercb[Qtde],supercb[Item],tab_higiene[[#This Row],[Item]],supercb[Bairro],mercado15)</f>
        <v>0</v>
      </c>
      <c r="AZ161" s="18">
        <f>SUMIFS(super1[Qtde],super1[Item],tab_higiene[[#This Row],[Item]],super1[Bairro],mercado16)+SUMIFS(supercb[Qtde],supercb[Item],tab_higiene[[#This Row],[Item]],supercb[Bairro],mercado16)</f>
        <v>0</v>
      </c>
      <c r="BA161" s="18">
        <f>SUMIFS(super1[Qtde],super1[Item],tab_higiene[[#This Row],[Item]],super1[Bairro],mercado17)+SUMIFS(supercb[Qtde],supercb[Item],tab_higiene[[#This Row],[Item]],supercb[Bairro],mercado17)</f>
        <v>0</v>
      </c>
      <c r="BB161" s="18">
        <f>SUMIFS(super1[Qtde],super1[Item],tab_higiene[[#This Row],[Item]],super1[Bairro],mercado18)+SUMIFS(supercb[Qtde],supercb[Item],tab_higiene[[#This Row],[Item]],supercb[Bairro],mercado18)</f>
        <v>0</v>
      </c>
      <c r="BC161" s="18">
        <f>SUMIFS(super1[Qtde],super1[Item],tab_higiene[[#This Row],[Item]],super1[Bairro],extras)+SUMIFS(supercb[Qtde],supercb[Item],tab_higiene[[#This Row],[Item]],supercb[Bairro],extras)</f>
        <v>0</v>
      </c>
      <c r="BD161" s="1">
        <f t="shared" si="64"/>
        <v>0</v>
      </c>
      <c r="BE161" s="1">
        <f t="shared" si="65"/>
        <v>0</v>
      </c>
      <c r="BF161" s="26">
        <f t="shared" si="66"/>
        <v>0</v>
      </c>
    </row>
    <row r="162" spans="9:58" x14ac:dyDescent="0.25">
      <c r="I162" s="25" t="str">
        <f>alimentos[[#This Row],[Item]]</f>
        <v>Lentilha (1kg)</v>
      </c>
      <c r="J162" s="1">
        <f>IFERROR(alimentos[[#This Row],[kg/embalagem]],0)</f>
        <v>1</v>
      </c>
      <c r="K162" s="18">
        <f>IFERROR(alimentos[[#This Row],[Preço]],0)</f>
        <v>18.54</v>
      </c>
      <c r="L162" s="18">
        <f>SUMIFS(super1[Qtde],super1[Item],tab_alimentos[[#This Row],[Item]],super1[Bairro],mercado1)+SUMIFS(supercb[Qtde],supercb[Item],tab_alimentos[[#This Row],[Item]],supercb[Bairro],mercado1)</f>
        <v>0</v>
      </c>
      <c r="M162" s="18">
        <f>SUMIFS(super1[Qtde],super1[Item],tab_alimentos[[#This Row],[Item]],super1[Bairro],mercado2)+SUMIFS(supercb[Qtde],supercb[Item],tab_alimentos[[#This Row],[Item]],supercb[Bairro],mercado2)</f>
        <v>0</v>
      </c>
      <c r="N162" s="1">
        <f>SUMIFS(super1[Qtde],super1[Item],tab_alimentos[[#This Row],[Item]],super1[Bairro],mercado3)+SUMIFS(supercb[Qtde],supercb[Item],tab_alimentos[[#This Row],[Item]],supercb[Bairro],mercado3)</f>
        <v>0</v>
      </c>
      <c r="O162" s="18">
        <f>SUMIFS(super1[Qtde],super1[Item],tab_alimentos[[#This Row],[Item]],super1[Bairro],mercado4)+SUMIFS(supercb[Qtde],supercb[Item],tab_alimentos[[#This Row],[Item]],supercb[Bairro],mercado4)</f>
        <v>0</v>
      </c>
      <c r="P162" s="18">
        <f>SUMIFS(super1[Qtde],super1[Item],tab_alimentos[[#This Row],[Item]],super1[Bairro],mercado5)+SUMIFS(supercb[Qtde],supercb[Item],tab_alimentos[[#This Row],[Item]],supercb[Bairro],mercado5)</f>
        <v>0</v>
      </c>
      <c r="Q162" s="18">
        <f>SUMIFS(super1[Qtde],super1[Item],tab_alimentos[[#This Row],[Item]],super1[Bairro],mercado6)+SUMIFS(supercb[Qtde],supercb[Item],tab_alimentos[[#This Row],[Item]],supercb[Bairro],mercado6)</f>
        <v>0</v>
      </c>
      <c r="R162" s="18">
        <f>SUMIFS(super1[Qtde],super1[Item],tab_alimentos[[#This Row],[Item]],super1[Bairro],mercado7)+SUMIFS(supercb[Qtde],supercb[Item],tab_alimentos[[#This Row],[Item]],supercb[Bairro],mercado7)</f>
        <v>0</v>
      </c>
      <c r="S162" s="18">
        <f>SUMIFS(super1[Qtde],super1[Item],tab_alimentos[[#This Row],[Item]],super1[Bairro],mercado8)+SUMIFS(supercb[Qtde],supercb[Item],tab_alimentos[[#This Row],[Item]],supercb[Bairro],mercado8)</f>
        <v>0</v>
      </c>
      <c r="T162" s="18">
        <f>SUMIFS(super1[Qtde],super1[Item],tab_alimentos[[#This Row],[Item]],super1[Bairro],mercado9)+SUMIFS(supercb[Qtde],supercb[Item],tab_alimentos[[#This Row],[Item]],supercb[Bairro],mercado9)</f>
        <v>0</v>
      </c>
      <c r="U162" s="18">
        <f>SUMIFS(super1[Qtde],super1[Item],tab_alimentos[[#This Row],[Item]],super1[Bairro],mercado10)+SUMIFS(supercb[Qtde],supercb[Item],tab_alimentos[[#This Row],[Item]],supercb[Bairro],mercado10)</f>
        <v>0</v>
      </c>
      <c r="V162" s="18">
        <f>SUMIFS(super1[Qtde],super1[Item],tab_alimentos[[#This Row],[Item]],super1[Bairro],mercado11)+SUMIFS(supercb[Qtde],supercb[Item],tab_alimentos[[#This Row],[Item]],supercb[Bairro],mercado11)</f>
        <v>0</v>
      </c>
      <c r="W162" s="18">
        <f>SUMIFS(super1[Qtde],super1[Item],tab_alimentos[[#This Row],[Item]],super1[Bairro],mercado12)+SUMIFS(supercb[Qtde],supercb[Item],tab_alimentos[[#This Row],[Item]],supercb[Bairro],mercado12)</f>
        <v>0</v>
      </c>
      <c r="X162" s="18">
        <f>SUMIFS(super1[Qtde],super1[Item],tab_alimentos[[#This Row],[Item]],super1[Bairro],mercado13)+SUMIFS(supercb[Qtde],supercb[Item],tab_alimentos[[#This Row],[Item]],supercb[Bairro],mercado13)</f>
        <v>0</v>
      </c>
      <c r="Y162" s="18">
        <f>SUMIFS(super1[Qtde],super1[Item],tab_alimentos[[#This Row],[Item]],super1[Bairro],mercado14)+SUMIFS(supercb[Qtde],supercb[Item],tab_alimentos[[#This Row],[Item]],supercb[Bairro],mercado14)</f>
        <v>0</v>
      </c>
      <c r="Z162" s="18">
        <f>SUMIFS(super1[Qtde],super1[Item],tab_alimentos[[#This Row],[Item]],super1[Bairro],mercado15)+SUMIFS(supercb[Qtde],supercb[Item],tab_alimentos[[#This Row],[Item]],supercb[Bairro],mercado15)</f>
        <v>0</v>
      </c>
      <c r="AA162" s="18">
        <f>SUMIFS(super1[Qtde],super1[Item],tab_alimentos[[#This Row],[Item]],super1[Bairro],mercado16)+SUMIFS(supercb[Qtde],supercb[Item],tab_alimentos[[#This Row],[Item]],supercb[Bairro],mercado16)</f>
        <v>0</v>
      </c>
      <c r="AB162" s="18">
        <f>SUMIFS(super1[Qtde],super1[Item],tab_alimentos[[#This Row],[Item]],super1[Bairro],mercado17)+SUMIFS(supercb[Qtde],supercb[Item],tab_alimentos[[#This Row],[Item]],supercb[Bairro],mercado17)</f>
        <v>0</v>
      </c>
      <c r="AC162" s="18">
        <f>SUMIFS(super1[Qtde],super1[Item],tab_alimentos[[#This Row],[Item]],super1[Bairro],mercado18)+SUMIFS(supercb[Qtde],supercb[Item],tab_alimentos[[#This Row],[Item]],supercb[Bairro],mercado18)</f>
        <v>0</v>
      </c>
      <c r="AD162" s="18">
        <f>SUMIFS(super1[Qtde],super1[Item],tab_alimentos[[#This Row],[Item]],super1[Bairro],extras)+SUMIFS(supercb[Qtde],supercb[Item],tab_alimentos[[#This Row],[Item]],supercb[Bairro],extras)</f>
        <v>0</v>
      </c>
      <c r="AE162" s="1">
        <f t="shared" si="67"/>
        <v>0</v>
      </c>
      <c r="AF162" s="1">
        <f t="shared" si="68"/>
        <v>0</v>
      </c>
      <c r="AG162" s="26">
        <f t="shared" si="69"/>
        <v>0</v>
      </c>
      <c r="AH162" s="25" t="str">
        <f>higiene[[#This Row],[Item]]</f>
        <v>Q</v>
      </c>
      <c r="AI162" s="18">
        <f>IFERROR(higiene[[#This Row],[Kg equivalente]],0)</f>
        <v>0</v>
      </c>
      <c r="AJ162" s="18" t="str">
        <f>IFERROR(higiene[[#This Row],[Preço por produto]],0)</f>
        <v/>
      </c>
      <c r="AK162" s="18">
        <f>SUMIFS(super1[Qtde],super1[Item],tab_higiene[[#This Row],[Item]],super1[Bairro],mercado1)+SUMIFS(supercb[Qtde],supercb[Item],tab_higiene[[#This Row],[Item]],supercb[Bairro],mercado1)</f>
        <v>0</v>
      </c>
      <c r="AL162" s="18">
        <f>SUMIFS(super1[Qtde],super1[Item],tab_higiene[[#This Row],[Item]],super1[Bairro],mercado2)+SUMIFS(supercb[Qtde],supercb[Item],tab_higiene[[#This Row],[Item]],supercb[Bairro],mercado2)</f>
        <v>0</v>
      </c>
      <c r="AM162" s="18">
        <f>SUMIFS(super1[Qtde],super1[Item],tab_higiene[[#This Row],[Item]],super1[Bairro],mercado3)+SUMIFS(supercb[Qtde],supercb[Item],tab_higiene[[#This Row],[Item]],supercb[Bairro],mercado3)</f>
        <v>0</v>
      </c>
      <c r="AN162" s="18">
        <f>SUMIFS(super1[Qtde],super1[Item],tab_higiene[[#This Row],[Item]],super1[Bairro],mercado4)+SUMIFS(supercb[Qtde],supercb[Item],tab_higiene[[#This Row],[Item]],supercb[Bairro],mercado4)</f>
        <v>0</v>
      </c>
      <c r="AO162" s="18">
        <f>SUMIFS(super1[Qtde],super1[Item],tab_higiene[[#This Row],[Item]],super1[Bairro],mercado5)+SUMIFS(supercb[Qtde],supercb[Item],tab_higiene[[#This Row],[Item]],supercb[Bairro],mercado5)</f>
        <v>0</v>
      </c>
      <c r="AP162" s="18">
        <f>SUMIFS(super1[Qtde],super1[Item],tab_higiene[[#This Row],[Item]],super1[Bairro],mercado6)+SUMIFS(supercb[Qtde],supercb[Item],tab_higiene[[#This Row],[Item]],supercb[Bairro],mercado6)</f>
        <v>0</v>
      </c>
      <c r="AQ162" s="18">
        <f>SUMIFS(super1[Qtde],super1[Item],tab_higiene[[#This Row],[Item]],super1[Bairro],mercado7)+SUMIFS(supercb[Qtde],supercb[Item],tab_higiene[[#This Row],[Item]],supercb[Bairro],mercado7)</f>
        <v>0</v>
      </c>
      <c r="AR162" s="18">
        <f>SUMIFS(super1[Qtde],super1[Item],tab_higiene[[#This Row],[Item]],super1[Bairro],mercado8)+SUMIFS(supercb[Qtde],supercb[Item],tab_higiene[[#This Row],[Item]],supercb[Bairro],mercado8)</f>
        <v>0</v>
      </c>
      <c r="AS162" s="18">
        <f>SUMIFS(super1[Qtde],super1[Item],tab_higiene[[#This Row],[Item]],super1[Bairro],mercado9)+SUMIFS(supercb[Qtde],supercb[Item],tab_higiene[[#This Row],[Item]],supercb[Bairro],mercado9)</f>
        <v>0</v>
      </c>
      <c r="AT162" s="18">
        <f>SUMIFS(super1[Qtde],super1[Item],tab_higiene[[#This Row],[Item]],super1[Bairro],mercado10)+SUMIFS(supercb[Qtde],supercb[Item],tab_higiene[[#This Row],[Item]],supercb[Bairro],mercado10)</f>
        <v>0</v>
      </c>
      <c r="AU162" s="18">
        <f>SUMIFS(super1[Qtde],super1[Item],tab_higiene[[#This Row],[Item]],super1[Bairro],mercado11)+SUMIFS(supercb[Qtde],supercb[Item],tab_higiene[[#This Row],[Item]],supercb[Bairro],mercado11)</f>
        <v>0</v>
      </c>
      <c r="AV162" s="18">
        <f>SUMIFS(super1[Qtde],super1[Item],tab_higiene[[#This Row],[Item]],super1[Bairro],mercado12)+SUMIFS(supercb[Qtde],supercb[Item],tab_higiene[[#This Row],[Item]],supercb[Bairro],mercado12)</f>
        <v>0</v>
      </c>
      <c r="AW162" s="18">
        <f>SUMIFS(super1[Qtde],super1[Item],tab_higiene[[#This Row],[Item]],super1[Bairro],mercado13)+SUMIFS(supercb[Qtde],supercb[Item],tab_higiene[[#This Row],[Item]],supercb[Bairro],mercado13)</f>
        <v>0</v>
      </c>
      <c r="AX162" s="18">
        <f>SUMIFS(super1[Qtde],super1[Item],tab_higiene[[#This Row],[Item]],super1[Bairro],mercado14)+SUMIFS(supercb[Qtde],supercb[Item],tab_higiene[[#This Row],[Item]],supercb[Bairro],mercado14)</f>
        <v>0</v>
      </c>
      <c r="AY162" s="18">
        <f>SUMIFS(super1[Qtde],super1[Item],tab_higiene[[#This Row],[Item]],super1[Bairro],mercado15)+SUMIFS(supercb[Qtde],supercb[Item],tab_higiene[[#This Row],[Item]],supercb[Bairro],mercado15)</f>
        <v>0</v>
      </c>
      <c r="AZ162" s="18">
        <f>SUMIFS(super1[Qtde],super1[Item],tab_higiene[[#This Row],[Item]],super1[Bairro],mercado16)+SUMIFS(supercb[Qtde],supercb[Item],tab_higiene[[#This Row],[Item]],supercb[Bairro],mercado16)</f>
        <v>0</v>
      </c>
      <c r="BA162" s="18">
        <f>SUMIFS(super1[Qtde],super1[Item],tab_higiene[[#This Row],[Item]],super1[Bairro],mercado17)+SUMIFS(supercb[Qtde],supercb[Item],tab_higiene[[#This Row],[Item]],supercb[Bairro],mercado17)</f>
        <v>0</v>
      </c>
      <c r="BB162" s="18">
        <f>SUMIFS(super1[Qtde],super1[Item],tab_higiene[[#This Row],[Item]],super1[Bairro],mercado18)+SUMIFS(supercb[Qtde],supercb[Item],tab_higiene[[#This Row],[Item]],supercb[Bairro],mercado18)</f>
        <v>0</v>
      </c>
      <c r="BC162" s="18">
        <f>SUMIFS(super1[Qtde],super1[Item],tab_higiene[[#This Row],[Item]],super1[Bairro],extras)+SUMIFS(supercb[Qtde],supercb[Item],tab_higiene[[#This Row],[Item]],supercb[Bairro],extras)</f>
        <v>0</v>
      </c>
      <c r="BD162" s="1">
        <f t="shared" si="64"/>
        <v>0</v>
      </c>
      <c r="BE162" s="1">
        <f t="shared" si="65"/>
        <v>0</v>
      </c>
      <c r="BF162" s="26">
        <f t="shared" si="66"/>
        <v>0</v>
      </c>
    </row>
    <row r="163" spans="9:58" x14ac:dyDescent="0.25">
      <c r="I163" s="25" t="str">
        <f>alimentos[[#This Row],[Item]]</f>
        <v>Lentilha (200g)</v>
      </c>
      <c r="J163" s="1">
        <f>IFERROR(alimentos[[#This Row],[kg/embalagem]],0)</f>
        <v>0.2</v>
      </c>
      <c r="K163" s="18">
        <f>IFERROR(alimentos[[#This Row],[Preço]],0)</f>
        <v>2.99</v>
      </c>
      <c r="L163" s="18">
        <f>SUMIFS(super1[Qtde],super1[Item],tab_alimentos[[#This Row],[Item]],super1[Bairro],mercado1)+SUMIFS(supercb[Qtde],supercb[Item],tab_alimentos[[#This Row],[Item]],supercb[Bairro],mercado1)</f>
        <v>0</v>
      </c>
      <c r="M163" s="18">
        <f>SUMIFS(super1[Qtde],super1[Item],tab_alimentos[[#This Row],[Item]],super1[Bairro],mercado2)+SUMIFS(supercb[Qtde],supercb[Item],tab_alimentos[[#This Row],[Item]],supercb[Bairro],mercado2)</f>
        <v>0</v>
      </c>
      <c r="N163" s="1">
        <f>SUMIFS(super1[Qtde],super1[Item],tab_alimentos[[#This Row],[Item]],super1[Bairro],mercado3)+SUMIFS(supercb[Qtde],supercb[Item],tab_alimentos[[#This Row],[Item]],supercb[Bairro],mercado3)</f>
        <v>0</v>
      </c>
      <c r="O163" s="18">
        <f>SUMIFS(super1[Qtde],super1[Item],tab_alimentos[[#This Row],[Item]],super1[Bairro],mercado4)+SUMIFS(supercb[Qtde],supercb[Item],tab_alimentos[[#This Row],[Item]],supercb[Bairro],mercado4)</f>
        <v>0</v>
      </c>
      <c r="P163" s="18">
        <f>SUMIFS(super1[Qtde],super1[Item],tab_alimentos[[#This Row],[Item]],super1[Bairro],mercado5)+SUMIFS(supercb[Qtde],supercb[Item],tab_alimentos[[#This Row],[Item]],supercb[Bairro],mercado5)</f>
        <v>0</v>
      </c>
      <c r="Q163" s="18">
        <f>SUMIFS(super1[Qtde],super1[Item],tab_alimentos[[#This Row],[Item]],super1[Bairro],mercado6)+SUMIFS(supercb[Qtde],supercb[Item],tab_alimentos[[#This Row],[Item]],supercb[Bairro],mercado6)</f>
        <v>0</v>
      </c>
      <c r="R163" s="18">
        <f>SUMIFS(super1[Qtde],super1[Item],tab_alimentos[[#This Row],[Item]],super1[Bairro],mercado7)+SUMIFS(supercb[Qtde],supercb[Item],tab_alimentos[[#This Row],[Item]],supercb[Bairro],mercado7)</f>
        <v>0</v>
      </c>
      <c r="S163" s="18">
        <f>SUMIFS(super1[Qtde],super1[Item],tab_alimentos[[#This Row],[Item]],super1[Bairro],mercado8)+SUMIFS(supercb[Qtde],supercb[Item],tab_alimentos[[#This Row],[Item]],supercb[Bairro],mercado8)</f>
        <v>0</v>
      </c>
      <c r="T163" s="18">
        <f>SUMIFS(super1[Qtde],super1[Item],tab_alimentos[[#This Row],[Item]],super1[Bairro],mercado9)+SUMIFS(supercb[Qtde],supercb[Item],tab_alimentos[[#This Row],[Item]],supercb[Bairro],mercado9)</f>
        <v>0</v>
      </c>
      <c r="U163" s="18">
        <f>SUMIFS(super1[Qtde],super1[Item],tab_alimentos[[#This Row],[Item]],super1[Bairro],mercado10)+SUMIFS(supercb[Qtde],supercb[Item],tab_alimentos[[#This Row],[Item]],supercb[Bairro],mercado10)</f>
        <v>0</v>
      </c>
      <c r="V163" s="18">
        <f>SUMIFS(super1[Qtde],super1[Item],tab_alimentos[[#This Row],[Item]],super1[Bairro],mercado11)+SUMIFS(supercb[Qtde],supercb[Item],tab_alimentos[[#This Row],[Item]],supercb[Bairro],mercado11)</f>
        <v>0</v>
      </c>
      <c r="W163" s="18">
        <f>SUMIFS(super1[Qtde],super1[Item],tab_alimentos[[#This Row],[Item]],super1[Bairro],mercado12)+SUMIFS(supercb[Qtde],supercb[Item],tab_alimentos[[#This Row],[Item]],supercb[Bairro],mercado12)</f>
        <v>0</v>
      </c>
      <c r="X163" s="18">
        <f>SUMIFS(super1[Qtde],super1[Item],tab_alimentos[[#This Row],[Item]],super1[Bairro],mercado13)+SUMIFS(supercb[Qtde],supercb[Item],tab_alimentos[[#This Row],[Item]],supercb[Bairro],mercado13)</f>
        <v>0</v>
      </c>
      <c r="Y163" s="18">
        <f>SUMIFS(super1[Qtde],super1[Item],tab_alimentos[[#This Row],[Item]],super1[Bairro],mercado14)+SUMIFS(supercb[Qtde],supercb[Item],tab_alimentos[[#This Row],[Item]],supercb[Bairro],mercado14)</f>
        <v>0</v>
      </c>
      <c r="Z163" s="18">
        <f>SUMIFS(super1[Qtde],super1[Item],tab_alimentos[[#This Row],[Item]],super1[Bairro],mercado15)+SUMIFS(supercb[Qtde],supercb[Item],tab_alimentos[[#This Row],[Item]],supercb[Bairro],mercado15)</f>
        <v>0</v>
      </c>
      <c r="AA163" s="18">
        <f>SUMIFS(super1[Qtde],super1[Item],tab_alimentos[[#This Row],[Item]],super1[Bairro],mercado16)+SUMIFS(supercb[Qtde],supercb[Item],tab_alimentos[[#This Row],[Item]],supercb[Bairro],mercado16)</f>
        <v>0</v>
      </c>
      <c r="AB163" s="18">
        <f>SUMIFS(super1[Qtde],super1[Item],tab_alimentos[[#This Row],[Item]],super1[Bairro],mercado17)+SUMIFS(supercb[Qtde],supercb[Item],tab_alimentos[[#This Row],[Item]],supercb[Bairro],mercado17)</f>
        <v>0</v>
      </c>
      <c r="AC163" s="18">
        <f>SUMIFS(super1[Qtde],super1[Item],tab_alimentos[[#This Row],[Item]],super1[Bairro],mercado18)+SUMIFS(supercb[Qtde],supercb[Item],tab_alimentos[[#This Row],[Item]],supercb[Bairro],mercado18)</f>
        <v>0</v>
      </c>
      <c r="AD163" s="18">
        <f>SUMIFS(super1[Qtde],super1[Item],tab_alimentos[[#This Row],[Item]],super1[Bairro],extras)+SUMIFS(supercb[Qtde],supercb[Item],tab_alimentos[[#This Row],[Item]],supercb[Bairro],extras)</f>
        <v>0</v>
      </c>
      <c r="AE163" s="1">
        <f t="shared" si="67"/>
        <v>0</v>
      </c>
      <c r="AF163" s="1">
        <f t="shared" si="68"/>
        <v>0</v>
      </c>
      <c r="AG163" s="26">
        <f t="shared" si="69"/>
        <v>0</v>
      </c>
      <c r="AH163" s="25" t="str">
        <f>higiene[[#This Row],[Item]]</f>
        <v>Querosene (500ml)</v>
      </c>
      <c r="AI163" s="18">
        <f>IFERROR(higiene[[#This Row],[Kg equivalente]],0)</f>
        <v>2.9857394028191306</v>
      </c>
      <c r="AJ163" s="18">
        <f>IFERROR(higiene[[#This Row],[Preço por produto]],0)</f>
        <v>9.89</v>
      </c>
      <c r="AK163" s="18">
        <f>SUMIFS(super1[Qtde],super1[Item],tab_higiene[[#This Row],[Item]],super1[Bairro],mercado1)+SUMIFS(supercb[Qtde],supercb[Item],tab_higiene[[#This Row],[Item]],supercb[Bairro],mercado1)</f>
        <v>0</v>
      </c>
      <c r="AL163" s="18">
        <f>SUMIFS(super1[Qtde],super1[Item],tab_higiene[[#This Row],[Item]],super1[Bairro],mercado2)+SUMIFS(supercb[Qtde],supercb[Item],tab_higiene[[#This Row],[Item]],supercb[Bairro],mercado2)</f>
        <v>0</v>
      </c>
      <c r="AM163" s="18">
        <f>SUMIFS(super1[Qtde],super1[Item],tab_higiene[[#This Row],[Item]],super1[Bairro],mercado3)+SUMIFS(supercb[Qtde],supercb[Item],tab_higiene[[#This Row],[Item]],supercb[Bairro],mercado3)</f>
        <v>0</v>
      </c>
      <c r="AN163" s="18">
        <f>SUMIFS(super1[Qtde],super1[Item],tab_higiene[[#This Row],[Item]],super1[Bairro],mercado4)+SUMIFS(supercb[Qtde],supercb[Item],tab_higiene[[#This Row],[Item]],supercb[Bairro],mercado4)</f>
        <v>0</v>
      </c>
      <c r="AO163" s="18">
        <f>SUMIFS(super1[Qtde],super1[Item],tab_higiene[[#This Row],[Item]],super1[Bairro],mercado5)+SUMIFS(supercb[Qtde],supercb[Item],tab_higiene[[#This Row],[Item]],supercb[Bairro],mercado5)</f>
        <v>0</v>
      </c>
      <c r="AP163" s="18">
        <f>SUMIFS(super1[Qtde],super1[Item],tab_higiene[[#This Row],[Item]],super1[Bairro],mercado6)+SUMIFS(supercb[Qtde],supercb[Item],tab_higiene[[#This Row],[Item]],supercb[Bairro],mercado6)</f>
        <v>0</v>
      </c>
      <c r="AQ163" s="18">
        <f>SUMIFS(super1[Qtde],super1[Item],tab_higiene[[#This Row],[Item]],super1[Bairro],mercado7)+SUMIFS(supercb[Qtde],supercb[Item],tab_higiene[[#This Row],[Item]],supercb[Bairro],mercado7)</f>
        <v>0</v>
      </c>
      <c r="AR163" s="18">
        <f>SUMIFS(super1[Qtde],super1[Item],tab_higiene[[#This Row],[Item]],super1[Bairro],mercado8)+SUMIFS(supercb[Qtde],supercb[Item],tab_higiene[[#This Row],[Item]],supercb[Bairro],mercado8)</f>
        <v>0</v>
      </c>
      <c r="AS163" s="18">
        <f>SUMIFS(super1[Qtde],super1[Item],tab_higiene[[#This Row],[Item]],super1[Bairro],mercado9)+SUMIFS(supercb[Qtde],supercb[Item],tab_higiene[[#This Row],[Item]],supercb[Bairro],mercado9)</f>
        <v>0</v>
      </c>
      <c r="AT163" s="18">
        <f>SUMIFS(super1[Qtde],super1[Item],tab_higiene[[#This Row],[Item]],super1[Bairro],mercado10)+SUMIFS(supercb[Qtde],supercb[Item],tab_higiene[[#This Row],[Item]],supercb[Bairro],mercado10)</f>
        <v>0</v>
      </c>
      <c r="AU163" s="18">
        <f>SUMIFS(super1[Qtde],super1[Item],tab_higiene[[#This Row],[Item]],super1[Bairro],mercado11)+SUMIFS(supercb[Qtde],supercb[Item],tab_higiene[[#This Row],[Item]],supercb[Bairro],mercado11)</f>
        <v>0</v>
      </c>
      <c r="AV163" s="18">
        <f>SUMIFS(super1[Qtde],super1[Item],tab_higiene[[#This Row],[Item]],super1[Bairro],mercado12)+SUMIFS(supercb[Qtde],supercb[Item],tab_higiene[[#This Row],[Item]],supercb[Bairro],mercado12)</f>
        <v>0</v>
      </c>
      <c r="AW163" s="18">
        <f>SUMIFS(super1[Qtde],super1[Item],tab_higiene[[#This Row],[Item]],super1[Bairro],mercado13)+SUMIFS(supercb[Qtde],supercb[Item],tab_higiene[[#This Row],[Item]],supercb[Bairro],mercado13)</f>
        <v>0</v>
      </c>
      <c r="AX163" s="18">
        <f>SUMIFS(super1[Qtde],super1[Item],tab_higiene[[#This Row],[Item]],super1[Bairro],mercado14)+SUMIFS(supercb[Qtde],supercb[Item],tab_higiene[[#This Row],[Item]],supercb[Bairro],mercado14)</f>
        <v>0</v>
      </c>
      <c r="AY163" s="18">
        <f>SUMIFS(super1[Qtde],super1[Item],tab_higiene[[#This Row],[Item]],super1[Bairro],mercado15)+SUMIFS(supercb[Qtde],supercb[Item],tab_higiene[[#This Row],[Item]],supercb[Bairro],mercado15)</f>
        <v>0</v>
      </c>
      <c r="AZ163" s="18">
        <f>SUMIFS(super1[Qtde],super1[Item],tab_higiene[[#This Row],[Item]],super1[Bairro],mercado16)+SUMIFS(supercb[Qtde],supercb[Item],tab_higiene[[#This Row],[Item]],supercb[Bairro],mercado16)</f>
        <v>0</v>
      </c>
      <c r="BA163" s="18">
        <f>SUMIFS(super1[Qtde],super1[Item],tab_higiene[[#This Row],[Item]],super1[Bairro],mercado17)+SUMIFS(supercb[Qtde],supercb[Item],tab_higiene[[#This Row],[Item]],supercb[Bairro],mercado17)</f>
        <v>0</v>
      </c>
      <c r="BB163" s="18">
        <f>SUMIFS(super1[Qtde],super1[Item],tab_higiene[[#This Row],[Item]],super1[Bairro],mercado18)+SUMIFS(supercb[Qtde],supercb[Item],tab_higiene[[#This Row],[Item]],supercb[Bairro],mercado18)</f>
        <v>0</v>
      </c>
      <c r="BC163" s="18">
        <f>SUMIFS(super1[Qtde],super1[Item],tab_higiene[[#This Row],[Item]],super1[Bairro],extras)+SUMIFS(supercb[Qtde],supercb[Item],tab_higiene[[#This Row],[Item]],supercb[Bairro],extras)</f>
        <v>0</v>
      </c>
      <c r="BD163" s="1">
        <f t="shared" si="64"/>
        <v>0</v>
      </c>
      <c r="BE163" s="1">
        <f t="shared" si="65"/>
        <v>0</v>
      </c>
      <c r="BF163" s="26">
        <f t="shared" si="66"/>
        <v>0</v>
      </c>
    </row>
    <row r="164" spans="9:58" x14ac:dyDescent="0.25">
      <c r="I164" s="25" t="str">
        <f>alimentos[[#This Row],[Item]]</f>
        <v>Lentilha (380 g)</v>
      </c>
      <c r="J164" s="1">
        <f>IFERROR(alimentos[[#This Row],[kg/embalagem]],0)</f>
        <v>0.38</v>
      </c>
      <c r="K164" s="18">
        <f>IFERROR(alimentos[[#This Row],[Preço]],0)</f>
        <v>7.69</v>
      </c>
      <c r="L164" s="18">
        <f>SUMIFS(super1[Qtde],super1[Item],tab_alimentos[[#This Row],[Item]],super1[Bairro],mercado1)+SUMIFS(supercb[Qtde],supercb[Item],tab_alimentos[[#This Row],[Item]],supercb[Bairro],mercado1)</f>
        <v>0</v>
      </c>
      <c r="M164" s="18">
        <f>SUMIFS(super1[Qtde],super1[Item],tab_alimentos[[#This Row],[Item]],super1[Bairro],mercado2)+SUMIFS(supercb[Qtde],supercb[Item],tab_alimentos[[#This Row],[Item]],supercb[Bairro],mercado2)</f>
        <v>0</v>
      </c>
      <c r="N164" s="1">
        <f>SUMIFS(super1[Qtde],super1[Item],tab_alimentos[[#This Row],[Item]],super1[Bairro],mercado3)+SUMIFS(supercb[Qtde],supercb[Item],tab_alimentos[[#This Row],[Item]],supercb[Bairro],mercado3)</f>
        <v>0</v>
      </c>
      <c r="O164" s="18">
        <f>SUMIFS(super1[Qtde],super1[Item],tab_alimentos[[#This Row],[Item]],super1[Bairro],mercado4)+SUMIFS(supercb[Qtde],supercb[Item],tab_alimentos[[#This Row],[Item]],supercb[Bairro],mercado4)</f>
        <v>0</v>
      </c>
      <c r="P164" s="18">
        <f>SUMIFS(super1[Qtde],super1[Item],tab_alimentos[[#This Row],[Item]],super1[Bairro],mercado5)+SUMIFS(supercb[Qtde],supercb[Item],tab_alimentos[[#This Row],[Item]],supercb[Bairro],mercado5)</f>
        <v>0</v>
      </c>
      <c r="Q164" s="18">
        <f>SUMIFS(super1[Qtde],super1[Item],tab_alimentos[[#This Row],[Item]],super1[Bairro],mercado6)+SUMIFS(supercb[Qtde],supercb[Item],tab_alimentos[[#This Row],[Item]],supercb[Bairro],mercado6)</f>
        <v>0</v>
      </c>
      <c r="R164" s="18">
        <f>SUMIFS(super1[Qtde],super1[Item],tab_alimentos[[#This Row],[Item]],super1[Bairro],mercado7)+SUMIFS(supercb[Qtde],supercb[Item],tab_alimentos[[#This Row],[Item]],supercb[Bairro],mercado7)</f>
        <v>0</v>
      </c>
      <c r="S164" s="18">
        <f>SUMIFS(super1[Qtde],super1[Item],tab_alimentos[[#This Row],[Item]],super1[Bairro],mercado8)+SUMIFS(supercb[Qtde],supercb[Item],tab_alimentos[[#This Row],[Item]],supercb[Bairro],mercado8)</f>
        <v>0</v>
      </c>
      <c r="T164" s="18">
        <f>SUMIFS(super1[Qtde],super1[Item],tab_alimentos[[#This Row],[Item]],super1[Bairro],mercado9)+SUMIFS(supercb[Qtde],supercb[Item],tab_alimentos[[#This Row],[Item]],supercb[Bairro],mercado9)</f>
        <v>0</v>
      </c>
      <c r="U164" s="18">
        <f>SUMIFS(super1[Qtde],super1[Item],tab_alimentos[[#This Row],[Item]],super1[Bairro],mercado10)+SUMIFS(supercb[Qtde],supercb[Item],tab_alimentos[[#This Row],[Item]],supercb[Bairro],mercado10)</f>
        <v>0</v>
      </c>
      <c r="V164" s="18">
        <f>SUMIFS(super1[Qtde],super1[Item],tab_alimentos[[#This Row],[Item]],super1[Bairro],mercado11)+SUMIFS(supercb[Qtde],supercb[Item],tab_alimentos[[#This Row],[Item]],supercb[Bairro],mercado11)</f>
        <v>0</v>
      </c>
      <c r="W164" s="18">
        <f>SUMIFS(super1[Qtde],super1[Item],tab_alimentos[[#This Row],[Item]],super1[Bairro],mercado12)+SUMIFS(supercb[Qtde],supercb[Item],tab_alimentos[[#This Row],[Item]],supercb[Bairro],mercado12)</f>
        <v>0</v>
      </c>
      <c r="X164" s="18">
        <f>SUMIFS(super1[Qtde],super1[Item],tab_alimentos[[#This Row],[Item]],super1[Bairro],mercado13)+SUMIFS(supercb[Qtde],supercb[Item],tab_alimentos[[#This Row],[Item]],supercb[Bairro],mercado13)</f>
        <v>0</v>
      </c>
      <c r="Y164" s="18">
        <f>SUMIFS(super1[Qtde],super1[Item],tab_alimentos[[#This Row],[Item]],super1[Bairro],mercado14)+SUMIFS(supercb[Qtde],supercb[Item],tab_alimentos[[#This Row],[Item]],supercb[Bairro],mercado14)</f>
        <v>0</v>
      </c>
      <c r="Z164" s="18">
        <f>SUMIFS(super1[Qtde],super1[Item],tab_alimentos[[#This Row],[Item]],super1[Bairro],mercado15)+SUMIFS(supercb[Qtde],supercb[Item],tab_alimentos[[#This Row],[Item]],supercb[Bairro],mercado15)</f>
        <v>0</v>
      </c>
      <c r="AA164" s="18">
        <f>SUMIFS(super1[Qtde],super1[Item],tab_alimentos[[#This Row],[Item]],super1[Bairro],mercado16)+SUMIFS(supercb[Qtde],supercb[Item],tab_alimentos[[#This Row],[Item]],supercb[Bairro],mercado16)</f>
        <v>0</v>
      </c>
      <c r="AB164" s="18">
        <f>SUMIFS(super1[Qtde],super1[Item],tab_alimentos[[#This Row],[Item]],super1[Bairro],mercado17)+SUMIFS(supercb[Qtde],supercb[Item],tab_alimentos[[#This Row],[Item]],supercb[Bairro],mercado17)</f>
        <v>0</v>
      </c>
      <c r="AC164" s="18">
        <f>SUMIFS(super1[Qtde],super1[Item],tab_alimentos[[#This Row],[Item]],super1[Bairro],mercado18)+SUMIFS(supercb[Qtde],supercb[Item],tab_alimentos[[#This Row],[Item]],supercb[Bairro],mercado18)</f>
        <v>0</v>
      </c>
      <c r="AD164" s="18">
        <f>SUMIFS(super1[Qtde],super1[Item],tab_alimentos[[#This Row],[Item]],super1[Bairro],extras)+SUMIFS(supercb[Qtde],supercb[Item],tab_alimentos[[#This Row],[Item]],supercb[Bairro],extras)</f>
        <v>0</v>
      </c>
      <c r="AE164" s="1">
        <f t="shared" si="67"/>
        <v>0</v>
      </c>
      <c r="AF164" s="1">
        <f t="shared" si="68"/>
        <v>0</v>
      </c>
      <c r="AG164" s="26">
        <f t="shared" si="69"/>
        <v>0</v>
      </c>
      <c r="AH164" s="25" t="str">
        <f>higiene[[#This Row],[Item]]</f>
        <v>Querosene (900ml)</v>
      </c>
      <c r="AI164" s="18">
        <f>IFERROR(higiene[[#This Row],[Kg equivalente]],0)</f>
        <v>3.6197184468959938</v>
      </c>
      <c r="AJ164" s="18">
        <f>IFERROR(higiene[[#This Row],[Preço por produto]],0)</f>
        <v>11.99</v>
      </c>
      <c r="AK164" s="18">
        <f>SUMIFS(super1[Qtde],super1[Item],tab_higiene[[#This Row],[Item]],super1[Bairro],mercado1)+SUMIFS(supercb[Qtde],supercb[Item],tab_higiene[[#This Row],[Item]],supercb[Bairro],mercado1)</f>
        <v>0</v>
      </c>
      <c r="AL164" s="18">
        <f>SUMIFS(super1[Qtde],super1[Item],tab_higiene[[#This Row],[Item]],super1[Bairro],mercado2)+SUMIFS(supercb[Qtde],supercb[Item],tab_higiene[[#This Row],[Item]],supercb[Bairro],mercado2)</f>
        <v>0</v>
      </c>
      <c r="AM164" s="18">
        <f>SUMIFS(super1[Qtde],super1[Item],tab_higiene[[#This Row],[Item]],super1[Bairro],mercado3)+SUMIFS(supercb[Qtde],supercb[Item],tab_higiene[[#This Row],[Item]],supercb[Bairro],mercado3)</f>
        <v>0</v>
      </c>
      <c r="AN164" s="18">
        <f>SUMIFS(super1[Qtde],super1[Item],tab_higiene[[#This Row],[Item]],super1[Bairro],mercado4)+SUMIFS(supercb[Qtde],supercb[Item],tab_higiene[[#This Row],[Item]],supercb[Bairro],mercado4)</f>
        <v>0</v>
      </c>
      <c r="AO164" s="18">
        <f>SUMIFS(super1[Qtde],super1[Item],tab_higiene[[#This Row],[Item]],super1[Bairro],mercado5)+SUMIFS(supercb[Qtde],supercb[Item],tab_higiene[[#This Row],[Item]],supercb[Bairro],mercado5)</f>
        <v>0</v>
      </c>
      <c r="AP164" s="18">
        <f>SUMIFS(super1[Qtde],super1[Item],tab_higiene[[#This Row],[Item]],super1[Bairro],mercado6)+SUMIFS(supercb[Qtde],supercb[Item],tab_higiene[[#This Row],[Item]],supercb[Bairro],mercado6)</f>
        <v>0</v>
      </c>
      <c r="AQ164" s="18">
        <f>SUMIFS(super1[Qtde],super1[Item],tab_higiene[[#This Row],[Item]],super1[Bairro],mercado7)+SUMIFS(supercb[Qtde],supercb[Item],tab_higiene[[#This Row],[Item]],supercb[Bairro],mercado7)</f>
        <v>0</v>
      </c>
      <c r="AR164" s="18">
        <f>SUMIFS(super1[Qtde],super1[Item],tab_higiene[[#This Row],[Item]],super1[Bairro],mercado8)+SUMIFS(supercb[Qtde],supercb[Item],tab_higiene[[#This Row],[Item]],supercb[Bairro],mercado8)</f>
        <v>0</v>
      </c>
      <c r="AS164" s="18">
        <f>SUMIFS(super1[Qtde],super1[Item],tab_higiene[[#This Row],[Item]],super1[Bairro],mercado9)+SUMIFS(supercb[Qtde],supercb[Item],tab_higiene[[#This Row],[Item]],supercb[Bairro],mercado9)</f>
        <v>0</v>
      </c>
      <c r="AT164" s="18">
        <f>SUMIFS(super1[Qtde],super1[Item],tab_higiene[[#This Row],[Item]],super1[Bairro],mercado10)+SUMIFS(supercb[Qtde],supercb[Item],tab_higiene[[#This Row],[Item]],supercb[Bairro],mercado10)</f>
        <v>0</v>
      </c>
      <c r="AU164" s="18">
        <f>SUMIFS(super1[Qtde],super1[Item],tab_higiene[[#This Row],[Item]],super1[Bairro],mercado11)+SUMIFS(supercb[Qtde],supercb[Item],tab_higiene[[#This Row],[Item]],supercb[Bairro],mercado11)</f>
        <v>0</v>
      </c>
      <c r="AV164" s="18">
        <f>SUMIFS(super1[Qtde],super1[Item],tab_higiene[[#This Row],[Item]],super1[Bairro],mercado12)+SUMIFS(supercb[Qtde],supercb[Item],tab_higiene[[#This Row],[Item]],supercb[Bairro],mercado12)</f>
        <v>0</v>
      </c>
      <c r="AW164" s="18">
        <f>SUMIFS(super1[Qtde],super1[Item],tab_higiene[[#This Row],[Item]],super1[Bairro],mercado13)+SUMIFS(supercb[Qtde],supercb[Item],tab_higiene[[#This Row],[Item]],supercb[Bairro],mercado13)</f>
        <v>0</v>
      </c>
      <c r="AX164" s="18">
        <f>SUMIFS(super1[Qtde],super1[Item],tab_higiene[[#This Row],[Item]],super1[Bairro],mercado14)+SUMIFS(supercb[Qtde],supercb[Item],tab_higiene[[#This Row],[Item]],supercb[Bairro],mercado14)</f>
        <v>0</v>
      </c>
      <c r="AY164" s="18">
        <f>SUMIFS(super1[Qtde],super1[Item],tab_higiene[[#This Row],[Item]],super1[Bairro],mercado15)+SUMIFS(supercb[Qtde],supercb[Item],tab_higiene[[#This Row],[Item]],supercb[Bairro],mercado15)</f>
        <v>0</v>
      </c>
      <c r="AZ164" s="18">
        <f>SUMIFS(super1[Qtde],super1[Item],tab_higiene[[#This Row],[Item]],super1[Bairro],mercado16)+SUMIFS(supercb[Qtde],supercb[Item],tab_higiene[[#This Row],[Item]],supercb[Bairro],mercado16)</f>
        <v>0</v>
      </c>
      <c r="BA164" s="18">
        <f>SUMIFS(super1[Qtde],super1[Item],tab_higiene[[#This Row],[Item]],super1[Bairro],mercado17)+SUMIFS(supercb[Qtde],supercb[Item],tab_higiene[[#This Row],[Item]],supercb[Bairro],mercado17)</f>
        <v>0</v>
      </c>
      <c r="BB164" s="18">
        <f>SUMIFS(super1[Qtde],super1[Item],tab_higiene[[#This Row],[Item]],super1[Bairro],mercado18)+SUMIFS(supercb[Qtde],supercb[Item],tab_higiene[[#This Row],[Item]],supercb[Bairro],mercado18)</f>
        <v>0</v>
      </c>
      <c r="BC164" s="18">
        <f>SUMIFS(super1[Qtde],super1[Item],tab_higiene[[#This Row],[Item]],super1[Bairro],extras)+SUMIFS(supercb[Qtde],supercb[Item],tab_higiene[[#This Row],[Item]],supercb[Bairro],extras)</f>
        <v>0</v>
      </c>
      <c r="BD164" s="1">
        <f t="shared" si="64"/>
        <v>0</v>
      </c>
      <c r="BE164" s="1">
        <f t="shared" si="65"/>
        <v>0</v>
      </c>
      <c r="BF164" s="26">
        <f t="shared" si="66"/>
        <v>0</v>
      </c>
    </row>
    <row r="165" spans="9:58" x14ac:dyDescent="0.25">
      <c r="I165" s="25" t="str">
        <f>alimentos[[#This Row],[Item]]</f>
        <v>Lentilha (500g)</v>
      </c>
      <c r="J165" s="1">
        <f>IFERROR(alimentos[[#This Row],[kg/embalagem]],0)</f>
        <v>0.5</v>
      </c>
      <c r="K165" s="18">
        <f>IFERROR(alimentos[[#This Row],[Preço]],0)</f>
        <v>10.278</v>
      </c>
      <c r="L165" s="18">
        <f>SUMIFS(super1[Qtde],super1[Item],tab_alimentos[[#This Row],[Item]],super1[Bairro],mercado1)+SUMIFS(supercb[Qtde],supercb[Item],tab_alimentos[[#This Row],[Item]],supercb[Bairro],mercado1)</f>
        <v>0</v>
      </c>
      <c r="M165" s="18">
        <f>SUMIFS(super1[Qtde],super1[Item],tab_alimentos[[#This Row],[Item]],super1[Bairro],mercado2)+SUMIFS(supercb[Qtde],supercb[Item],tab_alimentos[[#This Row],[Item]],supercb[Bairro],mercado2)</f>
        <v>0</v>
      </c>
      <c r="N165" s="1">
        <f>SUMIFS(super1[Qtde],super1[Item],tab_alimentos[[#This Row],[Item]],super1[Bairro],mercado3)+SUMIFS(supercb[Qtde],supercb[Item],tab_alimentos[[#This Row],[Item]],supercb[Bairro],mercado3)</f>
        <v>0</v>
      </c>
      <c r="O165" s="18">
        <f>SUMIFS(super1[Qtde],super1[Item],tab_alimentos[[#This Row],[Item]],super1[Bairro],mercado4)+SUMIFS(supercb[Qtde],supercb[Item],tab_alimentos[[#This Row],[Item]],supercb[Bairro],mercado4)</f>
        <v>0</v>
      </c>
      <c r="P165" s="18">
        <f>SUMIFS(super1[Qtde],super1[Item],tab_alimentos[[#This Row],[Item]],super1[Bairro],mercado5)+SUMIFS(supercb[Qtde],supercb[Item],tab_alimentos[[#This Row],[Item]],supercb[Bairro],mercado5)</f>
        <v>0</v>
      </c>
      <c r="Q165" s="18">
        <f>SUMIFS(super1[Qtde],super1[Item],tab_alimentos[[#This Row],[Item]],super1[Bairro],mercado6)+SUMIFS(supercb[Qtde],supercb[Item],tab_alimentos[[#This Row],[Item]],supercb[Bairro],mercado6)</f>
        <v>0</v>
      </c>
      <c r="R165" s="18">
        <f>SUMIFS(super1[Qtde],super1[Item],tab_alimentos[[#This Row],[Item]],super1[Bairro],mercado7)+SUMIFS(supercb[Qtde],supercb[Item],tab_alimentos[[#This Row],[Item]],supercb[Bairro],mercado7)</f>
        <v>0</v>
      </c>
      <c r="S165" s="18">
        <f>SUMIFS(super1[Qtde],super1[Item],tab_alimentos[[#This Row],[Item]],super1[Bairro],mercado8)+SUMIFS(supercb[Qtde],supercb[Item],tab_alimentos[[#This Row],[Item]],supercb[Bairro],mercado8)</f>
        <v>0</v>
      </c>
      <c r="T165" s="18">
        <f>SUMIFS(super1[Qtde],super1[Item],tab_alimentos[[#This Row],[Item]],super1[Bairro],mercado9)+SUMIFS(supercb[Qtde],supercb[Item],tab_alimentos[[#This Row],[Item]],supercb[Bairro],mercado9)</f>
        <v>0</v>
      </c>
      <c r="U165" s="18">
        <f>SUMIFS(super1[Qtde],super1[Item],tab_alimentos[[#This Row],[Item]],super1[Bairro],mercado10)+SUMIFS(supercb[Qtde],supercb[Item],tab_alimentos[[#This Row],[Item]],supercb[Bairro],mercado10)</f>
        <v>0</v>
      </c>
      <c r="V165" s="18">
        <f>SUMIFS(super1[Qtde],super1[Item],tab_alimentos[[#This Row],[Item]],super1[Bairro],mercado11)+SUMIFS(supercb[Qtde],supercb[Item],tab_alimentos[[#This Row],[Item]],supercb[Bairro],mercado11)</f>
        <v>0</v>
      </c>
      <c r="W165" s="18">
        <f>SUMIFS(super1[Qtde],super1[Item],tab_alimentos[[#This Row],[Item]],super1[Bairro],mercado12)+SUMIFS(supercb[Qtde],supercb[Item],tab_alimentos[[#This Row],[Item]],supercb[Bairro],mercado12)</f>
        <v>0</v>
      </c>
      <c r="X165" s="18">
        <f>SUMIFS(super1[Qtde],super1[Item],tab_alimentos[[#This Row],[Item]],super1[Bairro],mercado13)+SUMIFS(supercb[Qtde],supercb[Item],tab_alimentos[[#This Row],[Item]],supercb[Bairro],mercado13)</f>
        <v>0</v>
      </c>
      <c r="Y165" s="18">
        <f>SUMIFS(super1[Qtde],super1[Item],tab_alimentos[[#This Row],[Item]],super1[Bairro],mercado14)+SUMIFS(supercb[Qtde],supercb[Item],tab_alimentos[[#This Row],[Item]],supercb[Bairro],mercado14)</f>
        <v>0</v>
      </c>
      <c r="Z165" s="18">
        <f>SUMIFS(super1[Qtde],super1[Item],tab_alimentos[[#This Row],[Item]],super1[Bairro],mercado15)+SUMIFS(supercb[Qtde],supercb[Item],tab_alimentos[[#This Row],[Item]],supercb[Bairro],mercado15)</f>
        <v>0</v>
      </c>
      <c r="AA165" s="18">
        <f>SUMIFS(super1[Qtde],super1[Item],tab_alimentos[[#This Row],[Item]],super1[Bairro],mercado16)+SUMIFS(supercb[Qtde],supercb[Item],tab_alimentos[[#This Row],[Item]],supercb[Bairro],mercado16)</f>
        <v>0</v>
      </c>
      <c r="AB165" s="18">
        <f>SUMIFS(super1[Qtde],super1[Item],tab_alimentos[[#This Row],[Item]],super1[Bairro],mercado17)+SUMIFS(supercb[Qtde],supercb[Item],tab_alimentos[[#This Row],[Item]],supercb[Bairro],mercado17)</f>
        <v>0</v>
      </c>
      <c r="AC165" s="18">
        <f>SUMIFS(super1[Qtde],super1[Item],tab_alimentos[[#This Row],[Item]],super1[Bairro],mercado18)+SUMIFS(supercb[Qtde],supercb[Item],tab_alimentos[[#This Row],[Item]],supercb[Bairro],mercado18)</f>
        <v>0</v>
      </c>
      <c r="AD165" s="18">
        <f>SUMIFS(super1[Qtde],super1[Item],tab_alimentos[[#This Row],[Item]],super1[Bairro],extras)+SUMIFS(supercb[Qtde],supercb[Item],tab_alimentos[[#This Row],[Item]],supercb[Bairro],extras)</f>
        <v>0</v>
      </c>
      <c r="AE165" s="1">
        <f t="shared" si="67"/>
        <v>0</v>
      </c>
      <c r="AF165" s="1">
        <f t="shared" si="68"/>
        <v>0</v>
      </c>
      <c r="AG165" s="26">
        <f t="shared" si="69"/>
        <v>0</v>
      </c>
      <c r="AH165" s="25" t="str">
        <f>higiene[[#This Row],[Item]]</f>
        <v>R</v>
      </c>
      <c r="AI165" s="18">
        <f>IFERROR(higiene[[#This Row],[Kg equivalente]],0)</f>
        <v>0</v>
      </c>
      <c r="AJ165" s="18" t="str">
        <f>IFERROR(higiene[[#This Row],[Preço por produto]],0)</f>
        <v/>
      </c>
      <c r="AK165" s="18">
        <f>SUMIFS(super1[Qtde],super1[Item],tab_higiene[[#This Row],[Item]],super1[Bairro],mercado1)+SUMIFS(supercb[Qtde],supercb[Item],tab_higiene[[#This Row],[Item]],supercb[Bairro],mercado1)</f>
        <v>0</v>
      </c>
      <c r="AL165" s="18">
        <f>SUMIFS(super1[Qtde],super1[Item],tab_higiene[[#This Row],[Item]],super1[Bairro],mercado2)+SUMIFS(supercb[Qtde],supercb[Item],tab_higiene[[#This Row],[Item]],supercb[Bairro],mercado2)</f>
        <v>0</v>
      </c>
      <c r="AM165" s="18">
        <f>SUMIFS(super1[Qtde],super1[Item],tab_higiene[[#This Row],[Item]],super1[Bairro],mercado3)+SUMIFS(supercb[Qtde],supercb[Item],tab_higiene[[#This Row],[Item]],supercb[Bairro],mercado3)</f>
        <v>0</v>
      </c>
      <c r="AN165" s="18">
        <f>SUMIFS(super1[Qtde],super1[Item],tab_higiene[[#This Row],[Item]],super1[Bairro],mercado4)+SUMIFS(supercb[Qtde],supercb[Item],tab_higiene[[#This Row],[Item]],supercb[Bairro],mercado4)</f>
        <v>0</v>
      </c>
      <c r="AO165" s="18">
        <f>SUMIFS(super1[Qtde],super1[Item],tab_higiene[[#This Row],[Item]],super1[Bairro],mercado5)+SUMIFS(supercb[Qtde],supercb[Item],tab_higiene[[#This Row],[Item]],supercb[Bairro],mercado5)</f>
        <v>0</v>
      </c>
      <c r="AP165" s="18">
        <f>SUMIFS(super1[Qtde],super1[Item],tab_higiene[[#This Row],[Item]],super1[Bairro],mercado6)+SUMIFS(supercb[Qtde],supercb[Item],tab_higiene[[#This Row],[Item]],supercb[Bairro],mercado6)</f>
        <v>0</v>
      </c>
      <c r="AQ165" s="18">
        <f>SUMIFS(super1[Qtde],super1[Item],tab_higiene[[#This Row],[Item]],super1[Bairro],mercado7)+SUMIFS(supercb[Qtde],supercb[Item],tab_higiene[[#This Row],[Item]],supercb[Bairro],mercado7)</f>
        <v>0</v>
      </c>
      <c r="AR165" s="18">
        <f>SUMIFS(super1[Qtde],super1[Item],tab_higiene[[#This Row],[Item]],super1[Bairro],mercado8)+SUMIFS(supercb[Qtde],supercb[Item],tab_higiene[[#This Row],[Item]],supercb[Bairro],mercado8)</f>
        <v>0</v>
      </c>
      <c r="AS165" s="18">
        <f>SUMIFS(super1[Qtde],super1[Item],tab_higiene[[#This Row],[Item]],super1[Bairro],mercado9)+SUMIFS(supercb[Qtde],supercb[Item],tab_higiene[[#This Row],[Item]],supercb[Bairro],mercado9)</f>
        <v>0</v>
      </c>
      <c r="AT165" s="18">
        <f>SUMIFS(super1[Qtde],super1[Item],tab_higiene[[#This Row],[Item]],super1[Bairro],mercado10)+SUMIFS(supercb[Qtde],supercb[Item],tab_higiene[[#This Row],[Item]],supercb[Bairro],mercado10)</f>
        <v>0</v>
      </c>
      <c r="AU165" s="18">
        <f>SUMIFS(super1[Qtde],super1[Item],tab_higiene[[#This Row],[Item]],super1[Bairro],mercado11)+SUMIFS(supercb[Qtde],supercb[Item],tab_higiene[[#This Row],[Item]],supercb[Bairro],mercado11)</f>
        <v>0</v>
      </c>
      <c r="AV165" s="18">
        <f>SUMIFS(super1[Qtde],super1[Item],tab_higiene[[#This Row],[Item]],super1[Bairro],mercado12)+SUMIFS(supercb[Qtde],supercb[Item],tab_higiene[[#This Row],[Item]],supercb[Bairro],mercado12)</f>
        <v>0</v>
      </c>
      <c r="AW165" s="18">
        <f>SUMIFS(super1[Qtde],super1[Item],tab_higiene[[#This Row],[Item]],super1[Bairro],mercado13)+SUMIFS(supercb[Qtde],supercb[Item],tab_higiene[[#This Row],[Item]],supercb[Bairro],mercado13)</f>
        <v>0</v>
      </c>
      <c r="AX165" s="18">
        <f>SUMIFS(super1[Qtde],super1[Item],tab_higiene[[#This Row],[Item]],super1[Bairro],mercado14)+SUMIFS(supercb[Qtde],supercb[Item],tab_higiene[[#This Row],[Item]],supercb[Bairro],mercado14)</f>
        <v>0</v>
      </c>
      <c r="AY165" s="18">
        <f>SUMIFS(super1[Qtde],super1[Item],tab_higiene[[#This Row],[Item]],super1[Bairro],mercado15)+SUMIFS(supercb[Qtde],supercb[Item],tab_higiene[[#This Row],[Item]],supercb[Bairro],mercado15)</f>
        <v>0</v>
      </c>
      <c r="AZ165" s="18">
        <f>SUMIFS(super1[Qtde],super1[Item],tab_higiene[[#This Row],[Item]],super1[Bairro],mercado16)+SUMIFS(supercb[Qtde],supercb[Item],tab_higiene[[#This Row],[Item]],supercb[Bairro],mercado16)</f>
        <v>0</v>
      </c>
      <c r="BA165" s="18">
        <f>SUMIFS(super1[Qtde],super1[Item],tab_higiene[[#This Row],[Item]],super1[Bairro],mercado17)+SUMIFS(supercb[Qtde],supercb[Item],tab_higiene[[#This Row],[Item]],supercb[Bairro],mercado17)</f>
        <v>0</v>
      </c>
      <c r="BB165" s="18">
        <f>SUMIFS(super1[Qtde],super1[Item],tab_higiene[[#This Row],[Item]],super1[Bairro],mercado18)+SUMIFS(supercb[Qtde],supercb[Item],tab_higiene[[#This Row],[Item]],supercb[Bairro],mercado18)</f>
        <v>0</v>
      </c>
      <c r="BC165" s="18">
        <f>SUMIFS(super1[Qtde],super1[Item],tab_higiene[[#This Row],[Item]],super1[Bairro],extras)+SUMIFS(supercb[Qtde],supercb[Item],tab_higiene[[#This Row],[Item]],supercb[Bairro],extras)</f>
        <v>0</v>
      </c>
      <c r="BD165" s="1">
        <f t="shared" si="64"/>
        <v>0</v>
      </c>
      <c r="BE165" s="1">
        <f t="shared" si="65"/>
        <v>0</v>
      </c>
      <c r="BF165" s="26">
        <f t="shared" si="66"/>
        <v>0</v>
      </c>
    </row>
    <row r="166" spans="9:58" x14ac:dyDescent="0.25">
      <c r="I166" s="25" t="str">
        <f>alimentos[[#This Row],[Item]]</f>
        <v>M</v>
      </c>
      <c r="J166" s="1">
        <f>IFERROR(alimentos[[#This Row],[kg/embalagem]],0)</f>
        <v>0</v>
      </c>
      <c r="K166" s="18">
        <f>IFERROR(alimentos[[#This Row],[Preço]],0)</f>
        <v>0</v>
      </c>
      <c r="L166" s="18">
        <f>SUMIFS(super1[Qtde],super1[Item],tab_alimentos[[#This Row],[Item]],super1[Bairro],mercado1)+SUMIFS(supercb[Qtde],supercb[Item],tab_alimentos[[#This Row],[Item]],supercb[Bairro],mercado1)</f>
        <v>0</v>
      </c>
      <c r="M166" s="18">
        <f>SUMIFS(super1[Qtde],super1[Item],tab_alimentos[[#This Row],[Item]],super1[Bairro],mercado2)+SUMIFS(supercb[Qtde],supercb[Item],tab_alimentos[[#This Row],[Item]],supercb[Bairro],mercado2)</f>
        <v>0</v>
      </c>
      <c r="N166" s="1">
        <f>SUMIFS(super1[Qtde],super1[Item],tab_alimentos[[#This Row],[Item]],super1[Bairro],mercado3)+SUMIFS(supercb[Qtde],supercb[Item],tab_alimentos[[#This Row],[Item]],supercb[Bairro],mercado3)</f>
        <v>0</v>
      </c>
      <c r="O166" s="18">
        <f>SUMIFS(super1[Qtde],super1[Item],tab_alimentos[[#This Row],[Item]],super1[Bairro],mercado4)+SUMIFS(supercb[Qtde],supercb[Item],tab_alimentos[[#This Row],[Item]],supercb[Bairro],mercado4)</f>
        <v>0</v>
      </c>
      <c r="P166" s="18">
        <f>SUMIFS(super1[Qtde],super1[Item],tab_alimentos[[#This Row],[Item]],super1[Bairro],mercado5)+SUMIFS(supercb[Qtde],supercb[Item],tab_alimentos[[#This Row],[Item]],supercb[Bairro],mercado5)</f>
        <v>0</v>
      </c>
      <c r="Q166" s="18">
        <f>SUMIFS(super1[Qtde],super1[Item],tab_alimentos[[#This Row],[Item]],super1[Bairro],mercado6)+SUMIFS(supercb[Qtde],supercb[Item],tab_alimentos[[#This Row],[Item]],supercb[Bairro],mercado6)</f>
        <v>0</v>
      </c>
      <c r="R166" s="18">
        <f>SUMIFS(super1[Qtde],super1[Item],tab_alimentos[[#This Row],[Item]],super1[Bairro],mercado7)+SUMIFS(supercb[Qtde],supercb[Item],tab_alimentos[[#This Row],[Item]],supercb[Bairro],mercado7)</f>
        <v>0</v>
      </c>
      <c r="S166" s="18">
        <f>SUMIFS(super1[Qtde],super1[Item],tab_alimentos[[#This Row],[Item]],super1[Bairro],mercado8)+SUMIFS(supercb[Qtde],supercb[Item],tab_alimentos[[#This Row],[Item]],supercb[Bairro],mercado8)</f>
        <v>0</v>
      </c>
      <c r="T166" s="18">
        <f>SUMIFS(super1[Qtde],super1[Item],tab_alimentos[[#This Row],[Item]],super1[Bairro],mercado9)+SUMIFS(supercb[Qtde],supercb[Item],tab_alimentos[[#This Row],[Item]],supercb[Bairro],mercado9)</f>
        <v>0</v>
      </c>
      <c r="U166" s="18">
        <f>SUMIFS(super1[Qtde],super1[Item],tab_alimentos[[#This Row],[Item]],super1[Bairro],mercado10)+SUMIFS(supercb[Qtde],supercb[Item],tab_alimentos[[#This Row],[Item]],supercb[Bairro],mercado10)</f>
        <v>0</v>
      </c>
      <c r="V166" s="18">
        <f>SUMIFS(super1[Qtde],super1[Item],tab_alimentos[[#This Row],[Item]],super1[Bairro],mercado11)+SUMIFS(supercb[Qtde],supercb[Item],tab_alimentos[[#This Row],[Item]],supercb[Bairro],mercado11)</f>
        <v>0</v>
      </c>
      <c r="W166" s="18">
        <f>SUMIFS(super1[Qtde],super1[Item],tab_alimentos[[#This Row],[Item]],super1[Bairro],mercado12)+SUMIFS(supercb[Qtde],supercb[Item],tab_alimentos[[#This Row],[Item]],supercb[Bairro],mercado12)</f>
        <v>0</v>
      </c>
      <c r="X166" s="18">
        <f>SUMIFS(super1[Qtde],super1[Item],tab_alimentos[[#This Row],[Item]],super1[Bairro],mercado13)+SUMIFS(supercb[Qtde],supercb[Item],tab_alimentos[[#This Row],[Item]],supercb[Bairro],mercado13)</f>
        <v>0</v>
      </c>
      <c r="Y166" s="18">
        <f>SUMIFS(super1[Qtde],super1[Item],tab_alimentos[[#This Row],[Item]],super1[Bairro],mercado14)+SUMIFS(supercb[Qtde],supercb[Item],tab_alimentos[[#This Row],[Item]],supercb[Bairro],mercado14)</f>
        <v>0</v>
      </c>
      <c r="Z166" s="18">
        <f>SUMIFS(super1[Qtde],super1[Item],tab_alimentos[[#This Row],[Item]],super1[Bairro],mercado15)+SUMIFS(supercb[Qtde],supercb[Item],tab_alimentos[[#This Row],[Item]],supercb[Bairro],mercado15)</f>
        <v>0</v>
      </c>
      <c r="AA166" s="18">
        <f>SUMIFS(super1[Qtde],super1[Item],tab_alimentos[[#This Row],[Item]],super1[Bairro],mercado16)+SUMIFS(supercb[Qtde],supercb[Item],tab_alimentos[[#This Row],[Item]],supercb[Bairro],mercado16)</f>
        <v>0</v>
      </c>
      <c r="AB166" s="18">
        <f>SUMIFS(super1[Qtde],super1[Item],tab_alimentos[[#This Row],[Item]],super1[Bairro],mercado17)+SUMIFS(supercb[Qtde],supercb[Item],tab_alimentos[[#This Row],[Item]],supercb[Bairro],mercado17)</f>
        <v>0</v>
      </c>
      <c r="AC166" s="18">
        <f>SUMIFS(super1[Qtde],super1[Item],tab_alimentos[[#This Row],[Item]],super1[Bairro],mercado18)+SUMIFS(supercb[Qtde],supercb[Item],tab_alimentos[[#This Row],[Item]],supercb[Bairro],mercado18)</f>
        <v>0</v>
      </c>
      <c r="AD166" s="18">
        <f>SUMIFS(super1[Qtde],super1[Item],tab_alimentos[[#This Row],[Item]],super1[Bairro],extras)+SUMIFS(supercb[Qtde],supercb[Item],tab_alimentos[[#This Row],[Item]],supercb[Bairro],extras)</f>
        <v>0</v>
      </c>
      <c r="AE166" s="1">
        <f t="shared" si="67"/>
        <v>0</v>
      </c>
      <c r="AF166" s="1">
        <f t="shared" si="68"/>
        <v>0</v>
      </c>
      <c r="AG166" s="26">
        <f t="shared" si="69"/>
        <v>0</v>
      </c>
      <c r="AH166" s="25" t="str">
        <f>higiene[[#This Row],[Item]]</f>
        <v>Removedor de mancha (450mL)</v>
      </c>
      <c r="AI166" s="18">
        <f>IFERROR(higiene[[#This Row],[Kg equivalente]],0)</f>
        <v>2.4715119559567866</v>
      </c>
      <c r="AJ166" s="18">
        <f>IFERROR(higiene[[#This Row],[Preço por produto]],0)</f>
        <v>8.1866666666666674</v>
      </c>
      <c r="AK166" s="18">
        <f>SUMIFS(super1[Qtde],super1[Item],tab_higiene[[#This Row],[Item]],super1[Bairro],mercado1)+SUMIFS(supercb[Qtde],supercb[Item],tab_higiene[[#This Row],[Item]],supercb[Bairro],mercado1)</f>
        <v>0</v>
      </c>
      <c r="AL166" s="18">
        <f>SUMIFS(super1[Qtde],super1[Item],tab_higiene[[#This Row],[Item]],super1[Bairro],mercado2)+SUMIFS(supercb[Qtde],supercb[Item],tab_higiene[[#This Row],[Item]],supercb[Bairro],mercado2)</f>
        <v>0</v>
      </c>
      <c r="AM166" s="18">
        <f>SUMIFS(super1[Qtde],super1[Item],tab_higiene[[#This Row],[Item]],super1[Bairro],mercado3)+SUMIFS(supercb[Qtde],supercb[Item],tab_higiene[[#This Row],[Item]],supercb[Bairro],mercado3)</f>
        <v>0</v>
      </c>
      <c r="AN166" s="18">
        <f>SUMIFS(super1[Qtde],super1[Item],tab_higiene[[#This Row],[Item]],super1[Bairro],mercado4)+SUMIFS(supercb[Qtde],supercb[Item],tab_higiene[[#This Row],[Item]],supercb[Bairro],mercado4)</f>
        <v>0</v>
      </c>
      <c r="AO166" s="18">
        <f>SUMIFS(super1[Qtde],super1[Item],tab_higiene[[#This Row],[Item]],super1[Bairro],mercado5)+SUMIFS(supercb[Qtde],supercb[Item],tab_higiene[[#This Row],[Item]],supercb[Bairro],mercado5)</f>
        <v>0</v>
      </c>
      <c r="AP166" s="18">
        <f>SUMIFS(super1[Qtde],super1[Item],tab_higiene[[#This Row],[Item]],super1[Bairro],mercado6)+SUMIFS(supercb[Qtde],supercb[Item],tab_higiene[[#This Row],[Item]],supercb[Bairro],mercado6)</f>
        <v>0</v>
      </c>
      <c r="AQ166" s="18">
        <f>SUMIFS(super1[Qtde],super1[Item],tab_higiene[[#This Row],[Item]],super1[Bairro],mercado7)+SUMIFS(supercb[Qtde],supercb[Item],tab_higiene[[#This Row],[Item]],supercb[Bairro],mercado7)</f>
        <v>0</v>
      </c>
      <c r="AR166" s="18">
        <f>SUMIFS(super1[Qtde],super1[Item],tab_higiene[[#This Row],[Item]],super1[Bairro],mercado8)+SUMIFS(supercb[Qtde],supercb[Item],tab_higiene[[#This Row],[Item]],supercb[Bairro],mercado8)</f>
        <v>0</v>
      </c>
      <c r="AS166" s="18">
        <f>SUMIFS(super1[Qtde],super1[Item],tab_higiene[[#This Row],[Item]],super1[Bairro],mercado9)+SUMIFS(supercb[Qtde],supercb[Item],tab_higiene[[#This Row],[Item]],supercb[Bairro],mercado9)</f>
        <v>0</v>
      </c>
      <c r="AT166" s="18">
        <f>SUMIFS(super1[Qtde],super1[Item],tab_higiene[[#This Row],[Item]],super1[Bairro],mercado10)+SUMIFS(supercb[Qtde],supercb[Item],tab_higiene[[#This Row],[Item]],supercb[Bairro],mercado10)</f>
        <v>0</v>
      </c>
      <c r="AU166" s="18">
        <f>SUMIFS(super1[Qtde],super1[Item],tab_higiene[[#This Row],[Item]],super1[Bairro],mercado11)+SUMIFS(supercb[Qtde],supercb[Item],tab_higiene[[#This Row],[Item]],supercb[Bairro],mercado11)</f>
        <v>0</v>
      </c>
      <c r="AV166" s="18">
        <f>SUMIFS(super1[Qtde],super1[Item],tab_higiene[[#This Row],[Item]],super1[Bairro],mercado12)+SUMIFS(supercb[Qtde],supercb[Item],tab_higiene[[#This Row],[Item]],supercb[Bairro],mercado12)</f>
        <v>0</v>
      </c>
      <c r="AW166" s="18">
        <f>SUMIFS(super1[Qtde],super1[Item],tab_higiene[[#This Row],[Item]],super1[Bairro],mercado13)+SUMIFS(supercb[Qtde],supercb[Item],tab_higiene[[#This Row],[Item]],supercb[Bairro],mercado13)</f>
        <v>0</v>
      </c>
      <c r="AX166" s="18">
        <f>SUMIFS(super1[Qtde],super1[Item],tab_higiene[[#This Row],[Item]],super1[Bairro],mercado14)+SUMIFS(supercb[Qtde],supercb[Item],tab_higiene[[#This Row],[Item]],supercb[Bairro],mercado14)</f>
        <v>0</v>
      </c>
      <c r="AY166" s="18">
        <f>SUMIFS(super1[Qtde],super1[Item],tab_higiene[[#This Row],[Item]],super1[Bairro],mercado15)+SUMIFS(supercb[Qtde],supercb[Item],tab_higiene[[#This Row],[Item]],supercb[Bairro],mercado15)</f>
        <v>0</v>
      </c>
      <c r="AZ166" s="18">
        <f>SUMIFS(super1[Qtde],super1[Item],tab_higiene[[#This Row],[Item]],super1[Bairro],mercado16)+SUMIFS(supercb[Qtde],supercb[Item],tab_higiene[[#This Row],[Item]],supercb[Bairro],mercado16)</f>
        <v>0</v>
      </c>
      <c r="BA166" s="18">
        <f>SUMIFS(super1[Qtde],super1[Item],tab_higiene[[#This Row],[Item]],super1[Bairro],mercado17)+SUMIFS(supercb[Qtde],supercb[Item],tab_higiene[[#This Row],[Item]],supercb[Bairro],mercado17)</f>
        <v>0</v>
      </c>
      <c r="BB166" s="18">
        <f>SUMIFS(super1[Qtde],super1[Item],tab_higiene[[#This Row],[Item]],super1[Bairro],mercado18)+SUMIFS(supercb[Qtde],supercb[Item],tab_higiene[[#This Row],[Item]],supercb[Bairro],mercado18)</f>
        <v>0</v>
      </c>
      <c r="BC166" s="18">
        <f>SUMIFS(super1[Qtde],super1[Item],tab_higiene[[#This Row],[Item]],super1[Bairro],extras)+SUMIFS(supercb[Qtde],supercb[Item],tab_higiene[[#This Row],[Item]],supercb[Bairro],extras)</f>
        <v>0</v>
      </c>
      <c r="BD166" s="1">
        <f t="shared" si="64"/>
        <v>0</v>
      </c>
      <c r="BE166" s="1">
        <f t="shared" si="65"/>
        <v>0</v>
      </c>
      <c r="BF166" s="26">
        <f t="shared" si="66"/>
        <v>0</v>
      </c>
    </row>
    <row r="167" spans="9:58" x14ac:dyDescent="0.25">
      <c r="I167" s="25" t="str">
        <f>alimentos[[#This Row],[Item]]</f>
        <v>Macarrão (1kg)</v>
      </c>
      <c r="J167" s="1">
        <f>IFERROR(alimentos[[#This Row],[kg/embalagem]],0)</f>
        <v>1</v>
      </c>
      <c r="K167" s="18">
        <f>IFERROR(alimentos[[#This Row],[Preço]],0)</f>
        <v>4.32</v>
      </c>
      <c r="L167" s="18">
        <f>SUMIFS(super1[Qtde],super1[Item],tab_alimentos[[#This Row],[Item]],super1[Bairro],mercado1)+SUMIFS(supercb[Qtde],supercb[Item],tab_alimentos[[#This Row],[Item]],supercb[Bairro],mercado1)</f>
        <v>0</v>
      </c>
      <c r="M167" s="18">
        <f>SUMIFS(super1[Qtde],super1[Item],tab_alimentos[[#This Row],[Item]],super1[Bairro],mercado2)+SUMIFS(supercb[Qtde],supercb[Item],tab_alimentos[[#This Row],[Item]],supercb[Bairro],mercado2)</f>
        <v>0</v>
      </c>
      <c r="N167" s="1">
        <f>SUMIFS(super1[Qtde],super1[Item],tab_alimentos[[#This Row],[Item]],super1[Bairro],mercado3)+SUMIFS(supercb[Qtde],supercb[Item],tab_alimentos[[#This Row],[Item]],supercb[Bairro],mercado3)</f>
        <v>0</v>
      </c>
      <c r="O167" s="18">
        <f>SUMIFS(super1[Qtde],super1[Item],tab_alimentos[[#This Row],[Item]],super1[Bairro],mercado4)+SUMIFS(supercb[Qtde],supercb[Item],tab_alimentos[[#This Row],[Item]],supercb[Bairro],mercado4)</f>
        <v>0</v>
      </c>
      <c r="P167" s="18">
        <f>SUMIFS(super1[Qtde],super1[Item],tab_alimentos[[#This Row],[Item]],super1[Bairro],mercado5)+SUMIFS(supercb[Qtde],supercb[Item],tab_alimentos[[#This Row],[Item]],supercb[Bairro],mercado5)</f>
        <v>0</v>
      </c>
      <c r="Q167" s="18">
        <f>SUMIFS(super1[Qtde],super1[Item],tab_alimentos[[#This Row],[Item]],super1[Bairro],mercado6)+SUMIFS(supercb[Qtde],supercb[Item],tab_alimentos[[#This Row],[Item]],supercb[Bairro],mercado6)</f>
        <v>0</v>
      </c>
      <c r="R167" s="18">
        <f>SUMIFS(super1[Qtde],super1[Item],tab_alimentos[[#This Row],[Item]],super1[Bairro],mercado7)+SUMIFS(supercb[Qtde],supercb[Item],tab_alimentos[[#This Row],[Item]],supercb[Bairro],mercado7)</f>
        <v>0</v>
      </c>
      <c r="S167" s="18">
        <f>SUMIFS(super1[Qtde],super1[Item],tab_alimentos[[#This Row],[Item]],super1[Bairro],mercado8)+SUMIFS(supercb[Qtde],supercb[Item],tab_alimentos[[#This Row],[Item]],supercb[Bairro],mercado8)</f>
        <v>0</v>
      </c>
      <c r="T167" s="18">
        <f>SUMIFS(super1[Qtde],super1[Item],tab_alimentos[[#This Row],[Item]],super1[Bairro],mercado9)+SUMIFS(supercb[Qtde],supercb[Item],tab_alimentos[[#This Row],[Item]],supercb[Bairro],mercado9)</f>
        <v>0</v>
      </c>
      <c r="U167" s="18">
        <f>SUMIFS(super1[Qtde],super1[Item],tab_alimentos[[#This Row],[Item]],super1[Bairro],mercado10)+SUMIFS(supercb[Qtde],supercb[Item],tab_alimentos[[#This Row],[Item]],supercb[Bairro],mercado10)</f>
        <v>0</v>
      </c>
      <c r="V167" s="18">
        <f>SUMIFS(super1[Qtde],super1[Item],tab_alimentos[[#This Row],[Item]],super1[Bairro],mercado11)+SUMIFS(supercb[Qtde],supercb[Item],tab_alimentos[[#This Row],[Item]],supercb[Bairro],mercado11)</f>
        <v>0</v>
      </c>
      <c r="W167" s="18">
        <f>SUMIFS(super1[Qtde],super1[Item],tab_alimentos[[#This Row],[Item]],super1[Bairro],mercado12)+SUMIFS(supercb[Qtde],supercb[Item],tab_alimentos[[#This Row],[Item]],supercb[Bairro],mercado12)</f>
        <v>0</v>
      </c>
      <c r="X167" s="18">
        <f>SUMIFS(super1[Qtde],super1[Item],tab_alimentos[[#This Row],[Item]],super1[Bairro],mercado13)+SUMIFS(supercb[Qtde],supercb[Item],tab_alimentos[[#This Row],[Item]],supercb[Bairro],mercado13)</f>
        <v>0</v>
      </c>
      <c r="Y167" s="18">
        <f>SUMIFS(super1[Qtde],super1[Item],tab_alimentos[[#This Row],[Item]],super1[Bairro],mercado14)+SUMIFS(supercb[Qtde],supercb[Item],tab_alimentos[[#This Row],[Item]],supercb[Bairro],mercado14)</f>
        <v>0</v>
      </c>
      <c r="Z167" s="18">
        <f>SUMIFS(super1[Qtde],super1[Item],tab_alimentos[[#This Row],[Item]],super1[Bairro],mercado15)+SUMIFS(supercb[Qtde],supercb[Item],tab_alimentos[[#This Row],[Item]],supercb[Bairro],mercado15)</f>
        <v>0</v>
      </c>
      <c r="AA167" s="18">
        <f>SUMIFS(super1[Qtde],super1[Item],tab_alimentos[[#This Row],[Item]],super1[Bairro],mercado16)+SUMIFS(supercb[Qtde],supercb[Item],tab_alimentos[[#This Row],[Item]],supercb[Bairro],mercado16)</f>
        <v>0</v>
      </c>
      <c r="AB167" s="18">
        <f>SUMIFS(super1[Qtde],super1[Item],tab_alimentos[[#This Row],[Item]],super1[Bairro],mercado17)+SUMIFS(supercb[Qtde],supercb[Item],tab_alimentos[[#This Row],[Item]],supercb[Bairro],mercado17)</f>
        <v>0</v>
      </c>
      <c r="AC167" s="18">
        <f>SUMIFS(super1[Qtde],super1[Item],tab_alimentos[[#This Row],[Item]],super1[Bairro],mercado18)+SUMIFS(supercb[Qtde],supercb[Item],tab_alimentos[[#This Row],[Item]],supercb[Bairro],mercado18)</f>
        <v>0</v>
      </c>
      <c r="AD167" s="18">
        <f>SUMIFS(super1[Qtde],super1[Item],tab_alimentos[[#This Row],[Item]],super1[Bairro],extras)+SUMIFS(supercb[Qtde],supercb[Item],tab_alimentos[[#This Row],[Item]],supercb[Bairro],extras)</f>
        <v>0</v>
      </c>
      <c r="AE167" s="1">
        <f t="shared" si="67"/>
        <v>0</v>
      </c>
      <c r="AF167" s="1">
        <f t="shared" si="68"/>
        <v>0</v>
      </c>
      <c r="AG167" s="26">
        <f t="shared" si="69"/>
        <v>0</v>
      </c>
      <c r="AH167" s="25" t="str">
        <f>higiene[[#This Row],[Item]]</f>
        <v>S</v>
      </c>
      <c r="AI167" s="18">
        <f>IFERROR(higiene[[#This Row],[Kg equivalente]],0)</f>
        <v>0</v>
      </c>
      <c r="AJ167" s="18" t="str">
        <f>IFERROR(higiene[[#This Row],[Preço por produto]],0)</f>
        <v/>
      </c>
      <c r="AK167" s="18">
        <f>SUMIFS(super1[Qtde],super1[Item],tab_higiene[[#This Row],[Item]],super1[Bairro],mercado1)+SUMIFS(supercb[Qtde],supercb[Item],tab_higiene[[#This Row],[Item]],supercb[Bairro],mercado1)</f>
        <v>0</v>
      </c>
      <c r="AL167" s="18">
        <f>SUMIFS(super1[Qtde],super1[Item],tab_higiene[[#This Row],[Item]],super1[Bairro],mercado2)+SUMIFS(supercb[Qtde],supercb[Item],tab_higiene[[#This Row],[Item]],supercb[Bairro],mercado2)</f>
        <v>0</v>
      </c>
      <c r="AM167" s="18">
        <f>SUMIFS(super1[Qtde],super1[Item],tab_higiene[[#This Row],[Item]],super1[Bairro],mercado3)+SUMIFS(supercb[Qtde],supercb[Item],tab_higiene[[#This Row],[Item]],supercb[Bairro],mercado3)</f>
        <v>0</v>
      </c>
      <c r="AN167" s="18">
        <f>SUMIFS(super1[Qtde],super1[Item],tab_higiene[[#This Row],[Item]],super1[Bairro],mercado4)+SUMIFS(supercb[Qtde],supercb[Item],tab_higiene[[#This Row],[Item]],supercb[Bairro],mercado4)</f>
        <v>0</v>
      </c>
      <c r="AO167" s="18">
        <f>SUMIFS(super1[Qtde],super1[Item],tab_higiene[[#This Row],[Item]],super1[Bairro],mercado5)+SUMIFS(supercb[Qtde],supercb[Item],tab_higiene[[#This Row],[Item]],supercb[Bairro],mercado5)</f>
        <v>0</v>
      </c>
      <c r="AP167" s="18">
        <f>SUMIFS(super1[Qtde],super1[Item],tab_higiene[[#This Row],[Item]],super1[Bairro],mercado6)+SUMIFS(supercb[Qtde],supercb[Item],tab_higiene[[#This Row],[Item]],supercb[Bairro],mercado6)</f>
        <v>0</v>
      </c>
      <c r="AQ167" s="18">
        <f>SUMIFS(super1[Qtde],super1[Item],tab_higiene[[#This Row],[Item]],super1[Bairro],mercado7)+SUMIFS(supercb[Qtde],supercb[Item],tab_higiene[[#This Row],[Item]],supercb[Bairro],mercado7)</f>
        <v>0</v>
      </c>
      <c r="AR167" s="18">
        <f>SUMIFS(super1[Qtde],super1[Item],tab_higiene[[#This Row],[Item]],super1[Bairro],mercado8)+SUMIFS(supercb[Qtde],supercb[Item],tab_higiene[[#This Row],[Item]],supercb[Bairro],mercado8)</f>
        <v>0</v>
      </c>
      <c r="AS167" s="18">
        <f>SUMIFS(super1[Qtde],super1[Item],tab_higiene[[#This Row],[Item]],super1[Bairro],mercado9)+SUMIFS(supercb[Qtde],supercb[Item],tab_higiene[[#This Row],[Item]],supercb[Bairro],mercado9)</f>
        <v>0</v>
      </c>
      <c r="AT167" s="18">
        <f>SUMIFS(super1[Qtde],super1[Item],tab_higiene[[#This Row],[Item]],super1[Bairro],mercado10)+SUMIFS(supercb[Qtde],supercb[Item],tab_higiene[[#This Row],[Item]],supercb[Bairro],mercado10)</f>
        <v>0</v>
      </c>
      <c r="AU167" s="18">
        <f>SUMIFS(super1[Qtde],super1[Item],tab_higiene[[#This Row],[Item]],super1[Bairro],mercado11)+SUMIFS(supercb[Qtde],supercb[Item],tab_higiene[[#This Row],[Item]],supercb[Bairro],mercado11)</f>
        <v>0</v>
      </c>
      <c r="AV167" s="18">
        <f>SUMIFS(super1[Qtde],super1[Item],tab_higiene[[#This Row],[Item]],super1[Bairro],mercado12)+SUMIFS(supercb[Qtde],supercb[Item],tab_higiene[[#This Row],[Item]],supercb[Bairro],mercado12)</f>
        <v>0</v>
      </c>
      <c r="AW167" s="18">
        <f>SUMIFS(super1[Qtde],super1[Item],tab_higiene[[#This Row],[Item]],super1[Bairro],mercado13)+SUMIFS(supercb[Qtde],supercb[Item],tab_higiene[[#This Row],[Item]],supercb[Bairro],mercado13)</f>
        <v>0</v>
      </c>
      <c r="AX167" s="18">
        <f>SUMIFS(super1[Qtde],super1[Item],tab_higiene[[#This Row],[Item]],super1[Bairro],mercado14)+SUMIFS(supercb[Qtde],supercb[Item],tab_higiene[[#This Row],[Item]],supercb[Bairro],mercado14)</f>
        <v>0</v>
      </c>
      <c r="AY167" s="18">
        <f>SUMIFS(super1[Qtde],super1[Item],tab_higiene[[#This Row],[Item]],super1[Bairro],mercado15)+SUMIFS(supercb[Qtde],supercb[Item],tab_higiene[[#This Row],[Item]],supercb[Bairro],mercado15)</f>
        <v>0</v>
      </c>
      <c r="AZ167" s="18">
        <f>SUMIFS(super1[Qtde],super1[Item],tab_higiene[[#This Row],[Item]],super1[Bairro],mercado16)+SUMIFS(supercb[Qtde],supercb[Item],tab_higiene[[#This Row],[Item]],supercb[Bairro],mercado16)</f>
        <v>0</v>
      </c>
      <c r="BA167" s="18">
        <f>SUMIFS(super1[Qtde],super1[Item],tab_higiene[[#This Row],[Item]],super1[Bairro],mercado17)+SUMIFS(supercb[Qtde],supercb[Item],tab_higiene[[#This Row],[Item]],supercb[Bairro],mercado17)</f>
        <v>0</v>
      </c>
      <c r="BB167" s="18">
        <f>SUMIFS(super1[Qtde],super1[Item],tab_higiene[[#This Row],[Item]],super1[Bairro],mercado18)+SUMIFS(supercb[Qtde],supercb[Item],tab_higiene[[#This Row],[Item]],supercb[Bairro],mercado18)</f>
        <v>0</v>
      </c>
      <c r="BC167" s="18">
        <f>SUMIFS(super1[Qtde],super1[Item],tab_higiene[[#This Row],[Item]],super1[Bairro],extras)+SUMIFS(supercb[Qtde],supercb[Item],tab_higiene[[#This Row],[Item]],supercb[Bairro],extras)</f>
        <v>0</v>
      </c>
      <c r="BD167" s="1">
        <f t="shared" si="64"/>
        <v>0</v>
      </c>
      <c r="BE167" s="1">
        <f t="shared" si="65"/>
        <v>0</v>
      </c>
      <c r="BF167" s="26">
        <f t="shared" si="66"/>
        <v>0</v>
      </c>
    </row>
    <row r="168" spans="9:58" x14ac:dyDescent="0.25">
      <c r="I168" s="25" t="str">
        <f>alimentos[[#This Row],[Item]]</f>
        <v>Macarrão (200g)</v>
      </c>
      <c r="J168" s="1">
        <f>IFERROR(alimentos[[#This Row],[kg/embalagem]],0)</f>
        <v>0.2</v>
      </c>
      <c r="K168" s="18">
        <f>IFERROR(alimentos[[#This Row],[Preço]],0)</f>
        <v>1.85</v>
      </c>
      <c r="L168" s="18">
        <f>SUMIFS(super1[Qtde],super1[Item],tab_alimentos[[#This Row],[Item]],super1[Bairro],mercado1)+SUMIFS(supercb[Qtde],supercb[Item],tab_alimentos[[#This Row],[Item]],supercb[Bairro],mercado1)</f>
        <v>0</v>
      </c>
      <c r="M168" s="18">
        <f>SUMIFS(super1[Qtde],super1[Item],tab_alimentos[[#This Row],[Item]],super1[Bairro],mercado2)+SUMIFS(supercb[Qtde],supercb[Item],tab_alimentos[[#This Row],[Item]],supercb[Bairro],mercado2)</f>
        <v>0</v>
      </c>
      <c r="N168" s="1">
        <f>SUMIFS(super1[Qtde],super1[Item],tab_alimentos[[#This Row],[Item]],super1[Bairro],mercado3)+SUMIFS(supercb[Qtde],supercb[Item],tab_alimentos[[#This Row],[Item]],supercb[Bairro],mercado3)</f>
        <v>0</v>
      </c>
      <c r="O168" s="18">
        <f>SUMIFS(super1[Qtde],super1[Item],tab_alimentos[[#This Row],[Item]],super1[Bairro],mercado4)+SUMIFS(supercb[Qtde],supercb[Item],tab_alimentos[[#This Row],[Item]],supercb[Bairro],mercado4)</f>
        <v>0</v>
      </c>
      <c r="P168" s="18">
        <f>SUMIFS(super1[Qtde],super1[Item],tab_alimentos[[#This Row],[Item]],super1[Bairro],mercado5)+SUMIFS(supercb[Qtde],supercb[Item],tab_alimentos[[#This Row],[Item]],supercb[Bairro],mercado5)</f>
        <v>0</v>
      </c>
      <c r="Q168" s="18">
        <f>SUMIFS(super1[Qtde],super1[Item],tab_alimentos[[#This Row],[Item]],super1[Bairro],mercado6)+SUMIFS(supercb[Qtde],supercb[Item],tab_alimentos[[#This Row],[Item]],supercb[Bairro],mercado6)</f>
        <v>0</v>
      </c>
      <c r="R168" s="18">
        <f>SUMIFS(super1[Qtde],super1[Item],tab_alimentos[[#This Row],[Item]],super1[Bairro],mercado7)+SUMIFS(supercb[Qtde],supercb[Item],tab_alimentos[[#This Row],[Item]],supercb[Bairro],mercado7)</f>
        <v>0</v>
      </c>
      <c r="S168" s="18">
        <f>SUMIFS(super1[Qtde],super1[Item],tab_alimentos[[#This Row],[Item]],super1[Bairro],mercado8)+SUMIFS(supercb[Qtde],supercb[Item],tab_alimentos[[#This Row],[Item]],supercb[Bairro],mercado8)</f>
        <v>0</v>
      </c>
      <c r="T168" s="18">
        <f>SUMIFS(super1[Qtde],super1[Item],tab_alimentos[[#This Row],[Item]],super1[Bairro],mercado9)+SUMIFS(supercb[Qtde],supercb[Item],tab_alimentos[[#This Row],[Item]],supercb[Bairro],mercado9)</f>
        <v>0</v>
      </c>
      <c r="U168" s="18">
        <f>SUMIFS(super1[Qtde],super1[Item],tab_alimentos[[#This Row],[Item]],super1[Bairro],mercado10)+SUMIFS(supercb[Qtde],supercb[Item],tab_alimentos[[#This Row],[Item]],supercb[Bairro],mercado10)</f>
        <v>0</v>
      </c>
      <c r="V168" s="18">
        <f>SUMIFS(super1[Qtde],super1[Item],tab_alimentos[[#This Row],[Item]],super1[Bairro],mercado11)+SUMIFS(supercb[Qtde],supercb[Item],tab_alimentos[[#This Row],[Item]],supercb[Bairro],mercado11)</f>
        <v>0</v>
      </c>
      <c r="W168" s="18">
        <f>SUMIFS(super1[Qtde],super1[Item],tab_alimentos[[#This Row],[Item]],super1[Bairro],mercado12)+SUMIFS(supercb[Qtde],supercb[Item],tab_alimentos[[#This Row],[Item]],supercb[Bairro],mercado12)</f>
        <v>0</v>
      </c>
      <c r="X168" s="18">
        <f>SUMIFS(super1[Qtde],super1[Item],tab_alimentos[[#This Row],[Item]],super1[Bairro],mercado13)+SUMIFS(supercb[Qtde],supercb[Item],tab_alimentos[[#This Row],[Item]],supercb[Bairro],mercado13)</f>
        <v>0</v>
      </c>
      <c r="Y168" s="18">
        <f>SUMIFS(super1[Qtde],super1[Item],tab_alimentos[[#This Row],[Item]],super1[Bairro],mercado14)+SUMIFS(supercb[Qtde],supercb[Item],tab_alimentos[[#This Row],[Item]],supercb[Bairro],mercado14)</f>
        <v>0</v>
      </c>
      <c r="Z168" s="18">
        <f>SUMIFS(super1[Qtde],super1[Item],tab_alimentos[[#This Row],[Item]],super1[Bairro],mercado15)+SUMIFS(supercb[Qtde],supercb[Item],tab_alimentos[[#This Row],[Item]],supercb[Bairro],mercado15)</f>
        <v>0</v>
      </c>
      <c r="AA168" s="18">
        <f>SUMIFS(super1[Qtde],super1[Item],tab_alimentos[[#This Row],[Item]],super1[Bairro],mercado16)+SUMIFS(supercb[Qtde],supercb[Item],tab_alimentos[[#This Row],[Item]],supercb[Bairro],mercado16)</f>
        <v>0</v>
      </c>
      <c r="AB168" s="18">
        <f>SUMIFS(super1[Qtde],super1[Item],tab_alimentos[[#This Row],[Item]],super1[Bairro],mercado17)+SUMIFS(supercb[Qtde],supercb[Item],tab_alimentos[[#This Row],[Item]],supercb[Bairro],mercado17)</f>
        <v>0</v>
      </c>
      <c r="AC168" s="18">
        <f>SUMIFS(super1[Qtde],super1[Item],tab_alimentos[[#This Row],[Item]],super1[Bairro],mercado18)+SUMIFS(supercb[Qtde],supercb[Item],tab_alimentos[[#This Row],[Item]],supercb[Bairro],mercado18)</f>
        <v>0</v>
      </c>
      <c r="AD168" s="18">
        <f>SUMIFS(super1[Qtde],super1[Item],tab_alimentos[[#This Row],[Item]],super1[Bairro],extras)+SUMIFS(supercb[Qtde],supercb[Item],tab_alimentos[[#This Row],[Item]],supercb[Bairro],extras)</f>
        <v>0</v>
      </c>
      <c r="AE168" s="1">
        <f t="shared" si="67"/>
        <v>0</v>
      </c>
      <c r="AF168" s="1">
        <f t="shared" si="68"/>
        <v>0</v>
      </c>
      <c r="AG168" s="26">
        <f t="shared" si="69"/>
        <v>0</v>
      </c>
      <c r="AH168" s="25" t="str">
        <f>higiene[[#This Row],[Item]]</f>
        <v>Sabão em Barra (1un)</v>
      </c>
      <c r="AI168" s="18">
        <f>IFERROR(higiene[[#This Row],[Kg equivalente]],0)</f>
        <v>0.55347376863853115</v>
      </c>
      <c r="AJ168" s="18">
        <f>IFERROR(higiene[[#This Row],[Preço por produto]],0)</f>
        <v>1.8333333333333333</v>
      </c>
      <c r="AK168" s="18">
        <f>SUMIFS(super1[Qtde],super1[Item],tab_higiene[[#This Row],[Item]],super1[Bairro],mercado1)+SUMIFS(supercb[Qtde],supercb[Item],tab_higiene[[#This Row],[Item]],supercb[Bairro],mercado1)</f>
        <v>0</v>
      </c>
      <c r="AL168" s="18">
        <f>SUMIFS(super1[Qtde],super1[Item],tab_higiene[[#This Row],[Item]],super1[Bairro],mercado2)+SUMIFS(supercb[Qtde],supercb[Item],tab_higiene[[#This Row],[Item]],supercb[Bairro],mercado2)</f>
        <v>0</v>
      </c>
      <c r="AM168" s="18">
        <f>SUMIFS(super1[Qtde],super1[Item],tab_higiene[[#This Row],[Item]],super1[Bairro],mercado3)+SUMIFS(supercb[Qtde],supercb[Item],tab_higiene[[#This Row],[Item]],supercb[Bairro],mercado3)</f>
        <v>0</v>
      </c>
      <c r="AN168" s="18">
        <f>SUMIFS(super1[Qtde],super1[Item],tab_higiene[[#This Row],[Item]],super1[Bairro],mercado4)+SUMIFS(supercb[Qtde],supercb[Item],tab_higiene[[#This Row],[Item]],supercb[Bairro],mercado4)</f>
        <v>0</v>
      </c>
      <c r="AO168" s="18">
        <f>SUMIFS(super1[Qtde],super1[Item],tab_higiene[[#This Row],[Item]],super1[Bairro],mercado5)+SUMIFS(supercb[Qtde],supercb[Item],tab_higiene[[#This Row],[Item]],supercb[Bairro],mercado5)</f>
        <v>1</v>
      </c>
      <c r="AP168" s="18">
        <f>SUMIFS(super1[Qtde],super1[Item],tab_higiene[[#This Row],[Item]],super1[Bairro],mercado6)+SUMIFS(supercb[Qtde],supercb[Item],tab_higiene[[#This Row],[Item]],supercb[Bairro],mercado6)</f>
        <v>0</v>
      </c>
      <c r="AQ168" s="18">
        <f>SUMIFS(super1[Qtde],super1[Item],tab_higiene[[#This Row],[Item]],super1[Bairro],mercado7)+SUMIFS(supercb[Qtde],supercb[Item],tab_higiene[[#This Row],[Item]],supercb[Bairro],mercado7)</f>
        <v>0</v>
      </c>
      <c r="AR168" s="18">
        <f>SUMIFS(super1[Qtde],super1[Item],tab_higiene[[#This Row],[Item]],super1[Bairro],mercado8)+SUMIFS(supercb[Qtde],supercb[Item],tab_higiene[[#This Row],[Item]],supercb[Bairro],mercado8)</f>
        <v>0</v>
      </c>
      <c r="AS168" s="18">
        <f>SUMIFS(super1[Qtde],super1[Item],tab_higiene[[#This Row],[Item]],super1[Bairro],mercado9)+SUMIFS(supercb[Qtde],supercb[Item],tab_higiene[[#This Row],[Item]],supercb[Bairro],mercado9)</f>
        <v>0</v>
      </c>
      <c r="AT168" s="18">
        <f>SUMIFS(super1[Qtde],super1[Item],tab_higiene[[#This Row],[Item]],super1[Bairro],mercado10)+SUMIFS(supercb[Qtde],supercb[Item],tab_higiene[[#This Row],[Item]],supercb[Bairro],mercado10)</f>
        <v>0</v>
      </c>
      <c r="AU168" s="18">
        <f>SUMIFS(super1[Qtde],super1[Item],tab_higiene[[#This Row],[Item]],super1[Bairro],mercado11)+SUMIFS(supercb[Qtde],supercb[Item],tab_higiene[[#This Row],[Item]],supercb[Bairro],mercado11)</f>
        <v>0</v>
      </c>
      <c r="AV168" s="18">
        <f>SUMIFS(super1[Qtde],super1[Item],tab_higiene[[#This Row],[Item]],super1[Bairro],mercado12)+SUMIFS(supercb[Qtde],supercb[Item],tab_higiene[[#This Row],[Item]],supercb[Bairro],mercado12)</f>
        <v>0</v>
      </c>
      <c r="AW168" s="18">
        <f>SUMIFS(super1[Qtde],super1[Item],tab_higiene[[#This Row],[Item]],super1[Bairro],mercado13)+SUMIFS(supercb[Qtde],supercb[Item],tab_higiene[[#This Row],[Item]],supercb[Bairro],mercado13)</f>
        <v>0</v>
      </c>
      <c r="AX168" s="18">
        <f>SUMIFS(super1[Qtde],super1[Item],tab_higiene[[#This Row],[Item]],super1[Bairro],mercado14)+SUMIFS(supercb[Qtde],supercb[Item],tab_higiene[[#This Row],[Item]],supercb[Bairro],mercado14)</f>
        <v>0</v>
      </c>
      <c r="AY168" s="18">
        <f>SUMIFS(super1[Qtde],super1[Item],tab_higiene[[#This Row],[Item]],super1[Bairro],mercado15)+SUMIFS(supercb[Qtde],supercb[Item],tab_higiene[[#This Row],[Item]],supercb[Bairro],mercado15)</f>
        <v>0</v>
      </c>
      <c r="AZ168" s="18">
        <f>SUMIFS(super1[Qtde],super1[Item],tab_higiene[[#This Row],[Item]],super1[Bairro],mercado16)+SUMIFS(supercb[Qtde],supercb[Item],tab_higiene[[#This Row],[Item]],supercb[Bairro],mercado16)</f>
        <v>0</v>
      </c>
      <c r="BA168" s="18">
        <f>SUMIFS(super1[Qtde],super1[Item],tab_higiene[[#This Row],[Item]],super1[Bairro],mercado17)+SUMIFS(supercb[Qtde],supercb[Item],tab_higiene[[#This Row],[Item]],supercb[Bairro],mercado17)</f>
        <v>0</v>
      </c>
      <c r="BB168" s="18">
        <f>SUMIFS(super1[Qtde],super1[Item],tab_higiene[[#This Row],[Item]],super1[Bairro],mercado18)+SUMIFS(supercb[Qtde],supercb[Item],tab_higiene[[#This Row],[Item]],supercb[Bairro],mercado18)</f>
        <v>0</v>
      </c>
      <c r="BC168" s="18">
        <f>SUMIFS(super1[Qtde],super1[Item],tab_higiene[[#This Row],[Item]],super1[Bairro],extras)+SUMIFS(supercb[Qtde],supercb[Item],tab_higiene[[#This Row],[Item]],supercb[Bairro],extras)</f>
        <v>0</v>
      </c>
      <c r="BD168" s="1">
        <f t="shared" si="64"/>
        <v>1</v>
      </c>
      <c r="BE168" s="1">
        <f t="shared" si="65"/>
        <v>1.8333333333333333</v>
      </c>
      <c r="BF168" s="26">
        <f t="shared" si="66"/>
        <v>0.55347376863853115</v>
      </c>
    </row>
    <row r="169" spans="9:58" x14ac:dyDescent="0.25">
      <c r="I169" s="25" t="str">
        <f>alimentos[[#This Row],[Item]]</f>
        <v>Macarrão (500g)</v>
      </c>
      <c r="J169" s="1">
        <f>IFERROR(alimentos[[#This Row],[kg/embalagem]],0)</f>
        <v>0.5</v>
      </c>
      <c r="K169" s="18">
        <f>IFERROR(alimentos[[#This Row],[Preço]],0)</f>
        <v>2.1999999999999997</v>
      </c>
      <c r="L169" s="18">
        <f>SUMIFS(super1[Qtde],super1[Item],tab_alimentos[[#This Row],[Item]],super1[Bairro],mercado1)+SUMIFS(supercb[Qtde],supercb[Item],tab_alimentos[[#This Row],[Item]],supercb[Bairro],mercado1)</f>
        <v>58</v>
      </c>
      <c r="M169" s="18">
        <f>SUMIFS(super1[Qtde],super1[Item],tab_alimentos[[#This Row],[Item]],super1[Bairro],mercado2)+SUMIFS(supercb[Qtde],supercb[Item],tab_alimentos[[#This Row],[Item]],supercb[Bairro],mercado2)</f>
        <v>68</v>
      </c>
      <c r="N169" s="1">
        <f>SUMIFS(super1[Qtde],super1[Item],tab_alimentos[[#This Row],[Item]],super1[Bairro],mercado3)+SUMIFS(supercb[Qtde],supercb[Item],tab_alimentos[[#This Row],[Item]],supercb[Bairro],mercado3)</f>
        <v>41</v>
      </c>
      <c r="O169" s="18">
        <f>SUMIFS(super1[Qtde],super1[Item],tab_alimentos[[#This Row],[Item]],super1[Bairro],mercado4)+SUMIFS(supercb[Qtde],supercb[Item],tab_alimentos[[#This Row],[Item]],supercb[Bairro],mercado4)</f>
        <v>85</v>
      </c>
      <c r="P169" s="18">
        <f>SUMIFS(super1[Qtde],super1[Item],tab_alimentos[[#This Row],[Item]],super1[Bairro],mercado5)+SUMIFS(supercb[Qtde],supercb[Item],tab_alimentos[[#This Row],[Item]],supercb[Bairro],mercado5)</f>
        <v>153</v>
      </c>
      <c r="Q169" s="18">
        <f>SUMIFS(super1[Qtde],super1[Item],tab_alimentos[[#This Row],[Item]],super1[Bairro],mercado6)+SUMIFS(supercb[Qtde],supercb[Item],tab_alimentos[[#This Row],[Item]],supercb[Bairro],mercado6)</f>
        <v>88</v>
      </c>
      <c r="R169" s="18">
        <f>SUMIFS(super1[Qtde],super1[Item],tab_alimentos[[#This Row],[Item]],super1[Bairro],mercado7)+SUMIFS(supercb[Qtde],supercb[Item],tab_alimentos[[#This Row],[Item]],supercb[Bairro],mercado7)</f>
        <v>77</v>
      </c>
      <c r="S169" s="18">
        <f>SUMIFS(super1[Qtde],super1[Item],tab_alimentos[[#This Row],[Item]],super1[Bairro],mercado8)+SUMIFS(supercb[Qtde],supercb[Item],tab_alimentos[[#This Row],[Item]],supercb[Bairro],mercado8)</f>
        <v>76</v>
      </c>
      <c r="T169" s="18">
        <f>SUMIFS(super1[Qtde],super1[Item],tab_alimentos[[#This Row],[Item]],super1[Bairro],mercado9)+SUMIFS(supercb[Qtde],supercb[Item],tab_alimentos[[#This Row],[Item]],supercb[Bairro],mercado9)</f>
        <v>120</v>
      </c>
      <c r="U169" s="18">
        <f>SUMIFS(super1[Qtde],super1[Item],tab_alimentos[[#This Row],[Item]],super1[Bairro],mercado10)+SUMIFS(supercb[Qtde],supercb[Item],tab_alimentos[[#This Row],[Item]],supercb[Bairro],mercado10)</f>
        <v>95</v>
      </c>
      <c r="V169" s="18">
        <f>SUMIFS(super1[Qtde],super1[Item],tab_alimentos[[#This Row],[Item]],super1[Bairro],mercado11)+SUMIFS(supercb[Qtde],supercb[Item],tab_alimentos[[#This Row],[Item]],supercb[Bairro],mercado11)</f>
        <v>111</v>
      </c>
      <c r="W169" s="18">
        <f>SUMIFS(super1[Qtde],super1[Item],tab_alimentos[[#This Row],[Item]],super1[Bairro],mercado12)+SUMIFS(supercb[Qtde],supercb[Item],tab_alimentos[[#This Row],[Item]],supercb[Bairro],mercado12)</f>
        <v>0</v>
      </c>
      <c r="X169" s="18">
        <f>SUMIFS(super1[Qtde],super1[Item],tab_alimentos[[#This Row],[Item]],super1[Bairro],mercado13)+SUMIFS(supercb[Qtde],supercb[Item],tab_alimentos[[#This Row],[Item]],supercb[Bairro],mercado13)</f>
        <v>161</v>
      </c>
      <c r="Y169" s="18">
        <f>SUMIFS(super1[Qtde],super1[Item],tab_alimentos[[#This Row],[Item]],super1[Bairro],mercado14)+SUMIFS(supercb[Qtde],supercb[Item],tab_alimentos[[#This Row],[Item]],supercb[Bairro],mercado14)</f>
        <v>0</v>
      </c>
      <c r="Z169" s="18">
        <f>SUMIFS(super1[Qtde],super1[Item],tab_alimentos[[#This Row],[Item]],super1[Bairro],mercado15)+SUMIFS(supercb[Qtde],supercb[Item],tab_alimentos[[#This Row],[Item]],supercb[Bairro],mercado15)</f>
        <v>0</v>
      </c>
      <c r="AA169" s="18">
        <f>SUMIFS(super1[Qtde],super1[Item],tab_alimentos[[#This Row],[Item]],super1[Bairro],mercado16)+SUMIFS(supercb[Qtde],supercb[Item],tab_alimentos[[#This Row],[Item]],supercb[Bairro],mercado16)</f>
        <v>0</v>
      </c>
      <c r="AB169" s="18">
        <f>SUMIFS(super1[Qtde],super1[Item],tab_alimentos[[#This Row],[Item]],super1[Bairro],mercado17)+SUMIFS(supercb[Qtde],supercb[Item],tab_alimentos[[#This Row],[Item]],supercb[Bairro],mercado17)</f>
        <v>0</v>
      </c>
      <c r="AC169" s="18">
        <f>SUMIFS(super1[Qtde],super1[Item],tab_alimentos[[#This Row],[Item]],super1[Bairro],mercado18)+SUMIFS(supercb[Qtde],supercb[Item],tab_alimentos[[#This Row],[Item]],supercb[Bairro],mercado18)</f>
        <v>0</v>
      </c>
      <c r="AD169" s="18">
        <f>SUMIFS(super1[Qtde],super1[Item],tab_alimentos[[#This Row],[Item]],super1[Bairro],extras)+SUMIFS(supercb[Qtde],supercb[Item],tab_alimentos[[#This Row],[Item]],supercb[Bairro],extras)</f>
        <v>0</v>
      </c>
      <c r="AE169" s="1">
        <f t="shared" si="67"/>
        <v>1133</v>
      </c>
      <c r="AF169" s="1">
        <f t="shared" si="68"/>
        <v>2492.6</v>
      </c>
      <c r="AG169" s="26">
        <f t="shared" si="69"/>
        <v>566.5</v>
      </c>
      <c r="AH169" s="25" t="str">
        <f>higiene[[#This Row],[Item]]</f>
        <v>sabao em barra (5un)</v>
      </c>
      <c r="AI169" s="18">
        <f>IFERROR(higiene[[#This Row],[Kg equivalente]],0)</f>
        <v>1.8058339596760802</v>
      </c>
      <c r="AJ169" s="18">
        <f>IFERROR(higiene[[#This Row],[Preço por produto]],0)</f>
        <v>5.9816666666666665</v>
      </c>
      <c r="AK169" s="18">
        <f>SUMIFS(super1[Qtde],super1[Item],tab_higiene[[#This Row],[Item]],super1[Bairro],mercado1)+SUMIFS(supercb[Qtde],supercb[Item],tab_higiene[[#This Row],[Item]],supercb[Bairro],mercado1)</f>
        <v>0</v>
      </c>
      <c r="AL169" s="18">
        <f>SUMIFS(super1[Qtde],super1[Item],tab_higiene[[#This Row],[Item]],super1[Bairro],mercado2)+SUMIFS(supercb[Qtde],supercb[Item],tab_higiene[[#This Row],[Item]],supercb[Bairro],mercado2)</f>
        <v>0</v>
      </c>
      <c r="AM169" s="18">
        <f>SUMIFS(super1[Qtde],super1[Item],tab_higiene[[#This Row],[Item]],super1[Bairro],mercado3)+SUMIFS(supercb[Qtde],supercb[Item],tab_higiene[[#This Row],[Item]],supercb[Bairro],mercado3)</f>
        <v>0</v>
      </c>
      <c r="AN169" s="18">
        <f>SUMIFS(super1[Qtde],super1[Item],tab_higiene[[#This Row],[Item]],super1[Bairro],mercado4)+SUMIFS(supercb[Qtde],supercb[Item],tab_higiene[[#This Row],[Item]],supercb[Bairro],mercado4)</f>
        <v>0</v>
      </c>
      <c r="AO169" s="18">
        <f>SUMIFS(super1[Qtde],super1[Item],tab_higiene[[#This Row],[Item]],super1[Bairro],mercado5)+SUMIFS(supercb[Qtde],supercb[Item],tab_higiene[[#This Row],[Item]],supercb[Bairro],mercado5)</f>
        <v>0</v>
      </c>
      <c r="AP169" s="18">
        <f>SUMIFS(super1[Qtde],super1[Item],tab_higiene[[#This Row],[Item]],super1[Bairro],mercado6)+SUMIFS(supercb[Qtde],supercb[Item],tab_higiene[[#This Row],[Item]],supercb[Bairro],mercado6)</f>
        <v>0</v>
      </c>
      <c r="AQ169" s="18">
        <f>SUMIFS(super1[Qtde],super1[Item],tab_higiene[[#This Row],[Item]],super1[Bairro],mercado7)+SUMIFS(supercb[Qtde],supercb[Item],tab_higiene[[#This Row],[Item]],supercb[Bairro],mercado7)</f>
        <v>0</v>
      </c>
      <c r="AR169" s="18">
        <f>SUMIFS(super1[Qtde],super1[Item],tab_higiene[[#This Row],[Item]],super1[Bairro],mercado8)+SUMIFS(supercb[Qtde],supercb[Item],tab_higiene[[#This Row],[Item]],supercb[Bairro],mercado8)</f>
        <v>0</v>
      </c>
      <c r="AS169" s="18">
        <f>SUMIFS(super1[Qtde],super1[Item],tab_higiene[[#This Row],[Item]],super1[Bairro],mercado9)+SUMIFS(supercb[Qtde],supercb[Item],tab_higiene[[#This Row],[Item]],supercb[Bairro],mercado9)</f>
        <v>0</v>
      </c>
      <c r="AT169" s="18">
        <f>SUMIFS(super1[Qtde],super1[Item],tab_higiene[[#This Row],[Item]],super1[Bairro],mercado10)+SUMIFS(supercb[Qtde],supercb[Item],tab_higiene[[#This Row],[Item]],supercb[Bairro],mercado10)</f>
        <v>0</v>
      </c>
      <c r="AU169" s="18">
        <f>SUMIFS(super1[Qtde],super1[Item],tab_higiene[[#This Row],[Item]],super1[Bairro],mercado11)+SUMIFS(supercb[Qtde],supercb[Item],tab_higiene[[#This Row],[Item]],supercb[Bairro],mercado11)</f>
        <v>0</v>
      </c>
      <c r="AV169" s="18">
        <f>SUMIFS(super1[Qtde],super1[Item],tab_higiene[[#This Row],[Item]],super1[Bairro],mercado12)+SUMIFS(supercb[Qtde],supercb[Item],tab_higiene[[#This Row],[Item]],supercb[Bairro],mercado12)</f>
        <v>0</v>
      </c>
      <c r="AW169" s="18">
        <f>SUMIFS(super1[Qtde],super1[Item],tab_higiene[[#This Row],[Item]],super1[Bairro],mercado13)+SUMIFS(supercb[Qtde],supercb[Item],tab_higiene[[#This Row],[Item]],supercb[Bairro],mercado13)</f>
        <v>0</v>
      </c>
      <c r="AX169" s="18">
        <f>SUMIFS(super1[Qtde],super1[Item],tab_higiene[[#This Row],[Item]],super1[Bairro],mercado14)+SUMIFS(supercb[Qtde],supercb[Item],tab_higiene[[#This Row],[Item]],supercb[Bairro],mercado14)</f>
        <v>0</v>
      </c>
      <c r="AY169" s="18">
        <f>SUMIFS(super1[Qtde],super1[Item],tab_higiene[[#This Row],[Item]],super1[Bairro],mercado15)+SUMIFS(supercb[Qtde],supercb[Item],tab_higiene[[#This Row],[Item]],supercb[Bairro],mercado15)</f>
        <v>0</v>
      </c>
      <c r="AZ169" s="18">
        <f>SUMIFS(super1[Qtde],super1[Item],tab_higiene[[#This Row],[Item]],super1[Bairro],mercado16)+SUMIFS(supercb[Qtde],supercb[Item],tab_higiene[[#This Row],[Item]],supercb[Bairro],mercado16)</f>
        <v>0</v>
      </c>
      <c r="BA169" s="18">
        <f>SUMIFS(super1[Qtde],super1[Item],tab_higiene[[#This Row],[Item]],super1[Bairro],mercado17)+SUMIFS(supercb[Qtde],supercb[Item],tab_higiene[[#This Row],[Item]],supercb[Bairro],mercado17)</f>
        <v>0</v>
      </c>
      <c r="BB169" s="18">
        <f>SUMIFS(super1[Qtde],super1[Item],tab_higiene[[#This Row],[Item]],super1[Bairro],mercado18)+SUMIFS(supercb[Qtde],supercb[Item],tab_higiene[[#This Row],[Item]],supercb[Bairro],mercado18)</f>
        <v>0</v>
      </c>
      <c r="BC169" s="18">
        <f>SUMIFS(super1[Qtde],super1[Item],tab_higiene[[#This Row],[Item]],super1[Bairro],extras)+SUMIFS(supercb[Qtde],supercb[Item],tab_higiene[[#This Row],[Item]],supercb[Bairro],extras)</f>
        <v>0</v>
      </c>
      <c r="BD169" s="1">
        <f t="shared" si="64"/>
        <v>0</v>
      </c>
      <c r="BE169" s="1">
        <f t="shared" si="65"/>
        <v>0</v>
      </c>
      <c r="BF169" s="26">
        <f t="shared" si="66"/>
        <v>0</v>
      </c>
    </row>
    <row r="170" spans="9:58" x14ac:dyDescent="0.25">
      <c r="I170" s="25" t="str">
        <f>alimentos[[#This Row],[Item]]</f>
        <v>Maionese (1kg)</v>
      </c>
      <c r="J170" s="1">
        <f>IFERROR(alimentos[[#This Row],[kg/embalagem]],0)</f>
        <v>1</v>
      </c>
      <c r="K170" s="18">
        <f>IFERROR(alimentos[[#This Row],[Preço]],0)</f>
        <v>5.65</v>
      </c>
      <c r="L170" s="18">
        <f>SUMIFS(super1[Qtde],super1[Item],tab_alimentos[[#This Row],[Item]],super1[Bairro],mercado1)+SUMIFS(supercb[Qtde],supercb[Item],tab_alimentos[[#This Row],[Item]],supercb[Bairro],mercado1)</f>
        <v>0</v>
      </c>
      <c r="M170" s="18">
        <f>SUMIFS(super1[Qtde],super1[Item],tab_alimentos[[#This Row],[Item]],super1[Bairro],mercado2)+SUMIFS(supercb[Qtde],supercb[Item],tab_alimentos[[#This Row],[Item]],supercb[Bairro],mercado2)</f>
        <v>0</v>
      </c>
      <c r="N170" s="1">
        <f>SUMIFS(super1[Qtde],super1[Item],tab_alimentos[[#This Row],[Item]],super1[Bairro],mercado3)+SUMIFS(supercb[Qtde],supercb[Item],tab_alimentos[[#This Row],[Item]],supercb[Bairro],mercado3)</f>
        <v>0</v>
      </c>
      <c r="O170" s="18">
        <f>SUMIFS(super1[Qtde],super1[Item],tab_alimentos[[#This Row],[Item]],super1[Bairro],mercado4)+SUMIFS(supercb[Qtde],supercb[Item],tab_alimentos[[#This Row],[Item]],supercb[Bairro],mercado4)</f>
        <v>0</v>
      </c>
      <c r="P170" s="18">
        <f>SUMIFS(super1[Qtde],super1[Item],tab_alimentos[[#This Row],[Item]],super1[Bairro],mercado5)+SUMIFS(supercb[Qtde],supercb[Item],tab_alimentos[[#This Row],[Item]],supercb[Bairro],mercado5)</f>
        <v>0</v>
      </c>
      <c r="Q170" s="18">
        <f>SUMIFS(super1[Qtde],super1[Item],tab_alimentos[[#This Row],[Item]],super1[Bairro],mercado6)+SUMIFS(supercb[Qtde],supercb[Item],tab_alimentos[[#This Row],[Item]],supercb[Bairro],mercado6)</f>
        <v>0</v>
      </c>
      <c r="R170" s="18">
        <f>SUMIFS(super1[Qtde],super1[Item],tab_alimentos[[#This Row],[Item]],super1[Bairro],mercado7)+SUMIFS(supercb[Qtde],supercb[Item],tab_alimentos[[#This Row],[Item]],supercb[Bairro],mercado7)</f>
        <v>0</v>
      </c>
      <c r="S170" s="18">
        <f>SUMIFS(super1[Qtde],super1[Item],tab_alimentos[[#This Row],[Item]],super1[Bairro],mercado8)+SUMIFS(supercb[Qtde],supercb[Item],tab_alimentos[[#This Row],[Item]],supercb[Bairro],mercado8)</f>
        <v>0</v>
      </c>
      <c r="T170" s="18">
        <f>SUMIFS(super1[Qtde],super1[Item],tab_alimentos[[#This Row],[Item]],super1[Bairro],mercado9)+SUMIFS(supercb[Qtde],supercb[Item],tab_alimentos[[#This Row],[Item]],supercb[Bairro],mercado9)</f>
        <v>0</v>
      </c>
      <c r="U170" s="18">
        <f>SUMIFS(super1[Qtde],super1[Item],tab_alimentos[[#This Row],[Item]],super1[Bairro],mercado10)+SUMIFS(supercb[Qtde],supercb[Item],tab_alimentos[[#This Row],[Item]],supercb[Bairro],mercado10)</f>
        <v>0</v>
      </c>
      <c r="V170" s="18">
        <f>SUMIFS(super1[Qtde],super1[Item],tab_alimentos[[#This Row],[Item]],super1[Bairro],mercado11)+SUMIFS(supercb[Qtde],supercb[Item],tab_alimentos[[#This Row],[Item]],supercb[Bairro],mercado11)</f>
        <v>0</v>
      </c>
      <c r="W170" s="18">
        <f>SUMIFS(super1[Qtde],super1[Item],tab_alimentos[[#This Row],[Item]],super1[Bairro],mercado12)+SUMIFS(supercb[Qtde],supercb[Item],tab_alimentos[[#This Row],[Item]],supercb[Bairro],mercado12)</f>
        <v>0</v>
      </c>
      <c r="X170" s="18">
        <f>SUMIFS(super1[Qtde],super1[Item],tab_alimentos[[#This Row],[Item]],super1[Bairro],mercado13)+SUMIFS(supercb[Qtde],supercb[Item],tab_alimentos[[#This Row],[Item]],supercb[Bairro],mercado13)</f>
        <v>0</v>
      </c>
      <c r="Y170" s="18">
        <f>SUMIFS(super1[Qtde],super1[Item],tab_alimentos[[#This Row],[Item]],super1[Bairro],mercado14)+SUMIFS(supercb[Qtde],supercb[Item],tab_alimentos[[#This Row],[Item]],supercb[Bairro],mercado14)</f>
        <v>0</v>
      </c>
      <c r="Z170" s="18">
        <f>SUMIFS(super1[Qtde],super1[Item],tab_alimentos[[#This Row],[Item]],super1[Bairro],mercado15)+SUMIFS(supercb[Qtde],supercb[Item],tab_alimentos[[#This Row],[Item]],supercb[Bairro],mercado15)</f>
        <v>0</v>
      </c>
      <c r="AA170" s="18">
        <f>SUMIFS(super1[Qtde],super1[Item],tab_alimentos[[#This Row],[Item]],super1[Bairro],mercado16)+SUMIFS(supercb[Qtde],supercb[Item],tab_alimentos[[#This Row],[Item]],supercb[Bairro],mercado16)</f>
        <v>0</v>
      </c>
      <c r="AB170" s="18">
        <f>SUMIFS(super1[Qtde],super1[Item],tab_alimentos[[#This Row],[Item]],super1[Bairro],mercado17)+SUMIFS(supercb[Qtde],supercb[Item],tab_alimentos[[#This Row],[Item]],supercb[Bairro],mercado17)</f>
        <v>0</v>
      </c>
      <c r="AC170" s="18">
        <f>SUMIFS(super1[Qtde],super1[Item],tab_alimentos[[#This Row],[Item]],super1[Bairro],mercado18)+SUMIFS(supercb[Qtde],supercb[Item],tab_alimentos[[#This Row],[Item]],supercb[Bairro],mercado18)</f>
        <v>0</v>
      </c>
      <c r="AD170" s="18">
        <f>SUMIFS(super1[Qtde],super1[Item],tab_alimentos[[#This Row],[Item]],super1[Bairro],extras)+SUMIFS(supercb[Qtde],supercb[Item],tab_alimentos[[#This Row],[Item]],supercb[Bairro],extras)</f>
        <v>0</v>
      </c>
      <c r="AE170" s="1">
        <f t="shared" si="67"/>
        <v>0</v>
      </c>
      <c r="AF170" s="1">
        <f t="shared" si="68"/>
        <v>0</v>
      </c>
      <c r="AG170" s="26">
        <f t="shared" si="69"/>
        <v>0</v>
      </c>
      <c r="AH170" s="25" t="str">
        <f>higiene[[#This Row],[Item]]</f>
        <v>Sabão em Pó (1kg)</v>
      </c>
      <c r="AI170" s="18">
        <f>IFERROR(higiene[[#This Row],[Kg equivalente]],0)</f>
        <v>1.7771539553011746</v>
      </c>
      <c r="AJ170" s="18">
        <f>IFERROR(higiene[[#This Row],[Preço por produto]],0)</f>
        <v>5.8866666666666667</v>
      </c>
      <c r="AK170" s="18">
        <f>SUMIFS(super1[Qtde],super1[Item],tab_higiene[[#This Row],[Item]],super1[Bairro],mercado1)+SUMIFS(supercb[Qtde],supercb[Item],tab_higiene[[#This Row],[Item]],supercb[Bairro],mercado1)</f>
        <v>1</v>
      </c>
      <c r="AL170" s="18">
        <f>SUMIFS(super1[Qtde],super1[Item],tab_higiene[[#This Row],[Item]],super1[Bairro],mercado2)+SUMIFS(supercb[Qtde],supercb[Item],tab_higiene[[#This Row],[Item]],supercb[Bairro],mercado2)</f>
        <v>7</v>
      </c>
      <c r="AM170" s="18">
        <f>SUMIFS(super1[Qtde],super1[Item],tab_higiene[[#This Row],[Item]],super1[Bairro],mercado3)+SUMIFS(supercb[Qtde],supercb[Item],tab_higiene[[#This Row],[Item]],supercb[Bairro],mercado3)</f>
        <v>0</v>
      </c>
      <c r="AN170" s="18">
        <f>SUMIFS(super1[Qtde],super1[Item],tab_higiene[[#This Row],[Item]],super1[Bairro],mercado4)+SUMIFS(supercb[Qtde],supercb[Item],tab_higiene[[#This Row],[Item]],supercb[Bairro],mercado4)</f>
        <v>1</v>
      </c>
      <c r="AO170" s="18">
        <f>SUMIFS(super1[Qtde],super1[Item],tab_higiene[[#This Row],[Item]],super1[Bairro],mercado5)+SUMIFS(supercb[Qtde],supercb[Item],tab_higiene[[#This Row],[Item]],supercb[Bairro],mercado5)</f>
        <v>4</v>
      </c>
      <c r="AP170" s="18">
        <f>SUMIFS(super1[Qtde],super1[Item],tab_higiene[[#This Row],[Item]],super1[Bairro],mercado6)+SUMIFS(supercb[Qtde],supercb[Item],tab_higiene[[#This Row],[Item]],supercb[Bairro],mercado6)</f>
        <v>1</v>
      </c>
      <c r="AQ170" s="18">
        <f>SUMIFS(super1[Qtde],super1[Item],tab_higiene[[#This Row],[Item]],super1[Bairro],mercado7)+SUMIFS(supercb[Qtde],supercb[Item],tab_higiene[[#This Row],[Item]],supercb[Bairro],mercado7)</f>
        <v>3</v>
      </c>
      <c r="AR170" s="18">
        <f>SUMIFS(super1[Qtde],super1[Item],tab_higiene[[#This Row],[Item]],super1[Bairro],mercado8)+SUMIFS(supercb[Qtde],supercb[Item],tab_higiene[[#This Row],[Item]],supercb[Bairro],mercado8)</f>
        <v>4</v>
      </c>
      <c r="AS170" s="18">
        <f>SUMIFS(super1[Qtde],super1[Item],tab_higiene[[#This Row],[Item]],super1[Bairro],mercado9)+SUMIFS(supercb[Qtde],supercb[Item],tab_higiene[[#This Row],[Item]],supercb[Bairro],mercado9)</f>
        <v>2</v>
      </c>
      <c r="AT170" s="18">
        <f>SUMIFS(super1[Qtde],super1[Item],tab_higiene[[#This Row],[Item]],super1[Bairro],mercado10)+SUMIFS(supercb[Qtde],supercb[Item],tab_higiene[[#This Row],[Item]],supercb[Bairro],mercado10)</f>
        <v>3</v>
      </c>
      <c r="AU170" s="18">
        <f>SUMIFS(super1[Qtde],super1[Item],tab_higiene[[#This Row],[Item]],super1[Bairro],mercado11)+SUMIFS(supercb[Qtde],supercb[Item],tab_higiene[[#This Row],[Item]],supercb[Bairro],mercado11)</f>
        <v>4</v>
      </c>
      <c r="AV170" s="18">
        <f>SUMIFS(super1[Qtde],super1[Item],tab_higiene[[#This Row],[Item]],super1[Bairro],mercado12)+SUMIFS(supercb[Qtde],supercb[Item],tab_higiene[[#This Row],[Item]],supercb[Bairro],mercado12)</f>
        <v>0</v>
      </c>
      <c r="AW170" s="18">
        <f>SUMIFS(super1[Qtde],super1[Item],tab_higiene[[#This Row],[Item]],super1[Bairro],mercado13)+SUMIFS(supercb[Qtde],supercb[Item],tab_higiene[[#This Row],[Item]],supercb[Bairro],mercado13)</f>
        <v>5</v>
      </c>
      <c r="AX170" s="18">
        <f>SUMIFS(super1[Qtde],super1[Item],tab_higiene[[#This Row],[Item]],super1[Bairro],mercado14)+SUMIFS(supercb[Qtde],supercb[Item],tab_higiene[[#This Row],[Item]],supercb[Bairro],mercado14)</f>
        <v>0</v>
      </c>
      <c r="AY170" s="18">
        <f>SUMIFS(super1[Qtde],super1[Item],tab_higiene[[#This Row],[Item]],super1[Bairro],mercado15)+SUMIFS(supercb[Qtde],supercb[Item],tab_higiene[[#This Row],[Item]],supercb[Bairro],mercado15)</f>
        <v>0</v>
      </c>
      <c r="AZ170" s="18">
        <f>SUMIFS(super1[Qtde],super1[Item],tab_higiene[[#This Row],[Item]],super1[Bairro],mercado16)+SUMIFS(supercb[Qtde],supercb[Item],tab_higiene[[#This Row],[Item]],supercb[Bairro],mercado16)</f>
        <v>0</v>
      </c>
      <c r="BA170" s="18">
        <f>SUMIFS(super1[Qtde],super1[Item],tab_higiene[[#This Row],[Item]],super1[Bairro],mercado17)+SUMIFS(supercb[Qtde],supercb[Item],tab_higiene[[#This Row],[Item]],supercb[Bairro],mercado17)</f>
        <v>0</v>
      </c>
      <c r="BB170" s="18">
        <f>SUMIFS(super1[Qtde],super1[Item],tab_higiene[[#This Row],[Item]],super1[Bairro],mercado18)+SUMIFS(supercb[Qtde],supercb[Item],tab_higiene[[#This Row],[Item]],supercb[Bairro],mercado18)</f>
        <v>0</v>
      </c>
      <c r="BC170" s="18">
        <f>SUMIFS(super1[Qtde],super1[Item],tab_higiene[[#This Row],[Item]],super1[Bairro],extras)+SUMIFS(supercb[Qtde],supercb[Item],tab_higiene[[#This Row],[Item]],supercb[Bairro],extras)</f>
        <v>0</v>
      </c>
      <c r="BD170" s="1">
        <f t="shared" si="64"/>
        <v>35</v>
      </c>
      <c r="BE170" s="1">
        <f t="shared" si="65"/>
        <v>206.03333333333333</v>
      </c>
      <c r="BF170" s="26">
        <f t="shared" si="66"/>
        <v>62.200388435541107</v>
      </c>
    </row>
    <row r="171" spans="9:58" x14ac:dyDescent="0.25">
      <c r="I171" s="25" t="str">
        <f>alimentos[[#This Row],[Item]]</f>
        <v>Maionese (200g)</v>
      </c>
      <c r="J171" s="1">
        <f>IFERROR(alimentos[[#This Row],[kg/embalagem]],0)</f>
        <v>0.2</v>
      </c>
      <c r="K171" s="18">
        <f>IFERROR(alimentos[[#This Row],[Preço]],0)</f>
        <v>1.4566666666666663</v>
      </c>
      <c r="L171" s="18">
        <f>SUMIFS(super1[Qtde],super1[Item],tab_alimentos[[#This Row],[Item]],super1[Bairro],mercado1)+SUMIFS(supercb[Qtde],supercb[Item],tab_alimentos[[#This Row],[Item]],supercb[Bairro],mercado1)</f>
        <v>0</v>
      </c>
      <c r="M171" s="18">
        <f>SUMIFS(super1[Qtde],super1[Item],tab_alimentos[[#This Row],[Item]],super1[Bairro],mercado2)+SUMIFS(supercb[Qtde],supercb[Item],tab_alimentos[[#This Row],[Item]],supercb[Bairro],mercado2)</f>
        <v>0</v>
      </c>
      <c r="N171" s="1">
        <f>SUMIFS(super1[Qtde],super1[Item],tab_alimentos[[#This Row],[Item]],super1[Bairro],mercado3)+SUMIFS(supercb[Qtde],supercb[Item],tab_alimentos[[#This Row],[Item]],supercb[Bairro],mercado3)</f>
        <v>0</v>
      </c>
      <c r="O171" s="18">
        <f>SUMIFS(super1[Qtde],super1[Item],tab_alimentos[[#This Row],[Item]],super1[Bairro],mercado4)+SUMIFS(supercb[Qtde],supercb[Item],tab_alimentos[[#This Row],[Item]],supercb[Bairro],mercado4)</f>
        <v>0</v>
      </c>
      <c r="P171" s="18">
        <f>SUMIFS(super1[Qtde],super1[Item],tab_alimentos[[#This Row],[Item]],super1[Bairro],mercado5)+SUMIFS(supercb[Qtde],supercb[Item],tab_alimentos[[#This Row],[Item]],supercb[Bairro],mercado5)</f>
        <v>0</v>
      </c>
      <c r="Q171" s="18">
        <f>SUMIFS(super1[Qtde],super1[Item],tab_alimentos[[#This Row],[Item]],super1[Bairro],mercado6)+SUMIFS(supercb[Qtde],supercb[Item],tab_alimentos[[#This Row],[Item]],supercb[Bairro],mercado6)</f>
        <v>0</v>
      </c>
      <c r="R171" s="18">
        <f>SUMIFS(super1[Qtde],super1[Item],tab_alimentos[[#This Row],[Item]],super1[Bairro],mercado7)+SUMIFS(supercb[Qtde],supercb[Item],tab_alimentos[[#This Row],[Item]],supercb[Bairro],mercado7)</f>
        <v>0</v>
      </c>
      <c r="S171" s="18">
        <f>SUMIFS(super1[Qtde],super1[Item],tab_alimentos[[#This Row],[Item]],super1[Bairro],mercado8)+SUMIFS(supercb[Qtde],supercb[Item],tab_alimentos[[#This Row],[Item]],supercb[Bairro],mercado8)</f>
        <v>0</v>
      </c>
      <c r="T171" s="18">
        <f>SUMIFS(super1[Qtde],super1[Item],tab_alimentos[[#This Row],[Item]],super1[Bairro],mercado9)+SUMIFS(supercb[Qtde],supercb[Item],tab_alimentos[[#This Row],[Item]],supercb[Bairro],mercado9)</f>
        <v>0</v>
      </c>
      <c r="U171" s="18">
        <f>SUMIFS(super1[Qtde],super1[Item],tab_alimentos[[#This Row],[Item]],super1[Bairro],mercado10)+SUMIFS(supercb[Qtde],supercb[Item],tab_alimentos[[#This Row],[Item]],supercb[Bairro],mercado10)</f>
        <v>0</v>
      </c>
      <c r="V171" s="18">
        <f>SUMIFS(super1[Qtde],super1[Item],tab_alimentos[[#This Row],[Item]],super1[Bairro],mercado11)+SUMIFS(supercb[Qtde],supercb[Item],tab_alimentos[[#This Row],[Item]],supercb[Bairro],mercado11)</f>
        <v>0</v>
      </c>
      <c r="W171" s="18">
        <f>SUMIFS(super1[Qtde],super1[Item],tab_alimentos[[#This Row],[Item]],super1[Bairro],mercado12)+SUMIFS(supercb[Qtde],supercb[Item],tab_alimentos[[#This Row],[Item]],supercb[Bairro],mercado12)</f>
        <v>0</v>
      </c>
      <c r="X171" s="18">
        <f>SUMIFS(super1[Qtde],super1[Item],tab_alimentos[[#This Row],[Item]],super1[Bairro],mercado13)+SUMIFS(supercb[Qtde],supercb[Item],tab_alimentos[[#This Row],[Item]],supercb[Bairro],mercado13)</f>
        <v>0</v>
      </c>
      <c r="Y171" s="18">
        <f>SUMIFS(super1[Qtde],super1[Item],tab_alimentos[[#This Row],[Item]],super1[Bairro],mercado14)+SUMIFS(supercb[Qtde],supercb[Item],tab_alimentos[[#This Row],[Item]],supercb[Bairro],mercado14)</f>
        <v>0</v>
      </c>
      <c r="Z171" s="18">
        <f>SUMIFS(super1[Qtde],super1[Item],tab_alimentos[[#This Row],[Item]],super1[Bairro],mercado15)+SUMIFS(supercb[Qtde],supercb[Item],tab_alimentos[[#This Row],[Item]],supercb[Bairro],mercado15)</f>
        <v>0</v>
      </c>
      <c r="AA171" s="18">
        <f>SUMIFS(super1[Qtde],super1[Item],tab_alimentos[[#This Row],[Item]],super1[Bairro],mercado16)+SUMIFS(supercb[Qtde],supercb[Item],tab_alimentos[[#This Row],[Item]],supercb[Bairro],mercado16)</f>
        <v>0</v>
      </c>
      <c r="AB171" s="18">
        <f>SUMIFS(super1[Qtde],super1[Item],tab_alimentos[[#This Row],[Item]],super1[Bairro],mercado17)+SUMIFS(supercb[Qtde],supercb[Item],tab_alimentos[[#This Row],[Item]],supercb[Bairro],mercado17)</f>
        <v>0</v>
      </c>
      <c r="AC171" s="18">
        <f>SUMIFS(super1[Qtde],super1[Item],tab_alimentos[[#This Row],[Item]],super1[Bairro],mercado18)+SUMIFS(supercb[Qtde],supercb[Item],tab_alimentos[[#This Row],[Item]],supercb[Bairro],mercado18)</f>
        <v>0</v>
      </c>
      <c r="AD171" s="18">
        <f>SUMIFS(super1[Qtde],super1[Item],tab_alimentos[[#This Row],[Item]],super1[Bairro],extras)+SUMIFS(supercb[Qtde],supercb[Item],tab_alimentos[[#This Row],[Item]],supercb[Bairro],extras)</f>
        <v>0</v>
      </c>
      <c r="AE171" s="1">
        <f t="shared" si="67"/>
        <v>0</v>
      </c>
      <c r="AF171" s="1">
        <f t="shared" si="68"/>
        <v>0</v>
      </c>
      <c r="AG171" s="26">
        <f t="shared" si="69"/>
        <v>0</v>
      </c>
      <c r="AH171" s="25" t="str">
        <f>higiene[[#This Row],[Item]]</f>
        <v>Sabão em pó (2,8kg)</v>
      </c>
      <c r="AI171" s="18">
        <f>IFERROR(higiene[[#This Row],[Kg equivalente]],0)</f>
        <v>7.4542853476180353</v>
      </c>
      <c r="AJ171" s="18">
        <f>IFERROR(higiene[[#This Row],[Preço por produto]],0)</f>
        <v>24.691666666666666</v>
      </c>
      <c r="AK171" s="18">
        <f>SUMIFS(super1[Qtde],super1[Item],tab_higiene[[#This Row],[Item]],super1[Bairro],mercado1)+SUMIFS(supercb[Qtde],supercb[Item],tab_higiene[[#This Row],[Item]],supercb[Bairro],mercado1)</f>
        <v>0</v>
      </c>
      <c r="AL171" s="18">
        <f>SUMIFS(super1[Qtde],super1[Item],tab_higiene[[#This Row],[Item]],super1[Bairro],mercado2)+SUMIFS(supercb[Qtde],supercb[Item],tab_higiene[[#This Row],[Item]],supercb[Bairro],mercado2)</f>
        <v>0</v>
      </c>
      <c r="AM171" s="18">
        <f>SUMIFS(super1[Qtde],super1[Item],tab_higiene[[#This Row],[Item]],super1[Bairro],mercado3)+SUMIFS(supercb[Qtde],supercb[Item],tab_higiene[[#This Row],[Item]],supercb[Bairro],mercado3)</f>
        <v>0</v>
      </c>
      <c r="AN171" s="18">
        <f>SUMIFS(super1[Qtde],super1[Item],tab_higiene[[#This Row],[Item]],super1[Bairro],mercado4)+SUMIFS(supercb[Qtde],supercb[Item],tab_higiene[[#This Row],[Item]],supercb[Bairro],mercado4)</f>
        <v>0</v>
      </c>
      <c r="AO171" s="18">
        <f>SUMIFS(super1[Qtde],super1[Item],tab_higiene[[#This Row],[Item]],super1[Bairro],mercado5)+SUMIFS(supercb[Qtde],supercb[Item],tab_higiene[[#This Row],[Item]],supercb[Bairro],mercado5)</f>
        <v>1</v>
      </c>
      <c r="AP171" s="18">
        <f>SUMIFS(super1[Qtde],super1[Item],tab_higiene[[#This Row],[Item]],super1[Bairro],mercado6)+SUMIFS(supercb[Qtde],supercb[Item],tab_higiene[[#This Row],[Item]],supercb[Bairro],mercado6)</f>
        <v>0</v>
      </c>
      <c r="AQ171" s="18">
        <f>SUMIFS(super1[Qtde],super1[Item],tab_higiene[[#This Row],[Item]],super1[Bairro],mercado7)+SUMIFS(supercb[Qtde],supercb[Item],tab_higiene[[#This Row],[Item]],supercb[Bairro],mercado7)</f>
        <v>0</v>
      </c>
      <c r="AR171" s="18">
        <f>SUMIFS(super1[Qtde],super1[Item],tab_higiene[[#This Row],[Item]],super1[Bairro],mercado8)+SUMIFS(supercb[Qtde],supercb[Item],tab_higiene[[#This Row],[Item]],supercb[Bairro],mercado8)</f>
        <v>0</v>
      </c>
      <c r="AS171" s="18">
        <f>SUMIFS(super1[Qtde],super1[Item],tab_higiene[[#This Row],[Item]],super1[Bairro],mercado9)+SUMIFS(supercb[Qtde],supercb[Item],tab_higiene[[#This Row],[Item]],supercb[Bairro],mercado9)</f>
        <v>0</v>
      </c>
      <c r="AT171" s="18">
        <f>SUMIFS(super1[Qtde],super1[Item],tab_higiene[[#This Row],[Item]],super1[Bairro],mercado10)+SUMIFS(supercb[Qtde],supercb[Item],tab_higiene[[#This Row],[Item]],supercb[Bairro],mercado10)</f>
        <v>0</v>
      </c>
      <c r="AU171" s="18">
        <f>SUMIFS(super1[Qtde],super1[Item],tab_higiene[[#This Row],[Item]],super1[Bairro],mercado11)+SUMIFS(supercb[Qtde],supercb[Item],tab_higiene[[#This Row],[Item]],supercb[Bairro],mercado11)</f>
        <v>0</v>
      </c>
      <c r="AV171" s="18">
        <f>SUMIFS(super1[Qtde],super1[Item],tab_higiene[[#This Row],[Item]],super1[Bairro],mercado12)+SUMIFS(supercb[Qtde],supercb[Item],tab_higiene[[#This Row],[Item]],supercb[Bairro],mercado12)</f>
        <v>0</v>
      </c>
      <c r="AW171" s="18">
        <f>SUMIFS(super1[Qtde],super1[Item],tab_higiene[[#This Row],[Item]],super1[Bairro],mercado13)+SUMIFS(supercb[Qtde],supercb[Item],tab_higiene[[#This Row],[Item]],supercb[Bairro],mercado13)</f>
        <v>0</v>
      </c>
      <c r="AX171" s="18">
        <f>SUMIFS(super1[Qtde],super1[Item],tab_higiene[[#This Row],[Item]],super1[Bairro],mercado14)+SUMIFS(supercb[Qtde],supercb[Item],tab_higiene[[#This Row],[Item]],supercb[Bairro],mercado14)</f>
        <v>0</v>
      </c>
      <c r="AY171" s="18">
        <f>SUMIFS(super1[Qtde],super1[Item],tab_higiene[[#This Row],[Item]],super1[Bairro],mercado15)+SUMIFS(supercb[Qtde],supercb[Item],tab_higiene[[#This Row],[Item]],supercb[Bairro],mercado15)</f>
        <v>0</v>
      </c>
      <c r="AZ171" s="18">
        <f>SUMIFS(super1[Qtde],super1[Item],tab_higiene[[#This Row],[Item]],super1[Bairro],mercado16)+SUMIFS(supercb[Qtde],supercb[Item],tab_higiene[[#This Row],[Item]],supercb[Bairro],mercado16)</f>
        <v>0</v>
      </c>
      <c r="BA171" s="18">
        <f>SUMIFS(super1[Qtde],super1[Item],tab_higiene[[#This Row],[Item]],super1[Bairro],mercado17)+SUMIFS(supercb[Qtde],supercb[Item],tab_higiene[[#This Row],[Item]],supercb[Bairro],mercado17)</f>
        <v>0</v>
      </c>
      <c r="BB171" s="18">
        <f>SUMIFS(super1[Qtde],super1[Item],tab_higiene[[#This Row],[Item]],super1[Bairro],mercado18)+SUMIFS(supercb[Qtde],supercb[Item],tab_higiene[[#This Row],[Item]],supercb[Bairro],mercado18)</f>
        <v>0</v>
      </c>
      <c r="BC171" s="18">
        <f>SUMIFS(super1[Qtde],super1[Item],tab_higiene[[#This Row],[Item]],super1[Bairro],extras)+SUMIFS(supercb[Qtde],supercb[Item],tab_higiene[[#This Row],[Item]],supercb[Bairro],extras)</f>
        <v>0</v>
      </c>
      <c r="BD171" s="1">
        <f t="shared" ref="BD171:BD178" si="70">SUM(AK171:BB171)</f>
        <v>1</v>
      </c>
      <c r="BE171" s="1">
        <f t="shared" ref="BE171:BE178" si="71">IFERROR(BD171*AJ171,0)</f>
        <v>24.691666666666666</v>
      </c>
      <c r="BF171" s="26">
        <f t="shared" ref="BF171:BF178" si="72">IFERROR(AI171*BD171,0)</f>
        <v>7.4542853476180353</v>
      </c>
    </row>
    <row r="172" spans="9:58" x14ac:dyDescent="0.25">
      <c r="I172" s="25" t="str">
        <f>alimentos[[#This Row],[Item]]</f>
        <v>Maionese (250g)</v>
      </c>
      <c r="J172" s="1">
        <f>IFERROR(alimentos[[#This Row],[kg/embalagem]],0)</f>
        <v>0.25</v>
      </c>
      <c r="K172" s="18">
        <f>IFERROR(alimentos[[#This Row],[Preço]],0)</f>
        <v>3.3616666666666668</v>
      </c>
      <c r="L172" s="18">
        <f>SUMIFS(super1[Qtde],super1[Item],tab_alimentos[[#This Row],[Item]],super1[Bairro],mercado1)+SUMIFS(supercb[Qtde],supercb[Item],tab_alimentos[[#This Row],[Item]],supercb[Bairro],mercado1)</f>
        <v>0</v>
      </c>
      <c r="M172" s="18">
        <f>SUMIFS(super1[Qtde],super1[Item],tab_alimentos[[#This Row],[Item]],super1[Bairro],mercado2)+SUMIFS(supercb[Qtde],supercb[Item],tab_alimentos[[#This Row],[Item]],supercb[Bairro],mercado2)</f>
        <v>0</v>
      </c>
      <c r="N172" s="1">
        <f>SUMIFS(super1[Qtde],super1[Item],tab_alimentos[[#This Row],[Item]],super1[Bairro],mercado3)+SUMIFS(supercb[Qtde],supercb[Item],tab_alimentos[[#This Row],[Item]],supercb[Bairro],mercado3)</f>
        <v>0</v>
      </c>
      <c r="O172" s="18">
        <f>SUMIFS(super1[Qtde],super1[Item],tab_alimentos[[#This Row],[Item]],super1[Bairro],mercado4)+SUMIFS(supercb[Qtde],supercb[Item],tab_alimentos[[#This Row],[Item]],supercb[Bairro],mercado4)</f>
        <v>0</v>
      </c>
      <c r="P172" s="18">
        <f>SUMIFS(super1[Qtde],super1[Item],tab_alimentos[[#This Row],[Item]],super1[Bairro],mercado5)+SUMIFS(supercb[Qtde],supercb[Item],tab_alimentos[[#This Row],[Item]],supercb[Bairro],mercado5)</f>
        <v>0</v>
      </c>
      <c r="Q172" s="18">
        <f>SUMIFS(super1[Qtde],super1[Item],tab_alimentos[[#This Row],[Item]],super1[Bairro],mercado6)+SUMIFS(supercb[Qtde],supercb[Item],tab_alimentos[[#This Row],[Item]],supercb[Bairro],mercado6)</f>
        <v>0</v>
      </c>
      <c r="R172" s="18">
        <f>SUMIFS(super1[Qtde],super1[Item],tab_alimentos[[#This Row],[Item]],super1[Bairro],mercado7)+SUMIFS(supercb[Qtde],supercb[Item],tab_alimentos[[#This Row],[Item]],supercb[Bairro],mercado7)</f>
        <v>0</v>
      </c>
      <c r="S172" s="18">
        <f>SUMIFS(super1[Qtde],super1[Item],tab_alimentos[[#This Row],[Item]],super1[Bairro],mercado8)+SUMIFS(supercb[Qtde],supercb[Item],tab_alimentos[[#This Row],[Item]],supercb[Bairro],mercado8)</f>
        <v>0</v>
      </c>
      <c r="T172" s="18">
        <f>SUMIFS(super1[Qtde],super1[Item],tab_alimentos[[#This Row],[Item]],super1[Bairro],mercado9)+SUMIFS(supercb[Qtde],supercb[Item],tab_alimentos[[#This Row],[Item]],supercb[Bairro],mercado9)</f>
        <v>0</v>
      </c>
      <c r="U172" s="18">
        <f>SUMIFS(super1[Qtde],super1[Item],tab_alimentos[[#This Row],[Item]],super1[Bairro],mercado10)+SUMIFS(supercb[Qtde],supercb[Item],tab_alimentos[[#This Row],[Item]],supercb[Bairro],mercado10)</f>
        <v>0</v>
      </c>
      <c r="V172" s="18">
        <f>SUMIFS(super1[Qtde],super1[Item],tab_alimentos[[#This Row],[Item]],super1[Bairro],mercado11)+SUMIFS(supercb[Qtde],supercb[Item],tab_alimentos[[#This Row],[Item]],supercb[Bairro],mercado11)</f>
        <v>0</v>
      </c>
      <c r="W172" s="18">
        <f>SUMIFS(super1[Qtde],super1[Item],tab_alimentos[[#This Row],[Item]],super1[Bairro],mercado12)+SUMIFS(supercb[Qtde],supercb[Item],tab_alimentos[[#This Row],[Item]],supercb[Bairro],mercado12)</f>
        <v>0</v>
      </c>
      <c r="X172" s="18">
        <f>SUMIFS(super1[Qtde],super1[Item],tab_alimentos[[#This Row],[Item]],super1[Bairro],mercado13)+SUMIFS(supercb[Qtde],supercb[Item],tab_alimentos[[#This Row],[Item]],supercb[Bairro],mercado13)</f>
        <v>0</v>
      </c>
      <c r="Y172" s="18">
        <f>SUMIFS(super1[Qtde],super1[Item],tab_alimentos[[#This Row],[Item]],super1[Bairro],mercado14)+SUMIFS(supercb[Qtde],supercb[Item],tab_alimentos[[#This Row],[Item]],supercb[Bairro],mercado14)</f>
        <v>0</v>
      </c>
      <c r="Z172" s="18">
        <f>SUMIFS(super1[Qtde],super1[Item],tab_alimentos[[#This Row],[Item]],super1[Bairro],mercado15)+SUMIFS(supercb[Qtde],supercb[Item],tab_alimentos[[#This Row],[Item]],supercb[Bairro],mercado15)</f>
        <v>0</v>
      </c>
      <c r="AA172" s="18">
        <f>SUMIFS(super1[Qtde],super1[Item],tab_alimentos[[#This Row],[Item]],super1[Bairro],mercado16)+SUMIFS(supercb[Qtde],supercb[Item],tab_alimentos[[#This Row],[Item]],supercb[Bairro],mercado16)</f>
        <v>0</v>
      </c>
      <c r="AB172" s="18">
        <f>SUMIFS(super1[Qtde],super1[Item],tab_alimentos[[#This Row],[Item]],super1[Bairro],mercado17)+SUMIFS(supercb[Qtde],supercb[Item],tab_alimentos[[#This Row],[Item]],supercb[Bairro],mercado17)</f>
        <v>0</v>
      </c>
      <c r="AC172" s="18">
        <f>SUMIFS(super1[Qtde],super1[Item],tab_alimentos[[#This Row],[Item]],super1[Bairro],mercado18)+SUMIFS(supercb[Qtde],supercb[Item],tab_alimentos[[#This Row],[Item]],supercb[Bairro],mercado18)</f>
        <v>0</v>
      </c>
      <c r="AD172" s="18">
        <f>SUMIFS(super1[Qtde],super1[Item],tab_alimentos[[#This Row],[Item]],super1[Bairro],extras)+SUMIFS(supercb[Qtde],supercb[Item],tab_alimentos[[#This Row],[Item]],supercb[Bairro],extras)</f>
        <v>0</v>
      </c>
      <c r="AE172" s="1">
        <f t="shared" si="67"/>
        <v>0</v>
      </c>
      <c r="AF172" s="1">
        <f t="shared" si="68"/>
        <v>0</v>
      </c>
      <c r="AG172" s="26">
        <f t="shared" si="69"/>
        <v>0</v>
      </c>
      <c r="AH172" s="25" t="str">
        <f>higiene[[#This Row],[Item]]</f>
        <v>Sabão em Pó (2kg)</v>
      </c>
      <c r="AI172" s="18">
        <f>IFERROR(higiene[[#This Row],[Kg equivalente]],0)</f>
        <v>3.5055015873678603</v>
      </c>
      <c r="AJ172" s="18">
        <f>IFERROR(higiene[[#This Row],[Preço por produto]],0)</f>
        <v>11.611666666666666</v>
      </c>
      <c r="AK172" s="18">
        <f>SUMIFS(super1[Qtde],super1[Item],tab_higiene[[#This Row],[Item]],super1[Bairro],mercado1)+SUMIFS(supercb[Qtde],supercb[Item],tab_higiene[[#This Row],[Item]],supercb[Bairro],mercado1)</f>
        <v>0</v>
      </c>
      <c r="AL172" s="18">
        <f>SUMIFS(super1[Qtde],super1[Item],tab_higiene[[#This Row],[Item]],super1[Bairro],mercado2)+SUMIFS(supercb[Qtde],supercb[Item],tab_higiene[[#This Row],[Item]],supercb[Bairro],mercado2)</f>
        <v>0</v>
      </c>
      <c r="AM172" s="18">
        <f>SUMIFS(super1[Qtde],super1[Item],tab_higiene[[#This Row],[Item]],super1[Bairro],mercado3)+SUMIFS(supercb[Qtde],supercb[Item],tab_higiene[[#This Row],[Item]],supercb[Bairro],mercado3)</f>
        <v>0</v>
      </c>
      <c r="AN172" s="18">
        <f>SUMIFS(super1[Qtde],super1[Item],tab_higiene[[#This Row],[Item]],super1[Bairro],mercado4)+SUMIFS(supercb[Qtde],supercb[Item],tab_higiene[[#This Row],[Item]],supercb[Bairro],mercado4)</f>
        <v>0</v>
      </c>
      <c r="AO172" s="18">
        <f>SUMIFS(super1[Qtde],super1[Item],tab_higiene[[#This Row],[Item]],super1[Bairro],mercado5)+SUMIFS(supercb[Qtde],supercb[Item],tab_higiene[[#This Row],[Item]],supercb[Bairro],mercado5)</f>
        <v>0</v>
      </c>
      <c r="AP172" s="18">
        <f>SUMIFS(super1[Qtde],super1[Item],tab_higiene[[#This Row],[Item]],super1[Bairro],mercado6)+SUMIFS(supercb[Qtde],supercb[Item],tab_higiene[[#This Row],[Item]],supercb[Bairro],mercado6)</f>
        <v>0</v>
      </c>
      <c r="AQ172" s="18">
        <f>SUMIFS(super1[Qtde],super1[Item],tab_higiene[[#This Row],[Item]],super1[Bairro],mercado7)+SUMIFS(supercb[Qtde],supercb[Item],tab_higiene[[#This Row],[Item]],supercb[Bairro],mercado7)</f>
        <v>0</v>
      </c>
      <c r="AR172" s="18">
        <f>SUMIFS(super1[Qtde],super1[Item],tab_higiene[[#This Row],[Item]],super1[Bairro],mercado8)+SUMIFS(supercb[Qtde],supercb[Item],tab_higiene[[#This Row],[Item]],supercb[Bairro],mercado8)</f>
        <v>1</v>
      </c>
      <c r="AS172" s="18">
        <f>SUMIFS(super1[Qtde],super1[Item],tab_higiene[[#This Row],[Item]],super1[Bairro],mercado9)+SUMIFS(supercb[Qtde],supercb[Item],tab_higiene[[#This Row],[Item]],supercb[Bairro],mercado9)</f>
        <v>1</v>
      </c>
      <c r="AT172" s="18">
        <f>SUMIFS(super1[Qtde],super1[Item],tab_higiene[[#This Row],[Item]],super1[Bairro],mercado10)+SUMIFS(supercb[Qtde],supercb[Item],tab_higiene[[#This Row],[Item]],supercb[Bairro],mercado10)</f>
        <v>1</v>
      </c>
      <c r="AU172" s="18">
        <f>SUMIFS(super1[Qtde],super1[Item],tab_higiene[[#This Row],[Item]],super1[Bairro],mercado11)+SUMIFS(supercb[Qtde],supercb[Item],tab_higiene[[#This Row],[Item]],supercb[Bairro],mercado11)</f>
        <v>0</v>
      </c>
      <c r="AV172" s="18">
        <f>SUMIFS(super1[Qtde],super1[Item],tab_higiene[[#This Row],[Item]],super1[Bairro],mercado12)+SUMIFS(supercb[Qtde],supercb[Item],tab_higiene[[#This Row],[Item]],supercb[Bairro],mercado12)</f>
        <v>0</v>
      </c>
      <c r="AW172" s="18">
        <f>SUMIFS(super1[Qtde],super1[Item],tab_higiene[[#This Row],[Item]],super1[Bairro],mercado13)+SUMIFS(supercb[Qtde],supercb[Item],tab_higiene[[#This Row],[Item]],supercb[Bairro],mercado13)</f>
        <v>1</v>
      </c>
      <c r="AX172" s="18">
        <f>SUMIFS(super1[Qtde],super1[Item],tab_higiene[[#This Row],[Item]],super1[Bairro],mercado14)+SUMIFS(supercb[Qtde],supercb[Item],tab_higiene[[#This Row],[Item]],supercb[Bairro],mercado14)</f>
        <v>0</v>
      </c>
      <c r="AY172" s="18">
        <f>SUMIFS(super1[Qtde],super1[Item],tab_higiene[[#This Row],[Item]],super1[Bairro],mercado15)+SUMIFS(supercb[Qtde],supercb[Item],tab_higiene[[#This Row],[Item]],supercb[Bairro],mercado15)</f>
        <v>0</v>
      </c>
      <c r="AZ172" s="18">
        <f>SUMIFS(super1[Qtde],super1[Item],tab_higiene[[#This Row],[Item]],super1[Bairro],mercado16)+SUMIFS(supercb[Qtde],supercb[Item],tab_higiene[[#This Row],[Item]],supercb[Bairro],mercado16)</f>
        <v>0</v>
      </c>
      <c r="BA172" s="18">
        <f>SUMIFS(super1[Qtde],super1[Item],tab_higiene[[#This Row],[Item]],super1[Bairro],mercado17)+SUMIFS(supercb[Qtde],supercb[Item],tab_higiene[[#This Row],[Item]],supercb[Bairro],mercado17)</f>
        <v>0</v>
      </c>
      <c r="BB172" s="18">
        <f>SUMIFS(super1[Qtde],super1[Item],tab_higiene[[#This Row],[Item]],super1[Bairro],mercado18)+SUMIFS(supercb[Qtde],supercb[Item],tab_higiene[[#This Row],[Item]],supercb[Bairro],mercado18)</f>
        <v>0</v>
      </c>
      <c r="BC172" s="18">
        <f>SUMIFS(super1[Qtde],super1[Item],tab_higiene[[#This Row],[Item]],super1[Bairro],extras)+SUMIFS(supercb[Qtde],supercb[Item],tab_higiene[[#This Row],[Item]],supercb[Bairro],extras)</f>
        <v>0</v>
      </c>
      <c r="BD172" s="1">
        <f t="shared" si="70"/>
        <v>4</v>
      </c>
      <c r="BE172" s="1">
        <f t="shared" si="71"/>
        <v>46.446666666666665</v>
      </c>
      <c r="BF172" s="26">
        <f t="shared" si="72"/>
        <v>14.022006349471441</v>
      </c>
    </row>
    <row r="173" spans="9:58" x14ac:dyDescent="0.25">
      <c r="I173" s="25" t="str">
        <f>alimentos[[#This Row],[Item]]</f>
        <v>Maionese (300g)</v>
      </c>
      <c r="J173" s="1">
        <f>IFERROR(alimentos[[#This Row],[kg/embalagem]],0)</f>
        <v>0.3</v>
      </c>
      <c r="K173" s="18">
        <f>IFERROR(alimentos[[#This Row],[Preço]],0)</f>
        <v>7.71</v>
      </c>
      <c r="L173" s="18">
        <f>SUMIFS(super1[Qtde],super1[Item],tab_alimentos[[#This Row],[Item]],super1[Bairro],mercado1)+SUMIFS(supercb[Qtde],supercb[Item],tab_alimentos[[#This Row],[Item]],supercb[Bairro],mercado1)</f>
        <v>0</v>
      </c>
      <c r="M173" s="18">
        <f>SUMIFS(super1[Qtde],super1[Item],tab_alimentos[[#This Row],[Item]],super1[Bairro],mercado2)+SUMIFS(supercb[Qtde],supercb[Item],tab_alimentos[[#This Row],[Item]],supercb[Bairro],mercado2)</f>
        <v>0</v>
      </c>
      <c r="N173" s="1">
        <f>SUMIFS(super1[Qtde],super1[Item],tab_alimentos[[#This Row],[Item]],super1[Bairro],mercado3)+SUMIFS(supercb[Qtde],supercb[Item],tab_alimentos[[#This Row],[Item]],supercb[Bairro],mercado3)</f>
        <v>0</v>
      </c>
      <c r="O173" s="18">
        <f>SUMIFS(super1[Qtde],super1[Item],tab_alimentos[[#This Row],[Item]],super1[Bairro],mercado4)+SUMIFS(supercb[Qtde],supercb[Item],tab_alimentos[[#This Row],[Item]],supercb[Bairro],mercado4)</f>
        <v>0</v>
      </c>
      <c r="P173" s="18">
        <f>SUMIFS(super1[Qtde],super1[Item],tab_alimentos[[#This Row],[Item]],super1[Bairro],mercado5)+SUMIFS(supercb[Qtde],supercb[Item],tab_alimentos[[#This Row],[Item]],supercb[Bairro],mercado5)</f>
        <v>0</v>
      </c>
      <c r="Q173" s="18">
        <f>SUMIFS(super1[Qtde],super1[Item],tab_alimentos[[#This Row],[Item]],super1[Bairro],mercado6)+SUMIFS(supercb[Qtde],supercb[Item],tab_alimentos[[#This Row],[Item]],supercb[Bairro],mercado6)</f>
        <v>0</v>
      </c>
      <c r="R173" s="18">
        <f>SUMIFS(super1[Qtde],super1[Item],tab_alimentos[[#This Row],[Item]],super1[Bairro],mercado7)+SUMIFS(supercb[Qtde],supercb[Item],tab_alimentos[[#This Row],[Item]],supercb[Bairro],mercado7)</f>
        <v>0</v>
      </c>
      <c r="S173" s="18">
        <f>SUMIFS(super1[Qtde],super1[Item],tab_alimentos[[#This Row],[Item]],super1[Bairro],mercado8)+SUMIFS(supercb[Qtde],supercb[Item],tab_alimentos[[#This Row],[Item]],supercb[Bairro],mercado8)</f>
        <v>0</v>
      </c>
      <c r="T173" s="18">
        <f>SUMIFS(super1[Qtde],super1[Item],tab_alimentos[[#This Row],[Item]],super1[Bairro],mercado9)+SUMIFS(supercb[Qtde],supercb[Item],tab_alimentos[[#This Row],[Item]],supercb[Bairro],mercado9)</f>
        <v>0</v>
      </c>
      <c r="U173" s="18">
        <f>SUMIFS(super1[Qtde],super1[Item],tab_alimentos[[#This Row],[Item]],super1[Bairro],mercado10)+SUMIFS(supercb[Qtde],supercb[Item],tab_alimentos[[#This Row],[Item]],supercb[Bairro],mercado10)</f>
        <v>0</v>
      </c>
      <c r="V173" s="18">
        <f>SUMIFS(super1[Qtde],super1[Item],tab_alimentos[[#This Row],[Item]],super1[Bairro],mercado11)+SUMIFS(supercb[Qtde],supercb[Item],tab_alimentos[[#This Row],[Item]],supercb[Bairro],mercado11)</f>
        <v>0</v>
      </c>
      <c r="W173" s="18">
        <f>SUMIFS(super1[Qtde],super1[Item],tab_alimentos[[#This Row],[Item]],super1[Bairro],mercado12)+SUMIFS(supercb[Qtde],supercb[Item],tab_alimentos[[#This Row],[Item]],supercb[Bairro],mercado12)</f>
        <v>0</v>
      </c>
      <c r="X173" s="18">
        <f>SUMIFS(super1[Qtde],super1[Item],tab_alimentos[[#This Row],[Item]],super1[Bairro],mercado13)+SUMIFS(supercb[Qtde],supercb[Item],tab_alimentos[[#This Row],[Item]],supercb[Bairro],mercado13)</f>
        <v>0</v>
      </c>
      <c r="Y173" s="18">
        <f>SUMIFS(super1[Qtde],super1[Item],tab_alimentos[[#This Row],[Item]],super1[Bairro],mercado14)+SUMIFS(supercb[Qtde],supercb[Item],tab_alimentos[[#This Row],[Item]],supercb[Bairro],mercado14)</f>
        <v>0</v>
      </c>
      <c r="Z173" s="18">
        <f>SUMIFS(super1[Qtde],super1[Item],tab_alimentos[[#This Row],[Item]],super1[Bairro],mercado15)+SUMIFS(supercb[Qtde],supercb[Item],tab_alimentos[[#This Row],[Item]],supercb[Bairro],mercado15)</f>
        <v>0</v>
      </c>
      <c r="AA173" s="18">
        <f>SUMIFS(super1[Qtde],super1[Item],tab_alimentos[[#This Row],[Item]],super1[Bairro],mercado16)+SUMIFS(supercb[Qtde],supercb[Item],tab_alimentos[[#This Row],[Item]],supercb[Bairro],mercado16)</f>
        <v>0</v>
      </c>
      <c r="AB173" s="18">
        <f>SUMIFS(super1[Qtde],super1[Item],tab_alimentos[[#This Row],[Item]],super1[Bairro],mercado17)+SUMIFS(supercb[Qtde],supercb[Item],tab_alimentos[[#This Row],[Item]],supercb[Bairro],mercado17)</f>
        <v>0</v>
      </c>
      <c r="AC173" s="18">
        <f>SUMIFS(super1[Qtde],super1[Item],tab_alimentos[[#This Row],[Item]],super1[Bairro],mercado18)+SUMIFS(supercb[Qtde],supercb[Item],tab_alimentos[[#This Row],[Item]],supercb[Bairro],mercado18)</f>
        <v>0</v>
      </c>
      <c r="AD173" s="18">
        <f>SUMIFS(super1[Qtde],super1[Item],tab_alimentos[[#This Row],[Item]],super1[Bairro],extras)+SUMIFS(supercb[Qtde],supercb[Item],tab_alimentos[[#This Row],[Item]],supercb[Bairro],extras)</f>
        <v>0</v>
      </c>
      <c r="AE173" s="1">
        <f t="shared" si="67"/>
        <v>0</v>
      </c>
      <c r="AF173" s="1">
        <f t="shared" si="68"/>
        <v>0</v>
      </c>
      <c r="AG173" s="26">
        <f t="shared" si="69"/>
        <v>0</v>
      </c>
      <c r="AH173" s="25" t="str">
        <f>higiene[[#This Row],[Item]]</f>
        <v>Sabão em Pó (3kg)</v>
      </c>
      <c r="AI173" s="18">
        <f>IFERROR(higiene[[#This Row],[Kg equivalente]],0)</f>
        <v>5.5946134849925704</v>
      </c>
      <c r="AJ173" s="18">
        <f>IFERROR(higiene[[#This Row],[Preço por produto]],0)</f>
        <v>18.531666666666666</v>
      </c>
      <c r="AK173" s="18">
        <f>SUMIFS(super1[Qtde],super1[Item],tab_higiene[[#This Row],[Item]],super1[Bairro],mercado1)+SUMIFS(supercb[Qtde],supercb[Item],tab_higiene[[#This Row],[Item]],supercb[Bairro],mercado1)</f>
        <v>0</v>
      </c>
      <c r="AL173" s="18">
        <f>SUMIFS(super1[Qtde],super1[Item],tab_higiene[[#This Row],[Item]],super1[Bairro],mercado2)+SUMIFS(supercb[Qtde],supercb[Item],tab_higiene[[#This Row],[Item]],supercb[Bairro],mercado2)</f>
        <v>0</v>
      </c>
      <c r="AM173" s="18">
        <f>SUMIFS(super1[Qtde],super1[Item],tab_higiene[[#This Row],[Item]],super1[Bairro],mercado3)+SUMIFS(supercb[Qtde],supercb[Item],tab_higiene[[#This Row],[Item]],supercb[Bairro],mercado3)</f>
        <v>0</v>
      </c>
      <c r="AN173" s="18">
        <f>SUMIFS(super1[Qtde],super1[Item],tab_higiene[[#This Row],[Item]],super1[Bairro],mercado4)+SUMIFS(supercb[Qtde],supercb[Item],tab_higiene[[#This Row],[Item]],supercb[Bairro],mercado4)</f>
        <v>0</v>
      </c>
      <c r="AO173" s="18">
        <f>SUMIFS(super1[Qtde],super1[Item],tab_higiene[[#This Row],[Item]],super1[Bairro],mercado5)+SUMIFS(supercb[Qtde],supercb[Item],tab_higiene[[#This Row],[Item]],supercb[Bairro],mercado5)</f>
        <v>0</v>
      </c>
      <c r="AP173" s="18">
        <f>SUMIFS(super1[Qtde],super1[Item],tab_higiene[[#This Row],[Item]],super1[Bairro],mercado6)+SUMIFS(supercb[Qtde],supercb[Item],tab_higiene[[#This Row],[Item]],supercb[Bairro],mercado6)</f>
        <v>0</v>
      </c>
      <c r="AQ173" s="18">
        <f>SUMIFS(super1[Qtde],super1[Item],tab_higiene[[#This Row],[Item]],super1[Bairro],mercado7)+SUMIFS(supercb[Qtde],supercb[Item],tab_higiene[[#This Row],[Item]],supercb[Bairro],mercado7)</f>
        <v>0</v>
      </c>
      <c r="AR173" s="18">
        <f>SUMIFS(super1[Qtde],super1[Item],tab_higiene[[#This Row],[Item]],super1[Bairro],mercado8)+SUMIFS(supercb[Qtde],supercb[Item],tab_higiene[[#This Row],[Item]],supercb[Bairro],mercado8)</f>
        <v>0</v>
      </c>
      <c r="AS173" s="18">
        <f>SUMIFS(super1[Qtde],super1[Item],tab_higiene[[#This Row],[Item]],super1[Bairro],mercado9)+SUMIFS(supercb[Qtde],supercb[Item],tab_higiene[[#This Row],[Item]],supercb[Bairro],mercado9)</f>
        <v>1</v>
      </c>
      <c r="AT173" s="18">
        <f>SUMIFS(super1[Qtde],super1[Item],tab_higiene[[#This Row],[Item]],super1[Bairro],mercado10)+SUMIFS(supercb[Qtde],supercb[Item],tab_higiene[[#This Row],[Item]],supercb[Bairro],mercado10)</f>
        <v>0</v>
      </c>
      <c r="AU173" s="18">
        <f>SUMIFS(super1[Qtde],super1[Item],tab_higiene[[#This Row],[Item]],super1[Bairro],mercado11)+SUMIFS(supercb[Qtde],supercb[Item],tab_higiene[[#This Row],[Item]],supercb[Bairro],mercado11)</f>
        <v>0</v>
      </c>
      <c r="AV173" s="18">
        <f>SUMIFS(super1[Qtde],super1[Item],tab_higiene[[#This Row],[Item]],super1[Bairro],mercado12)+SUMIFS(supercb[Qtde],supercb[Item],tab_higiene[[#This Row],[Item]],supercb[Bairro],mercado12)</f>
        <v>0</v>
      </c>
      <c r="AW173" s="18">
        <f>SUMIFS(super1[Qtde],super1[Item],tab_higiene[[#This Row],[Item]],super1[Bairro],mercado13)+SUMIFS(supercb[Qtde],supercb[Item],tab_higiene[[#This Row],[Item]],supercb[Bairro],mercado13)</f>
        <v>0</v>
      </c>
      <c r="AX173" s="18">
        <f>SUMIFS(super1[Qtde],super1[Item],tab_higiene[[#This Row],[Item]],super1[Bairro],mercado14)+SUMIFS(supercb[Qtde],supercb[Item],tab_higiene[[#This Row],[Item]],supercb[Bairro],mercado14)</f>
        <v>0</v>
      </c>
      <c r="AY173" s="18">
        <f>SUMIFS(super1[Qtde],super1[Item],tab_higiene[[#This Row],[Item]],super1[Bairro],mercado15)+SUMIFS(supercb[Qtde],supercb[Item],tab_higiene[[#This Row],[Item]],supercb[Bairro],mercado15)</f>
        <v>0</v>
      </c>
      <c r="AZ173" s="18">
        <f>SUMIFS(super1[Qtde],super1[Item],tab_higiene[[#This Row],[Item]],super1[Bairro],mercado16)+SUMIFS(supercb[Qtde],supercb[Item],tab_higiene[[#This Row],[Item]],supercb[Bairro],mercado16)</f>
        <v>0</v>
      </c>
      <c r="BA173" s="18">
        <f>SUMIFS(super1[Qtde],super1[Item],tab_higiene[[#This Row],[Item]],super1[Bairro],mercado17)+SUMIFS(supercb[Qtde],supercb[Item],tab_higiene[[#This Row],[Item]],supercb[Bairro],mercado17)</f>
        <v>0</v>
      </c>
      <c r="BB173" s="18">
        <f>SUMIFS(super1[Qtde],super1[Item],tab_higiene[[#This Row],[Item]],super1[Bairro],mercado18)+SUMIFS(supercb[Qtde],supercb[Item],tab_higiene[[#This Row],[Item]],supercb[Bairro],mercado18)</f>
        <v>0</v>
      </c>
      <c r="BC173" s="18">
        <f>SUMIFS(super1[Qtde],super1[Item],tab_higiene[[#This Row],[Item]],super1[Bairro],extras)+SUMIFS(supercb[Qtde],supercb[Item],tab_higiene[[#This Row],[Item]],supercb[Bairro],extras)</f>
        <v>0</v>
      </c>
      <c r="BD173" s="1">
        <f t="shared" si="70"/>
        <v>1</v>
      </c>
      <c r="BE173" s="1">
        <f t="shared" si="71"/>
        <v>18.531666666666666</v>
      </c>
      <c r="BF173" s="26">
        <f t="shared" si="72"/>
        <v>5.5946134849925704</v>
      </c>
    </row>
    <row r="174" spans="9:58" x14ac:dyDescent="0.25">
      <c r="I174" s="25" t="str">
        <f>alimentos[[#This Row],[Item]]</f>
        <v>Maionese (400g)</v>
      </c>
      <c r="J174" s="1">
        <f>IFERROR(alimentos[[#This Row],[kg/embalagem]],0)</f>
        <v>0.4</v>
      </c>
      <c r="K174" s="18">
        <f>IFERROR(alimentos[[#This Row],[Preço]],0)</f>
        <v>11.01</v>
      </c>
      <c r="L174" s="18">
        <f>SUMIFS(super1[Qtde],super1[Item],tab_alimentos[[#This Row],[Item]],super1[Bairro],mercado1)+SUMIFS(supercb[Qtde],supercb[Item],tab_alimentos[[#This Row],[Item]],supercb[Bairro],mercado1)</f>
        <v>0</v>
      </c>
      <c r="M174" s="18">
        <f>SUMIFS(super1[Qtde],super1[Item],tab_alimentos[[#This Row],[Item]],super1[Bairro],mercado2)+SUMIFS(supercb[Qtde],supercb[Item],tab_alimentos[[#This Row],[Item]],supercb[Bairro],mercado2)</f>
        <v>0</v>
      </c>
      <c r="N174" s="1">
        <f>SUMIFS(super1[Qtde],super1[Item],tab_alimentos[[#This Row],[Item]],super1[Bairro],mercado3)+SUMIFS(supercb[Qtde],supercb[Item],tab_alimentos[[#This Row],[Item]],supercb[Bairro],mercado3)</f>
        <v>0</v>
      </c>
      <c r="O174" s="18">
        <f>SUMIFS(super1[Qtde],super1[Item],tab_alimentos[[#This Row],[Item]],super1[Bairro],mercado4)+SUMIFS(supercb[Qtde],supercb[Item],tab_alimentos[[#This Row],[Item]],supercb[Bairro],mercado4)</f>
        <v>0</v>
      </c>
      <c r="P174" s="18">
        <f>SUMIFS(super1[Qtde],super1[Item],tab_alimentos[[#This Row],[Item]],super1[Bairro],mercado5)+SUMIFS(supercb[Qtde],supercb[Item],tab_alimentos[[#This Row],[Item]],supercb[Bairro],mercado5)</f>
        <v>0</v>
      </c>
      <c r="Q174" s="18">
        <f>SUMIFS(super1[Qtde],super1[Item],tab_alimentos[[#This Row],[Item]],super1[Bairro],mercado6)+SUMIFS(supercb[Qtde],supercb[Item],tab_alimentos[[#This Row],[Item]],supercb[Bairro],mercado6)</f>
        <v>0</v>
      </c>
      <c r="R174" s="18">
        <f>SUMIFS(super1[Qtde],super1[Item],tab_alimentos[[#This Row],[Item]],super1[Bairro],mercado7)+SUMIFS(supercb[Qtde],supercb[Item],tab_alimentos[[#This Row],[Item]],supercb[Bairro],mercado7)</f>
        <v>0</v>
      </c>
      <c r="S174" s="18">
        <f>SUMIFS(super1[Qtde],super1[Item],tab_alimentos[[#This Row],[Item]],super1[Bairro],mercado8)+SUMIFS(supercb[Qtde],supercb[Item],tab_alimentos[[#This Row],[Item]],supercb[Bairro],mercado8)</f>
        <v>0</v>
      </c>
      <c r="T174" s="18">
        <f>SUMIFS(super1[Qtde],super1[Item],tab_alimentos[[#This Row],[Item]],super1[Bairro],mercado9)+SUMIFS(supercb[Qtde],supercb[Item],tab_alimentos[[#This Row],[Item]],supercb[Bairro],mercado9)</f>
        <v>0</v>
      </c>
      <c r="U174" s="18">
        <f>SUMIFS(super1[Qtde],super1[Item],tab_alimentos[[#This Row],[Item]],super1[Bairro],mercado10)+SUMIFS(supercb[Qtde],supercb[Item],tab_alimentos[[#This Row],[Item]],supercb[Bairro],mercado10)</f>
        <v>0</v>
      </c>
      <c r="V174" s="18">
        <f>SUMIFS(super1[Qtde],super1[Item],tab_alimentos[[#This Row],[Item]],super1[Bairro],mercado11)+SUMIFS(supercb[Qtde],supercb[Item],tab_alimentos[[#This Row],[Item]],supercb[Bairro],mercado11)</f>
        <v>0</v>
      </c>
      <c r="W174" s="18">
        <f>SUMIFS(super1[Qtde],super1[Item],tab_alimentos[[#This Row],[Item]],super1[Bairro],mercado12)+SUMIFS(supercb[Qtde],supercb[Item],tab_alimentos[[#This Row],[Item]],supercb[Bairro],mercado12)</f>
        <v>0</v>
      </c>
      <c r="X174" s="18">
        <f>SUMIFS(super1[Qtde],super1[Item],tab_alimentos[[#This Row],[Item]],super1[Bairro],mercado13)+SUMIFS(supercb[Qtde],supercb[Item],tab_alimentos[[#This Row],[Item]],supercb[Bairro],mercado13)</f>
        <v>0</v>
      </c>
      <c r="Y174" s="18">
        <f>SUMIFS(super1[Qtde],super1[Item],tab_alimentos[[#This Row],[Item]],super1[Bairro],mercado14)+SUMIFS(supercb[Qtde],supercb[Item],tab_alimentos[[#This Row],[Item]],supercb[Bairro],mercado14)</f>
        <v>0</v>
      </c>
      <c r="Z174" s="18">
        <f>SUMIFS(super1[Qtde],super1[Item],tab_alimentos[[#This Row],[Item]],super1[Bairro],mercado15)+SUMIFS(supercb[Qtde],supercb[Item],tab_alimentos[[#This Row],[Item]],supercb[Bairro],mercado15)</f>
        <v>0</v>
      </c>
      <c r="AA174" s="18">
        <f>SUMIFS(super1[Qtde],super1[Item],tab_alimentos[[#This Row],[Item]],super1[Bairro],mercado16)+SUMIFS(supercb[Qtde],supercb[Item],tab_alimentos[[#This Row],[Item]],supercb[Bairro],mercado16)</f>
        <v>0</v>
      </c>
      <c r="AB174" s="18">
        <f>SUMIFS(super1[Qtde],super1[Item],tab_alimentos[[#This Row],[Item]],super1[Bairro],mercado17)+SUMIFS(supercb[Qtde],supercb[Item],tab_alimentos[[#This Row],[Item]],supercb[Bairro],mercado17)</f>
        <v>0</v>
      </c>
      <c r="AC174" s="18">
        <f>SUMIFS(super1[Qtde],super1[Item],tab_alimentos[[#This Row],[Item]],super1[Bairro],mercado18)+SUMIFS(supercb[Qtde],supercb[Item],tab_alimentos[[#This Row],[Item]],supercb[Bairro],mercado18)</f>
        <v>0</v>
      </c>
      <c r="AD174" s="18">
        <f>SUMIFS(super1[Qtde],super1[Item],tab_alimentos[[#This Row],[Item]],super1[Bairro],extras)+SUMIFS(supercb[Qtde],supercb[Item],tab_alimentos[[#This Row],[Item]],supercb[Bairro],extras)</f>
        <v>0</v>
      </c>
      <c r="AE174" s="1">
        <f t="shared" si="67"/>
        <v>0</v>
      </c>
      <c r="AF174" s="1">
        <f t="shared" si="68"/>
        <v>0</v>
      </c>
      <c r="AG174" s="26">
        <f t="shared" si="69"/>
        <v>0</v>
      </c>
      <c r="AH174" s="25" t="str">
        <f>higiene[[#This Row],[Item]]</f>
        <v>Sabão Líquido (1L)</v>
      </c>
      <c r="AI174" s="18">
        <f>IFERROR(higiene[[#This Row],[Kg equivalente]],0)</f>
        <v>2.693907779355178</v>
      </c>
      <c r="AJ174" s="18">
        <f>IFERROR(higiene[[#This Row],[Preço por produto]],0)</f>
        <v>8.9233333333333338</v>
      </c>
      <c r="AK174" s="18">
        <f>SUMIFS(super1[Qtde],super1[Item],tab_higiene[[#This Row],[Item]],super1[Bairro],mercado1)+SUMIFS(supercb[Qtde],supercb[Item],tab_higiene[[#This Row],[Item]],supercb[Bairro],mercado1)</f>
        <v>0</v>
      </c>
      <c r="AL174" s="18">
        <f>SUMIFS(super1[Qtde],super1[Item],tab_higiene[[#This Row],[Item]],super1[Bairro],mercado2)+SUMIFS(supercb[Qtde],supercb[Item],tab_higiene[[#This Row],[Item]],supercb[Bairro],mercado2)</f>
        <v>0</v>
      </c>
      <c r="AM174" s="18">
        <f>SUMIFS(super1[Qtde],super1[Item],tab_higiene[[#This Row],[Item]],super1[Bairro],mercado3)+SUMIFS(supercb[Qtde],supercb[Item],tab_higiene[[#This Row],[Item]],supercb[Bairro],mercado3)</f>
        <v>0</v>
      </c>
      <c r="AN174" s="18">
        <f>SUMIFS(super1[Qtde],super1[Item],tab_higiene[[#This Row],[Item]],super1[Bairro],mercado4)+SUMIFS(supercb[Qtde],supercb[Item],tab_higiene[[#This Row],[Item]],supercb[Bairro],mercado4)</f>
        <v>0</v>
      </c>
      <c r="AO174" s="18">
        <f>SUMIFS(super1[Qtde],super1[Item],tab_higiene[[#This Row],[Item]],super1[Bairro],mercado5)+SUMIFS(supercb[Qtde],supercb[Item],tab_higiene[[#This Row],[Item]],supercb[Bairro],mercado5)</f>
        <v>0</v>
      </c>
      <c r="AP174" s="18">
        <f>SUMIFS(super1[Qtde],super1[Item],tab_higiene[[#This Row],[Item]],super1[Bairro],mercado6)+SUMIFS(supercb[Qtde],supercb[Item],tab_higiene[[#This Row],[Item]],supercb[Bairro],mercado6)</f>
        <v>0</v>
      </c>
      <c r="AQ174" s="18">
        <f>SUMIFS(super1[Qtde],super1[Item],tab_higiene[[#This Row],[Item]],super1[Bairro],mercado7)+SUMIFS(supercb[Qtde],supercb[Item],tab_higiene[[#This Row],[Item]],supercb[Bairro],mercado7)</f>
        <v>0</v>
      </c>
      <c r="AR174" s="18">
        <f>SUMIFS(super1[Qtde],super1[Item],tab_higiene[[#This Row],[Item]],super1[Bairro],mercado8)+SUMIFS(supercb[Qtde],supercb[Item],tab_higiene[[#This Row],[Item]],supercb[Bairro],mercado8)</f>
        <v>1</v>
      </c>
      <c r="AS174" s="18">
        <f>SUMIFS(super1[Qtde],super1[Item],tab_higiene[[#This Row],[Item]],super1[Bairro],mercado9)+SUMIFS(supercb[Qtde],supercb[Item],tab_higiene[[#This Row],[Item]],supercb[Bairro],mercado9)</f>
        <v>0</v>
      </c>
      <c r="AT174" s="18">
        <f>SUMIFS(super1[Qtde],super1[Item],tab_higiene[[#This Row],[Item]],super1[Bairro],mercado10)+SUMIFS(supercb[Qtde],supercb[Item],tab_higiene[[#This Row],[Item]],supercb[Bairro],mercado10)</f>
        <v>0</v>
      </c>
      <c r="AU174" s="18">
        <f>SUMIFS(super1[Qtde],super1[Item],tab_higiene[[#This Row],[Item]],super1[Bairro],mercado11)+SUMIFS(supercb[Qtde],supercb[Item],tab_higiene[[#This Row],[Item]],supercb[Bairro],mercado11)</f>
        <v>0</v>
      </c>
      <c r="AV174" s="18">
        <f>SUMIFS(super1[Qtde],super1[Item],tab_higiene[[#This Row],[Item]],super1[Bairro],mercado12)+SUMIFS(supercb[Qtde],supercb[Item],tab_higiene[[#This Row],[Item]],supercb[Bairro],mercado12)</f>
        <v>0</v>
      </c>
      <c r="AW174" s="18">
        <f>SUMIFS(super1[Qtde],super1[Item],tab_higiene[[#This Row],[Item]],super1[Bairro],mercado13)+SUMIFS(supercb[Qtde],supercb[Item],tab_higiene[[#This Row],[Item]],supercb[Bairro],mercado13)</f>
        <v>0</v>
      </c>
      <c r="AX174" s="18">
        <f>SUMIFS(super1[Qtde],super1[Item],tab_higiene[[#This Row],[Item]],super1[Bairro],mercado14)+SUMIFS(supercb[Qtde],supercb[Item],tab_higiene[[#This Row],[Item]],supercb[Bairro],mercado14)</f>
        <v>0</v>
      </c>
      <c r="AY174" s="18">
        <f>SUMIFS(super1[Qtde],super1[Item],tab_higiene[[#This Row],[Item]],super1[Bairro],mercado15)+SUMIFS(supercb[Qtde],supercb[Item],tab_higiene[[#This Row],[Item]],supercb[Bairro],mercado15)</f>
        <v>0</v>
      </c>
      <c r="AZ174" s="18">
        <f>SUMIFS(super1[Qtde],super1[Item],tab_higiene[[#This Row],[Item]],super1[Bairro],mercado16)+SUMIFS(supercb[Qtde],supercb[Item],tab_higiene[[#This Row],[Item]],supercb[Bairro],mercado16)</f>
        <v>0</v>
      </c>
      <c r="BA174" s="18">
        <f>SUMIFS(super1[Qtde],super1[Item],tab_higiene[[#This Row],[Item]],super1[Bairro],mercado17)+SUMIFS(supercb[Qtde],supercb[Item],tab_higiene[[#This Row],[Item]],supercb[Bairro],mercado17)</f>
        <v>0</v>
      </c>
      <c r="BB174" s="18">
        <f>SUMIFS(super1[Qtde],super1[Item],tab_higiene[[#This Row],[Item]],super1[Bairro],mercado18)+SUMIFS(supercb[Qtde],supercb[Item],tab_higiene[[#This Row],[Item]],supercb[Bairro],mercado18)</f>
        <v>0</v>
      </c>
      <c r="BC174" s="18">
        <f>SUMIFS(super1[Qtde],super1[Item],tab_higiene[[#This Row],[Item]],super1[Bairro],extras)+SUMIFS(supercb[Qtde],supercb[Item],tab_higiene[[#This Row],[Item]],supercb[Bairro],extras)</f>
        <v>0</v>
      </c>
      <c r="BD174" s="1">
        <f t="shared" si="70"/>
        <v>1</v>
      </c>
      <c r="BE174" s="1">
        <f t="shared" si="71"/>
        <v>8.9233333333333338</v>
      </c>
      <c r="BF174" s="26">
        <f t="shared" si="72"/>
        <v>2.693907779355178</v>
      </c>
    </row>
    <row r="175" spans="9:58" x14ac:dyDescent="0.25">
      <c r="I175" s="25" t="str">
        <f>alimentos[[#This Row],[Item]]</f>
        <v>Maionese (500g)</v>
      </c>
      <c r="J175" s="1">
        <f>IFERROR(alimentos[[#This Row],[kg/embalagem]],0)</f>
        <v>0.5</v>
      </c>
      <c r="K175" s="18">
        <f>IFERROR(alimentos[[#This Row],[Preço]],0)</f>
        <v>2.8200000000000003</v>
      </c>
      <c r="L175" s="18">
        <f>SUMIFS(super1[Qtde],super1[Item],tab_alimentos[[#This Row],[Item]],super1[Bairro],mercado1)+SUMIFS(supercb[Qtde],supercb[Item],tab_alimentos[[#This Row],[Item]],supercb[Bairro],mercado1)</f>
        <v>0</v>
      </c>
      <c r="M175" s="18">
        <f>SUMIFS(super1[Qtde],super1[Item],tab_alimentos[[#This Row],[Item]],super1[Bairro],mercado2)+SUMIFS(supercb[Qtde],supercb[Item],tab_alimentos[[#This Row],[Item]],supercb[Bairro],mercado2)</f>
        <v>0</v>
      </c>
      <c r="N175" s="1">
        <f>SUMIFS(super1[Qtde],super1[Item],tab_alimentos[[#This Row],[Item]],super1[Bairro],mercado3)+SUMIFS(supercb[Qtde],supercb[Item],tab_alimentos[[#This Row],[Item]],supercb[Bairro],mercado3)</f>
        <v>0</v>
      </c>
      <c r="O175" s="18">
        <f>SUMIFS(super1[Qtde],super1[Item],tab_alimentos[[#This Row],[Item]],super1[Bairro],mercado4)+SUMIFS(supercb[Qtde],supercb[Item],tab_alimentos[[#This Row],[Item]],supercb[Bairro],mercado4)</f>
        <v>0</v>
      </c>
      <c r="P175" s="18">
        <f>SUMIFS(super1[Qtde],super1[Item],tab_alimentos[[#This Row],[Item]],super1[Bairro],mercado5)+SUMIFS(supercb[Qtde],supercb[Item],tab_alimentos[[#This Row],[Item]],supercb[Bairro],mercado5)</f>
        <v>0</v>
      </c>
      <c r="Q175" s="18">
        <f>SUMIFS(super1[Qtde],super1[Item],tab_alimentos[[#This Row],[Item]],super1[Bairro],mercado6)+SUMIFS(supercb[Qtde],supercb[Item],tab_alimentos[[#This Row],[Item]],supercb[Bairro],mercado6)</f>
        <v>0</v>
      </c>
      <c r="R175" s="18">
        <f>SUMIFS(super1[Qtde],super1[Item],tab_alimentos[[#This Row],[Item]],super1[Bairro],mercado7)+SUMIFS(supercb[Qtde],supercb[Item],tab_alimentos[[#This Row],[Item]],supercb[Bairro],mercado7)</f>
        <v>0</v>
      </c>
      <c r="S175" s="18">
        <f>SUMIFS(super1[Qtde],super1[Item],tab_alimentos[[#This Row],[Item]],super1[Bairro],mercado8)+SUMIFS(supercb[Qtde],supercb[Item],tab_alimentos[[#This Row],[Item]],supercb[Bairro],mercado8)</f>
        <v>0</v>
      </c>
      <c r="T175" s="18">
        <f>SUMIFS(super1[Qtde],super1[Item],tab_alimentos[[#This Row],[Item]],super1[Bairro],mercado9)+SUMIFS(supercb[Qtde],supercb[Item],tab_alimentos[[#This Row],[Item]],supercb[Bairro],mercado9)</f>
        <v>0</v>
      </c>
      <c r="U175" s="18">
        <f>SUMIFS(super1[Qtde],super1[Item],tab_alimentos[[#This Row],[Item]],super1[Bairro],mercado10)+SUMIFS(supercb[Qtde],supercb[Item],tab_alimentos[[#This Row],[Item]],supercb[Bairro],mercado10)</f>
        <v>1</v>
      </c>
      <c r="V175" s="18">
        <f>SUMIFS(super1[Qtde],super1[Item],tab_alimentos[[#This Row],[Item]],super1[Bairro],mercado11)+SUMIFS(supercb[Qtde],supercb[Item],tab_alimentos[[#This Row],[Item]],supercb[Bairro],mercado11)</f>
        <v>1</v>
      </c>
      <c r="W175" s="18">
        <f>SUMIFS(super1[Qtde],super1[Item],tab_alimentos[[#This Row],[Item]],super1[Bairro],mercado12)+SUMIFS(supercb[Qtde],supercb[Item],tab_alimentos[[#This Row],[Item]],supercb[Bairro],mercado12)</f>
        <v>0</v>
      </c>
      <c r="X175" s="18">
        <f>SUMIFS(super1[Qtde],super1[Item],tab_alimentos[[#This Row],[Item]],super1[Bairro],mercado13)+SUMIFS(supercb[Qtde],supercb[Item],tab_alimentos[[#This Row],[Item]],supercb[Bairro],mercado13)</f>
        <v>0</v>
      </c>
      <c r="Y175" s="18">
        <f>SUMIFS(super1[Qtde],super1[Item],tab_alimentos[[#This Row],[Item]],super1[Bairro],mercado14)+SUMIFS(supercb[Qtde],supercb[Item],tab_alimentos[[#This Row],[Item]],supercb[Bairro],mercado14)</f>
        <v>0</v>
      </c>
      <c r="Z175" s="18">
        <f>SUMIFS(super1[Qtde],super1[Item],tab_alimentos[[#This Row],[Item]],super1[Bairro],mercado15)+SUMIFS(supercb[Qtde],supercb[Item],tab_alimentos[[#This Row],[Item]],supercb[Bairro],mercado15)</f>
        <v>0</v>
      </c>
      <c r="AA175" s="18">
        <f>SUMIFS(super1[Qtde],super1[Item],tab_alimentos[[#This Row],[Item]],super1[Bairro],mercado16)+SUMIFS(supercb[Qtde],supercb[Item],tab_alimentos[[#This Row],[Item]],supercb[Bairro],mercado16)</f>
        <v>0</v>
      </c>
      <c r="AB175" s="18">
        <f>SUMIFS(super1[Qtde],super1[Item],tab_alimentos[[#This Row],[Item]],super1[Bairro],mercado17)+SUMIFS(supercb[Qtde],supercb[Item],tab_alimentos[[#This Row],[Item]],supercb[Bairro],mercado17)</f>
        <v>0</v>
      </c>
      <c r="AC175" s="18">
        <f>SUMIFS(super1[Qtde],super1[Item],tab_alimentos[[#This Row],[Item]],super1[Bairro],mercado18)+SUMIFS(supercb[Qtde],supercb[Item],tab_alimentos[[#This Row],[Item]],supercb[Bairro],mercado18)</f>
        <v>0</v>
      </c>
      <c r="AD175" s="18">
        <f>SUMIFS(super1[Qtde],super1[Item],tab_alimentos[[#This Row],[Item]],super1[Bairro],extras)+SUMIFS(supercb[Qtde],supercb[Item],tab_alimentos[[#This Row],[Item]],supercb[Bairro],extras)</f>
        <v>0</v>
      </c>
      <c r="AE175" s="1">
        <f t="shared" si="67"/>
        <v>2</v>
      </c>
      <c r="AF175" s="1">
        <f t="shared" si="68"/>
        <v>5.6400000000000006</v>
      </c>
      <c r="AG175" s="26">
        <f t="shared" si="69"/>
        <v>1</v>
      </c>
      <c r="AH175" s="25" t="str">
        <f>higiene[[#This Row],[Item]]</f>
        <v>Sabão Líquido (2L)</v>
      </c>
      <c r="AI175" s="18">
        <f>IFERROR(higiene[[#This Row],[Kg equivalente]],0)</f>
        <v>2.0196760975591492</v>
      </c>
      <c r="AJ175" s="18">
        <f>IFERROR(higiene[[#This Row],[Preço por produto]],0)</f>
        <v>6.69</v>
      </c>
      <c r="AK175" s="18">
        <f>SUMIFS(super1[Qtde],super1[Item],tab_higiene[[#This Row],[Item]],super1[Bairro],mercado1)+SUMIFS(supercb[Qtde],supercb[Item],tab_higiene[[#This Row],[Item]],supercb[Bairro],mercado1)</f>
        <v>0</v>
      </c>
      <c r="AL175" s="18">
        <f>SUMIFS(super1[Qtde],super1[Item],tab_higiene[[#This Row],[Item]],super1[Bairro],mercado2)+SUMIFS(supercb[Qtde],supercb[Item],tab_higiene[[#This Row],[Item]],supercb[Bairro],mercado2)</f>
        <v>0</v>
      </c>
      <c r="AM175" s="18">
        <f>SUMIFS(super1[Qtde],super1[Item],tab_higiene[[#This Row],[Item]],super1[Bairro],mercado3)+SUMIFS(supercb[Qtde],supercb[Item],tab_higiene[[#This Row],[Item]],supercb[Bairro],mercado3)</f>
        <v>0</v>
      </c>
      <c r="AN175" s="18">
        <f>SUMIFS(super1[Qtde],super1[Item],tab_higiene[[#This Row],[Item]],super1[Bairro],mercado4)+SUMIFS(supercb[Qtde],supercb[Item],tab_higiene[[#This Row],[Item]],supercb[Bairro],mercado4)</f>
        <v>0</v>
      </c>
      <c r="AO175" s="18">
        <f>SUMIFS(super1[Qtde],super1[Item],tab_higiene[[#This Row],[Item]],super1[Bairro],mercado5)+SUMIFS(supercb[Qtde],supercb[Item],tab_higiene[[#This Row],[Item]],supercb[Bairro],mercado5)</f>
        <v>0</v>
      </c>
      <c r="AP175" s="18">
        <f>SUMIFS(super1[Qtde],super1[Item],tab_higiene[[#This Row],[Item]],super1[Bairro],mercado6)+SUMIFS(supercb[Qtde],supercb[Item],tab_higiene[[#This Row],[Item]],supercb[Bairro],mercado6)</f>
        <v>0</v>
      </c>
      <c r="AQ175" s="18">
        <f>SUMIFS(super1[Qtde],super1[Item],tab_higiene[[#This Row],[Item]],super1[Bairro],mercado7)+SUMIFS(supercb[Qtde],supercb[Item],tab_higiene[[#This Row],[Item]],supercb[Bairro],mercado7)</f>
        <v>0</v>
      </c>
      <c r="AR175" s="18">
        <f>SUMIFS(super1[Qtde],super1[Item],tab_higiene[[#This Row],[Item]],super1[Bairro],mercado8)+SUMIFS(supercb[Qtde],supercb[Item],tab_higiene[[#This Row],[Item]],supercb[Bairro],mercado8)</f>
        <v>0</v>
      </c>
      <c r="AS175" s="18">
        <f>SUMIFS(super1[Qtde],super1[Item],tab_higiene[[#This Row],[Item]],super1[Bairro],mercado9)+SUMIFS(supercb[Qtde],supercb[Item],tab_higiene[[#This Row],[Item]],supercb[Bairro],mercado9)</f>
        <v>0</v>
      </c>
      <c r="AT175" s="18">
        <f>SUMIFS(super1[Qtde],super1[Item],tab_higiene[[#This Row],[Item]],super1[Bairro],mercado10)+SUMIFS(supercb[Qtde],supercb[Item],tab_higiene[[#This Row],[Item]],supercb[Bairro],mercado10)</f>
        <v>0</v>
      </c>
      <c r="AU175" s="18">
        <f>SUMIFS(super1[Qtde],super1[Item],tab_higiene[[#This Row],[Item]],super1[Bairro],mercado11)+SUMIFS(supercb[Qtde],supercb[Item],tab_higiene[[#This Row],[Item]],supercb[Bairro],mercado11)</f>
        <v>0</v>
      </c>
      <c r="AV175" s="18">
        <f>SUMIFS(super1[Qtde],super1[Item],tab_higiene[[#This Row],[Item]],super1[Bairro],mercado12)+SUMIFS(supercb[Qtde],supercb[Item],tab_higiene[[#This Row],[Item]],supercb[Bairro],mercado12)</f>
        <v>0</v>
      </c>
      <c r="AW175" s="18">
        <f>SUMIFS(super1[Qtde],super1[Item],tab_higiene[[#This Row],[Item]],super1[Bairro],mercado13)+SUMIFS(supercb[Qtde],supercb[Item],tab_higiene[[#This Row],[Item]],supercb[Bairro],mercado13)</f>
        <v>0</v>
      </c>
      <c r="AX175" s="18">
        <f>SUMIFS(super1[Qtde],super1[Item],tab_higiene[[#This Row],[Item]],super1[Bairro],mercado14)+SUMIFS(supercb[Qtde],supercb[Item],tab_higiene[[#This Row],[Item]],supercb[Bairro],mercado14)</f>
        <v>0</v>
      </c>
      <c r="AY175" s="18">
        <f>SUMIFS(super1[Qtde],super1[Item],tab_higiene[[#This Row],[Item]],super1[Bairro],mercado15)+SUMIFS(supercb[Qtde],supercb[Item],tab_higiene[[#This Row],[Item]],supercb[Bairro],mercado15)</f>
        <v>0</v>
      </c>
      <c r="AZ175" s="18">
        <f>SUMIFS(super1[Qtde],super1[Item],tab_higiene[[#This Row],[Item]],super1[Bairro],mercado16)+SUMIFS(supercb[Qtde],supercb[Item],tab_higiene[[#This Row],[Item]],supercb[Bairro],mercado16)</f>
        <v>0</v>
      </c>
      <c r="BA175" s="18">
        <f>SUMIFS(super1[Qtde],super1[Item],tab_higiene[[#This Row],[Item]],super1[Bairro],mercado17)+SUMIFS(supercb[Qtde],supercb[Item],tab_higiene[[#This Row],[Item]],supercb[Bairro],mercado17)</f>
        <v>0</v>
      </c>
      <c r="BB175" s="18">
        <f>SUMIFS(super1[Qtde],super1[Item],tab_higiene[[#This Row],[Item]],super1[Bairro],mercado18)+SUMIFS(supercb[Qtde],supercb[Item],tab_higiene[[#This Row],[Item]],supercb[Bairro],mercado18)</f>
        <v>0</v>
      </c>
      <c r="BC175" s="18">
        <f>SUMIFS(super1[Qtde],super1[Item],tab_higiene[[#This Row],[Item]],super1[Bairro],extras)+SUMIFS(supercb[Qtde],supercb[Item],tab_higiene[[#This Row],[Item]],supercb[Bairro],extras)</f>
        <v>0</v>
      </c>
      <c r="BD175" s="1">
        <f t="shared" si="70"/>
        <v>0</v>
      </c>
      <c r="BE175" s="1">
        <f t="shared" si="71"/>
        <v>0</v>
      </c>
      <c r="BF175" s="26">
        <f t="shared" si="72"/>
        <v>0</v>
      </c>
    </row>
    <row r="176" spans="9:58" x14ac:dyDescent="0.25">
      <c r="I176" s="25" t="str">
        <f>alimentos[[#This Row],[Item]]</f>
        <v>Maionese (700g)</v>
      </c>
      <c r="J176" s="1">
        <f>IFERROR(alimentos[[#This Row],[kg/embalagem]],0)</f>
        <v>0.7</v>
      </c>
      <c r="K176" s="18">
        <f>IFERROR(alimentos[[#This Row],[Preço]],0)</f>
        <v>10.2575</v>
      </c>
      <c r="L176" s="18">
        <f>SUMIFS(super1[Qtde],super1[Item],tab_alimentos[[#This Row],[Item]],super1[Bairro],mercado1)+SUMIFS(supercb[Qtde],supercb[Item],tab_alimentos[[#This Row],[Item]],supercb[Bairro],mercado1)</f>
        <v>0</v>
      </c>
      <c r="M176" s="18">
        <f>SUMIFS(super1[Qtde],super1[Item],tab_alimentos[[#This Row],[Item]],super1[Bairro],mercado2)+SUMIFS(supercb[Qtde],supercb[Item],tab_alimentos[[#This Row],[Item]],supercb[Bairro],mercado2)</f>
        <v>0</v>
      </c>
      <c r="N176" s="1">
        <f>SUMIFS(super1[Qtde],super1[Item],tab_alimentos[[#This Row],[Item]],super1[Bairro],mercado3)+SUMIFS(supercb[Qtde],supercb[Item],tab_alimentos[[#This Row],[Item]],supercb[Bairro],mercado3)</f>
        <v>0</v>
      </c>
      <c r="O176" s="18">
        <f>SUMIFS(super1[Qtde],super1[Item],tab_alimentos[[#This Row],[Item]],super1[Bairro],mercado4)+SUMIFS(supercb[Qtde],supercb[Item],tab_alimentos[[#This Row],[Item]],supercb[Bairro],mercado4)</f>
        <v>0</v>
      </c>
      <c r="P176" s="18">
        <f>SUMIFS(super1[Qtde],super1[Item],tab_alimentos[[#This Row],[Item]],super1[Bairro],mercado5)+SUMIFS(supercb[Qtde],supercb[Item],tab_alimentos[[#This Row],[Item]],supercb[Bairro],mercado5)</f>
        <v>0</v>
      </c>
      <c r="Q176" s="18">
        <f>SUMIFS(super1[Qtde],super1[Item],tab_alimentos[[#This Row],[Item]],super1[Bairro],mercado6)+SUMIFS(supercb[Qtde],supercb[Item],tab_alimentos[[#This Row],[Item]],supercb[Bairro],mercado6)</f>
        <v>0</v>
      </c>
      <c r="R176" s="18">
        <f>SUMIFS(super1[Qtde],super1[Item],tab_alimentos[[#This Row],[Item]],super1[Bairro],mercado7)+SUMIFS(supercb[Qtde],supercb[Item],tab_alimentos[[#This Row],[Item]],supercb[Bairro],mercado7)</f>
        <v>0</v>
      </c>
      <c r="S176" s="18">
        <f>SUMIFS(super1[Qtde],super1[Item],tab_alimentos[[#This Row],[Item]],super1[Bairro],mercado8)+SUMIFS(supercb[Qtde],supercb[Item],tab_alimentos[[#This Row],[Item]],supercb[Bairro],mercado8)</f>
        <v>0</v>
      </c>
      <c r="T176" s="18">
        <f>SUMIFS(super1[Qtde],super1[Item],tab_alimentos[[#This Row],[Item]],super1[Bairro],mercado9)+SUMIFS(supercb[Qtde],supercb[Item],tab_alimentos[[#This Row],[Item]],supercb[Bairro],mercado9)</f>
        <v>0</v>
      </c>
      <c r="U176" s="18">
        <f>SUMIFS(super1[Qtde],super1[Item],tab_alimentos[[#This Row],[Item]],super1[Bairro],mercado10)+SUMIFS(supercb[Qtde],supercb[Item],tab_alimentos[[#This Row],[Item]],supercb[Bairro],mercado10)</f>
        <v>0</v>
      </c>
      <c r="V176" s="18">
        <f>SUMIFS(super1[Qtde],super1[Item],tab_alimentos[[#This Row],[Item]],super1[Bairro],mercado11)+SUMIFS(supercb[Qtde],supercb[Item],tab_alimentos[[#This Row],[Item]],supercb[Bairro],mercado11)</f>
        <v>0</v>
      </c>
      <c r="W176" s="18">
        <f>SUMIFS(super1[Qtde],super1[Item],tab_alimentos[[#This Row],[Item]],super1[Bairro],mercado12)+SUMIFS(supercb[Qtde],supercb[Item],tab_alimentos[[#This Row],[Item]],supercb[Bairro],mercado12)</f>
        <v>0</v>
      </c>
      <c r="X176" s="18">
        <f>SUMIFS(super1[Qtde],super1[Item],tab_alimentos[[#This Row],[Item]],super1[Bairro],mercado13)+SUMIFS(supercb[Qtde],supercb[Item],tab_alimentos[[#This Row],[Item]],supercb[Bairro],mercado13)</f>
        <v>0</v>
      </c>
      <c r="Y176" s="18">
        <f>SUMIFS(super1[Qtde],super1[Item],tab_alimentos[[#This Row],[Item]],super1[Bairro],mercado14)+SUMIFS(supercb[Qtde],supercb[Item],tab_alimentos[[#This Row],[Item]],supercb[Bairro],mercado14)</f>
        <v>0</v>
      </c>
      <c r="Z176" s="18">
        <f>SUMIFS(super1[Qtde],super1[Item],tab_alimentos[[#This Row],[Item]],super1[Bairro],mercado15)+SUMIFS(supercb[Qtde],supercb[Item],tab_alimentos[[#This Row],[Item]],supercb[Bairro],mercado15)</f>
        <v>0</v>
      </c>
      <c r="AA176" s="18">
        <f>SUMIFS(super1[Qtde],super1[Item],tab_alimentos[[#This Row],[Item]],super1[Bairro],mercado16)+SUMIFS(supercb[Qtde],supercb[Item],tab_alimentos[[#This Row],[Item]],supercb[Bairro],mercado16)</f>
        <v>0</v>
      </c>
      <c r="AB176" s="18">
        <f>SUMIFS(super1[Qtde],super1[Item],tab_alimentos[[#This Row],[Item]],super1[Bairro],mercado17)+SUMIFS(supercb[Qtde],supercb[Item],tab_alimentos[[#This Row],[Item]],supercb[Bairro],mercado17)</f>
        <v>0</v>
      </c>
      <c r="AC176" s="18">
        <f>SUMIFS(super1[Qtde],super1[Item],tab_alimentos[[#This Row],[Item]],super1[Bairro],mercado18)+SUMIFS(supercb[Qtde],supercb[Item],tab_alimentos[[#This Row],[Item]],supercb[Bairro],mercado18)</f>
        <v>0</v>
      </c>
      <c r="AD176" s="18">
        <f>SUMIFS(super1[Qtde],super1[Item],tab_alimentos[[#This Row],[Item]],super1[Bairro],extras)+SUMIFS(supercb[Qtde],supercb[Item],tab_alimentos[[#This Row],[Item]],supercb[Bairro],extras)</f>
        <v>0</v>
      </c>
      <c r="AE176" s="1">
        <f t="shared" si="67"/>
        <v>0</v>
      </c>
      <c r="AF176" s="1">
        <f t="shared" si="68"/>
        <v>0</v>
      </c>
      <c r="AG176" s="26">
        <f t="shared" si="69"/>
        <v>0</v>
      </c>
      <c r="AH176" s="25" t="str">
        <f>higiene[[#This Row],[Item]]</f>
        <v>Sabão Líquido (3L)</v>
      </c>
      <c r="AI176" s="18">
        <f>IFERROR(higiene[[#This Row],[Kg equivalente]],0)</f>
        <v>5.1261734135357777</v>
      </c>
      <c r="AJ176" s="18">
        <f>IFERROR(higiene[[#This Row],[Preço por produto]],0)</f>
        <v>16.98</v>
      </c>
      <c r="AK176" s="18">
        <f>SUMIFS(super1[Qtde],super1[Item],tab_higiene[[#This Row],[Item]],super1[Bairro],mercado1)+SUMIFS(supercb[Qtde],supercb[Item],tab_higiene[[#This Row],[Item]],supercb[Bairro],mercado1)</f>
        <v>0</v>
      </c>
      <c r="AL176" s="18">
        <f>SUMIFS(super1[Qtde],super1[Item],tab_higiene[[#This Row],[Item]],super1[Bairro],mercado2)+SUMIFS(supercb[Qtde],supercb[Item],tab_higiene[[#This Row],[Item]],supercb[Bairro],mercado2)</f>
        <v>0</v>
      </c>
      <c r="AM176" s="18">
        <f>SUMIFS(super1[Qtde],super1[Item],tab_higiene[[#This Row],[Item]],super1[Bairro],mercado3)+SUMIFS(supercb[Qtde],supercb[Item],tab_higiene[[#This Row],[Item]],supercb[Bairro],mercado3)</f>
        <v>0</v>
      </c>
      <c r="AN176" s="18">
        <f>SUMIFS(super1[Qtde],super1[Item],tab_higiene[[#This Row],[Item]],super1[Bairro],mercado4)+SUMIFS(supercb[Qtde],supercb[Item],tab_higiene[[#This Row],[Item]],supercb[Bairro],mercado4)</f>
        <v>0</v>
      </c>
      <c r="AO176" s="18">
        <f>SUMIFS(super1[Qtde],super1[Item],tab_higiene[[#This Row],[Item]],super1[Bairro],mercado5)+SUMIFS(supercb[Qtde],supercb[Item],tab_higiene[[#This Row],[Item]],supercb[Bairro],mercado5)</f>
        <v>0</v>
      </c>
      <c r="AP176" s="18">
        <f>SUMIFS(super1[Qtde],super1[Item],tab_higiene[[#This Row],[Item]],super1[Bairro],mercado6)+SUMIFS(supercb[Qtde],supercb[Item],tab_higiene[[#This Row],[Item]],supercb[Bairro],mercado6)</f>
        <v>0</v>
      </c>
      <c r="AQ176" s="18">
        <f>SUMIFS(super1[Qtde],super1[Item],tab_higiene[[#This Row],[Item]],super1[Bairro],mercado7)+SUMIFS(supercb[Qtde],supercb[Item],tab_higiene[[#This Row],[Item]],supercb[Bairro],mercado7)</f>
        <v>0</v>
      </c>
      <c r="AR176" s="18">
        <f>SUMIFS(super1[Qtde],super1[Item],tab_higiene[[#This Row],[Item]],super1[Bairro],mercado8)+SUMIFS(supercb[Qtde],supercb[Item],tab_higiene[[#This Row],[Item]],supercb[Bairro],mercado8)</f>
        <v>0</v>
      </c>
      <c r="AS176" s="18">
        <f>SUMIFS(super1[Qtde],super1[Item],tab_higiene[[#This Row],[Item]],super1[Bairro],mercado9)+SUMIFS(supercb[Qtde],supercb[Item],tab_higiene[[#This Row],[Item]],supercb[Bairro],mercado9)</f>
        <v>0</v>
      </c>
      <c r="AT176" s="18">
        <f>SUMIFS(super1[Qtde],super1[Item],tab_higiene[[#This Row],[Item]],super1[Bairro],mercado10)+SUMIFS(supercb[Qtde],supercb[Item],tab_higiene[[#This Row],[Item]],supercb[Bairro],mercado10)</f>
        <v>0</v>
      </c>
      <c r="AU176" s="18">
        <f>SUMIFS(super1[Qtde],super1[Item],tab_higiene[[#This Row],[Item]],super1[Bairro],mercado11)+SUMIFS(supercb[Qtde],supercb[Item],tab_higiene[[#This Row],[Item]],supercb[Bairro],mercado11)</f>
        <v>0</v>
      </c>
      <c r="AV176" s="18">
        <f>SUMIFS(super1[Qtde],super1[Item],tab_higiene[[#This Row],[Item]],super1[Bairro],mercado12)+SUMIFS(supercb[Qtde],supercb[Item],tab_higiene[[#This Row],[Item]],supercb[Bairro],mercado12)</f>
        <v>0</v>
      </c>
      <c r="AW176" s="18">
        <f>SUMIFS(super1[Qtde],super1[Item],tab_higiene[[#This Row],[Item]],super1[Bairro],mercado13)+SUMIFS(supercb[Qtde],supercb[Item],tab_higiene[[#This Row],[Item]],supercb[Bairro],mercado13)</f>
        <v>0</v>
      </c>
      <c r="AX176" s="18">
        <f>SUMIFS(super1[Qtde],super1[Item],tab_higiene[[#This Row],[Item]],super1[Bairro],mercado14)+SUMIFS(supercb[Qtde],supercb[Item],tab_higiene[[#This Row],[Item]],supercb[Bairro],mercado14)</f>
        <v>0</v>
      </c>
      <c r="AY176" s="18">
        <f>SUMIFS(super1[Qtde],super1[Item],tab_higiene[[#This Row],[Item]],super1[Bairro],mercado15)+SUMIFS(supercb[Qtde],supercb[Item],tab_higiene[[#This Row],[Item]],supercb[Bairro],mercado15)</f>
        <v>0</v>
      </c>
      <c r="AZ176" s="18">
        <f>SUMIFS(super1[Qtde],super1[Item],tab_higiene[[#This Row],[Item]],super1[Bairro],mercado16)+SUMIFS(supercb[Qtde],supercb[Item],tab_higiene[[#This Row],[Item]],supercb[Bairro],mercado16)</f>
        <v>0</v>
      </c>
      <c r="BA176" s="18">
        <f>SUMIFS(super1[Qtde],super1[Item],tab_higiene[[#This Row],[Item]],super1[Bairro],mercado17)+SUMIFS(supercb[Qtde],supercb[Item],tab_higiene[[#This Row],[Item]],supercb[Bairro],mercado17)</f>
        <v>0</v>
      </c>
      <c r="BB176" s="18">
        <f>SUMIFS(super1[Qtde],super1[Item],tab_higiene[[#This Row],[Item]],super1[Bairro],mercado18)+SUMIFS(supercb[Qtde],supercb[Item],tab_higiene[[#This Row],[Item]],supercb[Bairro],mercado18)</f>
        <v>0</v>
      </c>
      <c r="BC176" s="18">
        <f>SUMIFS(super1[Qtde],super1[Item],tab_higiene[[#This Row],[Item]],super1[Bairro],extras)+SUMIFS(supercb[Qtde],supercb[Item],tab_higiene[[#This Row],[Item]],supercb[Bairro],extras)</f>
        <v>0</v>
      </c>
      <c r="BD176" s="1">
        <f t="shared" si="70"/>
        <v>0</v>
      </c>
      <c r="BE176" s="1">
        <f t="shared" si="71"/>
        <v>0</v>
      </c>
      <c r="BF176" s="26">
        <f t="shared" si="72"/>
        <v>0</v>
      </c>
    </row>
    <row r="177" spans="9:58" x14ac:dyDescent="0.25">
      <c r="I177" s="25" t="str">
        <f>alimentos[[#This Row],[Item]]</f>
        <v>Maizena (200g)</v>
      </c>
      <c r="J177" s="1">
        <f>IFERROR(alimentos[[#This Row],[kg/embalagem]],0)</f>
        <v>0.2</v>
      </c>
      <c r="K177" s="18">
        <f>IFERROR(alimentos[[#This Row],[Preço]],0)</f>
        <v>4.5840000000000005</v>
      </c>
      <c r="L177" s="18">
        <f>SUMIFS(super1[Qtde],super1[Item],tab_alimentos[[#This Row],[Item]],super1[Bairro],mercado1)+SUMIFS(supercb[Qtde],supercb[Item],tab_alimentos[[#This Row],[Item]],supercb[Bairro],mercado1)</f>
        <v>0</v>
      </c>
      <c r="M177" s="18">
        <f>SUMIFS(super1[Qtde],super1[Item],tab_alimentos[[#This Row],[Item]],super1[Bairro],mercado2)+SUMIFS(supercb[Qtde],supercb[Item],tab_alimentos[[#This Row],[Item]],supercb[Bairro],mercado2)</f>
        <v>0</v>
      </c>
      <c r="N177" s="1">
        <f>SUMIFS(super1[Qtde],super1[Item],tab_alimentos[[#This Row],[Item]],super1[Bairro],mercado3)+SUMIFS(supercb[Qtde],supercb[Item],tab_alimentos[[#This Row],[Item]],supercb[Bairro],mercado3)</f>
        <v>0</v>
      </c>
      <c r="O177" s="18">
        <f>SUMIFS(super1[Qtde],super1[Item],tab_alimentos[[#This Row],[Item]],super1[Bairro],mercado4)+SUMIFS(supercb[Qtde],supercb[Item],tab_alimentos[[#This Row],[Item]],supercb[Bairro],mercado4)</f>
        <v>0</v>
      </c>
      <c r="P177" s="18">
        <f>SUMIFS(super1[Qtde],super1[Item],tab_alimentos[[#This Row],[Item]],super1[Bairro],mercado5)+SUMIFS(supercb[Qtde],supercb[Item],tab_alimentos[[#This Row],[Item]],supercb[Bairro],mercado5)</f>
        <v>0</v>
      </c>
      <c r="Q177" s="18">
        <f>SUMIFS(super1[Qtde],super1[Item],tab_alimentos[[#This Row],[Item]],super1[Bairro],mercado6)+SUMIFS(supercb[Qtde],supercb[Item],tab_alimentos[[#This Row],[Item]],supercb[Bairro],mercado6)</f>
        <v>0</v>
      </c>
      <c r="R177" s="18">
        <f>SUMIFS(super1[Qtde],super1[Item],tab_alimentos[[#This Row],[Item]],super1[Bairro],mercado7)+SUMIFS(supercb[Qtde],supercb[Item],tab_alimentos[[#This Row],[Item]],supercb[Bairro],mercado7)</f>
        <v>0</v>
      </c>
      <c r="S177" s="18">
        <f>SUMIFS(super1[Qtde],super1[Item],tab_alimentos[[#This Row],[Item]],super1[Bairro],mercado8)+SUMIFS(supercb[Qtde],supercb[Item],tab_alimentos[[#This Row],[Item]],supercb[Bairro],mercado8)</f>
        <v>0</v>
      </c>
      <c r="T177" s="18">
        <f>SUMIFS(super1[Qtde],super1[Item],tab_alimentos[[#This Row],[Item]],super1[Bairro],mercado9)+SUMIFS(supercb[Qtde],supercb[Item],tab_alimentos[[#This Row],[Item]],supercb[Bairro],mercado9)</f>
        <v>0</v>
      </c>
      <c r="U177" s="18">
        <f>SUMIFS(super1[Qtde],super1[Item],tab_alimentos[[#This Row],[Item]],super1[Bairro],mercado10)+SUMIFS(supercb[Qtde],supercb[Item],tab_alimentos[[#This Row],[Item]],supercb[Bairro],mercado10)</f>
        <v>0</v>
      </c>
      <c r="V177" s="18">
        <f>SUMIFS(super1[Qtde],super1[Item],tab_alimentos[[#This Row],[Item]],super1[Bairro],mercado11)+SUMIFS(supercb[Qtde],supercb[Item],tab_alimentos[[#This Row],[Item]],supercb[Bairro],mercado11)</f>
        <v>0</v>
      </c>
      <c r="W177" s="18">
        <f>SUMIFS(super1[Qtde],super1[Item],tab_alimentos[[#This Row],[Item]],super1[Bairro],mercado12)+SUMIFS(supercb[Qtde],supercb[Item],tab_alimentos[[#This Row],[Item]],supercb[Bairro],mercado12)</f>
        <v>0</v>
      </c>
      <c r="X177" s="18">
        <f>SUMIFS(super1[Qtde],super1[Item],tab_alimentos[[#This Row],[Item]],super1[Bairro],mercado13)+SUMIFS(supercb[Qtde],supercb[Item],tab_alimentos[[#This Row],[Item]],supercb[Bairro],mercado13)</f>
        <v>0</v>
      </c>
      <c r="Y177" s="18">
        <f>SUMIFS(super1[Qtde],super1[Item],tab_alimentos[[#This Row],[Item]],super1[Bairro],mercado14)+SUMIFS(supercb[Qtde],supercb[Item],tab_alimentos[[#This Row],[Item]],supercb[Bairro],mercado14)</f>
        <v>0</v>
      </c>
      <c r="Z177" s="18">
        <f>SUMIFS(super1[Qtde],super1[Item],tab_alimentos[[#This Row],[Item]],super1[Bairro],mercado15)+SUMIFS(supercb[Qtde],supercb[Item],tab_alimentos[[#This Row],[Item]],supercb[Bairro],mercado15)</f>
        <v>0</v>
      </c>
      <c r="AA177" s="18">
        <f>SUMIFS(super1[Qtde],super1[Item],tab_alimentos[[#This Row],[Item]],super1[Bairro],mercado16)+SUMIFS(supercb[Qtde],supercb[Item],tab_alimentos[[#This Row],[Item]],supercb[Bairro],mercado16)</f>
        <v>0</v>
      </c>
      <c r="AB177" s="18">
        <f>SUMIFS(super1[Qtde],super1[Item],tab_alimentos[[#This Row],[Item]],super1[Bairro],mercado17)+SUMIFS(supercb[Qtde],supercb[Item],tab_alimentos[[#This Row],[Item]],supercb[Bairro],mercado17)</f>
        <v>0</v>
      </c>
      <c r="AC177" s="18">
        <f>SUMIFS(super1[Qtde],super1[Item],tab_alimentos[[#This Row],[Item]],super1[Bairro],mercado18)+SUMIFS(supercb[Qtde],supercb[Item],tab_alimentos[[#This Row],[Item]],supercb[Bairro],mercado18)</f>
        <v>0</v>
      </c>
      <c r="AD177" s="18">
        <f>SUMIFS(super1[Qtde],super1[Item],tab_alimentos[[#This Row],[Item]],super1[Bairro],extras)+SUMIFS(supercb[Qtde],supercb[Item],tab_alimentos[[#This Row],[Item]],supercb[Bairro],extras)</f>
        <v>0</v>
      </c>
      <c r="AE177" s="1">
        <f t="shared" si="67"/>
        <v>0</v>
      </c>
      <c r="AF177" s="1">
        <f t="shared" si="68"/>
        <v>0</v>
      </c>
      <c r="AG177" s="26">
        <f t="shared" si="69"/>
        <v>0</v>
      </c>
      <c r="AH177" s="25" t="str">
        <f>higiene[[#This Row],[Item]]</f>
        <v>Sabão Líquido (5L)</v>
      </c>
      <c r="AI177" s="18">
        <f>IFERROR(higiene[[#This Row],[Kg equivalente]],0)</f>
        <v>8.8440076648722385</v>
      </c>
      <c r="AJ177" s="18">
        <f>IFERROR(higiene[[#This Row],[Preço por produto]],0)</f>
        <v>29.295000000000002</v>
      </c>
      <c r="AK177" s="18">
        <f>SUMIFS(super1[Qtde],super1[Item],tab_higiene[[#This Row],[Item]],super1[Bairro],mercado1)+SUMIFS(supercb[Qtde],supercb[Item],tab_higiene[[#This Row],[Item]],supercb[Bairro],mercado1)</f>
        <v>0</v>
      </c>
      <c r="AL177" s="18">
        <f>SUMIFS(super1[Qtde],super1[Item],tab_higiene[[#This Row],[Item]],super1[Bairro],mercado2)+SUMIFS(supercb[Qtde],supercb[Item],tab_higiene[[#This Row],[Item]],supercb[Bairro],mercado2)</f>
        <v>0</v>
      </c>
      <c r="AM177" s="18">
        <f>SUMIFS(super1[Qtde],super1[Item],tab_higiene[[#This Row],[Item]],super1[Bairro],mercado3)+SUMIFS(supercb[Qtde],supercb[Item],tab_higiene[[#This Row],[Item]],supercb[Bairro],mercado3)</f>
        <v>0</v>
      </c>
      <c r="AN177" s="18">
        <f>SUMIFS(super1[Qtde],super1[Item],tab_higiene[[#This Row],[Item]],super1[Bairro],mercado4)+SUMIFS(supercb[Qtde],supercb[Item],tab_higiene[[#This Row],[Item]],supercb[Bairro],mercado4)</f>
        <v>0</v>
      </c>
      <c r="AO177" s="18">
        <f>SUMIFS(super1[Qtde],super1[Item],tab_higiene[[#This Row],[Item]],super1[Bairro],mercado5)+SUMIFS(supercb[Qtde],supercb[Item],tab_higiene[[#This Row],[Item]],supercb[Bairro],mercado5)</f>
        <v>0</v>
      </c>
      <c r="AP177" s="18">
        <f>SUMIFS(super1[Qtde],super1[Item],tab_higiene[[#This Row],[Item]],super1[Bairro],mercado6)+SUMIFS(supercb[Qtde],supercb[Item],tab_higiene[[#This Row],[Item]],supercb[Bairro],mercado6)</f>
        <v>0</v>
      </c>
      <c r="AQ177" s="18">
        <f>SUMIFS(super1[Qtde],super1[Item],tab_higiene[[#This Row],[Item]],super1[Bairro],mercado7)+SUMIFS(supercb[Qtde],supercb[Item],tab_higiene[[#This Row],[Item]],supercb[Bairro],mercado7)</f>
        <v>0</v>
      </c>
      <c r="AR177" s="18">
        <f>SUMIFS(super1[Qtde],super1[Item],tab_higiene[[#This Row],[Item]],super1[Bairro],mercado8)+SUMIFS(supercb[Qtde],supercb[Item],tab_higiene[[#This Row],[Item]],supercb[Bairro],mercado8)</f>
        <v>0</v>
      </c>
      <c r="AS177" s="18">
        <f>SUMIFS(super1[Qtde],super1[Item],tab_higiene[[#This Row],[Item]],super1[Bairro],mercado9)+SUMIFS(supercb[Qtde],supercb[Item],tab_higiene[[#This Row],[Item]],supercb[Bairro],mercado9)</f>
        <v>0</v>
      </c>
      <c r="AT177" s="18">
        <f>SUMIFS(super1[Qtde],super1[Item],tab_higiene[[#This Row],[Item]],super1[Bairro],mercado10)+SUMIFS(supercb[Qtde],supercb[Item],tab_higiene[[#This Row],[Item]],supercb[Bairro],mercado10)</f>
        <v>0</v>
      </c>
      <c r="AU177" s="18">
        <f>SUMIFS(super1[Qtde],super1[Item],tab_higiene[[#This Row],[Item]],super1[Bairro],mercado11)+SUMIFS(supercb[Qtde],supercb[Item],tab_higiene[[#This Row],[Item]],supercb[Bairro],mercado11)</f>
        <v>0</v>
      </c>
      <c r="AV177" s="18">
        <f>SUMIFS(super1[Qtde],super1[Item],tab_higiene[[#This Row],[Item]],super1[Bairro],mercado12)+SUMIFS(supercb[Qtde],supercb[Item],tab_higiene[[#This Row],[Item]],supercb[Bairro],mercado12)</f>
        <v>0</v>
      </c>
      <c r="AW177" s="18">
        <f>SUMIFS(super1[Qtde],super1[Item],tab_higiene[[#This Row],[Item]],super1[Bairro],mercado13)+SUMIFS(supercb[Qtde],supercb[Item],tab_higiene[[#This Row],[Item]],supercb[Bairro],mercado13)</f>
        <v>0</v>
      </c>
      <c r="AX177" s="18">
        <f>SUMIFS(super1[Qtde],super1[Item],tab_higiene[[#This Row],[Item]],super1[Bairro],mercado14)+SUMIFS(supercb[Qtde],supercb[Item],tab_higiene[[#This Row],[Item]],supercb[Bairro],mercado14)</f>
        <v>0</v>
      </c>
      <c r="AY177" s="18">
        <f>SUMIFS(super1[Qtde],super1[Item],tab_higiene[[#This Row],[Item]],super1[Bairro],mercado15)+SUMIFS(supercb[Qtde],supercb[Item],tab_higiene[[#This Row],[Item]],supercb[Bairro],mercado15)</f>
        <v>0</v>
      </c>
      <c r="AZ177" s="18">
        <f>SUMIFS(super1[Qtde],super1[Item],tab_higiene[[#This Row],[Item]],super1[Bairro],mercado16)+SUMIFS(supercb[Qtde],supercb[Item],tab_higiene[[#This Row],[Item]],supercb[Bairro],mercado16)</f>
        <v>0</v>
      </c>
      <c r="BA177" s="18">
        <f>SUMIFS(super1[Qtde],super1[Item],tab_higiene[[#This Row],[Item]],super1[Bairro],mercado17)+SUMIFS(supercb[Qtde],supercb[Item],tab_higiene[[#This Row],[Item]],supercb[Bairro],mercado17)</f>
        <v>0</v>
      </c>
      <c r="BB177" s="18">
        <f>SUMIFS(super1[Qtde],super1[Item],tab_higiene[[#This Row],[Item]],super1[Bairro],mercado18)+SUMIFS(supercb[Qtde],supercb[Item],tab_higiene[[#This Row],[Item]],supercb[Bairro],mercado18)</f>
        <v>0</v>
      </c>
      <c r="BC177" s="18">
        <f>SUMIFS(super1[Qtde],super1[Item],tab_higiene[[#This Row],[Item]],super1[Bairro],extras)+SUMIFS(supercb[Qtde],supercb[Item],tab_higiene[[#This Row],[Item]],supercb[Bairro],extras)</f>
        <v>0</v>
      </c>
      <c r="BD177" s="1">
        <f t="shared" si="70"/>
        <v>0</v>
      </c>
      <c r="BE177" s="1">
        <f t="shared" si="71"/>
        <v>0</v>
      </c>
      <c r="BF177" s="26">
        <f t="shared" si="72"/>
        <v>0</v>
      </c>
    </row>
    <row r="178" spans="9:58" x14ac:dyDescent="0.25">
      <c r="I178" s="25" t="str">
        <f>alimentos[[#This Row],[Item]]</f>
        <v>Maizena (500g)</v>
      </c>
      <c r="J178" s="1">
        <f>IFERROR(alimentos[[#This Row],[kg/embalagem]],0)</f>
        <v>0.5</v>
      </c>
      <c r="K178" s="18">
        <f>IFERROR(alimentos[[#This Row],[Preço]],0)</f>
        <v>6.8550000000000004</v>
      </c>
      <c r="L178" s="18">
        <f>SUMIFS(super1[Qtde],super1[Item],tab_alimentos[[#This Row],[Item]],super1[Bairro],mercado1)+SUMIFS(supercb[Qtde],supercb[Item],tab_alimentos[[#This Row],[Item]],supercb[Bairro],mercado1)</f>
        <v>0</v>
      </c>
      <c r="M178" s="18">
        <f>SUMIFS(super1[Qtde],super1[Item],tab_alimentos[[#This Row],[Item]],super1[Bairro],mercado2)+SUMIFS(supercb[Qtde],supercb[Item],tab_alimentos[[#This Row],[Item]],supercb[Bairro],mercado2)</f>
        <v>0</v>
      </c>
      <c r="N178" s="1">
        <f>SUMIFS(super1[Qtde],super1[Item],tab_alimentos[[#This Row],[Item]],super1[Bairro],mercado3)+SUMIFS(supercb[Qtde],supercb[Item],tab_alimentos[[#This Row],[Item]],supercb[Bairro],mercado3)</f>
        <v>0</v>
      </c>
      <c r="O178" s="18">
        <f>SUMIFS(super1[Qtde],super1[Item],tab_alimentos[[#This Row],[Item]],super1[Bairro],mercado4)+SUMIFS(supercb[Qtde],supercb[Item],tab_alimentos[[#This Row],[Item]],supercb[Bairro],mercado4)</f>
        <v>0</v>
      </c>
      <c r="P178" s="18">
        <f>SUMIFS(super1[Qtde],super1[Item],tab_alimentos[[#This Row],[Item]],super1[Bairro],mercado5)+SUMIFS(supercb[Qtde],supercb[Item],tab_alimentos[[#This Row],[Item]],supercb[Bairro],mercado5)</f>
        <v>0</v>
      </c>
      <c r="Q178" s="18">
        <f>SUMIFS(super1[Qtde],super1[Item],tab_alimentos[[#This Row],[Item]],super1[Bairro],mercado6)+SUMIFS(supercb[Qtde],supercb[Item],tab_alimentos[[#This Row],[Item]],supercb[Bairro],mercado6)</f>
        <v>0</v>
      </c>
      <c r="R178" s="18">
        <f>SUMIFS(super1[Qtde],super1[Item],tab_alimentos[[#This Row],[Item]],super1[Bairro],mercado7)+SUMIFS(supercb[Qtde],supercb[Item],tab_alimentos[[#This Row],[Item]],supercb[Bairro],mercado7)</f>
        <v>0</v>
      </c>
      <c r="S178" s="18">
        <f>SUMIFS(super1[Qtde],super1[Item],tab_alimentos[[#This Row],[Item]],super1[Bairro],mercado8)+SUMIFS(supercb[Qtde],supercb[Item],tab_alimentos[[#This Row],[Item]],supercb[Bairro],mercado8)</f>
        <v>0</v>
      </c>
      <c r="T178" s="18">
        <f>SUMIFS(super1[Qtde],super1[Item],tab_alimentos[[#This Row],[Item]],super1[Bairro],mercado9)+SUMIFS(supercb[Qtde],supercb[Item],tab_alimentos[[#This Row],[Item]],supercb[Bairro],mercado9)</f>
        <v>0</v>
      </c>
      <c r="U178" s="18">
        <f>SUMIFS(super1[Qtde],super1[Item],tab_alimentos[[#This Row],[Item]],super1[Bairro],mercado10)+SUMIFS(supercb[Qtde],supercb[Item],tab_alimentos[[#This Row],[Item]],supercb[Bairro],mercado10)</f>
        <v>0</v>
      </c>
      <c r="V178" s="18">
        <f>SUMIFS(super1[Qtde],super1[Item],tab_alimentos[[#This Row],[Item]],super1[Bairro],mercado11)+SUMIFS(supercb[Qtde],supercb[Item],tab_alimentos[[#This Row],[Item]],supercb[Bairro],mercado11)</f>
        <v>0</v>
      </c>
      <c r="W178" s="18">
        <f>SUMIFS(super1[Qtde],super1[Item],tab_alimentos[[#This Row],[Item]],super1[Bairro],mercado12)+SUMIFS(supercb[Qtde],supercb[Item],tab_alimentos[[#This Row],[Item]],supercb[Bairro],mercado12)</f>
        <v>0</v>
      </c>
      <c r="X178" s="18">
        <f>SUMIFS(super1[Qtde],super1[Item],tab_alimentos[[#This Row],[Item]],super1[Bairro],mercado13)+SUMIFS(supercb[Qtde],supercb[Item],tab_alimentos[[#This Row],[Item]],supercb[Bairro],mercado13)</f>
        <v>0</v>
      </c>
      <c r="Y178" s="18">
        <f>SUMIFS(super1[Qtde],super1[Item],tab_alimentos[[#This Row],[Item]],super1[Bairro],mercado14)+SUMIFS(supercb[Qtde],supercb[Item],tab_alimentos[[#This Row],[Item]],supercb[Bairro],mercado14)</f>
        <v>0</v>
      </c>
      <c r="Z178" s="18">
        <f>SUMIFS(super1[Qtde],super1[Item],tab_alimentos[[#This Row],[Item]],super1[Bairro],mercado15)+SUMIFS(supercb[Qtde],supercb[Item],tab_alimentos[[#This Row],[Item]],supercb[Bairro],mercado15)</f>
        <v>0</v>
      </c>
      <c r="AA178" s="18">
        <f>SUMIFS(super1[Qtde],super1[Item],tab_alimentos[[#This Row],[Item]],super1[Bairro],mercado16)+SUMIFS(supercb[Qtde],supercb[Item],tab_alimentos[[#This Row],[Item]],supercb[Bairro],mercado16)</f>
        <v>0</v>
      </c>
      <c r="AB178" s="18">
        <f>SUMIFS(super1[Qtde],super1[Item],tab_alimentos[[#This Row],[Item]],super1[Bairro],mercado17)+SUMIFS(supercb[Qtde],supercb[Item],tab_alimentos[[#This Row],[Item]],supercb[Bairro],mercado17)</f>
        <v>0</v>
      </c>
      <c r="AC178" s="18">
        <f>SUMIFS(super1[Qtde],super1[Item],tab_alimentos[[#This Row],[Item]],super1[Bairro],mercado18)+SUMIFS(supercb[Qtde],supercb[Item],tab_alimentos[[#This Row],[Item]],supercb[Bairro],mercado18)</f>
        <v>0</v>
      </c>
      <c r="AD178" s="18">
        <f>SUMIFS(super1[Qtde],super1[Item],tab_alimentos[[#This Row],[Item]],super1[Bairro],extras)+SUMIFS(supercb[Qtde],supercb[Item],tab_alimentos[[#This Row],[Item]],supercb[Bairro],extras)</f>
        <v>0</v>
      </c>
      <c r="AE178" s="1">
        <f t="shared" si="67"/>
        <v>0</v>
      </c>
      <c r="AF178" s="1">
        <f t="shared" si="68"/>
        <v>0</v>
      </c>
      <c r="AG178" s="26">
        <f t="shared" si="69"/>
        <v>0</v>
      </c>
      <c r="AH178" s="25" t="str">
        <f>higiene[[#This Row],[Item]]</f>
        <v>Sabonete (125g)</v>
      </c>
      <c r="AI178" s="18">
        <f>IFERROR(higiene[[#This Row],[Kg equivalente]],0)</f>
        <v>0.62945062233345672</v>
      </c>
      <c r="AJ178" s="18">
        <f>IFERROR(higiene[[#This Row],[Preço por produto]],0)</f>
        <v>2.085</v>
      </c>
      <c r="AK178" s="18">
        <f>SUMIFS(super1[Qtde],super1[Item],tab_higiene[[#This Row],[Item]],super1[Bairro],mercado1)+SUMIFS(supercb[Qtde],supercb[Item],tab_higiene[[#This Row],[Item]],supercb[Bairro],mercado1)</f>
        <v>1</v>
      </c>
      <c r="AL178" s="18">
        <f>SUMIFS(super1[Qtde],super1[Item],tab_higiene[[#This Row],[Item]],super1[Bairro],mercado2)+SUMIFS(supercb[Qtde],supercb[Item],tab_higiene[[#This Row],[Item]],supercb[Bairro],mercado2)</f>
        <v>2</v>
      </c>
      <c r="AM178" s="18">
        <f>SUMIFS(super1[Qtde],super1[Item],tab_higiene[[#This Row],[Item]],super1[Bairro],mercado3)+SUMIFS(supercb[Qtde],supercb[Item],tab_higiene[[#This Row],[Item]],supercb[Bairro],mercado3)</f>
        <v>0</v>
      </c>
      <c r="AN178" s="18">
        <f>SUMIFS(super1[Qtde],super1[Item],tab_higiene[[#This Row],[Item]],super1[Bairro],mercado4)+SUMIFS(supercb[Qtde],supercb[Item],tab_higiene[[#This Row],[Item]],supercb[Bairro],mercado4)</f>
        <v>1</v>
      </c>
      <c r="AO178" s="18">
        <f>SUMIFS(super1[Qtde],super1[Item],tab_higiene[[#This Row],[Item]],super1[Bairro],mercado5)+SUMIFS(supercb[Qtde],supercb[Item],tab_higiene[[#This Row],[Item]],supercb[Bairro],mercado5)</f>
        <v>0</v>
      </c>
      <c r="AP178" s="18">
        <f>SUMIFS(super1[Qtde],super1[Item],tab_higiene[[#This Row],[Item]],super1[Bairro],mercado6)+SUMIFS(supercb[Qtde],supercb[Item],tab_higiene[[#This Row],[Item]],supercb[Bairro],mercado6)</f>
        <v>9</v>
      </c>
      <c r="AQ178" s="18">
        <f>SUMIFS(super1[Qtde],super1[Item],tab_higiene[[#This Row],[Item]],super1[Bairro],mercado7)+SUMIFS(supercb[Qtde],supercb[Item],tab_higiene[[#This Row],[Item]],supercb[Bairro],mercado7)</f>
        <v>0</v>
      </c>
      <c r="AR178" s="18">
        <f>SUMIFS(super1[Qtde],super1[Item],tab_higiene[[#This Row],[Item]],super1[Bairro],mercado8)+SUMIFS(supercb[Qtde],supercb[Item],tab_higiene[[#This Row],[Item]],supercb[Bairro],mercado8)</f>
        <v>7</v>
      </c>
      <c r="AS178" s="18">
        <f>SUMIFS(super1[Qtde],super1[Item],tab_higiene[[#This Row],[Item]],super1[Bairro],mercado9)+SUMIFS(supercb[Qtde],supercb[Item],tab_higiene[[#This Row],[Item]],supercb[Bairro],mercado9)</f>
        <v>0</v>
      </c>
      <c r="AT178" s="18">
        <f>SUMIFS(super1[Qtde],super1[Item],tab_higiene[[#This Row],[Item]],super1[Bairro],mercado10)+SUMIFS(supercb[Qtde],supercb[Item],tab_higiene[[#This Row],[Item]],supercb[Bairro],mercado10)</f>
        <v>1</v>
      </c>
      <c r="AU178" s="18">
        <f>SUMIFS(super1[Qtde],super1[Item],tab_higiene[[#This Row],[Item]],super1[Bairro],mercado11)+SUMIFS(supercb[Qtde],supercb[Item],tab_higiene[[#This Row],[Item]],supercb[Bairro],mercado11)</f>
        <v>0</v>
      </c>
      <c r="AV178" s="18">
        <f>SUMIFS(super1[Qtde],super1[Item],tab_higiene[[#This Row],[Item]],super1[Bairro],mercado12)+SUMIFS(supercb[Qtde],supercb[Item],tab_higiene[[#This Row],[Item]],supercb[Bairro],mercado12)</f>
        <v>0</v>
      </c>
      <c r="AW178" s="18">
        <f>SUMIFS(super1[Qtde],super1[Item],tab_higiene[[#This Row],[Item]],super1[Bairro],mercado13)+SUMIFS(supercb[Qtde],supercb[Item],tab_higiene[[#This Row],[Item]],supercb[Bairro],mercado13)</f>
        <v>0</v>
      </c>
      <c r="AX178" s="18">
        <f>SUMIFS(super1[Qtde],super1[Item],tab_higiene[[#This Row],[Item]],super1[Bairro],mercado14)+SUMIFS(supercb[Qtde],supercb[Item],tab_higiene[[#This Row],[Item]],supercb[Bairro],mercado14)</f>
        <v>0</v>
      </c>
      <c r="AY178" s="18">
        <f>SUMIFS(super1[Qtde],super1[Item],tab_higiene[[#This Row],[Item]],super1[Bairro],mercado15)+SUMIFS(supercb[Qtde],supercb[Item],tab_higiene[[#This Row],[Item]],supercb[Bairro],mercado15)</f>
        <v>0</v>
      </c>
      <c r="AZ178" s="18">
        <f>SUMIFS(super1[Qtde],super1[Item],tab_higiene[[#This Row],[Item]],super1[Bairro],mercado16)+SUMIFS(supercb[Qtde],supercb[Item],tab_higiene[[#This Row],[Item]],supercb[Bairro],mercado16)</f>
        <v>0</v>
      </c>
      <c r="BA178" s="18">
        <f>SUMIFS(super1[Qtde],super1[Item],tab_higiene[[#This Row],[Item]],super1[Bairro],mercado17)+SUMIFS(supercb[Qtde],supercb[Item],tab_higiene[[#This Row],[Item]],supercb[Bairro],mercado17)</f>
        <v>0</v>
      </c>
      <c r="BB178" s="18">
        <f>SUMIFS(super1[Qtde],super1[Item],tab_higiene[[#This Row],[Item]],super1[Bairro],mercado18)+SUMIFS(supercb[Qtde],supercb[Item],tab_higiene[[#This Row],[Item]],supercb[Bairro],mercado18)</f>
        <v>0</v>
      </c>
      <c r="BC178" s="18">
        <f>SUMIFS(super1[Qtde],super1[Item],tab_higiene[[#This Row],[Item]],super1[Bairro],extras)+SUMIFS(supercb[Qtde],supercb[Item],tab_higiene[[#This Row],[Item]],supercb[Bairro],extras)</f>
        <v>0</v>
      </c>
      <c r="BD178" s="1">
        <f t="shared" si="70"/>
        <v>21</v>
      </c>
      <c r="BE178" s="1">
        <f t="shared" si="71"/>
        <v>43.784999999999997</v>
      </c>
      <c r="BF178" s="26">
        <f t="shared" si="72"/>
        <v>13.218463069002592</v>
      </c>
    </row>
    <row r="179" spans="9:58" x14ac:dyDescent="0.25">
      <c r="I179" s="25" t="str">
        <f>alimentos[[#This Row],[Item]]</f>
        <v>Maria Mole (50g)</v>
      </c>
      <c r="J179" s="1">
        <f>IFERROR(alimentos[[#This Row],[kg/embalagem]],0)</f>
        <v>0.05</v>
      </c>
      <c r="K179" s="18">
        <f>IFERROR(alimentos[[#This Row],[Preço]],0)</f>
        <v>3.3733333333333335</v>
      </c>
      <c r="L179" s="18">
        <f>SUMIFS(super1[Qtde],super1[Item],tab_alimentos[[#This Row],[Item]],super1[Bairro],mercado1)+SUMIFS(supercb[Qtde],supercb[Item],tab_alimentos[[#This Row],[Item]],supercb[Bairro],mercado1)</f>
        <v>0</v>
      </c>
      <c r="M179" s="18">
        <f>SUMIFS(super1[Qtde],super1[Item],tab_alimentos[[#This Row],[Item]],super1[Bairro],mercado2)+SUMIFS(supercb[Qtde],supercb[Item],tab_alimentos[[#This Row],[Item]],supercb[Bairro],mercado2)</f>
        <v>0</v>
      </c>
      <c r="N179" s="1">
        <f>SUMIFS(super1[Qtde],super1[Item],tab_alimentos[[#This Row],[Item]],super1[Bairro],mercado3)+SUMIFS(supercb[Qtde],supercb[Item],tab_alimentos[[#This Row],[Item]],supercb[Bairro],mercado3)</f>
        <v>0</v>
      </c>
      <c r="O179" s="18">
        <f>SUMIFS(super1[Qtde],super1[Item],tab_alimentos[[#This Row],[Item]],super1[Bairro],mercado4)+SUMIFS(supercb[Qtde],supercb[Item],tab_alimentos[[#This Row],[Item]],supercb[Bairro],mercado4)</f>
        <v>0</v>
      </c>
      <c r="P179" s="18">
        <f>SUMIFS(super1[Qtde],super1[Item],tab_alimentos[[#This Row],[Item]],super1[Bairro],mercado5)+SUMIFS(supercb[Qtde],supercb[Item],tab_alimentos[[#This Row],[Item]],supercb[Bairro],mercado5)</f>
        <v>0</v>
      </c>
      <c r="Q179" s="18">
        <f>SUMIFS(super1[Qtde],super1[Item],tab_alimentos[[#This Row],[Item]],super1[Bairro],mercado6)+SUMIFS(supercb[Qtde],supercb[Item],tab_alimentos[[#This Row],[Item]],supercb[Bairro],mercado6)</f>
        <v>0</v>
      </c>
      <c r="R179" s="18">
        <f>SUMIFS(super1[Qtde],super1[Item],tab_alimentos[[#This Row],[Item]],super1[Bairro],mercado7)+SUMIFS(supercb[Qtde],supercb[Item],tab_alimentos[[#This Row],[Item]],supercb[Bairro],mercado7)</f>
        <v>0</v>
      </c>
      <c r="S179" s="18">
        <f>SUMIFS(super1[Qtde],super1[Item],tab_alimentos[[#This Row],[Item]],super1[Bairro],mercado8)+SUMIFS(supercb[Qtde],supercb[Item],tab_alimentos[[#This Row],[Item]],supercb[Bairro],mercado8)</f>
        <v>0</v>
      </c>
      <c r="T179" s="18">
        <f>SUMIFS(super1[Qtde],super1[Item],tab_alimentos[[#This Row],[Item]],super1[Bairro],mercado9)+SUMIFS(supercb[Qtde],supercb[Item],tab_alimentos[[#This Row],[Item]],supercb[Bairro],mercado9)</f>
        <v>0</v>
      </c>
      <c r="U179" s="18">
        <f>SUMIFS(super1[Qtde],super1[Item],tab_alimentos[[#This Row],[Item]],super1[Bairro],mercado10)+SUMIFS(supercb[Qtde],supercb[Item],tab_alimentos[[#This Row],[Item]],supercb[Bairro],mercado10)</f>
        <v>0</v>
      </c>
      <c r="V179" s="18">
        <f>SUMIFS(super1[Qtde],super1[Item],tab_alimentos[[#This Row],[Item]],super1[Bairro],mercado11)+SUMIFS(supercb[Qtde],supercb[Item],tab_alimentos[[#This Row],[Item]],supercb[Bairro],mercado11)</f>
        <v>0</v>
      </c>
      <c r="W179" s="18">
        <f>SUMIFS(super1[Qtde],super1[Item],tab_alimentos[[#This Row],[Item]],super1[Bairro],mercado12)+SUMIFS(supercb[Qtde],supercb[Item],tab_alimentos[[#This Row],[Item]],supercb[Bairro],mercado12)</f>
        <v>0</v>
      </c>
      <c r="X179" s="18">
        <f>SUMIFS(super1[Qtde],super1[Item],tab_alimentos[[#This Row],[Item]],super1[Bairro],mercado13)+SUMIFS(supercb[Qtde],supercb[Item],tab_alimentos[[#This Row],[Item]],supercb[Bairro],mercado13)</f>
        <v>0</v>
      </c>
      <c r="Y179" s="18">
        <f>SUMIFS(super1[Qtde],super1[Item],tab_alimentos[[#This Row],[Item]],super1[Bairro],mercado14)+SUMIFS(supercb[Qtde],supercb[Item],tab_alimentos[[#This Row],[Item]],supercb[Bairro],mercado14)</f>
        <v>0</v>
      </c>
      <c r="Z179" s="18">
        <f>SUMIFS(super1[Qtde],super1[Item],tab_alimentos[[#This Row],[Item]],super1[Bairro],mercado15)+SUMIFS(supercb[Qtde],supercb[Item],tab_alimentos[[#This Row],[Item]],supercb[Bairro],mercado15)</f>
        <v>0</v>
      </c>
      <c r="AA179" s="18">
        <f>SUMIFS(super1[Qtde],super1[Item],tab_alimentos[[#This Row],[Item]],super1[Bairro],mercado16)+SUMIFS(supercb[Qtde],supercb[Item],tab_alimentos[[#This Row],[Item]],supercb[Bairro],mercado16)</f>
        <v>0</v>
      </c>
      <c r="AB179" s="18">
        <f>SUMIFS(super1[Qtde],super1[Item],tab_alimentos[[#This Row],[Item]],super1[Bairro],mercado17)+SUMIFS(supercb[Qtde],supercb[Item],tab_alimentos[[#This Row],[Item]],supercb[Bairro],mercado17)</f>
        <v>0</v>
      </c>
      <c r="AC179" s="18">
        <f>SUMIFS(super1[Qtde],super1[Item],tab_alimentos[[#This Row],[Item]],super1[Bairro],mercado18)+SUMIFS(supercb[Qtde],supercb[Item],tab_alimentos[[#This Row],[Item]],supercb[Bairro],mercado18)</f>
        <v>0</v>
      </c>
      <c r="AD179" s="18">
        <f>SUMIFS(super1[Qtde],super1[Item],tab_alimentos[[#This Row],[Item]],super1[Bairro],extras)+SUMIFS(supercb[Qtde],supercb[Item],tab_alimentos[[#This Row],[Item]],supercb[Bairro],extras)</f>
        <v>0</v>
      </c>
      <c r="AE179" s="1">
        <f t="shared" si="67"/>
        <v>0</v>
      </c>
      <c r="AF179" s="1">
        <f t="shared" si="68"/>
        <v>0</v>
      </c>
      <c r="AG179" s="26">
        <f t="shared" si="69"/>
        <v>0</v>
      </c>
      <c r="AH179" s="25" t="str">
        <f>higiene[[#This Row],[Item]]</f>
        <v>sabonete (150g)</v>
      </c>
      <c r="AI179" s="18">
        <f>IFERROR(higiene[[#This Row],[Kg equivalente]],0)</f>
        <v>0.63096009624792548</v>
      </c>
      <c r="AJ179" s="18">
        <f>IFERROR(higiene[[#This Row],[Preço por produto]],0)</f>
        <v>2.09</v>
      </c>
      <c r="AK179" s="18">
        <f>SUMIFS(super1[Qtde],super1[Item],tab_higiene[[#This Row],[Item]],super1[Bairro],mercado1)+SUMIFS(supercb[Qtde],supercb[Item],tab_higiene[[#This Row],[Item]],supercb[Bairro],mercado1)</f>
        <v>0</v>
      </c>
      <c r="AL179" s="18">
        <f>SUMIFS(super1[Qtde],super1[Item],tab_higiene[[#This Row],[Item]],super1[Bairro],mercado2)+SUMIFS(supercb[Qtde],supercb[Item],tab_higiene[[#This Row],[Item]],supercb[Bairro],mercado2)</f>
        <v>0</v>
      </c>
      <c r="AM179" s="18">
        <f>SUMIFS(super1[Qtde],super1[Item],tab_higiene[[#This Row],[Item]],super1[Bairro],mercado3)+SUMIFS(supercb[Qtde],supercb[Item],tab_higiene[[#This Row],[Item]],supercb[Bairro],mercado3)</f>
        <v>0</v>
      </c>
      <c r="AN179" s="18">
        <f>SUMIFS(super1[Qtde],super1[Item],tab_higiene[[#This Row],[Item]],super1[Bairro],mercado4)+SUMIFS(supercb[Qtde],supercb[Item],tab_higiene[[#This Row],[Item]],supercb[Bairro],mercado4)</f>
        <v>0</v>
      </c>
      <c r="AO179" s="18">
        <f>SUMIFS(super1[Qtde],super1[Item],tab_higiene[[#This Row],[Item]],super1[Bairro],mercado5)+SUMIFS(supercb[Qtde],supercb[Item],tab_higiene[[#This Row],[Item]],supercb[Bairro],mercado5)</f>
        <v>0</v>
      </c>
      <c r="AP179" s="18">
        <f>SUMIFS(super1[Qtde],super1[Item],tab_higiene[[#This Row],[Item]],super1[Bairro],mercado6)+SUMIFS(supercb[Qtde],supercb[Item],tab_higiene[[#This Row],[Item]],supercb[Bairro],mercado6)</f>
        <v>0</v>
      </c>
      <c r="AQ179" s="18">
        <f>SUMIFS(super1[Qtde],super1[Item],tab_higiene[[#This Row],[Item]],super1[Bairro],mercado7)+SUMIFS(supercb[Qtde],supercb[Item],tab_higiene[[#This Row],[Item]],supercb[Bairro],mercado7)</f>
        <v>0</v>
      </c>
      <c r="AR179" s="18">
        <f>SUMIFS(super1[Qtde],super1[Item],tab_higiene[[#This Row],[Item]],super1[Bairro],mercado8)+SUMIFS(supercb[Qtde],supercb[Item],tab_higiene[[#This Row],[Item]],supercb[Bairro],mercado8)</f>
        <v>0</v>
      </c>
      <c r="AS179" s="18">
        <f>SUMIFS(super1[Qtde],super1[Item],tab_higiene[[#This Row],[Item]],super1[Bairro],mercado9)+SUMIFS(supercb[Qtde],supercb[Item],tab_higiene[[#This Row],[Item]],supercb[Bairro],mercado9)</f>
        <v>6</v>
      </c>
      <c r="AT179" s="18">
        <f>SUMIFS(super1[Qtde],super1[Item],tab_higiene[[#This Row],[Item]],super1[Bairro],mercado10)+SUMIFS(supercb[Qtde],supercb[Item],tab_higiene[[#This Row],[Item]],supercb[Bairro],mercado10)</f>
        <v>0</v>
      </c>
      <c r="AU179" s="18">
        <f>SUMIFS(super1[Qtde],super1[Item],tab_higiene[[#This Row],[Item]],super1[Bairro],mercado11)+SUMIFS(supercb[Qtde],supercb[Item],tab_higiene[[#This Row],[Item]],supercb[Bairro],mercado11)</f>
        <v>0</v>
      </c>
      <c r="AV179" s="18">
        <f>SUMIFS(super1[Qtde],super1[Item],tab_higiene[[#This Row],[Item]],super1[Bairro],mercado12)+SUMIFS(supercb[Qtde],supercb[Item],tab_higiene[[#This Row],[Item]],supercb[Bairro],mercado12)</f>
        <v>0</v>
      </c>
      <c r="AW179" s="18">
        <f>SUMIFS(super1[Qtde],super1[Item],tab_higiene[[#This Row],[Item]],super1[Bairro],mercado13)+SUMIFS(supercb[Qtde],supercb[Item],tab_higiene[[#This Row],[Item]],supercb[Bairro],mercado13)</f>
        <v>0</v>
      </c>
      <c r="AX179" s="18">
        <f>SUMIFS(super1[Qtde],super1[Item],tab_higiene[[#This Row],[Item]],super1[Bairro],mercado14)+SUMIFS(supercb[Qtde],supercb[Item],tab_higiene[[#This Row],[Item]],supercb[Bairro],mercado14)</f>
        <v>0</v>
      </c>
      <c r="AY179" s="18">
        <f>SUMIFS(super1[Qtde],super1[Item],tab_higiene[[#This Row],[Item]],super1[Bairro],mercado15)+SUMIFS(supercb[Qtde],supercb[Item],tab_higiene[[#This Row],[Item]],supercb[Bairro],mercado15)</f>
        <v>0</v>
      </c>
      <c r="AZ179" s="18">
        <f>SUMIFS(super1[Qtde],super1[Item],tab_higiene[[#This Row],[Item]],super1[Bairro],mercado16)+SUMIFS(supercb[Qtde],supercb[Item],tab_higiene[[#This Row],[Item]],supercb[Bairro],mercado16)</f>
        <v>0</v>
      </c>
      <c r="BA179" s="18">
        <f>SUMIFS(super1[Qtde],super1[Item],tab_higiene[[#This Row],[Item]],super1[Bairro],mercado17)+SUMIFS(supercb[Qtde],supercb[Item],tab_higiene[[#This Row],[Item]],supercb[Bairro],mercado17)</f>
        <v>0</v>
      </c>
      <c r="BB179" s="18">
        <f>SUMIFS(super1[Qtde],super1[Item],tab_higiene[[#This Row],[Item]],super1[Bairro],mercado18)+SUMIFS(supercb[Qtde],supercb[Item],tab_higiene[[#This Row],[Item]],supercb[Bairro],mercado18)</f>
        <v>0</v>
      </c>
      <c r="BC179" s="18">
        <f>SUMIFS(super1[Qtde],super1[Item],tab_higiene[[#This Row],[Item]],super1[Bairro],extras)+SUMIFS(supercb[Qtde],supercb[Item],tab_higiene[[#This Row],[Item]],supercb[Bairro],extras)</f>
        <v>0</v>
      </c>
      <c r="BD179" s="1">
        <f t="shared" ref="BD179:BD182" si="73">SUM(AK179:BB179)</f>
        <v>6</v>
      </c>
      <c r="BE179" s="1">
        <f t="shared" ref="BE179:BE182" si="74">IFERROR(BD179*AJ179,0)</f>
        <v>12.54</v>
      </c>
      <c r="BF179" s="26">
        <f t="shared" ref="BF179:BF182" si="75">IFERROR(AI179*BD179,0)</f>
        <v>3.7857605774875527</v>
      </c>
    </row>
    <row r="180" spans="9:58" x14ac:dyDescent="0.25">
      <c r="I180" s="25" t="str">
        <f>alimentos[[#This Row],[Item]]</f>
        <v>Massa lasanha (200g)</v>
      </c>
      <c r="J180" s="1">
        <f>IFERROR(alimentos[[#This Row],[kg/embalagem]],0)</f>
        <v>0.3</v>
      </c>
      <c r="K180" s="18">
        <f>IFERROR(alimentos[[#This Row],[Preço]],0)</f>
        <v>3.68</v>
      </c>
      <c r="L180" s="18">
        <f>SUMIFS(super1[Qtde],super1[Item],tab_alimentos[[#This Row],[Item]],super1[Bairro],mercado1)+SUMIFS(supercb[Qtde],supercb[Item],tab_alimentos[[#This Row],[Item]],supercb[Bairro],mercado1)</f>
        <v>0</v>
      </c>
      <c r="M180" s="18">
        <f>SUMIFS(super1[Qtde],super1[Item],tab_alimentos[[#This Row],[Item]],super1[Bairro],mercado2)+SUMIFS(supercb[Qtde],supercb[Item],tab_alimentos[[#This Row],[Item]],supercb[Bairro],mercado2)</f>
        <v>0</v>
      </c>
      <c r="N180" s="1">
        <f>SUMIFS(super1[Qtde],super1[Item],tab_alimentos[[#This Row],[Item]],super1[Bairro],mercado3)+SUMIFS(supercb[Qtde],supercb[Item],tab_alimentos[[#This Row],[Item]],supercb[Bairro],mercado3)</f>
        <v>0</v>
      </c>
      <c r="O180" s="18">
        <f>SUMIFS(super1[Qtde],super1[Item],tab_alimentos[[#This Row],[Item]],super1[Bairro],mercado4)+SUMIFS(supercb[Qtde],supercb[Item],tab_alimentos[[#This Row],[Item]],supercb[Bairro],mercado4)</f>
        <v>0</v>
      </c>
      <c r="P180" s="18">
        <f>SUMIFS(super1[Qtde],super1[Item],tab_alimentos[[#This Row],[Item]],super1[Bairro],mercado5)+SUMIFS(supercb[Qtde],supercb[Item],tab_alimentos[[#This Row],[Item]],supercb[Bairro],mercado5)</f>
        <v>0</v>
      </c>
      <c r="Q180" s="18">
        <f>SUMIFS(super1[Qtde],super1[Item],tab_alimentos[[#This Row],[Item]],super1[Bairro],mercado6)+SUMIFS(supercb[Qtde],supercb[Item],tab_alimentos[[#This Row],[Item]],supercb[Bairro],mercado6)</f>
        <v>0</v>
      </c>
      <c r="R180" s="18">
        <f>SUMIFS(super1[Qtde],super1[Item],tab_alimentos[[#This Row],[Item]],super1[Bairro],mercado7)+SUMIFS(supercb[Qtde],supercb[Item],tab_alimentos[[#This Row],[Item]],supercb[Bairro],mercado7)</f>
        <v>0</v>
      </c>
      <c r="S180" s="18">
        <f>SUMIFS(super1[Qtde],super1[Item],tab_alimentos[[#This Row],[Item]],super1[Bairro],mercado8)+SUMIFS(supercb[Qtde],supercb[Item],tab_alimentos[[#This Row],[Item]],supercb[Bairro],mercado8)</f>
        <v>0</v>
      </c>
      <c r="T180" s="18">
        <f>SUMIFS(super1[Qtde],super1[Item],tab_alimentos[[#This Row],[Item]],super1[Bairro],mercado9)+SUMIFS(supercb[Qtde],supercb[Item],tab_alimentos[[#This Row],[Item]],supercb[Bairro],mercado9)</f>
        <v>0</v>
      </c>
      <c r="U180" s="18">
        <f>SUMIFS(super1[Qtde],super1[Item],tab_alimentos[[#This Row],[Item]],super1[Bairro],mercado10)+SUMIFS(supercb[Qtde],supercb[Item],tab_alimentos[[#This Row],[Item]],supercb[Bairro],mercado10)</f>
        <v>0</v>
      </c>
      <c r="V180" s="18">
        <f>SUMIFS(super1[Qtde],super1[Item],tab_alimentos[[#This Row],[Item]],super1[Bairro],mercado11)+SUMIFS(supercb[Qtde],supercb[Item],tab_alimentos[[#This Row],[Item]],supercb[Bairro],mercado11)</f>
        <v>0</v>
      </c>
      <c r="W180" s="18">
        <f>SUMIFS(super1[Qtde],super1[Item],tab_alimentos[[#This Row],[Item]],super1[Bairro],mercado12)+SUMIFS(supercb[Qtde],supercb[Item],tab_alimentos[[#This Row],[Item]],supercb[Bairro],mercado12)</f>
        <v>0</v>
      </c>
      <c r="X180" s="18">
        <f>SUMIFS(super1[Qtde],super1[Item],tab_alimentos[[#This Row],[Item]],super1[Bairro],mercado13)+SUMIFS(supercb[Qtde],supercb[Item],tab_alimentos[[#This Row],[Item]],supercb[Bairro],mercado13)</f>
        <v>0</v>
      </c>
      <c r="Y180" s="18">
        <f>SUMIFS(super1[Qtde],super1[Item],tab_alimentos[[#This Row],[Item]],super1[Bairro],mercado14)+SUMIFS(supercb[Qtde],supercb[Item],tab_alimentos[[#This Row],[Item]],supercb[Bairro],mercado14)</f>
        <v>0</v>
      </c>
      <c r="Z180" s="18">
        <f>SUMIFS(super1[Qtde],super1[Item],tab_alimentos[[#This Row],[Item]],super1[Bairro],mercado15)+SUMIFS(supercb[Qtde],supercb[Item],tab_alimentos[[#This Row],[Item]],supercb[Bairro],mercado15)</f>
        <v>0</v>
      </c>
      <c r="AA180" s="18">
        <f>SUMIFS(super1[Qtde],super1[Item],tab_alimentos[[#This Row],[Item]],super1[Bairro],mercado16)+SUMIFS(supercb[Qtde],supercb[Item],tab_alimentos[[#This Row],[Item]],supercb[Bairro],mercado16)</f>
        <v>0</v>
      </c>
      <c r="AB180" s="18">
        <f>SUMIFS(super1[Qtde],super1[Item],tab_alimentos[[#This Row],[Item]],super1[Bairro],mercado17)+SUMIFS(supercb[Qtde],supercb[Item],tab_alimentos[[#This Row],[Item]],supercb[Bairro],mercado17)</f>
        <v>0</v>
      </c>
      <c r="AC180" s="18">
        <f>SUMIFS(super1[Qtde],super1[Item],tab_alimentos[[#This Row],[Item]],super1[Bairro],mercado18)+SUMIFS(supercb[Qtde],supercb[Item],tab_alimentos[[#This Row],[Item]],supercb[Bairro],mercado18)</f>
        <v>0</v>
      </c>
      <c r="AD180" s="18">
        <f>SUMIFS(super1[Qtde],super1[Item],tab_alimentos[[#This Row],[Item]],super1[Bairro],extras)+SUMIFS(supercb[Qtde],supercb[Item],tab_alimentos[[#This Row],[Item]],supercb[Bairro],extras)</f>
        <v>0</v>
      </c>
      <c r="AE180" s="1">
        <f t="shared" si="67"/>
        <v>0</v>
      </c>
      <c r="AF180" s="1">
        <f t="shared" si="68"/>
        <v>0</v>
      </c>
      <c r="AG180" s="26">
        <f t="shared" si="69"/>
        <v>0</v>
      </c>
      <c r="AH180" s="25" t="str">
        <f>higiene[[#This Row],[Item]]</f>
        <v>Sabonete (180 g)</v>
      </c>
      <c r="AI180" s="18">
        <f>IFERROR(higiene[[#This Row],[Kg equivalente]],0)</f>
        <v>1.0241780509670273</v>
      </c>
      <c r="AJ180" s="18">
        <f>IFERROR(higiene[[#This Row],[Preço por produto]],0)</f>
        <v>3.3925000000000001</v>
      </c>
      <c r="AK180" s="18">
        <f>SUMIFS(super1[Qtde],super1[Item],tab_higiene[[#This Row],[Item]],super1[Bairro],mercado1)+SUMIFS(supercb[Qtde],supercb[Item],tab_higiene[[#This Row],[Item]],supercb[Bairro],mercado1)</f>
        <v>0</v>
      </c>
      <c r="AL180" s="18">
        <f>SUMIFS(super1[Qtde],super1[Item],tab_higiene[[#This Row],[Item]],super1[Bairro],mercado2)+SUMIFS(supercb[Qtde],supercb[Item],tab_higiene[[#This Row],[Item]],supercb[Bairro],mercado2)</f>
        <v>0</v>
      </c>
      <c r="AM180" s="18">
        <f>SUMIFS(super1[Qtde],super1[Item],tab_higiene[[#This Row],[Item]],super1[Bairro],mercado3)+SUMIFS(supercb[Qtde],supercb[Item],tab_higiene[[#This Row],[Item]],supercb[Bairro],mercado3)</f>
        <v>0</v>
      </c>
      <c r="AN180" s="18">
        <f>SUMIFS(super1[Qtde],super1[Item],tab_higiene[[#This Row],[Item]],super1[Bairro],mercado4)+SUMIFS(supercb[Qtde],supercb[Item],tab_higiene[[#This Row],[Item]],supercb[Bairro],mercado4)</f>
        <v>0</v>
      </c>
      <c r="AO180" s="18">
        <f>SUMIFS(super1[Qtde],super1[Item],tab_higiene[[#This Row],[Item]],super1[Bairro],mercado5)+SUMIFS(supercb[Qtde],supercb[Item],tab_higiene[[#This Row],[Item]],supercb[Bairro],mercado5)</f>
        <v>0</v>
      </c>
      <c r="AP180" s="18">
        <f>SUMIFS(super1[Qtde],super1[Item],tab_higiene[[#This Row],[Item]],super1[Bairro],mercado6)+SUMIFS(supercb[Qtde],supercb[Item],tab_higiene[[#This Row],[Item]],supercb[Bairro],mercado6)</f>
        <v>1</v>
      </c>
      <c r="AQ180" s="18">
        <f>SUMIFS(super1[Qtde],super1[Item],tab_higiene[[#This Row],[Item]],super1[Bairro],mercado7)+SUMIFS(supercb[Qtde],supercb[Item],tab_higiene[[#This Row],[Item]],supercb[Bairro],mercado7)</f>
        <v>0</v>
      </c>
      <c r="AR180" s="18">
        <f>SUMIFS(super1[Qtde],super1[Item],tab_higiene[[#This Row],[Item]],super1[Bairro],mercado8)+SUMIFS(supercb[Qtde],supercb[Item],tab_higiene[[#This Row],[Item]],supercb[Bairro],mercado8)</f>
        <v>0</v>
      </c>
      <c r="AS180" s="18">
        <f>SUMIFS(super1[Qtde],super1[Item],tab_higiene[[#This Row],[Item]],super1[Bairro],mercado9)+SUMIFS(supercb[Qtde],supercb[Item],tab_higiene[[#This Row],[Item]],supercb[Bairro],mercado9)</f>
        <v>0</v>
      </c>
      <c r="AT180" s="18">
        <f>SUMIFS(super1[Qtde],super1[Item],tab_higiene[[#This Row],[Item]],super1[Bairro],mercado10)+SUMIFS(supercb[Qtde],supercb[Item],tab_higiene[[#This Row],[Item]],supercb[Bairro],mercado10)</f>
        <v>0</v>
      </c>
      <c r="AU180" s="18">
        <f>SUMIFS(super1[Qtde],super1[Item],tab_higiene[[#This Row],[Item]],super1[Bairro],mercado11)+SUMIFS(supercb[Qtde],supercb[Item],tab_higiene[[#This Row],[Item]],supercb[Bairro],mercado11)</f>
        <v>0</v>
      </c>
      <c r="AV180" s="18">
        <f>SUMIFS(super1[Qtde],super1[Item],tab_higiene[[#This Row],[Item]],super1[Bairro],mercado12)+SUMIFS(supercb[Qtde],supercb[Item],tab_higiene[[#This Row],[Item]],supercb[Bairro],mercado12)</f>
        <v>0</v>
      </c>
      <c r="AW180" s="18">
        <f>SUMIFS(super1[Qtde],super1[Item],tab_higiene[[#This Row],[Item]],super1[Bairro],mercado13)+SUMIFS(supercb[Qtde],supercb[Item],tab_higiene[[#This Row],[Item]],supercb[Bairro],mercado13)</f>
        <v>0</v>
      </c>
      <c r="AX180" s="18">
        <f>SUMIFS(super1[Qtde],super1[Item],tab_higiene[[#This Row],[Item]],super1[Bairro],mercado14)+SUMIFS(supercb[Qtde],supercb[Item],tab_higiene[[#This Row],[Item]],supercb[Bairro],mercado14)</f>
        <v>0</v>
      </c>
      <c r="AY180" s="18">
        <f>SUMIFS(super1[Qtde],super1[Item],tab_higiene[[#This Row],[Item]],super1[Bairro],mercado15)+SUMIFS(supercb[Qtde],supercb[Item],tab_higiene[[#This Row],[Item]],supercb[Bairro],mercado15)</f>
        <v>0</v>
      </c>
      <c r="AZ180" s="18">
        <f>SUMIFS(super1[Qtde],super1[Item],tab_higiene[[#This Row],[Item]],super1[Bairro],mercado16)+SUMIFS(supercb[Qtde],supercb[Item],tab_higiene[[#This Row],[Item]],supercb[Bairro],mercado16)</f>
        <v>0</v>
      </c>
      <c r="BA180" s="18">
        <f>SUMIFS(super1[Qtde],super1[Item],tab_higiene[[#This Row],[Item]],super1[Bairro],mercado17)+SUMIFS(supercb[Qtde],supercb[Item],tab_higiene[[#This Row],[Item]],supercb[Bairro],mercado17)</f>
        <v>0</v>
      </c>
      <c r="BB180" s="18">
        <f>SUMIFS(super1[Qtde],super1[Item],tab_higiene[[#This Row],[Item]],super1[Bairro],mercado18)+SUMIFS(supercb[Qtde],supercb[Item],tab_higiene[[#This Row],[Item]],supercb[Bairro],mercado18)</f>
        <v>0</v>
      </c>
      <c r="BC180" s="18">
        <f>SUMIFS(super1[Qtde],super1[Item],tab_higiene[[#This Row],[Item]],super1[Bairro],extras)+SUMIFS(supercb[Qtde],supercb[Item],tab_higiene[[#This Row],[Item]],supercb[Bairro],extras)</f>
        <v>0</v>
      </c>
      <c r="BD180" s="1">
        <f t="shared" si="73"/>
        <v>1</v>
      </c>
      <c r="BE180" s="1">
        <f t="shared" si="74"/>
        <v>3.3925000000000001</v>
      </c>
      <c r="BF180" s="26">
        <f t="shared" si="75"/>
        <v>1.0241780509670273</v>
      </c>
    </row>
    <row r="181" spans="9:58" x14ac:dyDescent="0.25">
      <c r="I181" s="25" t="str">
        <f>alimentos[[#This Row],[Item]]</f>
        <v>Massa lasanha (500g)</v>
      </c>
      <c r="J181" s="1">
        <f>IFERROR(alimentos[[#This Row],[kg/embalagem]],0)</f>
        <v>0.3</v>
      </c>
      <c r="K181" s="18">
        <f>IFERROR(alimentos[[#This Row],[Preço]],0)</f>
        <v>5.5600000000000005</v>
      </c>
      <c r="L181" s="18">
        <f>SUMIFS(super1[Qtde],super1[Item],tab_alimentos[[#This Row],[Item]],super1[Bairro],mercado1)+SUMIFS(supercb[Qtde],supercb[Item],tab_alimentos[[#This Row],[Item]],supercb[Bairro],mercado1)</f>
        <v>0</v>
      </c>
      <c r="M181" s="18">
        <f>SUMIFS(super1[Qtde],super1[Item],tab_alimentos[[#This Row],[Item]],super1[Bairro],mercado2)+SUMIFS(supercb[Qtde],supercb[Item],tab_alimentos[[#This Row],[Item]],supercb[Bairro],mercado2)</f>
        <v>1</v>
      </c>
      <c r="N181" s="1">
        <f>SUMIFS(super1[Qtde],super1[Item],tab_alimentos[[#This Row],[Item]],super1[Bairro],mercado3)+SUMIFS(supercb[Qtde],supercb[Item],tab_alimentos[[#This Row],[Item]],supercb[Bairro],mercado3)</f>
        <v>0</v>
      </c>
      <c r="O181" s="18">
        <f>SUMIFS(super1[Qtde],super1[Item],tab_alimentos[[#This Row],[Item]],super1[Bairro],mercado4)+SUMIFS(supercb[Qtde],supercb[Item],tab_alimentos[[#This Row],[Item]],supercb[Bairro],mercado4)</f>
        <v>0</v>
      </c>
      <c r="P181" s="18">
        <f>SUMIFS(super1[Qtde],super1[Item],tab_alimentos[[#This Row],[Item]],super1[Bairro],mercado5)+SUMIFS(supercb[Qtde],supercb[Item],tab_alimentos[[#This Row],[Item]],supercb[Bairro],mercado5)</f>
        <v>0</v>
      </c>
      <c r="Q181" s="18">
        <f>SUMIFS(super1[Qtde],super1[Item],tab_alimentos[[#This Row],[Item]],super1[Bairro],mercado6)+SUMIFS(supercb[Qtde],supercb[Item],tab_alimentos[[#This Row],[Item]],supercb[Bairro],mercado6)</f>
        <v>0</v>
      </c>
      <c r="R181" s="18">
        <f>SUMIFS(super1[Qtde],super1[Item],tab_alimentos[[#This Row],[Item]],super1[Bairro],mercado7)+SUMIFS(supercb[Qtde],supercb[Item],tab_alimentos[[#This Row],[Item]],supercb[Bairro],mercado7)</f>
        <v>0</v>
      </c>
      <c r="S181" s="18">
        <f>SUMIFS(super1[Qtde],super1[Item],tab_alimentos[[#This Row],[Item]],super1[Bairro],mercado8)+SUMIFS(supercb[Qtde],supercb[Item],tab_alimentos[[#This Row],[Item]],supercb[Bairro],mercado8)</f>
        <v>0</v>
      </c>
      <c r="T181" s="18">
        <f>SUMIFS(super1[Qtde],super1[Item],tab_alimentos[[#This Row],[Item]],super1[Bairro],mercado9)+SUMIFS(supercb[Qtde],supercb[Item],tab_alimentos[[#This Row],[Item]],supercb[Bairro],mercado9)</f>
        <v>0</v>
      </c>
      <c r="U181" s="18">
        <f>SUMIFS(super1[Qtde],super1[Item],tab_alimentos[[#This Row],[Item]],super1[Bairro],mercado10)+SUMIFS(supercb[Qtde],supercb[Item],tab_alimentos[[#This Row],[Item]],supercb[Bairro],mercado10)</f>
        <v>0</v>
      </c>
      <c r="V181" s="18">
        <f>SUMIFS(super1[Qtde],super1[Item],tab_alimentos[[#This Row],[Item]],super1[Bairro],mercado11)+SUMIFS(supercb[Qtde],supercb[Item],tab_alimentos[[#This Row],[Item]],supercb[Bairro],mercado11)</f>
        <v>0</v>
      </c>
      <c r="W181" s="18">
        <f>SUMIFS(super1[Qtde],super1[Item],tab_alimentos[[#This Row],[Item]],super1[Bairro],mercado12)+SUMIFS(supercb[Qtde],supercb[Item],tab_alimentos[[#This Row],[Item]],supercb[Bairro],mercado12)</f>
        <v>0</v>
      </c>
      <c r="X181" s="18">
        <f>SUMIFS(super1[Qtde],super1[Item],tab_alimentos[[#This Row],[Item]],super1[Bairro],mercado13)+SUMIFS(supercb[Qtde],supercb[Item],tab_alimentos[[#This Row],[Item]],supercb[Bairro],mercado13)</f>
        <v>0</v>
      </c>
      <c r="Y181" s="18">
        <f>SUMIFS(super1[Qtde],super1[Item],tab_alimentos[[#This Row],[Item]],super1[Bairro],mercado14)+SUMIFS(supercb[Qtde],supercb[Item],tab_alimentos[[#This Row],[Item]],supercb[Bairro],mercado14)</f>
        <v>0</v>
      </c>
      <c r="Z181" s="18">
        <f>SUMIFS(super1[Qtde],super1[Item],tab_alimentos[[#This Row],[Item]],super1[Bairro],mercado15)+SUMIFS(supercb[Qtde],supercb[Item],tab_alimentos[[#This Row],[Item]],supercb[Bairro],mercado15)</f>
        <v>0</v>
      </c>
      <c r="AA181" s="18">
        <f>SUMIFS(super1[Qtde],super1[Item],tab_alimentos[[#This Row],[Item]],super1[Bairro],mercado16)+SUMIFS(supercb[Qtde],supercb[Item],tab_alimentos[[#This Row],[Item]],supercb[Bairro],mercado16)</f>
        <v>0</v>
      </c>
      <c r="AB181" s="18">
        <f>SUMIFS(super1[Qtde],super1[Item],tab_alimentos[[#This Row],[Item]],super1[Bairro],mercado17)+SUMIFS(supercb[Qtde],supercb[Item],tab_alimentos[[#This Row],[Item]],supercb[Bairro],mercado17)</f>
        <v>0</v>
      </c>
      <c r="AC181" s="18">
        <f>SUMIFS(super1[Qtde],super1[Item],tab_alimentos[[#This Row],[Item]],super1[Bairro],mercado18)+SUMIFS(supercb[Qtde],supercb[Item],tab_alimentos[[#This Row],[Item]],supercb[Bairro],mercado18)</f>
        <v>0</v>
      </c>
      <c r="AD181" s="18">
        <f>SUMIFS(super1[Qtde],super1[Item],tab_alimentos[[#This Row],[Item]],super1[Bairro],extras)+SUMIFS(supercb[Qtde],supercb[Item],tab_alimentos[[#This Row],[Item]],supercb[Bairro],extras)</f>
        <v>0</v>
      </c>
      <c r="AE181" s="1">
        <f t="shared" si="67"/>
        <v>1</v>
      </c>
      <c r="AF181" s="1">
        <f t="shared" si="68"/>
        <v>5.5600000000000005</v>
      </c>
      <c r="AG181" s="26">
        <f t="shared" si="69"/>
        <v>0.3</v>
      </c>
      <c r="AH181" s="25" t="str">
        <f>higiene[[#This Row],[Item]]</f>
        <v>Sabonete (3 in)</v>
      </c>
      <c r="AI181" s="18">
        <f>IFERROR(higiene[[#This Row],[Kg equivalente]],0)</f>
        <v>0.89662750519442047</v>
      </c>
      <c r="AJ181" s="18">
        <f>IFERROR(higiene[[#This Row],[Preço por produto]],0)</f>
        <v>2.97</v>
      </c>
      <c r="AK181" s="18">
        <f>SUMIFS(super1[Qtde],super1[Item],tab_higiene[[#This Row],[Item]],super1[Bairro],mercado1)+SUMIFS(supercb[Qtde],supercb[Item],tab_higiene[[#This Row],[Item]],supercb[Bairro],mercado1)</f>
        <v>0</v>
      </c>
      <c r="AL181" s="18">
        <f>SUMIFS(super1[Qtde],super1[Item],tab_higiene[[#This Row],[Item]],super1[Bairro],mercado2)+SUMIFS(supercb[Qtde],supercb[Item],tab_higiene[[#This Row],[Item]],supercb[Bairro],mercado2)</f>
        <v>0</v>
      </c>
      <c r="AM181" s="18">
        <f>SUMIFS(super1[Qtde],super1[Item],tab_higiene[[#This Row],[Item]],super1[Bairro],mercado3)+SUMIFS(supercb[Qtde],supercb[Item],tab_higiene[[#This Row],[Item]],supercb[Bairro],mercado3)</f>
        <v>0</v>
      </c>
      <c r="AN181" s="18">
        <f>SUMIFS(super1[Qtde],super1[Item],tab_higiene[[#This Row],[Item]],super1[Bairro],mercado4)+SUMIFS(supercb[Qtde],supercb[Item],tab_higiene[[#This Row],[Item]],supercb[Bairro],mercado4)</f>
        <v>0</v>
      </c>
      <c r="AO181" s="18">
        <f>SUMIFS(super1[Qtde],super1[Item],tab_higiene[[#This Row],[Item]],super1[Bairro],mercado5)+SUMIFS(supercb[Qtde],supercb[Item],tab_higiene[[#This Row],[Item]],supercb[Bairro],mercado5)</f>
        <v>0</v>
      </c>
      <c r="AP181" s="18">
        <f>SUMIFS(super1[Qtde],super1[Item],tab_higiene[[#This Row],[Item]],super1[Bairro],mercado6)+SUMIFS(supercb[Qtde],supercb[Item],tab_higiene[[#This Row],[Item]],supercb[Bairro],mercado6)</f>
        <v>0</v>
      </c>
      <c r="AQ181" s="18">
        <f>SUMIFS(super1[Qtde],super1[Item],tab_higiene[[#This Row],[Item]],super1[Bairro],mercado7)+SUMIFS(supercb[Qtde],supercb[Item],tab_higiene[[#This Row],[Item]],supercb[Bairro],mercado7)</f>
        <v>0</v>
      </c>
      <c r="AR181" s="18">
        <f>SUMIFS(super1[Qtde],super1[Item],tab_higiene[[#This Row],[Item]],super1[Bairro],mercado8)+SUMIFS(supercb[Qtde],supercb[Item],tab_higiene[[#This Row],[Item]],supercb[Bairro],mercado8)</f>
        <v>0</v>
      </c>
      <c r="AS181" s="18">
        <f>SUMIFS(super1[Qtde],super1[Item],tab_higiene[[#This Row],[Item]],super1[Bairro],mercado9)+SUMIFS(supercb[Qtde],supercb[Item],tab_higiene[[#This Row],[Item]],supercb[Bairro],mercado9)</f>
        <v>2</v>
      </c>
      <c r="AT181" s="18">
        <f>SUMIFS(super1[Qtde],super1[Item],tab_higiene[[#This Row],[Item]],super1[Bairro],mercado10)+SUMIFS(supercb[Qtde],supercb[Item],tab_higiene[[#This Row],[Item]],supercb[Bairro],mercado10)</f>
        <v>0</v>
      </c>
      <c r="AU181" s="18">
        <f>SUMIFS(super1[Qtde],super1[Item],tab_higiene[[#This Row],[Item]],super1[Bairro],mercado11)+SUMIFS(supercb[Qtde],supercb[Item],tab_higiene[[#This Row],[Item]],supercb[Bairro],mercado11)</f>
        <v>0</v>
      </c>
      <c r="AV181" s="18">
        <f>SUMIFS(super1[Qtde],super1[Item],tab_higiene[[#This Row],[Item]],super1[Bairro],mercado12)+SUMIFS(supercb[Qtde],supercb[Item],tab_higiene[[#This Row],[Item]],supercb[Bairro],mercado12)</f>
        <v>0</v>
      </c>
      <c r="AW181" s="18">
        <f>SUMIFS(super1[Qtde],super1[Item],tab_higiene[[#This Row],[Item]],super1[Bairro],mercado13)+SUMIFS(supercb[Qtde],supercb[Item],tab_higiene[[#This Row],[Item]],supercb[Bairro],mercado13)</f>
        <v>0</v>
      </c>
      <c r="AX181" s="18">
        <f>SUMIFS(super1[Qtde],super1[Item],tab_higiene[[#This Row],[Item]],super1[Bairro],mercado14)+SUMIFS(supercb[Qtde],supercb[Item],tab_higiene[[#This Row],[Item]],supercb[Bairro],mercado14)</f>
        <v>0</v>
      </c>
      <c r="AY181" s="18">
        <f>SUMIFS(super1[Qtde],super1[Item],tab_higiene[[#This Row],[Item]],super1[Bairro],mercado15)+SUMIFS(supercb[Qtde],supercb[Item],tab_higiene[[#This Row],[Item]],supercb[Bairro],mercado15)</f>
        <v>0</v>
      </c>
      <c r="AZ181" s="18">
        <f>SUMIFS(super1[Qtde],super1[Item],tab_higiene[[#This Row],[Item]],super1[Bairro],mercado16)+SUMIFS(supercb[Qtde],supercb[Item],tab_higiene[[#This Row],[Item]],supercb[Bairro],mercado16)</f>
        <v>0</v>
      </c>
      <c r="BA181" s="18">
        <f>SUMIFS(super1[Qtde],super1[Item],tab_higiene[[#This Row],[Item]],super1[Bairro],mercado17)+SUMIFS(supercb[Qtde],supercb[Item],tab_higiene[[#This Row],[Item]],supercb[Bairro],mercado17)</f>
        <v>0</v>
      </c>
      <c r="BB181" s="18">
        <f>SUMIFS(super1[Qtde],super1[Item],tab_higiene[[#This Row],[Item]],super1[Bairro],mercado18)+SUMIFS(supercb[Qtde],supercb[Item],tab_higiene[[#This Row],[Item]],supercb[Bairro],mercado18)</f>
        <v>0</v>
      </c>
      <c r="BC181" s="18">
        <f>SUMIFS(super1[Qtde],super1[Item],tab_higiene[[#This Row],[Item]],super1[Bairro],extras)+SUMIFS(supercb[Qtde],supercb[Item],tab_higiene[[#This Row],[Item]],supercb[Bairro],extras)</f>
        <v>0</v>
      </c>
      <c r="BD181" s="1">
        <f t="shared" si="73"/>
        <v>2</v>
      </c>
      <c r="BE181" s="1">
        <f t="shared" si="74"/>
        <v>5.94</v>
      </c>
      <c r="BF181" s="26">
        <f t="shared" si="75"/>
        <v>1.7932550103888409</v>
      </c>
    </row>
    <row r="182" spans="9:58" x14ac:dyDescent="0.25">
      <c r="I182" s="25" t="str">
        <f>alimentos[[#This Row],[Item]]</f>
        <v>Milho + ervilha</v>
      </c>
      <c r="J182" s="1">
        <f>IFERROR(alimentos[[#This Row],[kg/embalagem]],0)</f>
        <v>0.2</v>
      </c>
      <c r="K182" s="18">
        <f>IFERROR(alimentos[[#This Row],[Preço]],0)</f>
        <v>2.105</v>
      </c>
      <c r="L182" s="18">
        <f>SUMIFS(super1[Qtde],super1[Item],tab_alimentos[[#This Row],[Item]],super1[Bairro],mercado1)+SUMIFS(supercb[Qtde],supercb[Item],tab_alimentos[[#This Row],[Item]],supercb[Bairro],mercado1)</f>
        <v>0</v>
      </c>
      <c r="M182" s="18">
        <f>SUMIFS(super1[Qtde],super1[Item],tab_alimentos[[#This Row],[Item]],super1[Bairro],mercado2)+SUMIFS(supercb[Qtde],supercb[Item],tab_alimentos[[#This Row],[Item]],supercb[Bairro],mercado2)</f>
        <v>0</v>
      </c>
      <c r="N182" s="1">
        <f>SUMIFS(super1[Qtde],super1[Item],tab_alimentos[[#This Row],[Item]],super1[Bairro],mercado3)+SUMIFS(supercb[Qtde],supercb[Item],tab_alimentos[[#This Row],[Item]],supercb[Bairro],mercado3)</f>
        <v>0</v>
      </c>
      <c r="O182" s="18">
        <f>SUMIFS(super1[Qtde],super1[Item],tab_alimentos[[#This Row],[Item]],super1[Bairro],mercado4)+SUMIFS(supercb[Qtde],supercb[Item],tab_alimentos[[#This Row],[Item]],supercb[Bairro],mercado4)</f>
        <v>0</v>
      </c>
      <c r="P182" s="18">
        <f>SUMIFS(super1[Qtde],super1[Item],tab_alimentos[[#This Row],[Item]],super1[Bairro],mercado5)+SUMIFS(supercb[Qtde],supercb[Item],tab_alimentos[[#This Row],[Item]],supercb[Bairro],mercado5)</f>
        <v>0</v>
      </c>
      <c r="Q182" s="18">
        <f>SUMIFS(super1[Qtde],super1[Item],tab_alimentos[[#This Row],[Item]],super1[Bairro],mercado6)+SUMIFS(supercb[Qtde],supercb[Item],tab_alimentos[[#This Row],[Item]],supercb[Bairro],mercado6)</f>
        <v>0</v>
      </c>
      <c r="R182" s="18">
        <f>SUMIFS(super1[Qtde],super1[Item],tab_alimentos[[#This Row],[Item]],super1[Bairro],mercado7)+SUMIFS(supercb[Qtde],supercb[Item],tab_alimentos[[#This Row],[Item]],supercb[Bairro],mercado7)</f>
        <v>0</v>
      </c>
      <c r="S182" s="18">
        <f>SUMIFS(super1[Qtde],super1[Item],tab_alimentos[[#This Row],[Item]],super1[Bairro],mercado8)+SUMIFS(supercb[Qtde],supercb[Item],tab_alimentos[[#This Row],[Item]],supercb[Bairro],mercado8)</f>
        <v>0</v>
      </c>
      <c r="T182" s="18">
        <f>SUMIFS(super1[Qtde],super1[Item],tab_alimentos[[#This Row],[Item]],super1[Bairro],mercado9)+SUMIFS(supercb[Qtde],supercb[Item],tab_alimentos[[#This Row],[Item]],supercb[Bairro],mercado9)</f>
        <v>0</v>
      </c>
      <c r="U182" s="18">
        <f>SUMIFS(super1[Qtde],super1[Item],tab_alimentos[[#This Row],[Item]],super1[Bairro],mercado10)+SUMIFS(supercb[Qtde],supercb[Item],tab_alimentos[[#This Row],[Item]],supercb[Bairro],mercado10)</f>
        <v>1</v>
      </c>
      <c r="V182" s="18">
        <f>SUMIFS(super1[Qtde],super1[Item],tab_alimentos[[#This Row],[Item]],super1[Bairro],mercado11)+SUMIFS(supercb[Qtde],supercb[Item],tab_alimentos[[#This Row],[Item]],supercb[Bairro],mercado11)</f>
        <v>0</v>
      </c>
      <c r="W182" s="18">
        <f>SUMIFS(super1[Qtde],super1[Item],tab_alimentos[[#This Row],[Item]],super1[Bairro],mercado12)+SUMIFS(supercb[Qtde],supercb[Item],tab_alimentos[[#This Row],[Item]],supercb[Bairro],mercado12)</f>
        <v>0</v>
      </c>
      <c r="X182" s="18">
        <f>SUMIFS(super1[Qtde],super1[Item],tab_alimentos[[#This Row],[Item]],super1[Bairro],mercado13)+SUMIFS(supercb[Qtde],supercb[Item],tab_alimentos[[#This Row],[Item]],supercb[Bairro],mercado13)</f>
        <v>0</v>
      </c>
      <c r="Y182" s="18">
        <f>SUMIFS(super1[Qtde],super1[Item],tab_alimentos[[#This Row],[Item]],super1[Bairro],mercado14)+SUMIFS(supercb[Qtde],supercb[Item],tab_alimentos[[#This Row],[Item]],supercb[Bairro],mercado14)</f>
        <v>0</v>
      </c>
      <c r="Z182" s="18">
        <f>SUMIFS(super1[Qtde],super1[Item],tab_alimentos[[#This Row],[Item]],super1[Bairro],mercado15)+SUMIFS(supercb[Qtde],supercb[Item],tab_alimentos[[#This Row],[Item]],supercb[Bairro],mercado15)</f>
        <v>0</v>
      </c>
      <c r="AA182" s="18">
        <f>SUMIFS(super1[Qtde],super1[Item],tab_alimentos[[#This Row],[Item]],super1[Bairro],mercado16)+SUMIFS(supercb[Qtde],supercb[Item],tab_alimentos[[#This Row],[Item]],supercb[Bairro],mercado16)</f>
        <v>0</v>
      </c>
      <c r="AB182" s="18">
        <f>SUMIFS(super1[Qtde],super1[Item],tab_alimentos[[#This Row],[Item]],super1[Bairro],mercado17)+SUMIFS(supercb[Qtde],supercb[Item],tab_alimentos[[#This Row],[Item]],supercb[Bairro],mercado17)</f>
        <v>0</v>
      </c>
      <c r="AC182" s="18">
        <f>SUMIFS(super1[Qtde],super1[Item],tab_alimentos[[#This Row],[Item]],super1[Bairro],mercado18)+SUMIFS(supercb[Qtde],supercb[Item],tab_alimentos[[#This Row],[Item]],supercb[Bairro],mercado18)</f>
        <v>0</v>
      </c>
      <c r="AD182" s="18">
        <f>SUMIFS(super1[Qtde],super1[Item],tab_alimentos[[#This Row],[Item]],super1[Bairro],extras)+SUMIFS(supercb[Qtde],supercb[Item],tab_alimentos[[#This Row],[Item]],supercb[Bairro],extras)</f>
        <v>0</v>
      </c>
      <c r="AE182" s="1">
        <f t="shared" si="67"/>
        <v>1</v>
      </c>
      <c r="AF182" s="1">
        <f t="shared" si="68"/>
        <v>2.105</v>
      </c>
      <c r="AG182" s="26">
        <f t="shared" si="69"/>
        <v>0.2</v>
      </c>
      <c r="AH182" s="25" t="str">
        <f>higiene[[#This Row],[Item]]</f>
        <v>Sabonete (3un)</v>
      </c>
      <c r="AI182" s="18">
        <f>IFERROR(higiene[[#This Row],[Kg equivalente]],0)</f>
        <v>0.89662750519442047</v>
      </c>
      <c r="AJ182" s="18">
        <f>IFERROR(higiene[[#This Row],[Preço por produto]],0)</f>
        <v>2.97</v>
      </c>
      <c r="AK182" s="18">
        <f>SUMIFS(super1[Qtde],super1[Item],tab_higiene[[#This Row],[Item]],super1[Bairro],mercado1)+SUMIFS(supercb[Qtde],supercb[Item],tab_higiene[[#This Row],[Item]],supercb[Bairro],mercado1)</f>
        <v>1</v>
      </c>
      <c r="AL182" s="18">
        <f>SUMIFS(super1[Qtde],super1[Item],tab_higiene[[#This Row],[Item]],super1[Bairro],mercado2)+SUMIFS(supercb[Qtde],supercb[Item],tab_higiene[[#This Row],[Item]],supercb[Bairro],mercado2)</f>
        <v>0</v>
      </c>
      <c r="AM182" s="18">
        <f>SUMIFS(super1[Qtde],super1[Item],tab_higiene[[#This Row],[Item]],super1[Bairro],mercado3)+SUMIFS(supercb[Qtde],supercb[Item],tab_higiene[[#This Row],[Item]],supercb[Bairro],mercado3)</f>
        <v>0</v>
      </c>
      <c r="AN182" s="18">
        <f>SUMIFS(super1[Qtde],super1[Item],tab_higiene[[#This Row],[Item]],super1[Bairro],mercado4)+SUMIFS(supercb[Qtde],supercb[Item],tab_higiene[[#This Row],[Item]],supercb[Bairro],mercado4)</f>
        <v>0</v>
      </c>
      <c r="AO182" s="18">
        <f>SUMIFS(super1[Qtde],super1[Item],tab_higiene[[#This Row],[Item]],super1[Bairro],mercado5)+SUMIFS(supercb[Qtde],supercb[Item],tab_higiene[[#This Row],[Item]],supercb[Bairro],mercado5)</f>
        <v>2</v>
      </c>
      <c r="AP182" s="18">
        <f>SUMIFS(super1[Qtde],super1[Item],tab_higiene[[#This Row],[Item]],super1[Bairro],mercado6)+SUMIFS(supercb[Qtde],supercb[Item],tab_higiene[[#This Row],[Item]],supercb[Bairro],mercado6)</f>
        <v>0</v>
      </c>
      <c r="AQ182" s="18">
        <f>SUMIFS(super1[Qtde],super1[Item],tab_higiene[[#This Row],[Item]],super1[Bairro],mercado7)+SUMIFS(supercb[Qtde],supercb[Item],tab_higiene[[#This Row],[Item]],supercb[Bairro],mercado7)</f>
        <v>0</v>
      </c>
      <c r="AR182" s="18">
        <f>SUMIFS(super1[Qtde],super1[Item],tab_higiene[[#This Row],[Item]],super1[Bairro],mercado8)+SUMIFS(supercb[Qtde],supercb[Item],tab_higiene[[#This Row],[Item]],supercb[Bairro],mercado8)</f>
        <v>0</v>
      </c>
      <c r="AS182" s="18">
        <f>SUMIFS(super1[Qtde],super1[Item],tab_higiene[[#This Row],[Item]],super1[Bairro],mercado9)+SUMIFS(supercb[Qtde],supercb[Item],tab_higiene[[#This Row],[Item]],supercb[Bairro],mercado9)</f>
        <v>4</v>
      </c>
      <c r="AT182" s="18">
        <f>SUMIFS(super1[Qtde],super1[Item],tab_higiene[[#This Row],[Item]],super1[Bairro],mercado10)+SUMIFS(supercb[Qtde],supercb[Item],tab_higiene[[#This Row],[Item]],supercb[Bairro],mercado10)</f>
        <v>5</v>
      </c>
      <c r="AU182" s="18">
        <f>SUMIFS(super1[Qtde],super1[Item],tab_higiene[[#This Row],[Item]],super1[Bairro],mercado11)+SUMIFS(supercb[Qtde],supercb[Item],tab_higiene[[#This Row],[Item]],supercb[Bairro],mercado11)</f>
        <v>9</v>
      </c>
      <c r="AV182" s="18">
        <f>SUMIFS(super1[Qtde],super1[Item],tab_higiene[[#This Row],[Item]],super1[Bairro],mercado12)+SUMIFS(supercb[Qtde],supercb[Item],tab_higiene[[#This Row],[Item]],supercb[Bairro],mercado12)</f>
        <v>0</v>
      </c>
      <c r="AW182" s="18">
        <f>SUMIFS(super1[Qtde],super1[Item],tab_higiene[[#This Row],[Item]],super1[Bairro],mercado13)+SUMIFS(supercb[Qtde],supercb[Item],tab_higiene[[#This Row],[Item]],supercb[Bairro],mercado13)</f>
        <v>0</v>
      </c>
      <c r="AX182" s="18">
        <f>SUMIFS(super1[Qtde],super1[Item],tab_higiene[[#This Row],[Item]],super1[Bairro],mercado14)+SUMIFS(supercb[Qtde],supercb[Item],tab_higiene[[#This Row],[Item]],supercb[Bairro],mercado14)</f>
        <v>0</v>
      </c>
      <c r="AY182" s="18">
        <f>SUMIFS(super1[Qtde],super1[Item],tab_higiene[[#This Row],[Item]],super1[Bairro],mercado15)+SUMIFS(supercb[Qtde],supercb[Item],tab_higiene[[#This Row],[Item]],supercb[Bairro],mercado15)</f>
        <v>0</v>
      </c>
      <c r="AZ182" s="18">
        <f>SUMIFS(super1[Qtde],super1[Item],tab_higiene[[#This Row],[Item]],super1[Bairro],mercado16)+SUMIFS(supercb[Qtde],supercb[Item],tab_higiene[[#This Row],[Item]],supercb[Bairro],mercado16)</f>
        <v>0</v>
      </c>
      <c r="BA182" s="18">
        <f>SUMIFS(super1[Qtde],super1[Item],tab_higiene[[#This Row],[Item]],super1[Bairro],mercado17)+SUMIFS(supercb[Qtde],supercb[Item],tab_higiene[[#This Row],[Item]],supercb[Bairro],mercado17)</f>
        <v>0</v>
      </c>
      <c r="BB182" s="18">
        <f>SUMIFS(super1[Qtde],super1[Item],tab_higiene[[#This Row],[Item]],super1[Bairro],mercado18)+SUMIFS(supercb[Qtde],supercb[Item],tab_higiene[[#This Row],[Item]],supercb[Bairro],mercado18)</f>
        <v>0</v>
      </c>
      <c r="BC182" s="18">
        <f>SUMIFS(super1[Qtde],super1[Item],tab_higiene[[#This Row],[Item]],super1[Bairro],extras)+SUMIFS(supercb[Qtde],supercb[Item],tab_higiene[[#This Row],[Item]],supercb[Bairro],extras)</f>
        <v>0</v>
      </c>
      <c r="BD182" s="1">
        <f t="shared" si="73"/>
        <v>21</v>
      </c>
      <c r="BE182" s="1">
        <f t="shared" si="74"/>
        <v>62.370000000000005</v>
      </c>
      <c r="BF182" s="26">
        <f t="shared" si="75"/>
        <v>18.82917760908283</v>
      </c>
    </row>
    <row r="183" spans="9:58" x14ac:dyDescent="0.25">
      <c r="I183" s="25" t="str">
        <f>alimentos[[#This Row],[Item]]</f>
        <v>Milho conserva (Lata)</v>
      </c>
      <c r="J183" s="1">
        <f>IFERROR(alimentos[[#This Row],[kg/embalagem]],0)</f>
        <v>0.23</v>
      </c>
      <c r="K183" s="18">
        <f>IFERROR(alimentos[[#This Row],[Preço]],0)</f>
        <v>1.59</v>
      </c>
      <c r="L183" s="18">
        <f>SUMIFS(super1[Qtde],super1[Item],tab_alimentos[[#This Row],[Item]],super1[Bairro],mercado1)+SUMIFS(supercb[Qtde],supercb[Item],tab_alimentos[[#This Row],[Item]],supercb[Bairro],mercado1)</f>
        <v>0</v>
      </c>
      <c r="M183" s="18">
        <f>SUMIFS(super1[Qtde],super1[Item],tab_alimentos[[#This Row],[Item]],super1[Bairro],mercado2)+SUMIFS(supercb[Qtde],supercb[Item],tab_alimentos[[#This Row],[Item]],supercb[Bairro],mercado2)</f>
        <v>1</v>
      </c>
      <c r="N183" s="1">
        <f>SUMIFS(super1[Qtde],super1[Item],tab_alimentos[[#This Row],[Item]],super1[Bairro],mercado3)+SUMIFS(supercb[Qtde],supercb[Item],tab_alimentos[[#This Row],[Item]],supercb[Bairro],mercado3)</f>
        <v>0</v>
      </c>
      <c r="O183" s="18">
        <f>SUMIFS(super1[Qtde],super1[Item],tab_alimentos[[#This Row],[Item]],super1[Bairro],mercado4)+SUMIFS(supercb[Qtde],supercb[Item],tab_alimentos[[#This Row],[Item]],supercb[Bairro],mercado4)</f>
        <v>0</v>
      </c>
      <c r="P183" s="18">
        <f>SUMIFS(super1[Qtde],super1[Item],tab_alimentos[[#This Row],[Item]],super1[Bairro],mercado5)+SUMIFS(supercb[Qtde],supercb[Item],tab_alimentos[[#This Row],[Item]],supercb[Bairro],mercado5)</f>
        <v>0</v>
      </c>
      <c r="Q183" s="18">
        <f>SUMIFS(super1[Qtde],super1[Item],tab_alimentos[[#This Row],[Item]],super1[Bairro],mercado6)+SUMIFS(supercb[Qtde],supercb[Item],tab_alimentos[[#This Row],[Item]],supercb[Bairro],mercado6)</f>
        <v>0</v>
      </c>
      <c r="R183" s="18">
        <f>SUMIFS(super1[Qtde],super1[Item],tab_alimentos[[#This Row],[Item]],super1[Bairro],mercado7)+SUMIFS(supercb[Qtde],supercb[Item],tab_alimentos[[#This Row],[Item]],supercb[Bairro],mercado7)</f>
        <v>0</v>
      </c>
      <c r="S183" s="18">
        <f>SUMIFS(super1[Qtde],super1[Item],tab_alimentos[[#This Row],[Item]],super1[Bairro],mercado8)+SUMIFS(supercb[Qtde],supercb[Item],tab_alimentos[[#This Row],[Item]],supercb[Bairro],mercado8)</f>
        <v>0</v>
      </c>
      <c r="T183" s="18">
        <f>SUMIFS(super1[Qtde],super1[Item],tab_alimentos[[#This Row],[Item]],super1[Bairro],mercado9)+SUMIFS(supercb[Qtde],supercb[Item],tab_alimentos[[#This Row],[Item]],supercb[Bairro],mercado9)</f>
        <v>0</v>
      </c>
      <c r="U183" s="18">
        <f>SUMIFS(super1[Qtde],super1[Item],tab_alimentos[[#This Row],[Item]],super1[Bairro],mercado10)+SUMIFS(supercb[Qtde],supercb[Item],tab_alimentos[[#This Row],[Item]],supercb[Bairro],mercado10)</f>
        <v>0</v>
      </c>
      <c r="V183" s="18">
        <f>SUMIFS(super1[Qtde],super1[Item],tab_alimentos[[#This Row],[Item]],super1[Bairro],mercado11)+SUMIFS(supercb[Qtde],supercb[Item],tab_alimentos[[#This Row],[Item]],supercb[Bairro],mercado11)</f>
        <v>0</v>
      </c>
      <c r="W183" s="18">
        <f>SUMIFS(super1[Qtde],super1[Item],tab_alimentos[[#This Row],[Item]],super1[Bairro],mercado12)+SUMIFS(supercb[Qtde],supercb[Item],tab_alimentos[[#This Row],[Item]],supercb[Bairro],mercado12)</f>
        <v>0</v>
      </c>
      <c r="X183" s="18">
        <f>SUMIFS(super1[Qtde],super1[Item],tab_alimentos[[#This Row],[Item]],super1[Bairro],mercado13)+SUMIFS(supercb[Qtde],supercb[Item],tab_alimentos[[#This Row],[Item]],supercb[Bairro],mercado13)</f>
        <v>1</v>
      </c>
      <c r="Y183" s="18">
        <f>SUMIFS(super1[Qtde],super1[Item],tab_alimentos[[#This Row],[Item]],super1[Bairro],mercado14)+SUMIFS(supercb[Qtde],supercb[Item],tab_alimentos[[#This Row],[Item]],supercb[Bairro],mercado14)</f>
        <v>0</v>
      </c>
      <c r="Z183" s="18">
        <f>SUMIFS(super1[Qtde],super1[Item],tab_alimentos[[#This Row],[Item]],super1[Bairro],mercado15)+SUMIFS(supercb[Qtde],supercb[Item],tab_alimentos[[#This Row],[Item]],supercb[Bairro],mercado15)</f>
        <v>0</v>
      </c>
      <c r="AA183" s="18">
        <f>SUMIFS(super1[Qtde],super1[Item],tab_alimentos[[#This Row],[Item]],super1[Bairro],mercado16)+SUMIFS(supercb[Qtde],supercb[Item],tab_alimentos[[#This Row],[Item]],supercb[Bairro],mercado16)</f>
        <v>0</v>
      </c>
      <c r="AB183" s="18">
        <f>SUMIFS(super1[Qtde],super1[Item],tab_alimentos[[#This Row],[Item]],super1[Bairro],mercado17)+SUMIFS(supercb[Qtde],supercb[Item],tab_alimentos[[#This Row],[Item]],supercb[Bairro],mercado17)</f>
        <v>0</v>
      </c>
      <c r="AC183" s="18">
        <f>SUMIFS(super1[Qtde],super1[Item],tab_alimentos[[#This Row],[Item]],super1[Bairro],mercado18)+SUMIFS(supercb[Qtde],supercb[Item],tab_alimentos[[#This Row],[Item]],supercb[Bairro],mercado18)</f>
        <v>0</v>
      </c>
      <c r="AD183" s="18">
        <f>SUMIFS(super1[Qtde],super1[Item],tab_alimentos[[#This Row],[Item]],super1[Bairro],extras)+SUMIFS(supercb[Qtde],supercb[Item],tab_alimentos[[#This Row],[Item]],supercb[Bairro],extras)</f>
        <v>0</v>
      </c>
      <c r="AE183" s="1">
        <f t="shared" si="67"/>
        <v>2</v>
      </c>
      <c r="AF183" s="1">
        <f t="shared" si="68"/>
        <v>3.18</v>
      </c>
      <c r="AG183" s="26">
        <f t="shared" si="69"/>
        <v>0.46</v>
      </c>
      <c r="AH183" s="25" t="str">
        <f>higiene[[#This Row],[Item]]</f>
        <v>sabonete (4un)</v>
      </c>
      <c r="AI183" s="18">
        <f>IFERROR(higiene[[#This Row],[Kg equivalente]],0)</f>
        <v>2.0211855714736178</v>
      </c>
      <c r="AJ183" s="18">
        <f>IFERROR(higiene[[#This Row],[Preço por produto]],0)</f>
        <v>6.6950000000000003</v>
      </c>
      <c r="AK183" s="1">
        <f>SUMIFS(super1[Qtde],super1[Item],tab_higiene[[#This Row],[Item]],super1[Bairro],mercado1)+SUMIFS(supercb[Qtde],supercb[Item],tab_higiene[[#This Row],[Item]],supercb[Bairro],mercado1)</f>
        <v>0</v>
      </c>
      <c r="AL183" s="1">
        <f>SUMIFS(super1[Qtde],super1[Item],tab_higiene[[#This Row],[Item]],super1[Bairro],mercado2)+SUMIFS(supercb[Qtde],supercb[Item],tab_higiene[[#This Row],[Item]],supercb[Bairro],mercado2)</f>
        <v>0</v>
      </c>
      <c r="AM183" s="1">
        <f>SUMIFS(super1[Qtde],super1[Item],tab_higiene[[#This Row],[Item]],super1[Bairro],mercado3)+SUMIFS(supercb[Qtde],supercb[Item],tab_higiene[[#This Row],[Item]],supercb[Bairro],mercado3)</f>
        <v>0</v>
      </c>
      <c r="AN183" s="1">
        <f>SUMIFS(super1[Qtde],super1[Item],tab_higiene[[#This Row],[Item]],super1[Bairro],mercado4)+SUMIFS(supercb[Qtde],supercb[Item],tab_higiene[[#This Row],[Item]],supercb[Bairro],mercado4)</f>
        <v>0</v>
      </c>
      <c r="AO183" s="1">
        <f>SUMIFS(super1[Qtde],super1[Item],tab_higiene[[#This Row],[Item]],super1[Bairro],mercado5)+SUMIFS(supercb[Qtde],supercb[Item],tab_higiene[[#This Row],[Item]],supercb[Bairro],mercado5)</f>
        <v>0</v>
      </c>
      <c r="AP183" s="1">
        <f>SUMIFS(super1[Qtde],super1[Item],tab_higiene[[#This Row],[Item]],super1[Bairro],mercado6)+SUMIFS(supercb[Qtde],supercb[Item],tab_higiene[[#This Row],[Item]],supercb[Bairro],mercado6)</f>
        <v>0</v>
      </c>
      <c r="AQ183" s="1">
        <f>SUMIFS(super1[Qtde],super1[Item],tab_higiene[[#This Row],[Item]],super1[Bairro],mercado7)+SUMIFS(supercb[Qtde],supercb[Item],tab_higiene[[#This Row],[Item]],supercb[Bairro],mercado7)</f>
        <v>0</v>
      </c>
      <c r="AR183" s="1">
        <f>SUMIFS(super1[Qtde],super1[Item],tab_higiene[[#This Row],[Item]],super1[Bairro],mercado8)+SUMIFS(supercb[Qtde],supercb[Item],tab_higiene[[#This Row],[Item]],supercb[Bairro],mercado8)</f>
        <v>0</v>
      </c>
      <c r="AS183" s="1">
        <f>SUMIFS(super1[Qtde],super1[Item],tab_higiene[[#This Row],[Item]],super1[Bairro],mercado9)+SUMIFS(supercb[Qtde],supercb[Item],tab_higiene[[#This Row],[Item]],supercb[Bairro],mercado9)</f>
        <v>0</v>
      </c>
      <c r="AT183" s="1">
        <f>SUMIFS(super1[Qtde],super1[Item],tab_higiene[[#This Row],[Item]],super1[Bairro],mercado10)+SUMIFS(supercb[Qtde],supercb[Item],tab_higiene[[#This Row],[Item]],supercb[Bairro],mercado10)</f>
        <v>1</v>
      </c>
      <c r="AU183" s="1">
        <f>SUMIFS(super1[Qtde],super1[Item],tab_higiene[[#This Row],[Item]],super1[Bairro],mercado11)+SUMIFS(supercb[Qtde],supercb[Item],tab_higiene[[#This Row],[Item]],supercb[Bairro],mercado11)</f>
        <v>2</v>
      </c>
      <c r="AV183" s="1">
        <f>SUMIFS(super1[Qtde],super1[Item],tab_higiene[[#This Row],[Item]],super1[Bairro],mercado12)+SUMIFS(supercb[Qtde],supercb[Item],tab_higiene[[#This Row],[Item]],supercb[Bairro],mercado12)</f>
        <v>0</v>
      </c>
      <c r="AW183" s="1">
        <f>SUMIFS(super1[Qtde],super1[Item],tab_higiene[[#This Row],[Item]],super1[Bairro],mercado13)+SUMIFS(supercb[Qtde],supercb[Item],tab_higiene[[#This Row],[Item]],supercb[Bairro],mercado13)</f>
        <v>0</v>
      </c>
      <c r="AX183" s="1">
        <f>SUMIFS(super1[Qtde],super1[Item],tab_higiene[[#This Row],[Item]],super1[Bairro],mercado14)+SUMIFS(supercb[Qtde],supercb[Item],tab_higiene[[#This Row],[Item]],supercb[Bairro],mercado14)</f>
        <v>0</v>
      </c>
      <c r="AY183" s="1">
        <f>SUMIFS(super1[Qtde],super1[Item],tab_higiene[[#This Row],[Item]],super1[Bairro],mercado15)+SUMIFS(supercb[Qtde],supercb[Item],tab_higiene[[#This Row],[Item]],supercb[Bairro],mercado15)</f>
        <v>0</v>
      </c>
      <c r="AZ183" s="1">
        <f>SUMIFS(super1[Qtde],super1[Item],tab_higiene[[#This Row],[Item]],super1[Bairro],mercado16)+SUMIFS(supercb[Qtde],supercb[Item],tab_higiene[[#This Row],[Item]],supercb[Bairro],mercado16)</f>
        <v>0</v>
      </c>
      <c r="BA183" s="1">
        <f>SUMIFS(super1[Qtde],super1[Item],tab_higiene[[#This Row],[Item]],super1[Bairro],mercado17)+SUMIFS(supercb[Qtde],supercb[Item],tab_higiene[[#This Row],[Item]],supercb[Bairro],mercado17)</f>
        <v>0</v>
      </c>
      <c r="BB183" s="1">
        <f>SUMIFS(super1[Qtde],super1[Item],tab_higiene[[#This Row],[Item]],super1[Bairro],mercado18)+SUMIFS(supercb[Qtde],supercb[Item],tab_higiene[[#This Row],[Item]],supercb[Bairro],mercado18)</f>
        <v>0</v>
      </c>
      <c r="BC183" s="1">
        <f>SUMIFS(super1[Qtde],super1[Item],tab_higiene[[#This Row],[Item]],super1[Bairro],extras)+SUMIFS(supercb[Qtde],supercb[Item],tab_higiene[[#This Row],[Item]],supercb[Bairro],extras)</f>
        <v>0</v>
      </c>
      <c r="BD183" s="1">
        <f t="shared" si="50"/>
        <v>3</v>
      </c>
      <c r="BE183" s="1">
        <f t="shared" si="51"/>
        <v>20.085000000000001</v>
      </c>
      <c r="BF183" s="26">
        <f t="shared" si="52"/>
        <v>6.0635567144208533</v>
      </c>
    </row>
    <row r="184" spans="9:58" x14ac:dyDescent="0.25">
      <c r="I184" s="25" t="str">
        <f>alimentos[[#This Row],[Item]]</f>
        <v>Milho conserva (Sache)</v>
      </c>
      <c r="J184" s="1">
        <f>IFERROR(alimentos[[#This Row],[kg/embalagem]],0)</f>
        <v>0.5</v>
      </c>
      <c r="K184" s="18">
        <f>IFERROR(alimentos[[#This Row],[Preço]],0)</f>
        <v>1.8</v>
      </c>
      <c r="L184" s="18">
        <f>SUMIFS(super1[Qtde],super1[Item],tab_alimentos[[#This Row],[Item]],super1[Bairro],mercado1)+SUMIFS(supercb[Qtde],supercb[Item],tab_alimentos[[#This Row],[Item]],supercb[Bairro],mercado1)</f>
        <v>0</v>
      </c>
      <c r="M184" s="18">
        <f>SUMIFS(super1[Qtde],super1[Item],tab_alimentos[[#This Row],[Item]],super1[Bairro],mercado2)+SUMIFS(supercb[Qtde],supercb[Item],tab_alimentos[[#This Row],[Item]],supercb[Bairro],mercado2)</f>
        <v>0</v>
      </c>
      <c r="N184" s="1">
        <f>SUMIFS(super1[Qtde],super1[Item],tab_alimentos[[#This Row],[Item]],super1[Bairro],mercado3)+SUMIFS(supercb[Qtde],supercb[Item],tab_alimentos[[#This Row],[Item]],supercb[Bairro],mercado3)</f>
        <v>0</v>
      </c>
      <c r="O184" s="18">
        <f>SUMIFS(super1[Qtde],super1[Item],tab_alimentos[[#This Row],[Item]],super1[Bairro],mercado4)+SUMIFS(supercb[Qtde],supercb[Item],tab_alimentos[[#This Row],[Item]],supercb[Bairro],mercado4)</f>
        <v>0</v>
      </c>
      <c r="P184" s="18">
        <f>SUMIFS(super1[Qtde],super1[Item],tab_alimentos[[#This Row],[Item]],super1[Bairro],mercado5)+SUMIFS(supercb[Qtde],supercb[Item],tab_alimentos[[#This Row],[Item]],supercb[Bairro],mercado5)</f>
        <v>1</v>
      </c>
      <c r="Q184" s="18">
        <f>SUMIFS(super1[Qtde],super1[Item],tab_alimentos[[#This Row],[Item]],super1[Bairro],mercado6)+SUMIFS(supercb[Qtde],supercb[Item],tab_alimentos[[#This Row],[Item]],supercb[Bairro],mercado6)</f>
        <v>0</v>
      </c>
      <c r="R184" s="18">
        <f>SUMIFS(super1[Qtde],super1[Item],tab_alimentos[[#This Row],[Item]],super1[Bairro],mercado7)+SUMIFS(supercb[Qtde],supercb[Item],tab_alimentos[[#This Row],[Item]],supercb[Bairro],mercado7)</f>
        <v>3</v>
      </c>
      <c r="S184" s="18">
        <f>SUMIFS(super1[Qtde],super1[Item],tab_alimentos[[#This Row],[Item]],super1[Bairro],mercado8)+SUMIFS(supercb[Qtde],supercb[Item],tab_alimentos[[#This Row],[Item]],supercb[Bairro],mercado8)</f>
        <v>0</v>
      </c>
      <c r="T184" s="18">
        <f>SUMIFS(super1[Qtde],super1[Item],tab_alimentos[[#This Row],[Item]],super1[Bairro],mercado9)+SUMIFS(supercb[Qtde],supercb[Item],tab_alimentos[[#This Row],[Item]],supercb[Bairro],mercado9)</f>
        <v>0</v>
      </c>
      <c r="U184" s="18">
        <f>SUMIFS(super1[Qtde],super1[Item],tab_alimentos[[#This Row],[Item]],super1[Bairro],mercado10)+SUMIFS(supercb[Qtde],supercb[Item],tab_alimentos[[#This Row],[Item]],supercb[Bairro],mercado10)</f>
        <v>0</v>
      </c>
      <c r="V184" s="18">
        <f>SUMIFS(super1[Qtde],super1[Item],tab_alimentos[[#This Row],[Item]],super1[Bairro],mercado11)+SUMIFS(supercb[Qtde],supercb[Item],tab_alimentos[[#This Row],[Item]],supercb[Bairro],mercado11)</f>
        <v>1</v>
      </c>
      <c r="W184" s="18">
        <f>SUMIFS(super1[Qtde],super1[Item],tab_alimentos[[#This Row],[Item]],super1[Bairro],mercado12)+SUMIFS(supercb[Qtde],supercb[Item],tab_alimentos[[#This Row],[Item]],supercb[Bairro],mercado12)</f>
        <v>0</v>
      </c>
      <c r="X184" s="18">
        <f>SUMIFS(super1[Qtde],super1[Item],tab_alimentos[[#This Row],[Item]],super1[Bairro],mercado13)+SUMIFS(supercb[Qtde],supercb[Item],tab_alimentos[[#This Row],[Item]],supercb[Bairro],mercado13)</f>
        <v>0</v>
      </c>
      <c r="Y184" s="18">
        <f>SUMIFS(super1[Qtde],super1[Item],tab_alimentos[[#This Row],[Item]],super1[Bairro],mercado14)+SUMIFS(supercb[Qtde],supercb[Item],tab_alimentos[[#This Row],[Item]],supercb[Bairro],mercado14)</f>
        <v>0</v>
      </c>
      <c r="Z184" s="18">
        <f>SUMIFS(super1[Qtde],super1[Item],tab_alimentos[[#This Row],[Item]],super1[Bairro],mercado15)+SUMIFS(supercb[Qtde],supercb[Item],tab_alimentos[[#This Row],[Item]],supercb[Bairro],mercado15)</f>
        <v>0</v>
      </c>
      <c r="AA184" s="18">
        <f>SUMIFS(super1[Qtde],super1[Item],tab_alimentos[[#This Row],[Item]],super1[Bairro],mercado16)+SUMIFS(supercb[Qtde],supercb[Item],tab_alimentos[[#This Row],[Item]],supercb[Bairro],mercado16)</f>
        <v>0</v>
      </c>
      <c r="AB184" s="18">
        <f>SUMIFS(super1[Qtde],super1[Item],tab_alimentos[[#This Row],[Item]],super1[Bairro],mercado17)+SUMIFS(supercb[Qtde],supercb[Item],tab_alimentos[[#This Row],[Item]],supercb[Bairro],mercado17)</f>
        <v>0</v>
      </c>
      <c r="AC184" s="18">
        <f>SUMIFS(super1[Qtde],super1[Item],tab_alimentos[[#This Row],[Item]],super1[Bairro],mercado18)+SUMIFS(supercb[Qtde],supercb[Item],tab_alimentos[[#This Row],[Item]],supercb[Bairro],mercado18)</f>
        <v>0</v>
      </c>
      <c r="AD184" s="18">
        <f>SUMIFS(super1[Qtde],super1[Item],tab_alimentos[[#This Row],[Item]],super1[Bairro],extras)+SUMIFS(supercb[Qtde],supercb[Item],tab_alimentos[[#This Row],[Item]],supercb[Bairro],extras)</f>
        <v>0</v>
      </c>
      <c r="AE184" s="1">
        <f t="shared" si="67"/>
        <v>5</v>
      </c>
      <c r="AF184" s="1">
        <f t="shared" si="68"/>
        <v>9</v>
      </c>
      <c r="AG184" s="26">
        <f t="shared" si="69"/>
        <v>2.5</v>
      </c>
      <c r="AH184" s="25" t="str">
        <f>higiene[[#This Row],[Item]]</f>
        <v>sabonete (6un)</v>
      </c>
      <c r="AI184" s="1">
        <f>IFERROR(higiene[[#This Row],[Kg equivalente]],0)</f>
        <v>3.1170636333779091</v>
      </c>
      <c r="AJ184" s="1">
        <f>IFERROR(higiene[[#This Row],[Preço por produto]],0)</f>
        <v>10.324999999999999</v>
      </c>
      <c r="AK184" s="1">
        <f>SUMIFS(super1[Qtde],super1[Item],tab_higiene[[#This Row],[Item]],super1[Bairro],mercado1)+SUMIFS(supercb[Qtde],supercb[Item],tab_higiene[[#This Row],[Item]],supercb[Bairro],mercado1)</f>
        <v>0</v>
      </c>
      <c r="AL184" s="1">
        <f>SUMIFS(super1[Qtde],super1[Item],tab_higiene[[#This Row],[Item]],super1[Bairro],mercado2)+SUMIFS(supercb[Qtde],supercb[Item],tab_higiene[[#This Row],[Item]],supercb[Bairro],mercado2)</f>
        <v>0</v>
      </c>
      <c r="AM184" s="1">
        <f>SUMIFS(super1[Qtde],super1[Item],tab_higiene[[#This Row],[Item]],super1[Bairro],mercado3)+SUMIFS(supercb[Qtde],supercb[Item],tab_higiene[[#This Row],[Item]],supercb[Bairro],mercado3)</f>
        <v>0</v>
      </c>
      <c r="AN184" s="1">
        <f>SUMIFS(super1[Qtde],super1[Item],tab_higiene[[#This Row],[Item]],super1[Bairro],mercado4)+SUMIFS(supercb[Qtde],supercb[Item],tab_higiene[[#This Row],[Item]],supercb[Bairro],mercado4)</f>
        <v>0</v>
      </c>
      <c r="AO184" s="1">
        <f>SUMIFS(super1[Qtde],super1[Item],tab_higiene[[#This Row],[Item]],super1[Bairro],mercado5)+SUMIFS(supercb[Qtde],supercb[Item],tab_higiene[[#This Row],[Item]],supercb[Bairro],mercado5)</f>
        <v>0</v>
      </c>
      <c r="AP184" s="1">
        <f>SUMIFS(super1[Qtde],super1[Item],tab_higiene[[#This Row],[Item]],super1[Bairro],mercado6)+SUMIFS(supercb[Qtde],supercb[Item],tab_higiene[[#This Row],[Item]],supercb[Bairro],mercado6)</f>
        <v>0</v>
      </c>
      <c r="AQ184" s="1">
        <f>SUMIFS(super1[Qtde],super1[Item],tab_higiene[[#This Row],[Item]],super1[Bairro],mercado7)+SUMIFS(supercb[Qtde],supercb[Item],tab_higiene[[#This Row],[Item]],supercb[Bairro],mercado7)</f>
        <v>0</v>
      </c>
      <c r="AR184" s="1">
        <f>SUMIFS(super1[Qtde],super1[Item],tab_higiene[[#This Row],[Item]],super1[Bairro],mercado8)+SUMIFS(supercb[Qtde],supercb[Item],tab_higiene[[#This Row],[Item]],supercb[Bairro],mercado8)</f>
        <v>0</v>
      </c>
      <c r="AS184" s="1">
        <f>SUMIFS(super1[Qtde],super1[Item],tab_higiene[[#This Row],[Item]],super1[Bairro],mercado9)+SUMIFS(supercb[Qtde],supercb[Item],tab_higiene[[#This Row],[Item]],supercb[Bairro],mercado9)</f>
        <v>3</v>
      </c>
      <c r="AT184" s="1">
        <f>SUMIFS(super1[Qtde],super1[Item],tab_higiene[[#This Row],[Item]],super1[Bairro],mercado10)+SUMIFS(supercb[Qtde],supercb[Item],tab_higiene[[#This Row],[Item]],supercb[Bairro],mercado10)</f>
        <v>11</v>
      </c>
      <c r="AU184" s="1">
        <f>SUMIFS(super1[Qtde],super1[Item],tab_higiene[[#This Row],[Item]],super1[Bairro],mercado11)+SUMIFS(supercb[Qtde],supercb[Item],tab_higiene[[#This Row],[Item]],supercb[Bairro],mercado11)</f>
        <v>3</v>
      </c>
      <c r="AV184" s="1">
        <f>SUMIFS(super1[Qtde],super1[Item],tab_higiene[[#This Row],[Item]],super1[Bairro],mercado12)+SUMIFS(supercb[Qtde],supercb[Item],tab_higiene[[#This Row],[Item]],supercb[Bairro],mercado12)</f>
        <v>0</v>
      </c>
      <c r="AW184" s="1">
        <f>SUMIFS(super1[Qtde],super1[Item],tab_higiene[[#This Row],[Item]],super1[Bairro],mercado13)+SUMIFS(supercb[Qtde],supercb[Item],tab_higiene[[#This Row],[Item]],supercb[Bairro],mercado13)</f>
        <v>0</v>
      </c>
      <c r="AX184" s="1">
        <f>SUMIFS(super1[Qtde],super1[Item],tab_higiene[[#This Row],[Item]],super1[Bairro],mercado14)+SUMIFS(supercb[Qtde],supercb[Item],tab_higiene[[#This Row],[Item]],supercb[Bairro],mercado14)</f>
        <v>0</v>
      </c>
      <c r="AY184" s="1">
        <f>SUMIFS(super1[Qtde],super1[Item],tab_higiene[[#This Row],[Item]],super1[Bairro],mercado15)+SUMIFS(supercb[Qtde],supercb[Item],tab_higiene[[#This Row],[Item]],supercb[Bairro],mercado15)</f>
        <v>0</v>
      </c>
      <c r="AZ184" s="1">
        <f>SUMIFS(super1[Qtde],super1[Item],tab_higiene[[#This Row],[Item]],super1[Bairro],mercado16)+SUMIFS(supercb[Qtde],supercb[Item],tab_higiene[[#This Row],[Item]],supercb[Bairro],mercado16)</f>
        <v>0</v>
      </c>
      <c r="BA184" s="1">
        <f>SUMIFS(super1[Qtde],super1[Item],tab_higiene[[#This Row],[Item]],super1[Bairro],mercado17)+SUMIFS(supercb[Qtde],supercb[Item],tab_higiene[[#This Row],[Item]],supercb[Bairro],mercado17)</f>
        <v>0</v>
      </c>
      <c r="BB184" s="1">
        <f>SUMIFS(super1[Qtde],super1[Item],tab_higiene[[#This Row],[Item]],super1[Bairro],mercado18)+SUMIFS(supercb[Qtde],supercb[Item],tab_higiene[[#This Row],[Item]],supercb[Bairro],mercado18)</f>
        <v>0</v>
      </c>
      <c r="BC184" s="1">
        <f>SUMIFS(super1[Qtde],super1[Item],tab_higiene[[#This Row],[Item]],super1[Bairro],extras)+SUMIFS(supercb[Qtde],supercb[Item],tab_higiene[[#This Row],[Item]],supercb[Bairro],extras)</f>
        <v>0</v>
      </c>
      <c r="BD184" s="1">
        <f t="shared" si="50"/>
        <v>17</v>
      </c>
      <c r="BE184" s="1">
        <f t="shared" si="51"/>
        <v>175.52499999999998</v>
      </c>
      <c r="BF184" s="26">
        <f t="shared" si="52"/>
        <v>52.990081767424456</v>
      </c>
    </row>
    <row r="185" spans="9:58" x14ac:dyDescent="0.25">
      <c r="I185" s="25" t="str">
        <f>alimentos[[#This Row],[Item]]</f>
        <v>Milho de pipoca (500g)</v>
      </c>
      <c r="J185" s="1">
        <f>IFERROR(alimentos[[#This Row],[kg/embalagem]],0)</f>
        <v>0.5</v>
      </c>
      <c r="K185" s="18">
        <f>IFERROR(alimentos[[#This Row],[Preço]],0)</f>
        <v>3.29</v>
      </c>
      <c r="L185" s="18">
        <f>SUMIFS(super1[Qtde],super1[Item],tab_alimentos[[#This Row],[Item]],super1[Bairro],mercado1)+SUMIFS(supercb[Qtde],supercb[Item],tab_alimentos[[#This Row],[Item]],supercb[Bairro],mercado1)</f>
        <v>0</v>
      </c>
      <c r="M185" s="18">
        <f>SUMIFS(super1[Qtde],super1[Item],tab_alimentos[[#This Row],[Item]],super1[Bairro],mercado2)+SUMIFS(supercb[Qtde],supercb[Item],tab_alimentos[[#This Row],[Item]],supercb[Bairro],mercado2)</f>
        <v>0</v>
      </c>
      <c r="N185" s="1">
        <f>SUMIFS(super1[Qtde],super1[Item],tab_alimentos[[#This Row],[Item]],super1[Bairro],mercado3)+SUMIFS(supercb[Qtde],supercb[Item],tab_alimentos[[#This Row],[Item]],supercb[Bairro],mercado3)</f>
        <v>0</v>
      </c>
      <c r="O185" s="18">
        <f>SUMIFS(super1[Qtde],super1[Item],tab_alimentos[[#This Row],[Item]],super1[Bairro],mercado4)+SUMIFS(supercb[Qtde],supercb[Item],tab_alimentos[[#This Row],[Item]],supercb[Bairro],mercado4)</f>
        <v>0</v>
      </c>
      <c r="P185" s="18">
        <f>SUMIFS(super1[Qtde],super1[Item],tab_alimentos[[#This Row],[Item]],super1[Bairro],mercado5)+SUMIFS(supercb[Qtde],supercb[Item],tab_alimentos[[#This Row],[Item]],supercb[Bairro],mercado5)</f>
        <v>0</v>
      </c>
      <c r="Q185" s="18">
        <f>SUMIFS(super1[Qtde],super1[Item],tab_alimentos[[#This Row],[Item]],super1[Bairro],mercado6)+SUMIFS(supercb[Qtde],supercb[Item],tab_alimentos[[#This Row],[Item]],supercb[Bairro],mercado6)</f>
        <v>0</v>
      </c>
      <c r="R185" s="18">
        <f>SUMIFS(super1[Qtde],super1[Item],tab_alimentos[[#This Row],[Item]],super1[Bairro],mercado7)+SUMIFS(supercb[Qtde],supercb[Item],tab_alimentos[[#This Row],[Item]],supercb[Bairro],mercado7)</f>
        <v>0</v>
      </c>
      <c r="S185" s="18">
        <f>SUMIFS(super1[Qtde],super1[Item],tab_alimentos[[#This Row],[Item]],super1[Bairro],mercado8)+SUMIFS(supercb[Qtde],supercb[Item],tab_alimentos[[#This Row],[Item]],supercb[Bairro],mercado8)</f>
        <v>0</v>
      </c>
      <c r="T185" s="18">
        <f>SUMIFS(super1[Qtde],super1[Item],tab_alimentos[[#This Row],[Item]],super1[Bairro],mercado9)+SUMIFS(supercb[Qtde],supercb[Item],tab_alimentos[[#This Row],[Item]],supercb[Bairro],mercado9)</f>
        <v>0</v>
      </c>
      <c r="U185" s="18">
        <f>SUMIFS(super1[Qtde],super1[Item],tab_alimentos[[#This Row],[Item]],super1[Bairro],mercado10)+SUMIFS(supercb[Qtde],supercb[Item],tab_alimentos[[#This Row],[Item]],supercb[Bairro],mercado10)</f>
        <v>1</v>
      </c>
      <c r="V185" s="18">
        <f>SUMIFS(super1[Qtde],super1[Item],tab_alimentos[[#This Row],[Item]],super1[Bairro],mercado11)+SUMIFS(supercb[Qtde],supercb[Item],tab_alimentos[[#This Row],[Item]],supercb[Bairro],mercado11)</f>
        <v>0</v>
      </c>
      <c r="W185" s="18">
        <f>SUMIFS(super1[Qtde],super1[Item],tab_alimentos[[#This Row],[Item]],super1[Bairro],mercado12)+SUMIFS(supercb[Qtde],supercb[Item],tab_alimentos[[#This Row],[Item]],supercb[Bairro],mercado12)</f>
        <v>0</v>
      </c>
      <c r="X185" s="18">
        <f>SUMIFS(super1[Qtde],super1[Item],tab_alimentos[[#This Row],[Item]],super1[Bairro],mercado13)+SUMIFS(supercb[Qtde],supercb[Item],tab_alimentos[[#This Row],[Item]],supercb[Bairro],mercado13)</f>
        <v>0</v>
      </c>
      <c r="Y185" s="18">
        <f>SUMIFS(super1[Qtde],super1[Item],tab_alimentos[[#This Row],[Item]],super1[Bairro],mercado14)+SUMIFS(supercb[Qtde],supercb[Item],tab_alimentos[[#This Row],[Item]],supercb[Bairro],mercado14)</f>
        <v>0</v>
      </c>
      <c r="Z185" s="18">
        <f>SUMIFS(super1[Qtde],super1[Item],tab_alimentos[[#This Row],[Item]],super1[Bairro],mercado15)+SUMIFS(supercb[Qtde],supercb[Item],tab_alimentos[[#This Row],[Item]],supercb[Bairro],mercado15)</f>
        <v>0</v>
      </c>
      <c r="AA185" s="18">
        <f>SUMIFS(super1[Qtde],super1[Item],tab_alimentos[[#This Row],[Item]],super1[Bairro],mercado16)+SUMIFS(supercb[Qtde],supercb[Item],tab_alimentos[[#This Row],[Item]],supercb[Bairro],mercado16)</f>
        <v>0</v>
      </c>
      <c r="AB185" s="18">
        <f>SUMIFS(super1[Qtde],super1[Item],tab_alimentos[[#This Row],[Item]],super1[Bairro],mercado17)+SUMIFS(supercb[Qtde],supercb[Item],tab_alimentos[[#This Row],[Item]],supercb[Bairro],mercado17)</f>
        <v>0</v>
      </c>
      <c r="AC185" s="18">
        <f>SUMIFS(super1[Qtde],super1[Item],tab_alimentos[[#This Row],[Item]],super1[Bairro],mercado18)+SUMIFS(supercb[Qtde],supercb[Item],tab_alimentos[[#This Row],[Item]],supercb[Bairro],mercado18)</f>
        <v>0</v>
      </c>
      <c r="AD185" s="18">
        <f>SUMIFS(super1[Qtde],super1[Item],tab_alimentos[[#This Row],[Item]],super1[Bairro],extras)+SUMIFS(supercb[Qtde],supercb[Item],tab_alimentos[[#This Row],[Item]],supercb[Bairro],extras)</f>
        <v>0</v>
      </c>
      <c r="AE185" s="1">
        <f t="shared" si="67"/>
        <v>1</v>
      </c>
      <c r="AF185" s="1">
        <f t="shared" si="68"/>
        <v>3.29</v>
      </c>
      <c r="AG185" s="26">
        <f t="shared" si="69"/>
        <v>0.5</v>
      </c>
      <c r="AH185" s="25" t="str">
        <f>higiene[[#This Row],[Item]]</f>
        <v>Sabonete (84g)</v>
      </c>
      <c r="AI185" s="1">
        <f>IFERROR(higiene[[#This Row],[Kg equivalente]],0)</f>
        <v>0.34919163221376415</v>
      </c>
      <c r="AJ185" s="1">
        <f>IFERROR(higiene[[#This Row],[Preço por produto]],0)</f>
        <v>1.1566666666666665</v>
      </c>
      <c r="AK185" s="1">
        <f>SUMIFS(super1[Qtde],super1[Item],tab_higiene[[#This Row],[Item]],super1[Bairro],mercado1)+SUMIFS(supercb[Qtde],supercb[Item],tab_higiene[[#This Row],[Item]],supercb[Bairro],mercado1)</f>
        <v>35</v>
      </c>
      <c r="AL185" s="1">
        <f>SUMIFS(super1[Qtde],super1[Item],tab_higiene[[#This Row],[Item]],super1[Bairro],mercado2)+SUMIFS(supercb[Qtde],supercb[Item],tab_higiene[[#This Row],[Item]],supercb[Bairro],mercado2)</f>
        <v>45</v>
      </c>
      <c r="AM185" s="1">
        <f>SUMIFS(super1[Qtde],super1[Item],tab_higiene[[#This Row],[Item]],super1[Bairro],mercado3)+SUMIFS(supercb[Qtde],supercb[Item],tab_higiene[[#This Row],[Item]],supercb[Bairro],mercado3)</f>
        <v>38</v>
      </c>
      <c r="AN185" s="1">
        <f>SUMIFS(super1[Qtde],super1[Item],tab_higiene[[#This Row],[Item]],super1[Bairro],mercado4)+SUMIFS(supercb[Qtde],supercb[Item],tab_higiene[[#This Row],[Item]],supercb[Bairro],mercado4)</f>
        <v>98</v>
      </c>
      <c r="AO185" s="1">
        <f>SUMIFS(super1[Qtde],super1[Item],tab_higiene[[#This Row],[Item]],super1[Bairro],mercado5)+SUMIFS(supercb[Qtde],supercb[Item],tab_higiene[[#This Row],[Item]],supercb[Bairro],mercado5)</f>
        <v>186</v>
      </c>
      <c r="AP185" s="1">
        <f>SUMIFS(super1[Qtde],super1[Item],tab_higiene[[#This Row],[Item]],super1[Bairro],mercado6)+SUMIFS(supercb[Qtde],supercb[Item],tab_higiene[[#This Row],[Item]],supercb[Bairro],mercado6)</f>
        <v>93</v>
      </c>
      <c r="AQ185" s="1">
        <f>SUMIFS(super1[Qtde],super1[Item],tab_higiene[[#This Row],[Item]],super1[Bairro],mercado7)+SUMIFS(supercb[Qtde],supercb[Item],tab_higiene[[#This Row],[Item]],supercb[Bairro],mercado7)</f>
        <v>92</v>
      </c>
      <c r="AR185" s="1">
        <f>SUMIFS(super1[Qtde],super1[Item],tab_higiene[[#This Row],[Item]],super1[Bairro],mercado8)+SUMIFS(supercb[Qtde],supercb[Item],tab_higiene[[#This Row],[Item]],supercb[Bairro],mercado8)</f>
        <v>112</v>
      </c>
      <c r="AS185" s="1">
        <f>SUMIFS(super1[Qtde],super1[Item],tab_higiene[[#This Row],[Item]],super1[Bairro],mercado9)+SUMIFS(supercb[Qtde],supercb[Item],tab_higiene[[#This Row],[Item]],supercb[Bairro],mercado9)</f>
        <v>21</v>
      </c>
      <c r="AT185" s="1">
        <f>SUMIFS(super1[Qtde],super1[Item],tab_higiene[[#This Row],[Item]],super1[Bairro],mercado10)+SUMIFS(supercb[Qtde],supercb[Item],tab_higiene[[#This Row],[Item]],supercb[Bairro],mercado10)</f>
        <v>32</v>
      </c>
      <c r="AU185" s="1">
        <f>SUMIFS(super1[Qtde],super1[Item],tab_higiene[[#This Row],[Item]],super1[Bairro],mercado11)+SUMIFS(supercb[Qtde],supercb[Item],tab_higiene[[#This Row],[Item]],supercb[Bairro],mercado11)</f>
        <v>58</v>
      </c>
      <c r="AV185" s="1">
        <f>SUMIFS(super1[Qtde],super1[Item],tab_higiene[[#This Row],[Item]],super1[Bairro],mercado12)+SUMIFS(supercb[Qtde],supercb[Item],tab_higiene[[#This Row],[Item]],supercb[Bairro],mercado12)</f>
        <v>0</v>
      </c>
      <c r="AW185" s="1">
        <f>SUMIFS(super1[Qtde],super1[Item],tab_higiene[[#This Row],[Item]],super1[Bairro],mercado13)+SUMIFS(supercb[Qtde],supercb[Item],tab_higiene[[#This Row],[Item]],supercb[Bairro],mercado13)</f>
        <v>168</v>
      </c>
      <c r="AX185" s="1">
        <f>SUMIFS(super1[Qtde],super1[Item],tab_higiene[[#This Row],[Item]],super1[Bairro],mercado14)+SUMIFS(supercb[Qtde],supercb[Item],tab_higiene[[#This Row],[Item]],supercb[Bairro],mercado14)</f>
        <v>0</v>
      </c>
      <c r="AY185" s="1">
        <f>SUMIFS(super1[Qtde],super1[Item],tab_higiene[[#This Row],[Item]],super1[Bairro],mercado15)+SUMIFS(supercb[Qtde],supercb[Item],tab_higiene[[#This Row],[Item]],supercb[Bairro],mercado15)</f>
        <v>0</v>
      </c>
      <c r="AZ185" s="1">
        <f>SUMIFS(super1[Qtde],super1[Item],tab_higiene[[#This Row],[Item]],super1[Bairro],mercado16)+SUMIFS(supercb[Qtde],supercb[Item],tab_higiene[[#This Row],[Item]],supercb[Bairro],mercado16)</f>
        <v>0</v>
      </c>
      <c r="BA185" s="1">
        <f>SUMIFS(super1[Qtde],super1[Item],tab_higiene[[#This Row],[Item]],super1[Bairro],mercado17)+SUMIFS(supercb[Qtde],supercb[Item],tab_higiene[[#This Row],[Item]],supercb[Bairro],mercado17)</f>
        <v>0</v>
      </c>
      <c r="BB185" s="1">
        <f>SUMIFS(super1[Qtde],super1[Item],tab_higiene[[#This Row],[Item]],super1[Bairro],mercado18)+SUMIFS(supercb[Qtde],supercb[Item],tab_higiene[[#This Row],[Item]],supercb[Bairro],mercado18)</f>
        <v>0</v>
      </c>
      <c r="BC185" s="1">
        <f>SUMIFS(super1[Qtde],super1[Item],tab_higiene[[#This Row],[Item]],super1[Bairro],extras)+SUMIFS(supercb[Qtde],supercb[Item],tab_higiene[[#This Row],[Item]],supercb[Bairro],extras)</f>
        <v>0</v>
      </c>
      <c r="BD185" s="1">
        <f t="shared" si="50"/>
        <v>978</v>
      </c>
      <c r="BE185" s="1">
        <f t="shared" si="51"/>
        <v>1131.2199999999998</v>
      </c>
      <c r="BF185" s="26">
        <f t="shared" si="52"/>
        <v>341.50941630506134</v>
      </c>
    </row>
    <row r="186" spans="9:58" ht="15.75" thickBot="1" x14ac:dyDescent="0.3">
      <c r="I186" s="25" t="str">
        <f>alimentos[[#This Row],[Item]]</f>
        <v>Mingau (230g)</v>
      </c>
      <c r="J186" s="1">
        <f>IFERROR(alimentos[[#This Row],[kg/embalagem]],0)</f>
        <v>0.23</v>
      </c>
      <c r="K186" s="18">
        <f>IFERROR(alimentos[[#This Row],[Preço]],0)</f>
        <v>9.16</v>
      </c>
      <c r="L186" s="18">
        <f>SUMIFS(super1[Qtde],super1[Item],tab_alimentos[[#This Row],[Item]],super1[Bairro],mercado1)+SUMIFS(supercb[Qtde],supercb[Item],tab_alimentos[[#This Row],[Item]],supercb[Bairro],mercado1)</f>
        <v>0</v>
      </c>
      <c r="M186" s="18">
        <f>SUMIFS(super1[Qtde],super1[Item],tab_alimentos[[#This Row],[Item]],super1[Bairro],mercado2)+SUMIFS(supercb[Qtde],supercb[Item],tab_alimentos[[#This Row],[Item]],supercb[Bairro],mercado2)</f>
        <v>0</v>
      </c>
      <c r="N186" s="1">
        <f>SUMIFS(super1[Qtde],super1[Item],tab_alimentos[[#This Row],[Item]],super1[Bairro],mercado3)+SUMIFS(supercb[Qtde],supercb[Item],tab_alimentos[[#This Row],[Item]],supercb[Bairro],mercado3)</f>
        <v>0</v>
      </c>
      <c r="O186" s="18">
        <f>SUMIFS(super1[Qtde],super1[Item],tab_alimentos[[#This Row],[Item]],super1[Bairro],mercado4)+SUMIFS(supercb[Qtde],supercb[Item],tab_alimentos[[#This Row],[Item]],supercb[Bairro],mercado4)</f>
        <v>0</v>
      </c>
      <c r="P186" s="18">
        <f>SUMIFS(super1[Qtde],super1[Item],tab_alimentos[[#This Row],[Item]],super1[Bairro],mercado5)+SUMIFS(supercb[Qtde],supercb[Item],tab_alimentos[[#This Row],[Item]],supercb[Bairro],mercado5)</f>
        <v>0</v>
      </c>
      <c r="Q186" s="18">
        <f>SUMIFS(super1[Qtde],super1[Item],tab_alimentos[[#This Row],[Item]],super1[Bairro],mercado6)+SUMIFS(supercb[Qtde],supercb[Item],tab_alimentos[[#This Row],[Item]],supercb[Bairro],mercado6)</f>
        <v>0</v>
      </c>
      <c r="R186" s="18">
        <f>SUMIFS(super1[Qtde],super1[Item],tab_alimentos[[#This Row],[Item]],super1[Bairro],mercado7)+SUMIFS(supercb[Qtde],supercb[Item],tab_alimentos[[#This Row],[Item]],supercb[Bairro],mercado7)</f>
        <v>0</v>
      </c>
      <c r="S186" s="18">
        <f>SUMIFS(super1[Qtde],super1[Item],tab_alimentos[[#This Row],[Item]],super1[Bairro],mercado8)+SUMIFS(supercb[Qtde],supercb[Item],tab_alimentos[[#This Row],[Item]],supercb[Bairro],mercado8)</f>
        <v>0</v>
      </c>
      <c r="T186" s="18">
        <f>SUMIFS(super1[Qtde],super1[Item],tab_alimentos[[#This Row],[Item]],super1[Bairro],mercado9)+SUMIFS(supercb[Qtde],supercb[Item],tab_alimentos[[#This Row],[Item]],supercb[Bairro],mercado9)</f>
        <v>0</v>
      </c>
      <c r="U186" s="18">
        <f>SUMIFS(super1[Qtde],super1[Item],tab_alimentos[[#This Row],[Item]],super1[Bairro],mercado10)+SUMIFS(supercb[Qtde],supercb[Item],tab_alimentos[[#This Row],[Item]],supercb[Bairro],mercado10)</f>
        <v>0</v>
      </c>
      <c r="V186" s="18">
        <f>SUMIFS(super1[Qtde],super1[Item],tab_alimentos[[#This Row],[Item]],super1[Bairro],mercado11)+SUMIFS(supercb[Qtde],supercb[Item],tab_alimentos[[#This Row],[Item]],supercb[Bairro],mercado11)</f>
        <v>0</v>
      </c>
      <c r="W186" s="18">
        <f>SUMIFS(super1[Qtde],super1[Item],tab_alimentos[[#This Row],[Item]],super1[Bairro],mercado12)+SUMIFS(supercb[Qtde],supercb[Item],tab_alimentos[[#This Row],[Item]],supercb[Bairro],mercado12)</f>
        <v>0</v>
      </c>
      <c r="X186" s="18">
        <f>SUMIFS(super1[Qtde],super1[Item],tab_alimentos[[#This Row],[Item]],super1[Bairro],mercado13)+SUMIFS(supercb[Qtde],supercb[Item],tab_alimentos[[#This Row],[Item]],supercb[Bairro],mercado13)</f>
        <v>0</v>
      </c>
      <c r="Y186" s="18">
        <f>SUMIFS(super1[Qtde],super1[Item],tab_alimentos[[#This Row],[Item]],super1[Bairro],mercado14)+SUMIFS(supercb[Qtde],supercb[Item],tab_alimentos[[#This Row],[Item]],supercb[Bairro],mercado14)</f>
        <v>0</v>
      </c>
      <c r="Z186" s="18">
        <f>SUMIFS(super1[Qtde],super1[Item],tab_alimentos[[#This Row],[Item]],super1[Bairro],mercado15)+SUMIFS(supercb[Qtde],supercb[Item],tab_alimentos[[#This Row],[Item]],supercb[Bairro],mercado15)</f>
        <v>0</v>
      </c>
      <c r="AA186" s="18">
        <f>SUMIFS(super1[Qtde],super1[Item],tab_alimentos[[#This Row],[Item]],super1[Bairro],mercado16)+SUMIFS(supercb[Qtde],supercb[Item],tab_alimentos[[#This Row],[Item]],supercb[Bairro],mercado16)</f>
        <v>0</v>
      </c>
      <c r="AB186" s="18">
        <f>SUMIFS(super1[Qtde],super1[Item],tab_alimentos[[#This Row],[Item]],super1[Bairro],mercado17)+SUMIFS(supercb[Qtde],supercb[Item],tab_alimentos[[#This Row],[Item]],supercb[Bairro],mercado17)</f>
        <v>0</v>
      </c>
      <c r="AC186" s="18">
        <f>SUMIFS(super1[Qtde],super1[Item],tab_alimentos[[#This Row],[Item]],super1[Bairro],mercado18)+SUMIFS(supercb[Qtde],supercb[Item],tab_alimentos[[#This Row],[Item]],supercb[Bairro],mercado18)</f>
        <v>0</v>
      </c>
      <c r="AD186" s="18">
        <f>SUMIFS(super1[Qtde],super1[Item],tab_alimentos[[#This Row],[Item]],super1[Bairro],extras)+SUMIFS(supercb[Qtde],supercb[Item],tab_alimentos[[#This Row],[Item]],supercb[Bairro],extras)</f>
        <v>0</v>
      </c>
      <c r="AE186" s="1">
        <f t="shared" si="67"/>
        <v>0</v>
      </c>
      <c r="AF186" s="1">
        <f t="shared" si="68"/>
        <v>0</v>
      </c>
      <c r="AG186" s="26">
        <f t="shared" si="69"/>
        <v>0</v>
      </c>
      <c r="AH186" s="15" t="str">
        <f>higiene[[#This Row],[Item]]</f>
        <v>Sabonete (85g)</v>
      </c>
      <c r="AI186" s="8">
        <f>IFERROR(higiene[[#This Row],[Kg equivalente]],0)</f>
        <v>0.35925479164355562</v>
      </c>
      <c r="AJ186" s="8">
        <f>IFERROR(higiene[[#This Row],[Preço por produto]],0)</f>
        <v>1.19</v>
      </c>
      <c r="AK186" s="1">
        <f>SUMIFS(super1[Qtde],super1[Item],tab_higiene[[#This Row],[Item]],super1[Bairro],mercado1)+SUMIFS(supercb[Qtde],supercb[Item],tab_higiene[[#This Row],[Item]],supercb[Bairro],mercado1)</f>
        <v>0</v>
      </c>
      <c r="AL186" s="1">
        <f>SUMIFS(super1[Qtde],super1[Item],tab_higiene[[#This Row],[Item]],super1[Bairro],mercado2)+SUMIFS(supercb[Qtde],supercb[Item],tab_higiene[[#This Row],[Item]],supercb[Bairro],mercado2)</f>
        <v>24</v>
      </c>
      <c r="AM186" s="1">
        <f>SUMIFS(super1[Qtde],super1[Item],tab_higiene[[#This Row],[Item]],super1[Bairro],mercado3)+SUMIFS(supercb[Qtde],supercb[Item],tab_higiene[[#This Row],[Item]],supercb[Bairro],mercado3)</f>
        <v>0</v>
      </c>
      <c r="AN186" s="1">
        <f>SUMIFS(super1[Qtde],super1[Item],tab_higiene[[#This Row],[Item]],super1[Bairro],mercado4)+SUMIFS(supercb[Qtde],supercb[Item],tab_higiene[[#This Row],[Item]],supercb[Bairro],mercado4)</f>
        <v>37</v>
      </c>
      <c r="AO186" s="1">
        <f>SUMIFS(super1[Qtde],super1[Item],tab_higiene[[#This Row],[Item]],super1[Bairro],mercado5)+SUMIFS(supercb[Qtde],supercb[Item],tab_higiene[[#This Row],[Item]],supercb[Bairro],mercado5)</f>
        <v>48</v>
      </c>
      <c r="AP186" s="1">
        <f>SUMIFS(super1[Qtde],super1[Item],tab_higiene[[#This Row],[Item]],super1[Bairro],mercado6)+SUMIFS(supercb[Qtde],supercb[Item],tab_higiene[[#This Row],[Item]],supercb[Bairro],mercado6)</f>
        <v>0</v>
      </c>
      <c r="AQ186" s="1">
        <f>SUMIFS(super1[Qtde],super1[Item],tab_higiene[[#This Row],[Item]],super1[Bairro],mercado7)+SUMIFS(supercb[Qtde],supercb[Item],tab_higiene[[#This Row],[Item]],supercb[Bairro],mercado7)</f>
        <v>3</v>
      </c>
      <c r="AR186" s="1">
        <f>SUMIFS(super1[Qtde],super1[Item],tab_higiene[[#This Row],[Item]],super1[Bairro],mercado8)+SUMIFS(supercb[Qtde],supercb[Item],tab_higiene[[#This Row],[Item]],supercb[Bairro],mercado8)</f>
        <v>8</v>
      </c>
      <c r="AS186" s="1">
        <f>SUMIFS(super1[Qtde],super1[Item],tab_higiene[[#This Row],[Item]],super1[Bairro],mercado9)+SUMIFS(supercb[Qtde],supercb[Item],tab_higiene[[#This Row],[Item]],supercb[Bairro],mercado9)</f>
        <v>9</v>
      </c>
      <c r="AT186" s="1">
        <f>SUMIFS(super1[Qtde],super1[Item],tab_higiene[[#This Row],[Item]],super1[Bairro],mercado10)+SUMIFS(supercb[Qtde],supercb[Item],tab_higiene[[#This Row],[Item]],supercb[Bairro],mercado10)</f>
        <v>64</v>
      </c>
      <c r="AU186" s="1">
        <f>SUMIFS(super1[Qtde],super1[Item],tab_higiene[[#This Row],[Item]],super1[Bairro],mercado11)+SUMIFS(supercb[Qtde],supercb[Item],tab_higiene[[#This Row],[Item]],supercb[Bairro],mercado11)</f>
        <v>0</v>
      </c>
      <c r="AV186" s="1">
        <f>SUMIFS(super1[Qtde],super1[Item],tab_higiene[[#This Row],[Item]],super1[Bairro],mercado12)+SUMIFS(supercb[Qtde],supercb[Item],tab_higiene[[#This Row],[Item]],supercb[Bairro],mercado12)</f>
        <v>0</v>
      </c>
      <c r="AW186" s="1">
        <f>SUMIFS(super1[Qtde],super1[Item],tab_higiene[[#This Row],[Item]],super1[Bairro],mercado13)+SUMIFS(supercb[Qtde],supercb[Item],tab_higiene[[#This Row],[Item]],supercb[Bairro],mercado13)</f>
        <v>13</v>
      </c>
      <c r="AX186" s="1">
        <f>SUMIFS(super1[Qtde],super1[Item],tab_higiene[[#This Row],[Item]],super1[Bairro],mercado14)+SUMIFS(supercb[Qtde],supercb[Item],tab_higiene[[#This Row],[Item]],supercb[Bairro],mercado14)</f>
        <v>0</v>
      </c>
      <c r="AY186" s="1">
        <f>SUMIFS(super1[Qtde],super1[Item],tab_higiene[[#This Row],[Item]],super1[Bairro],mercado15)+SUMIFS(supercb[Qtde],supercb[Item],tab_higiene[[#This Row],[Item]],supercb[Bairro],mercado15)</f>
        <v>0</v>
      </c>
      <c r="AZ186" s="1">
        <f>SUMIFS(super1[Qtde],super1[Item],tab_higiene[[#This Row],[Item]],super1[Bairro],mercado16)+SUMIFS(supercb[Qtde],supercb[Item],tab_higiene[[#This Row],[Item]],supercb[Bairro],mercado16)</f>
        <v>0</v>
      </c>
      <c r="BA186" s="1">
        <f>SUMIFS(super1[Qtde],super1[Item],tab_higiene[[#This Row],[Item]],super1[Bairro],mercado17)+SUMIFS(supercb[Qtde],supercb[Item],tab_higiene[[#This Row],[Item]],supercb[Bairro],mercado17)</f>
        <v>0</v>
      </c>
      <c r="BB186" s="1">
        <f>SUMIFS(super1[Qtde],super1[Item],tab_higiene[[#This Row],[Item]],super1[Bairro],mercado18)+SUMIFS(supercb[Qtde],supercb[Item],tab_higiene[[#This Row],[Item]],supercb[Bairro],mercado18)</f>
        <v>0</v>
      </c>
      <c r="BC186" s="51">
        <f>SUMIFS(super1[Qtde],super1[Item],tab_higiene[[#This Row],[Item]],super1[Bairro],extras)+SUMIFS(supercb[Qtde],supercb[Item],tab_higiene[[#This Row],[Item]],supercb[Bairro],extras)</f>
        <v>0</v>
      </c>
      <c r="BD186" s="8">
        <f t="shared" si="50"/>
        <v>206</v>
      </c>
      <c r="BE186" s="8">
        <f t="shared" si="51"/>
        <v>245.14</v>
      </c>
      <c r="BF186" s="23">
        <f t="shared" si="52"/>
        <v>74.006487078572462</v>
      </c>
    </row>
    <row r="187" spans="9:58" ht="15.75" thickBot="1" x14ac:dyDescent="0.3">
      <c r="I187" s="25" t="str">
        <f>alimentos[[#This Row],[Item]]</f>
        <v>Miojo (500g)</v>
      </c>
      <c r="J187" s="1">
        <f>IFERROR(alimentos[[#This Row],[kg/embalagem]],0)</f>
        <v>0.5</v>
      </c>
      <c r="K187" s="18">
        <f>IFERROR(alimentos[[#This Row],[Preço]],0)</f>
        <v>6.5150000000000006</v>
      </c>
      <c r="L187" s="18">
        <f>SUMIFS(super1[Qtde],super1[Item],tab_alimentos[[#This Row],[Item]],super1[Bairro],mercado1)+SUMIFS(supercb[Qtde],supercb[Item],tab_alimentos[[#This Row],[Item]],supercb[Bairro],mercado1)</f>
        <v>0</v>
      </c>
      <c r="M187" s="18">
        <f>SUMIFS(super1[Qtde],super1[Item],tab_alimentos[[#This Row],[Item]],super1[Bairro],mercado2)+SUMIFS(supercb[Qtde],supercb[Item],tab_alimentos[[#This Row],[Item]],supercb[Bairro],mercado2)</f>
        <v>0</v>
      </c>
      <c r="N187" s="1">
        <f>SUMIFS(super1[Qtde],super1[Item],tab_alimentos[[#This Row],[Item]],super1[Bairro],mercado3)+SUMIFS(supercb[Qtde],supercb[Item],tab_alimentos[[#This Row],[Item]],supercb[Bairro],mercado3)</f>
        <v>0</v>
      </c>
      <c r="O187" s="18">
        <f>SUMIFS(super1[Qtde],super1[Item],tab_alimentos[[#This Row],[Item]],super1[Bairro],mercado4)+SUMIFS(supercb[Qtde],supercb[Item],tab_alimentos[[#This Row],[Item]],supercb[Bairro],mercado4)</f>
        <v>0</v>
      </c>
      <c r="P187" s="18">
        <f>SUMIFS(super1[Qtde],super1[Item],tab_alimentos[[#This Row],[Item]],super1[Bairro],mercado5)+SUMIFS(supercb[Qtde],supercb[Item],tab_alimentos[[#This Row],[Item]],supercb[Bairro],mercado5)</f>
        <v>0</v>
      </c>
      <c r="Q187" s="18">
        <f>SUMIFS(super1[Qtde],super1[Item],tab_alimentos[[#This Row],[Item]],super1[Bairro],mercado6)+SUMIFS(supercb[Qtde],supercb[Item],tab_alimentos[[#This Row],[Item]],supercb[Bairro],mercado6)</f>
        <v>0</v>
      </c>
      <c r="R187" s="18">
        <f>SUMIFS(super1[Qtde],super1[Item],tab_alimentos[[#This Row],[Item]],super1[Bairro],mercado7)+SUMIFS(supercb[Qtde],supercb[Item],tab_alimentos[[#This Row],[Item]],supercb[Bairro],mercado7)</f>
        <v>0</v>
      </c>
      <c r="S187" s="18">
        <f>SUMIFS(super1[Qtde],super1[Item],tab_alimentos[[#This Row],[Item]],super1[Bairro],mercado8)+SUMIFS(supercb[Qtde],supercb[Item],tab_alimentos[[#This Row],[Item]],supercb[Bairro],mercado8)</f>
        <v>0</v>
      </c>
      <c r="T187" s="18">
        <f>SUMIFS(super1[Qtde],super1[Item],tab_alimentos[[#This Row],[Item]],super1[Bairro],mercado9)+SUMIFS(supercb[Qtde],supercb[Item],tab_alimentos[[#This Row],[Item]],supercb[Bairro],mercado9)</f>
        <v>0</v>
      </c>
      <c r="U187" s="18">
        <f>SUMIFS(super1[Qtde],super1[Item],tab_alimentos[[#This Row],[Item]],super1[Bairro],mercado10)+SUMIFS(supercb[Qtde],supercb[Item],tab_alimentos[[#This Row],[Item]],supercb[Bairro],mercado10)</f>
        <v>0</v>
      </c>
      <c r="V187" s="18">
        <f>SUMIFS(super1[Qtde],super1[Item],tab_alimentos[[#This Row],[Item]],super1[Bairro],mercado11)+SUMIFS(supercb[Qtde],supercb[Item],tab_alimentos[[#This Row],[Item]],supercb[Bairro],mercado11)</f>
        <v>0</v>
      </c>
      <c r="W187" s="18">
        <f>SUMIFS(super1[Qtde],super1[Item],tab_alimentos[[#This Row],[Item]],super1[Bairro],mercado12)+SUMIFS(supercb[Qtde],supercb[Item],tab_alimentos[[#This Row],[Item]],supercb[Bairro],mercado12)</f>
        <v>0</v>
      </c>
      <c r="X187" s="18">
        <f>SUMIFS(super1[Qtde],super1[Item],tab_alimentos[[#This Row],[Item]],super1[Bairro],mercado13)+SUMIFS(supercb[Qtde],supercb[Item],tab_alimentos[[#This Row],[Item]],supercb[Bairro],mercado13)</f>
        <v>0</v>
      </c>
      <c r="Y187" s="18">
        <f>SUMIFS(super1[Qtde],super1[Item],tab_alimentos[[#This Row],[Item]],super1[Bairro],mercado14)+SUMIFS(supercb[Qtde],supercb[Item],tab_alimentos[[#This Row],[Item]],supercb[Bairro],mercado14)</f>
        <v>0</v>
      </c>
      <c r="Z187" s="18">
        <f>SUMIFS(super1[Qtde],super1[Item],tab_alimentos[[#This Row],[Item]],super1[Bairro],mercado15)+SUMIFS(supercb[Qtde],supercb[Item],tab_alimentos[[#This Row],[Item]],supercb[Bairro],mercado15)</f>
        <v>0</v>
      </c>
      <c r="AA187" s="18">
        <f>SUMIFS(super1[Qtde],super1[Item],tab_alimentos[[#This Row],[Item]],super1[Bairro],mercado16)+SUMIFS(supercb[Qtde],supercb[Item],tab_alimentos[[#This Row],[Item]],supercb[Bairro],mercado16)</f>
        <v>0</v>
      </c>
      <c r="AB187" s="18">
        <f>SUMIFS(super1[Qtde],super1[Item],tab_alimentos[[#This Row],[Item]],super1[Bairro],mercado17)+SUMIFS(supercb[Qtde],supercb[Item],tab_alimentos[[#This Row],[Item]],supercb[Bairro],mercado17)</f>
        <v>0</v>
      </c>
      <c r="AC187" s="18">
        <f>SUMIFS(super1[Qtde],super1[Item],tab_alimentos[[#This Row],[Item]],super1[Bairro],mercado18)+SUMIFS(supercb[Qtde],supercb[Item],tab_alimentos[[#This Row],[Item]],supercb[Bairro],mercado18)</f>
        <v>0</v>
      </c>
      <c r="AD187" s="18">
        <f>SUMIFS(super1[Qtde],super1[Item],tab_alimentos[[#This Row],[Item]],super1[Bairro],extras)+SUMIFS(supercb[Qtde],supercb[Item],tab_alimentos[[#This Row],[Item]],supercb[Bairro],extras)</f>
        <v>0</v>
      </c>
      <c r="AE187" s="1">
        <f t="shared" si="67"/>
        <v>0</v>
      </c>
      <c r="AF187" s="1">
        <f t="shared" si="68"/>
        <v>0</v>
      </c>
      <c r="AG187" s="26">
        <f t="shared" si="69"/>
        <v>0</v>
      </c>
      <c r="AH187" s="15" t="str">
        <f>higiene[[#This Row],[Item]]</f>
        <v>Sabonete (8un)</v>
      </c>
      <c r="AI187" s="8">
        <f>IFERROR(higiene[[#This Row],[Kg equivalente]],0)</f>
        <v>2.8529056983458831</v>
      </c>
      <c r="AJ187" s="8">
        <f>IFERROR(higiene[[#This Row],[Preço por produto]],0)</f>
        <v>9.4499999999999993</v>
      </c>
      <c r="AK187" s="61">
        <f>SUMIFS(super1[Qtde],super1[Item],tab_higiene[[#This Row],[Item]],super1[Bairro],mercado1)+SUMIFS(supercb[Qtde],supercb[Item],tab_higiene[[#This Row],[Item]],supercb[Bairro],mercado1)</f>
        <v>0</v>
      </c>
      <c r="AL187" s="61">
        <f>SUMIFS(super1[Qtde],super1[Item],tab_higiene[[#This Row],[Item]],super1[Bairro],mercado2)+SUMIFS(supercb[Qtde],supercb[Item],tab_higiene[[#This Row],[Item]],supercb[Bairro],mercado2)</f>
        <v>0</v>
      </c>
      <c r="AM187" s="61">
        <f>SUMIFS(super1[Qtde],super1[Item],tab_higiene[[#This Row],[Item]],super1[Bairro],mercado3)+SUMIFS(supercb[Qtde],supercb[Item],tab_higiene[[#This Row],[Item]],supercb[Bairro],mercado3)</f>
        <v>0</v>
      </c>
      <c r="AN187" s="61">
        <f>SUMIFS(super1[Qtde],super1[Item],tab_higiene[[#This Row],[Item]],super1[Bairro],mercado4)+SUMIFS(supercb[Qtde],supercb[Item],tab_higiene[[#This Row],[Item]],supercb[Bairro],mercado4)</f>
        <v>0</v>
      </c>
      <c r="AO187" s="61">
        <f>SUMIFS(super1[Qtde],super1[Item],tab_higiene[[#This Row],[Item]],super1[Bairro],mercado5)+SUMIFS(supercb[Qtde],supercb[Item],tab_higiene[[#This Row],[Item]],supercb[Bairro],mercado5)</f>
        <v>0</v>
      </c>
      <c r="AP187" s="61">
        <f>SUMIFS(super1[Qtde],super1[Item],tab_higiene[[#This Row],[Item]],super1[Bairro],mercado6)+SUMIFS(supercb[Qtde],supercb[Item],tab_higiene[[#This Row],[Item]],supercb[Bairro],mercado6)</f>
        <v>0</v>
      </c>
      <c r="AQ187" s="61">
        <f>SUMIFS(super1[Qtde],super1[Item],tab_higiene[[#This Row],[Item]],super1[Bairro],mercado7)+SUMIFS(supercb[Qtde],supercb[Item],tab_higiene[[#This Row],[Item]],supercb[Bairro],mercado7)</f>
        <v>0</v>
      </c>
      <c r="AR187" s="61">
        <f>SUMIFS(super1[Qtde],super1[Item],tab_higiene[[#This Row],[Item]],super1[Bairro],mercado8)+SUMIFS(supercb[Qtde],supercb[Item],tab_higiene[[#This Row],[Item]],supercb[Bairro],mercado8)</f>
        <v>0</v>
      </c>
      <c r="AS187" s="61">
        <f>SUMIFS(super1[Qtde],super1[Item],tab_higiene[[#This Row],[Item]],super1[Bairro],mercado9)+SUMIFS(supercb[Qtde],supercb[Item],tab_higiene[[#This Row],[Item]],supercb[Bairro],mercado9)</f>
        <v>0</v>
      </c>
      <c r="AT187" s="61">
        <f>SUMIFS(super1[Qtde],super1[Item],tab_higiene[[#This Row],[Item]],super1[Bairro],mercado10)+SUMIFS(supercb[Qtde],supercb[Item],tab_higiene[[#This Row],[Item]],supercb[Bairro],mercado10)</f>
        <v>1</v>
      </c>
      <c r="AU187" s="61">
        <f>SUMIFS(super1[Qtde],super1[Item],tab_higiene[[#This Row],[Item]],super1[Bairro],mercado11)+SUMIFS(supercb[Qtde],supercb[Item],tab_higiene[[#This Row],[Item]],supercb[Bairro],mercado11)</f>
        <v>0</v>
      </c>
      <c r="AV187" s="61">
        <f>SUMIFS(super1[Qtde],super1[Item],tab_higiene[[#This Row],[Item]],super1[Bairro],mercado12)+SUMIFS(supercb[Qtde],supercb[Item],tab_higiene[[#This Row],[Item]],supercb[Bairro],mercado12)</f>
        <v>0</v>
      </c>
      <c r="AW187" s="61">
        <f>SUMIFS(super1[Qtde],super1[Item],tab_higiene[[#This Row],[Item]],super1[Bairro],mercado13)+SUMIFS(supercb[Qtde],supercb[Item],tab_higiene[[#This Row],[Item]],supercb[Bairro],mercado13)</f>
        <v>0</v>
      </c>
      <c r="AX187" s="61">
        <f>SUMIFS(super1[Qtde],super1[Item],tab_higiene[[#This Row],[Item]],super1[Bairro],mercado14)+SUMIFS(supercb[Qtde],supercb[Item],tab_higiene[[#This Row],[Item]],supercb[Bairro],mercado14)</f>
        <v>0</v>
      </c>
      <c r="AY187" s="61">
        <f>SUMIFS(super1[Qtde],super1[Item],tab_higiene[[#This Row],[Item]],super1[Bairro],mercado15)+SUMIFS(supercb[Qtde],supercb[Item],tab_higiene[[#This Row],[Item]],supercb[Bairro],mercado15)</f>
        <v>0</v>
      </c>
      <c r="AZ187" s="61">
        <f>SUMIFS(super1[Qtde],super1[Item],tab_higiene[[#This Row],[Item]],super1[Bairro],mercado16)+SUMIFS(supercb[Qtde],supercb[Item],tab_higiene[[#This Row],[Item]],supercb[Bairro],mercado16)</f>
        <v>0</v>
      </c>
      <c r="BA187" s="61">
        <f>SUMIFS(super1[Qtde],super1[Item],tab_higiene[[#This Row],[Item]],super1[Bairro],mercado17)+SUMIFS(supercb[Qtde],supercb[Item],tab_higiene[[#This Row],[Item]],supercb[Bairro],mercado17)</f>
        <v>0</v>
      </c>
      <c r="BB187" s="61">
        <f>SUMIFS(super1[Qtde],super1[Item],tab_higiene[[#This Row],[Item]],super1[Bairro],mercado18)+SUMIFS(supercb[Qtde],supercb[Item],tab_higiene[[#This Row],[Item]],supercb[Bairro],mercado18)</f>
        <v>0</v>
      </c>
      <c r="BC187" s="51">
        <f>SUMIFS(super1[Qtde],super1[Item],tab_higiene[[#This Row],[Item]],super1[Bairro],extras)+SUMIFS(supercb[Qtde],supercb[Item],tab_higiene[[#This Row],[Item]],supercb[Bairro],extras)</f>
        <v>0</v>
      </c>
      <c r="BD187" s="8">
        <f t="shared" ref="BD187:BD215" si="76">SUM(AK187:BB187)</f>
        <v>1</v>
      </c>
      <c r="BE187" s="8">
        <f t="shared" ref="BE187:BE215" si="77">IFERROR(BD187*AJ187,0)</f>
        <v>9.4499999999999993</v>
      </c>
      <c r="BF187" s="23">
        <f t="shared" ref="BF187:BF215" si="78">IFERROR(AI187*BD187,0)</f>
        <v>2.8529056983458831</v>
      </c>
    </row>
    <row r="188" spans="9:58" ht="15.75" thickBot="1" x14ac:dyDescent="0.3">
      <c r="I188" s="25" t="str">
        <f>alimentos[[#This Row],[Item]]</f>
        <v>Miojo (80g)</v>
      </c>
      <c r="J188" s="1">
        <f>IFERROR(alimentos[[#This Row],[kg/embalagem]],0)</f>
        <v>0.08</v>
      </c>
      <c r="K188" s="18">
        <f>IFERROR(alimentos[[#This Row],[Preço]],0)</f>
        <v>1.1833333333333333</v>
      </c>
      <c r="L188" s="18">
        <f>SUMIFS(super1[Qtde],super1[Item],tab_alimentos[[#This Row],[Item]],super1[Bairro],mercado1)+SUMIFS(supercb[Qtde],supercb[Item],tab_alimentos[[#This Row],[Item]],supercb[Bairro],mercado1)</f>
        <v>0</v>
      </c>
      <c r="M188" s="18">
        <f>SUMIFS(super1[Qtde],super1[Item],tab_alimentos[[#This Row],[Item]],super1[Bairro],mercado2)+SUMIFS(supercb[Qtde],supercb[Item],tab_alimentos[[#This Row],[Item]],supercb[Bairro],mercado2)</f>
        <v>0</v>
      </c>
      <c r="N188" s="1">
        <f>SUMIFS(super1[Qtde],super1[Item],tab_alimentos[[#This Row],[Item]],super1[Bairro],mercado3)+SUMIFS(supercb[Qtde],supercb[Item],tab_alimentos[[#This Row],[Item]],supercb[Bairro],mercado3)</f>
        <v>0</v>
      </c>
      <c r="O188" s="18">
        <f>SUMIFS(super1[Qtde],super1[Item],tab_alimentos[[#This Row],[Item]],super1[Bairro],mercado4)+SUMIFS(supercb[Qtde],supercb[Item],tab_alimentos[[#This Row],[Item]],supercb[Bairro],mercado4)</f>
        <v>1</v>
      </c>
      <c r="P188" s="18">
        <f>SUMIFS(super1[Qtde],super1[Item],tab_alimentos[[#This Row],[Item]],super1[Bairro],mercado5)+SUMIFS(supercb[Qtde],supercb[Item],tab_alimentos[[#This Row],[Item]],supercb[Bairro],mercado5)</f>
        <v>4</v>
      </c>
      <c r="Q188" s="18">
        <f>SUMIFS(super1[Qtde],super1[Item],tab_alimentos[[#This Row],[Item]],super1[Bairro],mercado6)+SUMIFS(supercb[Qtde],supercb[Item],tab_alimentos[[#This Row],[Item]],supercb[Bairro],mercado6)</f>
        <v>6</v>
      </c>
      <c r="R188" s="18">
        <f>SUMIFS(super1[Qtde],super1[Item],tab_alimentos[[#This Row],[Item]],super1[Bairro],mercado7)+SUMIFS(supercb[Qtde],supercb[Item],tab_alimentos[[#This Row],[Item]],supercb[Bairro],mercado7)</f>
        <v>0</v>
      </c>
      <c r="S188" s="18">
        <f>SUMIFS(super1[Qtde],super1[Item],tab_alimentos[[#This Row],[Item]],super1[Bairro],mercado8)+SUMIFS(supercb[Qtde],supercb[Item],tab_alimentos[[#This Row],[Item]],supercb[Bairro],mercado8)</f>
        <v>0</v>
      </c>
      <c r="T188" s="18">
        <f>SUMIFS(super1[Qtde],super1[Item],tab_alimentos[[#This Row],[Item]],super1[Bairro],mercado9)+SUMIFS(supercb[Qtde],supercb[Item],tab_alimentos[[#This Row],[Item]],supercb[Bairro],mercado9)</f>
        <v>1</v>
      </c>
      <c r="U188" s="18">
        <f>SUMIFS(super1[Qtde],super1[Item],tab_alimentos[[#This Row],[Item]],super1[Bairro],mercado10)+SUMIFS(supercb[Qtde],supercb[Item],tab_alimentos[[#This Row],[Item]],supercb[Bairro],mercado10)</f>
        <v>1</v>
      </c>
      <c r="V188" s="18">
        <f>SUMIFS(super1[Qtde],super1[Item],tab_alimentos[[#This Row],[Item]],super1[Bairro],mercado11)+SUMIFS(supercb[Qtde],supercb[Item],tab_alimentos[[#This Row],[Item]],supercb[Bairro],mercado11)</f>
        <v>2</v>
      </c>
      <c r="W188" s="18">
        <f>SUMIFS(super1[Qtde],super1[Item],tab_alimentos[[#This Row],[Item]],super1[Bairro],mercado12)+SUMIFS(supercb[Qtde],supercb[Item],tab_alimentos[[#This Row],[Item]],supercb[Bairro],mercado12)</f>
        <v>0</v>
      </c>
      <c r="X188" s="18">
        <f>SUMIFS(super1[Qtde],super1[Item],tab_alimentos[[#This Row],[Item]],super1[Bairro],mercado13)+SUMIFS(supercb[Qtde],supercb[Item],tab_alimentos[[#This Row],[Item]],supercb[Bairro],mercado13)</f>
        <v>7</v>
      </c>
      <c r="Y188" s="18">
        <f>SUMIFS(super1[Qtde],super1[Item],tab_alimentos[[#This Row],[Item]],super1[Bairro],mercado14)+SUMIFS(supercb[Qtde],supercb[Item],tab_alimentos[[#This Row],[Item]],supercb[Bairro],mercado14)</f>
        <v>0</v>
      </c>
      <c r="Z188" s="18">
        <f>SUMIFS(super1[Qtde],super1[Item],tab_alimentos[[#This Row],[Item]],super1[Bairro],mercado15)+SUMIFS(supercb[Qtde],supercb[Item],tab_alimentos[[#This Row],[Item]],supercb[Bairro],mercado15)</f>
        <v>0</v>
      </c>
      <c r="AA188" s="18">
        <f>SUMIFS(super1[Qtde],super1[Item],tab_alimentos[[#This Row],[Item]],super1[Bairro],mercado16)+SUMIFS(supercb[Qtde],supercb[Item],tab_alimentos[[#This Row],[Item]],supercb[Bairro],mercado16)</f>
        <v>0</v>
      </c>
      <c r="AB188" s="18">
        <f>SUMIFS(super1[Qtde],super1[Item],tab_alimentos[[#This Row],[Item]],super1[Bairro],mercado17)+SUMIFS(supercb[Qtde],supercb[Item],tab_alimentos[[#This Row],[Item]],supercb[Bairro],mercado17)</f>
        <v>0</v>
      </c>
      <c r="AC188" s="18">
        <f>SUMIFS(super1[Qtde],super1[Item],tab_alimentos[[#This Row],[Item]],super1[Bairro],mercado18)+SUMIFS(supercb[Qtde],supercb[Item],tab_alimentos[[#This Row],[Item]],supercb[Bairro],mercado18)</f>
        <v>0</v>
      </c>
      <c r="AD188" s="18">
        <f>SUMIFS(super1[Qtde],super1[Item],tab_alimentos[[#This Row],[Item]],super1[Bairro],extras)+SUMIFS(supercb[Qtde],supercb[Item],tab_alimentos[[#This Row],[Item]],supercb[Bairro],extras)</f>
        <v>0</v>
      </c>
      <c r="AE188" s="1">
        <f t="shared" si="67"/>
        <v>22</v>
      </c>
      <c r="AF188" s="1">
        <f t="shared" si="68"/>
        <v>26.033333333333335</v>
      </c>
      <c r="AG188" s="26">
        <f t="shared" si="69"/>
        <v>1.76</v>
      </c>
      <c r="AH188" s="15" t="str">
        <f>higiene[[#This Row],[Item]]</f>
        <v>Sabonete 85g</v>
      </c>
      <c r="AI188" s="8">
        <f>IFERROR(higiene[[#This Row],[Kg equivalente]],0)</f>
        <v>0.89662750519442047</v>
      </c>
      <c r="AJ188" s="8">
        <f>IFERROR(higiene[[#This Row],[Preço por produto]],0)</f>
        <v>2.97</v>
      </c>
      <c r="AK188" s="61">
        <f>SUMIFS(super1[Qtde],super1[Item],tab_higiene[[#This Row],[Item]],super1[Bairro],mercado1)+SUMIFS(supercb[Qtde],supercb[Item],tab_higiene[[#This Row],[Item]],supercb[Bairro],mercado1)</f>
        <v>0</v>
      </c>
      <c r="AL188" s="61">
        <f>SUMIFS(super1[Qtde],super1[Item],tab_higiene[[#This Row],[Item]],super1[Bairro],mercado2)+SUMIFS(supercb[Qtde],supercb[Item],tab_higiene[[#This Row],[Item]],supercb[Bairro],mercado2)</f>
        <v>0</v>
      </c>
      <c r="AM188" s="61">
        <f>SUMIFS(super1[Qtde],super1[Item],tab_higiene[[#This Row],[Item]],super1[Bairro],mercado3)+SUMIFS(supercb[Qtde],supercb[Item],tab_higiene[[#This Row],[Item]],supercb[Bairro],mercado3)</f>
        <v>0</v>
      </c>
      <c r="AN188" s="61">
        <f>SUMIFS(super1[Qtde],super1[Item],tab_higiene[[#This Row],[Item]],super1[Bairro],mercado4)+SUMIFS(supercb[Qtde],supercb[Item],tab_higiene[[#This Row],[Item]],supercb[Bairro],mercado4)</f>
        <v>0</v>
      </c>
      <c r="AO188" s="61">
        <f>SUMIFS(super1[Qtde],super1[Item],tab_higiene[[#This Row],[Item]],super1[Bairro],mercado5)+SUMIFS(supercb[Qtde],supercb[Item],tab_higiene[[#This Row],[Item]],supercb[Bairro],mercado5)</f>
        <v>0</v>
      </c>
      <c r="AP188" s="61">
        <f>SUMIFS(super1[Qtde],super1[Item],tab_higiene[[#This Row],[Item]],super1[Bairro],mercado6)+SUMIFS(supercb[Qtde],supercb[Item],tab_higiene[[#This Row],[Item]],supercb[Bairro],mercado6)</f>
        <v>0</v>
      </c>
      <c r="AQ188" s="61">
        <f>SUMIFS(super1[Qtde],super1[Item],tab_higiene[[#This Row],[Item]],super1[Bairro],mercado7)+SUMIFS(supercb[Qtde],supercb[Item],tab_higiene[[#This Row],[Item]],supercb[Bairro],mercado7)</f>
        <v>0</v>
      </c>
      <c r="AR188" s="61">
        <f>SUMIFS(super1[Qtde],super1[Item],tab_higiene[[#This Row],[Item]],super1[Bairro],mercado8)+SUMIFS(supercb[Qtde],supercb[Item],tab_higiene[[#This Row],[Item]],supercb[Bairro],mercado8)</f>
        <v>0</v>
      </c>
      <c r="AS188" s="61">
        <f>SUMIFS(super1[Qtde],super1[Item],tab_higiene[[#This Row],[Item]],super1[Bairro],mercado9)+SUMIFS(supercb[Qtde],supercb[Item],tab_higiene[[#This Row],[Item]],supercb[Bairro],mercado9)</f>
        <v>0</v>
      </c>
      <c r="AT188" s="61">
        <f>SUMIFS(super1[Qtde],super1[Item],tab_higiene[[#This Row],[Item]],super1[Bairro],mercado10)+SUMIFS(supercb[Qtde],supercb[Item],tab_higiene[[#This Row],[Item]],supercb[Bairro],mercado10)</f>
        <v>0</v>
      </c>
      <c r="AU188" s="61">
        <f>SUMIFS(super1[Qtde],super1[Item],tab_higiene[[#This Row],[Item]],super1[Bairro],mercado11)+SUMIFS(supercb[Qtde],supercb[Item],tab_higiene[[#This Row],[Item]],supercb[Bairro],mercado11)</f>
        <v>0</v>
      </c>
      <c r="AV188" s="61">
        <f>SUMIFS(super1[Qtde],super1[Item],tab_higiene[[#This Row],[Item]],super1[Bairro],mercado12)+SUMIFS(supercb[Qtde],supercb[Item],tab_higiene[[#This Row],[Item]],supercb[Bairro],mercado12)</f>
        <v>0</v>
      </c>
      <c r="AW188" s="61">
        <f>SUMIFS(super1[Qtde],super1[Item],tab_higiene[[#This Row],[Item]],super1[Bairro],mercado13)+SUMIFS(supercb[Qtde],supercb[Item],tab_higiene[[#This Row],[Item]],supercb[Bairro],mercado13)</f>
        <v>0</v>
      </c>
      <c r="AX188" s="61">
        <f>SUMIFS(super1[Qtde],super1[Item],tab_higiene[[#This Row],[Item]],super1[Bairro],mercado14)+SUMIFS(supercb[Qtde],supercb[Item],tab_higiene[[#This Row],[Item]],supercb[Bairro],mercado14)</f>
        <v>0</v>
      </c>
      <c r="AY188" s="61">
        <f>SUMIFS(super1[Qtde],super1[Item],tab_higiene[[#This Row],[Item]],super1[Bairro],mercado15)+SUMIFS(supercb[Qtde],supercb[Item],tab_higiene[[#This Row],[Item]],supercb[Bairro],mercado15)</f>
        <v>0</v>
      </c>
      <c r="AZ188" s="61">
        <f>SUMIFS(super1[Qtde],super1[Item],tab_higiene[[#This Row],[Item]],super1[Bairro],mercado16)+SUMIFS(supercb[Qtde],supercb[Item],tab_higiene[[#This Row],[Item]],supercb[Bairro],mercado16)</f>
        <v>0</v>
      </c>
      <c r="BA188" s="61">
        <f>SUMIFS(super1[Qtde],super1[Item],tab_higiene[[#This Row],[Item]],super1[Bairro],mercado17)+SUMIFS(supercb[Qtde],supercb[Item],tab_higiene[[#This Row],[Item]],supercb[Bairro],mercado17)</f>
        <v>0</v>
      </c>
      <c r="BB188" s="61">
        <f>SUMIFS(super1[Qtde],super1[Item],tab_higiene[[#This Row],[Item]],super1[Bairro],mercado18)+SUMIFS(supercb[Qtde],supercb[Item],tab_higiene[[#This Row],[Item]],supercb[Bairro],mercado18)</f>
        <v>0</v>
      </c>
      <c r="BC188" s="51">
        <f>SUMIFS(super1[Qtde],super1[Item],tab_higiene[[#This Row],[Item]],super1[Bairro],extras)+SUMIFS(supercb[Qtde],supercb[Item],tab_higiene[[#This Row],[Item]],supercb[Bairro],extras)</f>
        <v>0</v>
      </c>
      <c r="BD188" s="8">
        <f t="shared" si="76"/>
        <v>0</v>
      </c>
      <c r="BE188" s="8">
        <f t="shared" si="77"/>
        <v>0</v>
      </c>
      <c r="BF188" s="23">
        <f t="shared" si="78"/>
        <v>0</v>
      </c>
    </row>
    <row r="189" spans="9:58" ht="15.75" thickBot="1" x14ac:dyDescent="0.3">
      <c r="I189" s="25" t="str">
        <f>alimentos[[#This Row],[Item]]</f>
        <v>Mistura de Bolo</v>
      </c>
      <c r="J189" s="1">
        <f>IFERROR(alimentos[[#This Row],[kg/embalagem]],0)</f>
        <v>0.45</v>
      </c>
      <c r="K189" s="18">
        <f>IFERROR(alimentos[[#This Row],[Preço]],0)</f>
        <v>3.9300000000000006</v>
      </c>
      <c r="L189" s="18">
        <f>SUMIFS(super1[Qtde],super1[Item],tab_alimentos[[#This Row],[Item]],super1[Bairro],mercado1)+SUMIFS(supercb[Qtde],supercb[Item],tab_alimentos[[#This Row],[Item]],supercb[Bairro],mercado1)</f>
        <v>0</v>
      </c>
      <c r="M189" s="18">
        <f>SUMIFS(super1[Qtde],super1[Item],tab_alimentos[[#This Row],[Item]],super1[Bairro],mercado2)+SUMIFS(supercb[Qtde],supercb[Item],tab_alimentos[[#This Row],[Item]],supercb[Bairro],mercado2)</f>
        <v>0</v>
      </c>
      <c r="N189" s="1">
        <f>SUMIFS(super1[Qtde],super1[Item],tab_alimentos[[#This Row],[Item]],super1[Bairro],mercado3)+SUMIFS(supercb[Qtde],supercb[Item],tab_alimentos[[#This Row],[Item]],supercb[Bairro],mercado3)</f>
        <v>0</v>
      </c>
      <c r="O189" s="18">
        <f>SUMIFS(super1[Qtde],super1[Item],tab_alimentos[[#This Row],[Item]],super1[Bairro],mercado4)+SUMIFS(supercb[Qtde],supercb[Item],tab_alimentos[[#This Row],[Item]],supercb[Bairro],mercado4)</f>
        <v>0</v>
      </c>
      <c r="P189" s="18">
        <f>SUMIFS(super1[Qtde],super1[Item],tab_alimentos[[#This Row],[Item]],super1[Bairro],mercado5)+SUMIFS(supercb[Qtde],supercb[Item],tab_alimentos[[#This Row],[Item]],supercb[Bairro],mercado5)</f>
        <v>0</v>
      </c>
      <c r="Q189" s="18">
        <f>SUMIFS(super1[Qtde],super1[Item],tab_alimentos[[#This Row],[Item]],super1[Bairro],mercado6)+SUMIFS(supercb[Qtde],supercb[Item],tab_alimentos[[#This Row],[Item]],supercb[Bairro],mercado6)</f>
        <v>0</v>
      </c>
      <c r="R189" s="18">
        <f>SUMIFS(super1[Qtde],super1[Item],tab_alimentos[[#This Row],[Item]],super1[Bairro],mercado7)+SUMIFS(supercb[Qtde],supercb[Item],tab_alimentos[[#This Row],[Item]],supercb[Bairro],mercado7)</f>
        <v>0</v>
      </c>
      <c r="S189" s="18">
        <f>SUMIFS(super1[Qtde],super1[Item],tab_alimentos[[#This Row],[Item]],super1[Bairro],mercado8)+SUMIFS(supercb[Qtde],supercb[Item],tab_alimentos[[#This Row],[Item]],supercb[Bairro],mercado8)</f>
        <v>0</v>
      </c>
      <c r="T189" s="18">
        <f>SUMIFS(super1[Qtde],super1[Item],tab_alimentos[[#This Row],[Item]],super1[Bairro],mercado9)+SUMIFS(supercb[Qtde],supercb[Item],tab_alimentos[[#This Row],[Item]],supercb[Bairro],mercado9)</f>
        <v>0</v>
      </c>
      <c r="U189" s="18">
        <f>SUMIFS(super1[Qtde],super1[Item],tab_alimentos[[#This Row],[Item]],super1[Bairro],mercado10)+SUMIFS(supercb[Qtde],supercb[Item],tab_alimentos[[#This Row],[Item]],supercb[Bairro],mercado10)</f>
        <v>1</v>
      </c>
      <c r="V189" s="18">
        <f>SUMIFS(super1[Qtde],super1[Item],tab_alimentos[[#This Row],[Item]],super1[Bairro],mercado11)+SUMIFS(supercb[Qtde],supercb[Item],tab_alimentos[[#This Row],[Item]],supercb[Bairro],mercado11)</f>
        <v>0</v>
      </c>
      <c r="W189" s="18">
        <f>SUMIFS(super1[Qtde],super1[Item],tab_alimentos[[#This Row],[Item]],super1[Bairro],mercado12)+SUMIFS(supercb[Qtde],supercb[Item],tab_alimentos[[#This Row],[Item]],supercb[Bairro],mercado12)</f>
        <v>0</v>
      </c>
      <c r="X189" s="18">
        <f>SUMIFS(super1[Qtde],super1[Item],tab_alimentos[[#This Row],[Item]],super1[Bairro],mercado13)+SUMIFS(supercb[Qtde],supercb[Item],tab_alimentos[[#This Row],[Item]],supercb[Bairro],mercado13)</f>
        <v>0</v>
      </c>
      <c r="Y189" s="18">
        <f>SUMIFS(super1[Qtde],super1[Item],tab_alimentos[[#This Row],[Item]],super1[Bairro],mercado14)+SUMIFS(supercb[Qtde],supercb[Item],tab_alimentos[[#This Row],[Item]],supercb[Bairro],mercado14)</f>
        <v>0</v>
      </c>
      <c r="Z189" s="18">
        <f>SUMIFS(super1[Qtde],super1[Item],tab_alimentos[[#This Row],[Item]],super1[Bairro],mercado15)+SUMIFS(supercb[Qtde],supercb[Item],tab_alimentos[[#This Row],[Item]],supercb[Bairro],mercado15)</f>
        <v>0</v>
      </c>
      <c r="AA189" s="18">
        <f>SUMIFS(super1[Qtde],super1[Item],tab_alimentos[[#This Row],[Item]],super1[Bairro],mercado16)+SUMIFS(supercb[Qtde],supercb[Item],tab_alimentos[[#This Row],[Item]],supercb[Bairro],mercado16)</f>
        <v>0</v>
      </c>
      <c r="AB189" s="18">
        <f>SUMIFS(super1[Qtde],super1[Item],tab_alimentos[[#This Row],[Item]],super1[Bairro],mercado17)+SUMIFS(supercb[Qtde],supercb[Item],tab_alimentos[[#This Row],[Item]],supercb[Bairro],mercado17)</f>
        <v>0</v>
      </c>
      <c r="AC189" s="18">
        <f>SUMIFS(super1[Qtde],super1[Item],tab_alimentos[[#This Row],[Item]],super1[Bairro],mercado18)+SUMIFS(supercb[Qtde],supercb[Item],tab_alimentos[[#This Row],[Item]],supercb[Bairro],mercado18)</f>
        <v>0</v>
      </c>
      <c r="AD189" s="18">
        <f>SUMIFS(super1[Qtde],super1[Item],tab_alimentos[[#This Row],[Item]],super1[Bairro],extras)+SUMIFS(supercb[Qtde],supercb[Item],tab_alimentos[[#This Row],[Item]],supercb[Bairro],extras)</f>
        <v>0</v>
      </c>
      <c r="AE189" s="1">
        <f t="shared" si="67"/>
        <v>1</v>
      </c>
      <c r="AF189" s="1">
        <f t="shared" si="68"/>
        <v>3.9300000000000006</v>
      </c>
      <c r="AG189" s="26">
        <f t="shared" si="69"/>
        <v>0.45</v>
      </c>
      <c r="AH189" s="15" t="str">
        <f>higiene[[#This Row],[Item]]</f>
        <v>Sabonete Líquido (250ml)</v>
      </c>
      <c r="AI189" s="8">
        <f>IFERROR(higiene[[#This Row],[Kg equivalente]],0)</f>
        <v>1.9779139859255144</v>
      </c>
      <c r="AJ189" s="8">
        <f>IFERROR(higiene[[#This Row],[Preço por produto]],0)</f>
        <v>6.5516666666666667</v>
      </c>
      <c r="AK189" s="61">
        <f>SUMIFS(super1[Qtde],super1[Item],tab_higiene[[#This Row],[Item]],super1[Bairro],mercado1)+SUMIFS(supercb[Qtde],supercb[Item],tab_higiene[[#This Row],[Item]],supercb[Bairro],mercado1)</f>
        <v>0</v>
      </c>
      <c r="AL189" s="61">
        <f>SUMIFS(super1[Qtde],super1[Item],tab_higiene[[#This Row],[Item]],super1[Bairro],mercado2)+SUMIFS(supercb[Qtde],supercb[Item],tab_higiene[[#This Row],[Item]],supercb[Bairro],mercado2)</f>
        <v>0</v>
      </c>
      <c r="AM189" s="61">
        <f>SUMIFS(super1[Qtde],super1[Item],tab_higiene[[#This Row],[Item]],super1[Bairro],mercado3)+SUMIFS(supercb[Qtde],supercb[Item],tab_higiene[[#This Row],[Item]],supercb[Bairro],mercado3)</f>
        <v>0</v>
      </c>
      <c r="AN189" s="61">
        <f>SUMIFS(super1[Qtde],super1[Item],tab_higiene[[#This Row],[Item]],super1[Bairro],mercado4)+SUMIFS(supercb[Qtde],supercb[Item],tab_higiene[[#This Row],[Item]],supercb[Bairro],mercado4)</f>
        <v>0</v>
      </c>
      <c r="AO189" s="61">
        <f>SUMIFS(super1[Qtde],super1[Item],tab_higiene[[#This Row],[Item]],super1[Bairro],mercado5)+SUMIFS(supercb[Qtde],supercb[Item],tab_higiene[[#This Row],[Item]],supercb[Bairro],mercado5)</f>
        <v>0</v>
      </c>
      <c r="AP189" s="61">
        <f>SUMIFS(super1[Qtde],super1[Item],tab_higiene[[#This Row],[Item]],super1[Bairro],mercado6)+SUMIFS(supercb[Qtde],supercb[Item],tab_higiene[[#This Row],[Item]],supercb[Bairro],mercado6)</f>
        <v>0</v>
      </c>
      <c r="AQ189" s="61">
        <f>SUMIFS(super1[Qtde],super1[Item],tab_higiene[[#This Row],[Item]],super1[Bairro],mercado7)+SUMIFS(supercb[Qtde],supercb[Item],tab_higiene[[#This Row],[Item]],supercb[Bairro],mercado7)</f>
        <v>0</v>
      </c>
      <c r="AR189" s="61">
        <f>SUMIFS(super1[Qtde],super1[Item],tab_higiene[[#This Row],[Item]],super1[Bairro],mercado8)+SUMIFS(supercb[Qtde],supercb[Item],tab_higiene[[#This Row],[Item]],supercb[Bairro],mercado8)</f>
        <v>0</v>
      </c>
      <c r="AS189" s="61">
        <f>SUMIFS(super1[Qtde],super1[Item],tab_higiene[[#This Row],[Item]],super1[Bairro],mercado9)+SUMIFS(supercb[Qtde],supercb[Item],tab_higiene[[#This Row],[Item]],supercb[Bairro],mercado9)</f>
        <v>0</v>
      </c>
      <c r="AT189" s="61">
        <f>SUMIFS(super1[Qtde],super1[Item],tab_higiene[[#This Row],[Item]],super1[Bairro],mercado10)+SUMIFS(supercb[Qtde],supercb[Item],tab_higiene[[#This Row],[Item]],supercb[Bairro],mercado10)</f>
        <v>0</v>
      </c>
      <c r="AU189" s="61">
        <f>SUMIFS(super1[Qtde],super1[Item],tab_higiene[[#This Row],[Item]],super1[Bairro],mercado11)+SUMIFS(supercb[Qtde],supercb[Item],tab_higiene[[#This Row],[Item]],supercb[Bairro],mercado11)</f>
        <v>0</v>
      </c>
      <c r="AV189" s="61">
        <f>SUMIFS(super1[Qtde],super1[Item],tab_higiene[[#This Row],[Item]],super1[Bairro],mercado12)+SUMIFS(supercb[Qtde],supercb[Item],tab_higiene[[#This Row],[Item]],supercb[Bairro],mercado12)</f>
        <v>0</v>
      </c>
      <c r="AW189" s="61">
        <f>SUMIFS(super1[Qtde],super1[Item],tab_higiene[[#This Row],[Item]],super1[Bairro],mercado13)+SUMIFS(supercb[Qtde],supercb[Item],tab_higiene[[#This Row],[Item]],supercb[Bairro],mercado13)</f>
        <v>1</v>
      </c>
      <c r="AX189" s="61">
        <f>SUMIFS(super1[Qtde],super1[Item],tab_higiene[[#This Row],[Item]],super1[Bairro],mercado14)+SUMIFS(supercb[Qtde],supercb[Item],tab_higiene[[#This Row],[Item]],supercb[Bairro],mercado14)</f>
        <v>0</v>
      </c>
      <c r="AY189" s="61">
        <f>SUMIFS(super1[Qtde],super1[Item],tab_higiene[[#This Row],[Item]],super1[Bairro],mercado15)+SUMIFS(supercb[Qtde],supercb[Item],tab_higiene[[#This Row],[Item]],supercb[Bairro],mercado15)</f>
        <v>0</v>
      </c>
      <c r="AZ189" s="61">
        <f>SUMIFS(super1[Qtde],super1[Item],tab_higiene[[#This Row],[Item]],super1[Bairro],mercado16)+SUMIFS(supercb[Qtde],supercb[Item],tab_higiene[[#This Row],[Item]],supercb[Bairro],mercado16)</f>
        <v>0</v>
      </c>
      <c r="BA189" s="61">
        <f>SUMIFS(super1[Qtde],super1[Item],tab_higiene[[#This Row],[Item]],super1[Bairro],mercado17)+SUMIFS(supercb[Qtde],supercb[Item],tab_higiene[[#This Row],[Item]],supercb[Bairro],mercado17)</f>
        <v>0</v>
      </c>
      <c r="BB189" s="61">
        <f>SUMIFS(super1[Qtde],super1[Item],tab_higiene[[#This Row],[Item]],super1[Bairro],mercado18)+SUMIFS(supercb[Qtde],supercb[Item],tab_higiene[[#This Row],[Item]],supercb[Bairro],mercado18)</f>
        <v>0</v>
      </c>
      <c r="BC189" s="51">
        <f>SUMIFS(super1[Qtde],super1[Item],tab_higiene[[#This Row],[Item]],super1[Bairro],extras)+SUMIFS(supercb[Qtde],supercb[Item],tab_higiene[[#This Row],[Item]],supercb[Bairro],extras)</f>
        <v>0</v>
      </c>
      <c r="BD189" s="8">
        <f t="shared" si="76"/>
        <v>1</v>
      </c>
      <c r="BE189" s="8">
        <f t="shared" si="77"/>
        <v>6.5516666666666667</v>
      </c>
      <c r="BF189" s="23">
        <f t="shared" si="78"/>
        <v>1.9779139859255144</v>
      </c>
    </row>
    <row r="190" spans="9:58" ht="15.75" thickBot="1" x14ac:dyDescent="0.3">
      <c r="I190" s="25" t="str">
        <f>alimentos[[#This Row],[Item]]</f>
        <v>Molho de tomate (130g)</v>
      </c>
      <c r="J190" s="1">
        <f>IFERROR(alimentos[[#This Row],[kg/embalagem]],0)</f>
        <v>0.13</v>
      </c>
      <c r="K190" s="18">
        <f>IFERROR(alimentos[[#This Row],[Preço]],0)</f>
        <v>1.25</v>
      </c>
      <c r="L190" s="18">
        <f>SUMIFS(super1[Qtde],super1[Item],tab_alimentos[[#This Row],[Item]],super1[Bairro],mercado1)+SUMIFS(supercb[Qtde],supercb[Item],tab_alimentos[[#This Row],[Item]],supercb[Bairro],mercado1)</f>
        <v>0</v>
      </c>
      <c r="M190" s="18">
        <f>SUMIFS(super1[Qtde],super1[Item],tab_alimentos[[#This Row],[Item]],super1[Bairro],mercado2)+SUMIFS(supercb[Qtde],supercb[Item],tab_alimentos[[#This Row],[Item]],supercb[Bairro],mercado2)</f>
        <v>0</v>
      </c>
      <c r="N190" s="1">
        <f>SUMIFS(super1[Qtde],super1[Item],tab_alimentos[[#This Row],[Item]],super1[Bairro],mercado3)+SUMIFS(supercb[Qtde],supercb[Item],tab_alimentos[[#This Row],[Item]],supercb[Bairro],mercado3)</f>
        <v>1</v>
      </c>
      <c r="O190" s="18">
        <f>SUMIFS(super1[Qtde],super1[Item],tab_alimentos[[#This Row],[Item]],super1[Bairro],mercado4)+SUMIFS(supercb[Qtde],supercb[Item],tab_alimentos[[#This Row],[Item]],supercb[Bairro],mercado4)</f>
        <v>0</v>
      </c>
      <c r="P190" s="18">
        <f>SUMIFS(super1[Qtde],super1[Item],tab_alimentos[[#This Row],[Item]],super1[Bairro],mercado5)+SUMIFS(supercb[Qtde],supercb[Item],tab_alimentos[[#This Row],[Item]],supercb[Bairro],mercado5)</f>
        <v>1</v>
      </c>
      <c r="Q190" s="18">
        <f>SUMIFS(super1[Qtde],super1[Item],tab_alimentos[[#This Row],[Item]],super1[Bairro],mercado6)+SUMIFS(supercb[Qtde],supercb[Item],tab_alimentos[[#This Row],[Item]],supercb[Bairro],mercado6)</f>
        <v>0</v>
      </c>
      <c r="R190" s="18">
        <f>SUMIFS(super1[Qtde],super1[Item],tab_alimentos[[#This Row],[Item]],super1[Bairro],mercado7)+SUMIFS(supercb[Qtde],supercb[Item],tab_alimentos[[#This Row],[Item]],supercb[Bairro],mercado7)</f>
        <v>0</v>
      </c>
      <c r="S190" s="18">
        <f>SUMIFS(super1[Qtde],super1[Item],tab_alimentos[[#This Row],[Item]],super1[Bairro],mercado8)+SUMIFS(supercb[Qtde],supercb[Item],tab_alimentos[[#This Row],[Item]],supercb[Bairro],mercado8)</f>
        <v>0</v>
      </c>
      <c r="T190" s="18">
        <f>SUMIFS(super1[Qtde],super1[Item],tab_alimentos[[#This Row],[Item]],super1[Bairro],mercado9)+SUMIFS(supercb[Qtde],supercb[Item],tab_alimentos[[#This Row],[Item]],supercb[Bairro],mercado9)</f>
        <v>2</v>
      </c>
      <c r="U190" s="18">
        <f>SUMIFS(super1[Qtde],super1[Item],tab_alimentos[[#This Row],[Item]],super1[Bairro],mercado10)+SUMIFS(supercb[Qtde],supercb[Item],tab_alimentos[[#This Row],[Item]],supercb[Bairro],mercado10)</f>
        <v>0</v>
      </c>
      <c r="V190" s="18">
        <f>SUMIFS(super1[Qtde],super1[Item],tab_alimentos[[#This Row],[Item]],super1[Bairro],mercado11)+SUMIFS(supercb[Qtde],supercb[Item],tab_alimentos[[#This Row],[Item]],supercb[Bairro],mercado11)</f>
        <v>0</v>
      </c>
      <c r="W190" s="18">
        <f>SUMIFS(super1[Qtde],super1[Item],tab_alimentos[[#This Row],[Item]],super1[Bairro],mercado12)+SUMIFS(supercb[Qtde],supercb[Item],tab_alimentos[[#This Row],[Item]],supercb[Bairro],mercado12)</f>
        <v>0</v>
      </c>
      <c r="X190" s="18">
        <f>SUMIFS(super1[Qtde],super1[Item],tab_alimentos[[#This Row],[Item]],super1[Bairro],mercado13)+SUMIFS(supercb[Qtde],supercb[Item],tab_alimentos[[#This Row],[Item]],supercb[Bairro],mercado13)</f>
        <v>2</v>
      </c>
      <c r="Y190" s="18">
        <f>SUMIFS(super1[Qtde],super1[Item],tab_alimentos[[#This Row],[Item]],super1[Bairro],mercado14)+SUMIFS(supercb[Qtde],supercb[Item],tab_alimentos[[#This Row],[Item]],supercb[Bairro],mercado14)</f>
        <v>0</v>
      </c>
      <c r="Z190" s="18">
        <f>SUMIFS(super1[Qtde],super1[Item],tab_alimentos[[#This Row],[Item]],super1[Bairro],mercado15)+SUMIFS(supercb[Qtde],supercb[Item],tab_alimentos[[#This Row],[Item]],supercb[Bairro],mercado15)</f>
        <v>0</v>
      </c>
      <c r="AA190" s="18">
        <f>SUMIFS(super1[Qtde],super1[Item],tab_alimentos[[#This Row],[Item]],super1[Bairro],mercado16)+SUMIFS(supercb[Qtde],supercb[Item],tab_alimentos[[#This Row],[Item]],supercb[Bairro],mercado16)</f>
        <v>0</v>
      </c>
      <c r="AB190" s="18">
        <f>SUMIFS(super1[Qtde],super1[Item],tab_alimentos[[#This Row],[Item]],super1[Bairro],mercado17)+SUMIFS(supercb[Qtde],supercb[Item],tab_alimentos[[#This Row],[Item]],supercb[Bairro],mercado17)</f>
        <v>0</v>
      </c>
      <c r="AC190" s="18">
        <f>SUMIFS(super1[Qtde],super1[Item],tab_alimentos[[#This Row],[Item]],super1[Bairro],mercado18)+SUMIFS(supercb[Qtde],supercb[Item],tab_alimentos[[#This Row],[Item]],supercb[Bairro],mercado18)</f>
        <v>0</v>
      </c>
      <c r="AD190" s="18">
        <f>SUMIFS(super1[Qtde],super1[Item],tab_alimentos[[#This Row],[Item]],super1[Bairro],extras)+SUMIFS(supercb[Qtde],supercb[Item],tab_alimentos[[#This Row],[Item]],supercb[Bairro],extras)</f>
        <v>0</v>
      </c>
      <c r="AE190" s="1">
        <f t="shared" si="67"/>
        <v>6</v>
      </c>
      <c r="AF190" s="1">
        <f t="shared" si="68"/>
        <v>7.5</v>
      </c>
      <c r="AG190" s="26">
        <f t="shared" si="69"/>
        <v>0.78</v>
      </c>
      <c r="AH190" s="15" t="str">
        <f>higiene[[#This Row],[Item]]</f>
        <v>Sabonetes (90g)</v>
      </c>
      <c r="AI190" s="8">
        <f>IFERROR(higiene[[#This Row],[Kg equivalente]],0)</f>
        <v>0.36453795034419617</v>
      </c>
      <c r="AJ190" s="8">
        <f>IFERROR(higiene[[#This Row],[Preço por produto]],0)</f>
        <v>1.2075</v>
      </c>
      <c r="AK190" s="61">
        <f>SUMIFS(super1[Qtde],super1[Item],tab_higiene[[#This Row],[Item]],super1[Bairro],mercado1)+SUMIFS(supercb[Qtde],supercb[Item],tab_higiene[[#This Row],[Item]],supercb[Bairro],mercado1)</f>
        <v>2</v>
      </c>
      <c r="AL190" s="61">
        <f>SUMIFS(super1[Qtde],super1[Item],tab_higiene[[#This Row],[Item]],super1[Bairro],mercado2)+SUMIFS(supercb[Qtde],supercb[Item],tab_higiene[[#This Row],[Item]],supercb[Bairro],mercado2)</f>
        <v>0</v>
      </c>
      <c r="AM190" s="61">
        <f>SUMIFS(super1[Qtde],super1[Item],tab_higiene[[#This Row],[Item]],super1[Bairro],mercado3)+SUMIFS(supercb[Qtde],supercb[Item],tab_higiene[[#This Row],[Item]],supercb[Bairro],mercado3)</f>
        <v>0</v>
      </c>
      <c r="AN190" s="61">
        <f>SUMIFS(super1[Qtde],super1[Item],tab_higiene[[#This Row],[Item]],super1[Bairro],mercado4)+SUMIFS(supercb[Qtde],supercb[Item],tab_higiene[[#This Row],[Item]],supercb[Bairro],mercado4)</f>
        <v>0</v>
      </c>
      <c r="AO190" s="61">
        <f>SUMIFS(super1[Qtde],super1[Item],tab_higiene[[#This Row],[Item]],super1[Bairro],mercado5)+SUMIFS(supercb[Qtde],supercb[Item],tab_higiene[[#This Row],[Item]],supercb[Bairro],mercado5)</f>
        <v>12</v>
      </c>
      <c r="AP190" s="61">
        <f>SUMIFS(super1[Qtde],super1[Item],tab_higiene[[#This Row],[Item]],super1[Bairro],mercado6)+SUMIFS(supercb[Qtde],supercb[Item],tab_higiene[[#This Row],[Item]],supercb[Bairro],mercado6)</f>
        <v>42</v>
      </c>
      <c r="AQ190" s="61">
        <f>SUMIFS(super1[Qtde],super1[Item],tab_higiene[[#This Row],[Item]],super1[Bairro],mercado7)+SUMIFS(supercb[Qtde],supercb[Item],tab_higiene[[#This Row],[Item]],supercb[Bairro],mercado7)</f>
        <v>4</v>
      </c>
      <c r="AR190" s="61">
        <f>SUMIFS(super1[Qtde],super1[Item],tab_higiene[[#This Row],[Item]],super1[Bairro],mercado8)+SUMIFS(supercb[Qtde],supercb[Item],tab_higiene[[#This Row],[Item]],supercb[Bairro],mercado8)</f>
        <v>19</v>
      </c>
      <c r="AS190" s="61">
        <f>SUMIFS(super1[Qtde],super1[Item],tab_higiene[[#This Row],[Item]],super1[Bairro],mercado9)+SUMIFS(supercb[Qtde],supercb[Item],tab_higiene[[#This Row],[Item]],supercb[Bairro],mercado9)</f>
        <v>24</v>
      </c>
      <c r="AT190" s="61">
        <f>SUMIFS(super1[Qtde],super1[Item],tab_higiene[[#This Row],[Item]],super1[Bairro],mercado10)+SUMIFS(supercb[Qtde],supercb[Item],tab_higiene[[#This Row],[Item]],supercb[Bairro],mercado10)</f>
        <v>11</v>
      </c>
      <c r="AU190" s="61">
        <f>SUMIFS(super1[Qtde],super1[Item],tab_higiene[[#This Row],[Item]],super1[Bairro],mercado11)+SUMIFS(supercb[Qtde],supercb[Item],tab_higiene[[#This Row],[Item]],supercb[Bairro],mercado11)</f>
        <v>10</v>
      </c>
      <c r="AV190" s="61">
        <f>SUMIFS(super1[Qtde],super1[Item],tab_higiene[[#This Row],[Item]],super1[Bairro],mercado12)+SUMIFS(supercb[Qtde],supercb[Item],tab_higiene[[#This Row],[Item]],supercb[Bairro],mercado12)</f>
        <v>0</v>
      </c>
      <c r="AW190" s="61">
        <f>SUMIFS(super1[Qtde],super1[Item],tab_higiene[[#This Row],[Item]],super1[Bairro],mercado13)+SUMIFS(supercb[Qtde],supercb[Item],tab_higiene[[#This Row],[Item]],supercb[Bairro],mercado13)</f>
        <v>0</v>
      </c>
      <c r="AX190" s="61">
        <f>SUMIFS(super1[Qtde],super1[Item],tab_higiene[[#This Row],[Item]],super1[Bairro],mercado14)+SUMIFS(supercb[Qtde],supercb[Item],tab_higiene[[#This Row],[Item]],supercb[Bairro],mercado14)</f>
        <v>0</v>
      </c>
      <c r="AY190" s="61">
        <f>SUMIFS(super1[Qtde],super1[Item],tab_higiene[[#This Row],[Item]],super1[Bairro],mercado15)+SUMIFS(supercb[Qtde],supercb[Item],tab_higiene[[#This Row],[Item]],supercb[Bairro],mercado15)</f>
        <v>0</v>
      </c>
      <c r="AZ190" s="61">
        <f>SUMIFS(super1[Qtde],super1[Item],tab_higiene[[#This Row],[Item]],super1[Bairro],mercado16)+SUMIFS(supercb[Qtde],supercb[Item],tab_higiene[[#This Row],[Item]],supercb[Bairro],mercado16)</f>
        <v>0</v>
      </c>
      <c r="BA190" s="61">
        <f>SUMIFS(super1[Qtde],super1[Item],tab_higiene[[#This Row],[Item]],super1[Bairro],mercado17)+SUMIFS(supercb[Qtde],supercb[Item],tab_higiene[[#This Row],[Item]],supercb[Bairro],mercado17)</f>
        <v>0</v>
      </c>
      <c r="BB190" s="61">
        <f>SUMIFS(super1[Qtde],super1[Item],tab_higiene[[#This Row],[Item]],super1[Bairro],mercado18)+SUMIFS(supercb[Qtde],supercb[Item],tab_higiene[[#This Row],[Item]],supercb[Bairro],mercado18)</f>
        <v>0</v>
      </c>
      <c r="BC190" s="51">
        <f>SUMIFS(super1[Qtde],super1[Item],tab_higiene[[#This Row],[Item]],super1[Bairro],extras)+SUMIFS(supercb[Qtde],supercb[Item],tab_higiene[[#This Row],[Item]],supercb[Bairro],extras)</f>
        <v>0</v>
      </c>
      <c r="BD190" s="8">
        <f t="shared" si="76"/>
        <v>124</v>
      </c>
      <c r="BE190" s="8">
        <f t="shared" si="77"/>
        <v>149.72999999999999</v>
      </c>
      <c r="BF190" s="23">
        <f t="shared" si="78"/>
        <v>45.202705842680324</v>
      </c>
    </row>
    <row r="191" spans="9:58" ht="15.75" thickBot="1" x14ac:dyDescent="0.3">
      <c r="I191" s="25" t="str">
        <f>alimentos[[#This Row],[Item]]</f>
        <v>Molho de Tomate (260g)</v>
      </c>
      <c r="J191" s="1">
        <f>IFERROR(alimentos[[#This Row],[kg/embalagem]],0)</f>
        <v>0.26</v>
      </c>
      <c r="K191" s="18">
        <f>IFERROR(alimentos[[#This Row],[Preço]],0)</f>
        <v>2.56</v>
      </c>
      <c r="L191" s="18">
        <f>SUMIFS(super1[Qtde],super1[Item],tab_alimentos[[#This Row],[Item]],super1[Bairro],mercado1)+SUMIFS(supercb[Qtde],supercb[Item],tab_alimentos[[#This Row],[Item]],supercb[Bairro],mercado1)</f>
        <v>0</v>
      </c>
      <c r="M191" s="18">
        <f>SUMIFS(super1[Qtde],super1[Item],tab_alimentos[[#This Row],[Item]],super1[Bairro],mercado2)+SUMIFS(supercb[Qtde],supercb[Item],tab_alimentos[[#This Row],[Item]],supercb[Bairro],mercado2)</f>
        <v>0</v>
      </c>
      <c r="N191" s="1">
        <f>SUMIFS(super1[Qtde],super1[Item],tab_alimentos[[#This Row],[Item]],super1[Bairro],mercado3)+SUMIFS(supercb[Qtde],supercb[Item],tab_alimentos[[#This Row],[Item]],supercb[Bairro],mercado3)</f>
        <v>0</v>
      </c>
      <c r="O191" s="18">
        <f>SUMIFS(super1[Qtde],super1[Item],tab_alimentos[[#This Row],[Item]],super1[Bairro],mercado4)+SUMIFS(supercb[Qtde],supercb[Item],tab_alimentos[[#This Row],[Item]],supercb[Bairro],mercado4)</f>
        <v>0</v>
      </c>
      <c r="P191" s="18">
        <f>SUMIFS(super1[Qtde],super1[Item],tab_alimentos[[#This Row],[Item]],super1[Bairro],mercado5)+SUMIFS(supercb[Qtde],supercb[Item],tab_alimentos[[#This Row],[Item]],supercb[Bairro],mercado5)</f>
        <v>0</v>
      </c>
      <c r="Q191" s="18">
        <f>SUMIFS(super1[Qtde],super1[Item],tab_alimentos[[#This Row],[Item]],super1[Bairro],mercado6)+SUMIFS(supercb[Qtde],supercb[Item],tab_alimentos[[#This Row],[Item]],supercb[Bairro],mercado6)</f>
        <v>0</v>
      </c>
      <c r="R191" s="18">
        <f>SUMIFS(super1[Qtde],super1[Item],tab_alimentos[[#This Row],[Item]],super1[Bairro],mercado7)+SUMIFS(supercb[Qtde],supercb[Item],tab_alimentos[[#This Row],[Item]],supercb[Bairro],mercado7)</f>
        <v>0</v>
      </c>
      <c r="S191" s="18">
        <f>SUMIFS(super1[Qtde],super1[Item],tab_alimentos[[#This Row],[Item]],super1[Bairro],mercado8)+SUMIFS(supercb[Qtde],supercb[Item],tab_alimentos[[#This Row],[Item]],supercb[Bairro],mercado8)</f>
        <v>0</v>
      </c>
      <c r="T191" s="18">
        <f>SUMIFS(super1[Qtde],super1[Item],tab_alimentos[[#This Row],[Item]],super1[Bairro],mercado9)+SUMIFS(supercb[Qtde],supercb[Item],tab_alimentos[[#This Row],[Item]],supercb[Bairro],mercado9)</f>
        <v>0</v>
      </c>
      <c r="U191" s="18">
        <f>SUMIFS(super1[Qtde],super1[Item],tab_alimentos[[#This Row],[Item]],super1[Bairro],mercado10)+SUMIFS(supercb[Qtde],supercb[Item],tab_alimentos[[#This Row],[Item]],supercb[Bairro],mercado10)</f>
        <v>0</v>
      </c>
      <c r="V191" s="18">
        <f>SUMIFS(super1[Qtde],super1[Item],tab_alimentos[[#This Row],[Item]],super1[Bairro],mercado11)+SUMIFS(supercb[Qtde],supercb[Item],tab_alimentos[[#This Row],[Item]],supercb[Bairro],mercado11)</f>
        <v>0</v>
      </c>
      <c r="W191" s="18">
        <f>SUMIFS(super1[Qtde],super1[Item],tab_alimentos[[#This Row],[Item]],super1[Bairro],mercado12)+SUMIFS(supercb[Qtde],supercb[Item],tab_alimentos[[#This Row],[Item]],supercb[Bairro],mercado12)</f>
        <v>0</v>
      </c>
      <c r="X191" s="18">
        <f>SUMIFS(super1[Qtde],super1[Item],tab_alimentos[[#This Row],[Item]],super1[Bairro],mercado13)+SUMIFS(supercb[Qtde],supercb[Item],tab_alimentos[[#This Row],[Item]],supercb[Bairro],mercado13)</f>
        <v>0</v>
      </c>
      <c r="Y191" s="18">
        <f>SUMIFS(super1[Qtde],super1[Item],tab_alimentos[[#This Row],[Item]],super1[Bairro],mercado14)+SUMIFS(supercb[Qtde],supercb[Item],tab_alimentos[[#This Row],[Item]],supercb[Bairro],mercado14)</f>
        <v>0</v>
      </c>
      <c r="Z191" s="18">
        <f>SUMIFS(super1[Qtde],super1[Item],tab_alimentos[[#This Row],[Item]],super1[Bairro],mercado15)+SUMIFS(supercb[Qtde],supercb[Item],tab_alimentos[[#This Row],[Item]],supercb[Bairro],mercado15)</f>
        <v>0</v>
      </c>
      <c r="AA191" s="18">
        <f>SUMIFS(super1[Qtde],super1[Item],tab_alimentos[[#This Row],[Item]],super1[Bairro],mercado16)+SUMIFS(supercb[Qtde],supercb[Item],tab_alimentos[[#This Row],[Item]],supercb[Bairro],mercado16)</f>
        <v>0</v>
      </c>
      <c r="AB191" s="18">
        <f>SUMIFS(super1[Qtde],super1[Item],tab_alimentos[[#This Row],[Item]],super1[Bairro],mercado17)+SUMIFS(supercb[Qtde],supercb[Item],tab_alimentos[[#This Row],[Item]],supercb[Bairro],mercado17)</f>
        <v>0</v>
      </c>
      <c r="AC191" s="18">
        <f>SUMIFS(super1[Qtde],super1[Item],tab_alimentos[[#This Row],[Item]],super1[Bairro],mercado18)+SUMIFS(supercb[Qtde],supercb[Item],tab_alimentos[[#This Row],[Item]],supercb[Bairro],mercado18)</f>
        <v>0</v>
      </c>
      <c r="AD191" s="18">
        <f>SUMIFS(super1[Qtde],super1[Item],tab_alimentos[[#This Row],[Item]],super1[Bairro],extras)+SUMIFS(supercb[Qtde],supercb[Item],tab_alimentos[[#This Row],[Item]],supercb[Bairro],extras)</f>
        <v>0</v>
      </c>
      <c r="AE191" s="1">
        <f t="shared" si="67"/>
        <v>0</v>
      </c>
      <c r="AF191" s="1">
        <f t="shared" si="68"/>
        <v>0</v>
      </c>
      <c r="AG191" s="26">
        <f t="shared" si="69"/>
        <v>0</v>
      </c>
      <c r="AH191" s="15" t="str">
        <f>higiene[[#This Row],[Item]]</f>
        <v>Saco de Lixo (100un) 15L</v>
      </c>
      <c r="AI191" s="8">
        <f>IFERROR(higiene[[#This Row],[Kg equivalente]],0)</f>
        <v>4.800127048010534</v>
      </c>
      <c r="AJ191" s="8">
        <f>IFERROR(higiene[[#This Row],[Preço por produto]],0)</f>
        <v>15.9</v>
      </c>
      <c r="AK191" s="61">
        <f>SUMIFS(super1[Qtde],super1[Item],tab_higiene[[#This Row],[Item]],super1[Bairro],mercado1)+SUMIFS(supercb[Qtde],supercb[Item],tab_higiene[[#This Row],[Item]],supercb[Bairro],mercado1)</f>
        <v>0</v>
      </c>
      <c r="AL191" s="61">
        <f>SUMIFS(super1[Qtde],super1[Item],tab_higiene[[#This Row],[Item]],super1[Bairro],mercado2)+SUMIFS(supercb[Qtde],supercb[Item],tab_higiene[[#This Row],[Item]],supercb[Bairro],mercado2)</f>
        <v>0</v>
      </c>
      <c r="AM191" s="61">
        <f>SUMIFS(super1[Qtde],super1[Item],tab_higiene[[#This Row],[Item]],super1[Bairro],mercado3)+SUMIFS(supercb[Qtde],supercb[Item],tab_higiene[[#This Row],[Item]],supercb[Bairro],mercado3)</f>
        <v>0</v>
      </c>
      <c r="AN191" s="61">
        <f>SUMIFS(super1[Qtde],super1[Item],tab_higiene[[#This Row],[Item]],super1[Bairro],mercado4)+SUMIFS(supercb[Qtde],supercb[Item],tab_higiene[[#This Row],[Item]],supercb[Bairro],mercado4)</f>
        <v>0</v>
      </c>
      <c r="AO191" s="61">
        <f>SUMIFS(super1[Qtde],super1[Item],tab_higiene[[#This Row],[Item]],super1[Bairro],mercado5)+SUMIFS(supercb[Qtde],supercb[Item],tab_higiene[[#This Row],[Item]],supercb[Bairro],mercado5)</f>
        <v>0</v>
      </c>
      <c r="AP191" s="61">
        <f>SUMIFS(super1[Qtde],super1[Item],tab_higiene[[#This Row],[Item]],super1[Bairro],mercado6)+SUMIFS(supercb[Qtde],supercb[Item],tab_higiene[[#This Row],[Item]],supercb[Bairro],mercado6)</f>
        <v>0</v>
      </c>
      <c r="AQ191" s="61">
        <f>SUMIFS(super1[Qtde],super1[Item],tab_higiene[[#This Row],[Item]],super1[Bairro],mercado7)+SUMIFS(supercb[Qtde],supercb[Item],tab_higiene[[#This Row],[Item]],supercb[Bairro],mercado7)</f>
        <v>0</v>
      </c>
      <c r="AR191" s="61">
        <f>SUMIFS(super1[Qtde],super1[Item],tab_higiene[[#This Row],[Item]],super1[Bairro],mercado8)+SUMIFS(supercb[Qtde],supercb[Item],tab_higiene[[#This Row],[Item]],supercb[Bairro],mercado8)</f>
        <v>0</v>
      </c>
      <c r="AS191" s="61">
        <f>SUMIFS(super1[Qtde],super1[Item],tab_higiene[[#This Row],[Item]],super1[Bairro],mercado9)+SUMIFS(supercb[Qtde],supercb[Item],tab_higiene[[#This Row],[Item]],supercb[Bairro],mercado9)</f>
        <v>0</v>
      </c>
      <c r="AT191" s="61">
        <f>SUMIFS(super1[Qtde],super1[Item],tab_higiene[[#This Row],[Item]],super1[Bairro],mercado10)+SUMIFS(supercb[Qtde],supercb[Item],tab_higiene[[#This Row],[Item]],supercb[Bairro],mercado10)</f>
        <v>1</v>
      </c>
      <c r="AU191" s="61">
        <f>SUMIFS(super1[Qtde],super1[Item],tab_higiene[[#This Row],[Item]],super1[Bairro],mercado11)+SUMIFS(supercb[Qtde],supercb[Item],tab_higiene[[#This Row],[Item]],supercb[Bairro],mercado11)</f>
        <v>0</v>
      </c>
      <c r="AV191" s="61">
        <f>SUMIFS(super1[Qtde],super1[Item],tab_higiene[[#This Row],[Item]],super1[Bairro],mercado12)+SUMIFS(supercb[Qtde],supercb[Item],tab_higiene[[#This Row],[Item]],supercb[Bairro],mercado12)</f>
        <v>0</v>
      </c>
      <c r="AW191" s="61">
        <f>SUMIFS(super1[Qtde],super1[Item],tab_higiene[[#This Row],[Item]],super1[Bairro],mercado13)+SUMIFS(supercb[Qtde],supercb[Item],tab_higiene[[#This Row],[Item]],supercb[Bairro],mercado13)</f>
        <v>0</v>
      </c>
      <c r="AX191" s="61">
        <f>SUMIFS(super1[Qtde],super1[Item],tab_higiene[[#This Row],[Item]],super1[Bairro],mercado14)+SUMIFS(supercb[Qtde],supercb[Item],tab_higiene[[#This Row],[Item]],supercb[Bairro],mercado14)</f>
        <v>0</v>
      </c>
      <c r="AY191" s="61">
        <f>SUMIFS(super1[Qtde],super1[Item],tab_higiene[[#This Row],[Item]],super1[Bairro],mercado15)+SUMIFS(supercb[Qtde],supercb[Item],tab_higiene[[#This Row],[Item]],supercb[Bairro],mercado15)</f>
        <v>0</v>
      </c>
      <c r="AZ191" s="61">
        <f>SUMIFS(super1[Qtde],super1[Item],tab_higiene[[#This Row],[Item]],super1[Bairro],mercado16)+SUMIFS(supercb[Qtde],supercb[Item],tab_higiene[[#This Row],[Item]],supercb[Bairro],mercado16)</f>
        <v>0</v>
      </c>
      <c r="BA191" s="61">
        <f>SUMIFS(super1[Qtde],super1[Item],tab_higiene[[#This Row],[Item]],super1[Bairro],mercado17)+SUMIFS(supercb[Qtde],supercb[Item],tab_higiene[[#This Row],[Item]],supercb[Bairro],mercado17)</f>
        <v>0</v>
      </c>
      <c r="BB191" s="61">
        <f>SUMIFS(super1[Qtde],super1[Item],tab_higiene[[#This Row],[Item]],super1[Bairro],mercado18)+SUMIFS(supercb[Qtde],supercb[Item],tab_higiene[[#This Row],[Item]],supercb[Bairro],mercado18)</f>
        <v>0</v>
      </c>
      <c r="BC191" s="51">
        <f>SUMIFS(super1[Qtde],super1[Item],tab_higiene[[#This Row],[Item]],super1[Bairro],extras)+SUMIFS(supercb[Qtde],supercb[Item],tab_higiene[[#This Row],[Item]],supercb[Bairro],extras)</f>
        <v>0</v>
      </c>
      <c r="BD191" s="8">
        <f t="shared" si="76"/>
        <v>1</v>
      </c>
      <c r="BE191" s="8">
        <f t="shared" si="77"/>
        <v>15.9</v>
      </c>
      <c r="BF191" s="23">
        <f t="shared" si="78"/>
        <v>4.800127048010534</v>
      </c>
    </row>
    <row r="192" spans="9:58" ht="15.75" thickBot="1" x14ac:dyDescent="0.3">
      <c r="I192" s="25" t="str">
        <f>alimentos[[#This Row],[Item]]</f>
        <v>Molho de Tomate (300g)</v>
      </c>
      <c r="J192" s="1">
        <f>IFERROR(alimentos[[#This Row],[kg/embalagem]],0)</f>
        <v>0.3</v>
      </c>
      <c r="K192" s="18">
        <f>IFERROR(alimentos[[#This Row],[Preço]],0)</f>
        <v>3.05</v>
      </c>
      <c r="L192" s="18">
        <f>SUMIFS(super1[Qtde],super1[Item],tab_alimentos[[#This Row],[Item]],super1[Bairro],mercado1)+SUMIFS(supercb[Qtde],supercb[Item],tab_alimentos[[#This Row],[Item]],supercb[Bairro],mercado1)</f>
        <v>0</v>
      </c>
      <c r="M192" s="18">
        <f>SUMIFS(super1[Qtde],super1[Item],tab_alimentos[[#This Row],[Item]],super1[Bairro],mercado2)+SUMIFS(supercb[Qtde],supercb[Item],tab_alimentos[[#This Row],[Item]],supercb[Bairro],mercado2)</f>
        <v>0</v>
      </c>
      <c r="N192" s="1">
        <f>SUMIFS(super1[Qtde],super1[Item],tab_alimentos[[#This Row],[Item]],super1[Bairro],mercado3)+SUMIFS(supercb[Qtde],supercb[Item],tab_alimentos[[#This Row],[Item]],supercb[Bairro],mercado3)</f>
        <v>0</v>
      </c>
      <c r="O192" s="18">
        <f>SUMIFS(super1[Qtde],super1[Item],tab_alimentos[[#This Row],[Item]],super1[Bairro],mercado4)+SUMIFS(supercb[Qtde],supercb[Item],tab_alimentos[[#This Row],[Item]],supercb[Bairro],mercado4)</f>
        <v>0</v>
      </c>
      <c r="P192" s="18">
        <f>SUMIFS(super1[Qtde],super1[Item],tab_alimentos[[#This Row],[Item]],super1[Bairro],mercado5)+SUMIFS(supercb[Qtde],supercb[Item],tab_alimentos[[#This Row],[Item]],supercb[Bairro],mercado5)</f>
        <v>0</v>
      </c>
      <c r="Q192" s="18">
        <f>SUMIFS(super1[Qtde],super1[Item],tab_alimentos[[#This Row],[Item]],super1[Bairro],mercado6)+SUMIFS(supercb[Qtde],supercb[Item],tab_alimentos[[#This Row],[Item]],supercb[Bairro],mercado6)</f>
        <v>0</v>
      </c>
      <c r="R192" s="18">
        <f>SUMIFS(super1[Qtde],super1[Item],tab_alimentos[[#This Row],[Item]],super1[Bairro],mercado7)+SUMIFS(supercb[Qtde],supercb[Item],tab_alimentos[[#This Row],[Item]],supercb[Bairro],mercado7)</f>
        <v>0</v>
      </c>
      <c r="S192" s="18">
        <f>SUMIFS(super1[Qtde],super1[Item],tab_alimentos[[#This Row],[Item]],super1[Bairro],mercado8)+SUMIFS(supercb[Qtde],supercb[Item],tab_alimentos[[#This Row],[Item]],supercb[Bairro],mercado8)</f>
        <v>0</v>
      </c>
      <c r="T192" s="18">
        <f>SUMIFS(super1[Qtde],super1[Item],tab_alimentos[[#This Row],[Item]],super1[Bairro],mercado9)+SUMIFS(supercb[Qtde],supercb[Item],tab_alimentos[[#This Row],[Item]],supercb[Bairro],mercado9)</f>
        <v>0</v>
      </c>
      <c r="U192" s="18">
        <f>SUMIFS(super1[Qtde],super1[Item],tab_alimentos[[#This Row],[Item]],super1[Bairro],mercado10)+SUMIFS(supercb[Qtde],supercb[Item],tab_alimentos[[#This Row],[Item]],supercb[Bairro],mercado10)</f>
        <v>0</v>
      </c>
      <c r="V192" s="18">
        <f>SUMIFS(super1[Qtde],super1[Item],tab_alimentos[[#This Row],[Item]],super1[Bairro],mercado11)+SUMIFS(supercb[Qtde],supercb[Item],tab_alimentos[[#This Row],[Item]],supercb[Bairro],mercado11)</f>
        <v>0</v>
      </c>
      <c r="W192" s="18">
        <f>SUMIFS(super1[Qtde],super1[Item],tab_alimentos[[#This Row],[Item]],super1[Bairro],mercado12)+SUMIFS(supercb[Qtde],supercb[Item],tab_alimentos[[#This Row],[Item]],supercb[Bairro],mercado12)</f>
        <v>0</v>
      </c>
      <c r="X192" s="18">
        <f>SUMIFS(super1[Qtde],super1[Item],tab_alimentos[[#This Row],[Item]],super1[Bairro],mercado13)+SUMIFS(supercb[Qtde],supercb[Item],tab_alimentos[[#This Row],[Item]],supercb[Bairro],mercado13)</f>
        <v>0</v>
      </c>
      <c r="Y192" s="18">
        <f>SUMIFS(super1[Qtde],super1[Item],tab_alimentos[[#This Row],[Item]],super1[Bairro],mercado14)+SUMIFS(supercb[Qtde],supercb[Item],tab_alimentos[[#This Row],[Item]],supercb[Bairro],mercado14)</f>
        <v>0</v>
      </c>
      <c r="Z192" s="18">
        <f>SUMIFS(super1[Qtde],super1[Item],tab_alimentos[[#This Row],[Item]],super1[Bairro],mercado15)+SUMIFS(supercb[Qtde],supercb[Item],tab_alimentos[[#This Row],[Item]],supercb[Bairro],mercado15)</f>
        <v>0</v>
      </c>
      <c r="AA192" s="18">
        <f>SUMIFS(super1[Qtde],super1[Item],tab_alimentos[[#This Row],[Item]],super1[Bairro],mercado16)+SUMIFS(supercb[Qtde],supercb[Item],tab_alimentos[[#This Row],[Item]],supercb[Bairro],mercado16)</f>
        <v>0</v>
      </c>
      <c r="AB192" s="18">
        <f>SUMIFS(super1[Qtde],super1[Item],tab_alimentos[[#This Row],[Item]],super1[Bairro],mercado17)+SUMIFS(supercb[Qtde],supercb[Item],tab_alimentos[[#This Row],[Item]],supercb[Bairro],mercado17)</f>
        <v>0</v>
      </c>
      <c r="AC192" s="18">
        <f>SUMIFS(super1[Qtde],super1[Item],tab_alimentos[[#This Row],[Item]],super1[Bairro],mercado18)+SUMIFS(supercb[Qtde],supercb[Item],tab_alimentos[[#This Row],[Item]],supercb[Bairro],mercado18)</f>
        <v>0</v>
      </c>
      <c r="AD192" s="18">
        <f>SUMIFS(super1[Qtde],super1[Item],tab_alimentos[[#This Row],[Item]],super1[Bairro],extras)+SUMIFS(supercb[Qtde],supercb[Item],tab_alimentos[[#This Row],[Item]],supercb[Bairro],extras)</f>
        <v>0</v>
      </c>
      <c r="AE192" s="1">
        <f t="shared" si="67"/>
        <v>0</v>
      </c>
      <c r="AF192" s="1">
        <f t="shared" si="68"/>
        <v>0</v>
      </c>
      <c r="AG192" s="26">
        <f t="shared" si="69"/>
        <v>0</v>
      </c>
      <c r="AH192" s="15" t="str">
        <f>higiene[[#This Row],[Item]]</f>
        <v>Saco de Lixo (10un)</v>
      </c>
      <c r="AI192" s="8">
        <f>IFERROR(higiene[[#This Row],[Kg equivalente]],0)</f>
        <v>3.3172198744364612</v>
      </c>
      <c r="AJ192" s="8">
        <f>IFERROR(higiene[[#This Row],[Preço por produto]],0)</f>
        <v>10.987999999999998</v>
      </c>
      <c r="AK192" s="61">
        <f>SUMIFS(super1[Qtde],super1[Item],tab_higiene[[#This Row],[Item]],super1[Bairro],mercado1)+SUMIFS(supercb[Qtde],supercb[Item],tab_higiene[[#This Row],[Item]],supercb[Bairro],mercado1)</f>
        <v>0</v>
      </c>
      <c r="AL192" s="61">
        <f>SUMIFS(super1[Qtde],super1[Item],tab_higiene[[#This Row],[Item]],super1[Bairro],mercado2)+SUMIFS(supercb[Qtde],supercb[Item],tab_higiene[[#This Row],[Item]],supercb[Bairro],mercado2)</f>
        <v>1</v>
      </c>
      <c r="AM192" s="61">
        <f>SUMIFS(super1[Qtde],super1[Item],tab_higiene[[#This Row],[Item]],super1[Bairro],mercado3)+SUMIFS(supercb[Qtde],supercb[Item],tab_higiene[[#This Row],[Item]],supercb[Bairro],mercado3)</f>
        <v>0</v>
      </c>
      <c r="AN192" s="61">
        <f>SUMIFS(super1[Qtde],super1[Item],tab_higiene[[#This Row],[Item]],super1[Bairro],mercado4)+SUMIFS(supercb[Qtde],supercb[Item],tab_higiene[[#This Row],[Item]],supercb[Bairro],mercado4)</f>
        <v>1</v>
      </c>
      <c r="AO192" s="61">
        <f>SUMIFS(super1[Qtde],super1[Item],tab_higiene[[#This Row],[Item]],super1[Bairro],mercado5)+SUMIFS(supercb[Qtde],supercb[Item],tab_higiene[[#This Row],[Item]],supercb[Bairro],mercado5)</f>
        <v>0</v>
      </c>
      <c r="AP192" s="61">
        <f>SUMIFS(super1[Qtde],super1[Item],tab_higiene[[#This Row],[Item]],super1[Bairro],mercado6)+SUMIFS(supercb[Qtde],supercb[Item],tab_higiene[[#This Row],[Item]],supercb[Bairro],mercado6)</f>
        <v>8</v>
      </c>
      <c r="AQ192" s="61">
        <f>SUMIFS(super1[Qtde],super1[Item],tab_higiene[[#This Row],[Item]],super1[Bairro],mercado7)+SUMIFS(supercb[Qtde],supercb[Item],tab_higiene[[#This Row],[Item]],supercb[Bairro],mercado7)</f>
        <v>0</v>
      </c>
      <c r="AR192" s="61">
        <f>SUMIFS(super1[Qtde],super1[Item],tab_higiene[[#This Row],[Item]],super1[Bairro],mercado8)+SUMIFS(supercb[Qtde],supercb[Item],tab_higiene[[#This Row],[Item]],supercb[Bairro],mercado8)</f>
        <v>0</v>
      </c>
      <c r="AS192" s="61">
        <f>SUMIFS(super1[Qtde],super1[Item],tab_higiene[[#This Row],[Item]],super1[Bairro],mercado9)+SUMIFS(supercb[Qtde],supercb[Item],tab_higiene[[#This Row],[Item]],supercb[Bairro],mercado9)</f>
        <v>0</v>
      </c>
      <c r="AT192" s="61">
        <f>SUMIFS(super1[Qtde],super1[Item],tab_higiene[[#This Row],[Item]],super1[Bairro],mercado10)+SUMIFS(supercb[Qtde],supercb[Item],tab_higiene[[#This Row],[Item]],supercb[Bairro],mercado10)</f>
        <v>0</v>
      </c>
      <c r="AU192" s="61">
        <f>SUMIFS(super1[Qtde],super1[Item],tab_higiene[[#This Row],[Item]],super1[Bairro],mercado11)+SUMIFS(supercb[Qtde],supercb[Item],tab_higiene[[#This Row],[Item]],supercb[Bairro],mercado11)</f>
        <v>0</v>
      </c>
      <c r="AV192" s="61">
        <f>SUMIFS(super1[Qtde],super1[Item],tab_higiene[[#This Row],[Item]],super1[Bairro],mercado12)+SUMIFS(supercb[Qtde],supercb[Item],tab_higiene[[#This Row],[Item]],supercb[Bairro],mercado12)</f>
        <v>0</v>
      </c>
      <c r="AW192" s="61">
        <f>SUMIFS(super1[Qtde],super1[Item],tab_higiene[[#This Row],[Item]],super1[Bairro],mercado13)+SUMIFS(supercb[Qtde],supercb[Item],tab_higiene[[#This Row],[Item]],supercb[Bairro],mercado13)</f>
        <v>0</v>
      </c>
      <c r="AX192" s="61">
        <f>SUMIFS(super1[Qtde],super1[Item],tab_higiene[[#This Row],[Item]],super1[Bairro],mercado14)+SUMIFS(supercb[Qtde],supercb[Item],tab_higiene[[#This Row],[Item]],supercb[Bairro],mercado14)</f>
        <v>0</v>
      </c>
      <c r="AY192" s="61">
        <f>SUMIFS(super1[Qtde],super1[Item],tab_higiene[[#This Row],[Item]],super1[Bairro],mercado15)+SUMIFS(supercb[Qtde],supercb[Item],tab_higiene[[#This Row],[Item]],supercb[Bairro],mercado15)</f>
        <v>0</v>
      </c>
      <c r="AZ192" s="61">
        <f>SUMIFS(super1[Qtde],super1[Item],tab_higiene[[#This Row],[Item]],super1[Bairro],mercado16)+SUMIFS(supercb[Qtde],supercb[Item],tab_higiene[[#This Row],[Item]],supercb[Bairro],mercado16)</f>
        <v>0</v>
      </c>
      <c r="BA192" s="61">
        <f>SUMIFS(super1[Qtde],super1[Item],tab_higiene[[#This Row],[Item]],super1[Bairro],mercado17)+SUMIFS(supercb[Qtde],supercb[Item],tab_higiene[[#This Row],[Item]],supercb[Bairro],mercado17)</f>
        <v>0</v>
      </c>
      <c r="BB192" s="61">
        <f>SUMIFS(super1[Qtde],super1[Item],tab_higiene[[#This Row],[Item]],super1[Bairro],mercado18)+SUMIFS(supercb[Qtde],supercb[Item],tab_higiene[[#This Row],[Item]],supercb[Bairro],mercado18)</f>
        <v>0</v>
      </c>
      <c r="BC192" s="51">
        <f>SUMIFS(super1[Qtde],super1[Item],tab_higiene[[#This Row],[Item]],super1[Bairro],extras)+SUMIFS(supercb[Qtde],supercb[Item],tab_higiene[[#This Row],[Item]],supercb[Bairro],extras)</f>
        <v>0</v>
      </c>
      <c r="BD192" s="8">
        <f t="shared" si="76"/>
        <v>10</v>
      </c>
      <c r="BE192" s="8">
        <f t="shared" si="77"/>
        <v>109.87999999999998</v>
      </c>
      <c r="BF192" s="23">
        <f t="shared" si="78"/>
        <v>33.172198744364614</v>
      </c>
    </row>
    <row r="193" spans="9:58" ht="15.75" thickBot="1" x14ac:dyDescent="0.3">
      <c r="I193" s="25" t="str">
        <f>alimentos[[#This Row],[Item]]</f>
        <v>Molho de Tomate (340g)</v>
      </c>
      <c r="J193" s="1">
        <f>IFERROR(alimentos[[#This Row],[kg/embalagem]],0)</f>
        <v>0.34</v>
      </c>
      <c r="K193" s="18">
        <f>IFERROR(alimentos[[#This Row],[Preço]],0)</f>
        <v>1.0866666666666667</v>
      </c>
      <c r="L193" s="18">
        <f>SUMIFS(super1[Qtde],super1[Item],tab_alimentos[[#This Row],[Item]],super1[Bairro],mercado1)+SUMIFS(supercb[Qtde],supercb[Item],tab_alimentos[[#This Row],[Item]],supercb[Bairro],mercado1)</f>
        <v>40</v>
      </c>
      <c r="M193" s="18">
        <f>SUMIFS(super1[Qtde],super1[Item],tab_alimentos[[#This Row],[Item]],super1[Bairro],mercado2)+SUMIFS(supercb[Qtde],supercb[Item],tab_alimentos[[#This Row],[Item]],supercb[Bairro],mercado2)</f>
        <v>27</v>
      </c>
      <c r="N193" s="1">
        <f>SUMIFS(super1[Qtde],super1[Item],tab_alimentos[[#This Row],[Item]],super1[Bairro],mercado3)+SUMIFS(supercb[Qtde],supercb[Item],tab_alimentos[[#This Row],[Item]],supercb[Bairro],mercado3)</f>
        <v>23</v>
      </c>
      <c r="O193" s="18">
        <f>SUMIFS(super1[Qtde],super1[Item],tab_alimentos[[#This Row],[Item]],super1[Bairro],mercado4)+SUMIFS(supercb[Qtde],supercb[Item],tab_alimentos[[#This Row],[Item]],supercb[Bairro],mercado4)</f>
        <v>60</v>
      </c>
      <c r="P193" s="18">
        <f>SUMIFS(super1[Qtde],super1[Item],tab_alimentos[[#This Row],[Item]],super1[Bairro],mercado5)+SUMIFS(supercb[Qtde],supercb[Item],tab_alimentos[[#This Row],[Item]],supercb[Bairro],mercado5)</f>
        <v>79</v>
      </c>
      <c r="Q193" s="18">
        <f>SUMIFS(super1[Qtde],super1[Item],tab_alimentos[[#This Row],[Item]],super1[Bairro],mercado6)+SUMIFS(supercb[Qtde],supercb[Item],tab_alimentos[[#This Row],[Item]],supercb[Bairro],mercado6)</f>
        <v>74</v>
      </c>
      <c r="R193" s="18">
        <f>SUMIFS(super1[Qtde],super1[Item],tab_alimentos[[#This Row],[Item]],super1[Bairro],mercado7)+SUMIFS(supercb[Qtde],supercb[Item],tab_alimentos[[#This Row],[Item]],supercb[Bairro],mercado7)</f>
        <v>49</v>
      </c>
      <c r="S193" s="18">
        <f>SUMIFS(super1[Qtde],super1[Item],tab_alimentos[[#This Row],[Item]],super1[Bairro],mercado8)+SUMIFS(supercb[Qtde],supercb[Item],tab_alimentos[[#This Row],[Item]],supercb[Bairro],mercado8)</f>
        <v>24</v>
      </c>
      <c r="T193" s="18">
        <f>SUMIFS(super1[Qtde],super1[Item],tab_alimentos[[#This Row],[Item]],super1[Bairro],mercado9)+SUMIFS(supercb[Qtde],supercb[Item],tab_alimentos[[#This Row],[Item]],supercb[Bairro],mercado9)</f>
        <v>84</v>
      </c>
      <c r="U193" s="18">
        <f>SUMIFS(super1[Qtde],super1[Item],tab_alimentos[[#This Row],[Item]],super1[Bairro],mercado10)+SUMIFS(supercb[Qtde],supercb[Item],tab_alimentos[[#This Row],[Item]],supercb[Bairro],mercado10)</f>
        <v>85</v>
      </c>
      <c r="V193" s="18">
        <f>SUMIFS(super1[Qtde],super1[Item],tab_alimentos[[#This Row],[Item]],super1[Bairro],mercado11)+SUMIFS(supercb[Qtde],supercb[Item],tab_alimentos[[#This Row],[Item]],supercb[Bairro],mercado11)</f>
        <v>88</v>
      </c>
      <c r="W193" s="18">
        <f>SUMIFS(super1[Qtde],super1[Item],tab_alimentos[[#This Row],[Item]],super1[Bairro],mercado12)+SUMIFS(supercb[Qtde],supercb[Item],tab_alimentos[[#This Row],[Item]],supercb[Bairro],mercado12)</f>
        <v>0</v>
      </c>
      <c r="X193" s="18">
        <f>SUMIFS(super1[Qtde],super1[Item],tab_alimentos[[#This Row],[Item]],super1[Bairro],mercado13)+SUMIFS(supercb[Qtde],supercb[Item],tab_alimentos[[#This Row],[Item]],supercb[Bairro],mercado13)</f>
        <v>31</v>
      </c>
      <c r="Y193" s="18">
        <f>SUMIFS(super1[Qtde],super1[Item],tab_alimentos[[#This Row],[Item]],super1[Bairro],mercado14)+SUMIFS(supercb[Qtde],supercb[Item],tab_alimentos[[#This Row],[Item]],supercb[Bairro],mercado14)</f>
        <v>0</v>
      </c>
      <c r="Z193" s="18">
        <f>SUMIFS(super1[Qtde],super1[Item],tab_alimentos[[#This Row],[Item]],super1[Bairro],mercado15)+SUMIFS(supercb[Qtde],supercb[Item],tab_alimentos[[#This Row],[Item]],supercb[Bairro],mercado15)</f>
        <v>0</v>
      </c>
      <c r="AA193" s="18">
        <f>SUMIFS(super1[Qtde],super1[Item],tab_alimentos[[#This Row],[Item]],super1[Bairro],mercado16)+SUMIFS(supercb[Qtde],supercb[Item],tab_alimentos[[#This Row],[Item]],supercb[Bairro],mercado16)</f>
        <v>0</v>
      </c>
      <c r="AB193" s="18">
        <f>SUMIFS(super1[Qtde],super1[Item],tab_alimentos[[#This Row],[Item]],super1[Bairro],mercado17)+SUMIFS(supercb[Qtde],supercb[Item],tab_alimentos[[#This Row],[Item]],supercb[Bairro],mercado17)</f>
        <v>0</v>
      </c>
      <c r="AC193" s="18">
        <f>SUMIFS(super1[Qtde],super1[Item],tab_alimentos[[#This Row],[Item]],super1[Bairro],mercado18)+SUMIFS(supercb[Qtde],supercb[Item],tab_alimentos[[#This Row],[Item]],supercb[Bairro],mercado18)</f>
        <v>0</v>
      </c>
      <c r="AD193" s="18">
        <f>SUMIFS(super1[Qtde],super1[Item],tab_alimentos[[#This Row],[Item]],super1[Bairro],extras)+SUMIFS(supercb[Qtde],supercb[Item],tab_alimentos[[#This Row],[Item]],supercb[Bairro],extras)</f>
        <v>0</v>
      </c>
      <c r="AE193" s="1">
        <f t="shared" si="67"/>
        <v>664</v>
      </c>
      <c r="AF193" s="1">
        <f t="shared" si="68"/>
        <v>721.54666666666662</v>
      </c>
      <c r="AG193" s="26">
        <f t="shared" si="69"/>
        <v>225.76000000000002</v>
      </c>
      <c r="AH193" s="15" t="str">
        <f>higiene[[#This Row],[Item]]</f>
        <v>Saco de Lixo (10un) 30l/50l</v>
      </c>
      <c r="AI193" s="8">
        <f>IFERROR(higiene[[#This Row],[Kg equivalente]],0)</f>
        <v>1.1170106967068538</v>
      </c>
      <c r="AJ193" s="8">
        <f>IFERROR(higiene[[#This Row],[Preço por produto]],0)</f>
        <v>3.7</v>
      </c>
      <c r="AK193" s="61">
        <f>SUMIFS(super1[Qtde],super1[Item],tab_higiene[[#This Row],[Item]],super1[Bairro],mercado1)+SUMIFS(supercb[Qtde],supercb[Item],tab_higiene[[#This Row],[Item]],supercb[Bairro],mercado1)</f>
        <v>0</v>
      </c>
      <c r="AL193" s="61">
        <f>SUMIFS(super1[Qtde],super1[Item],tab_higiene[[#This Row],[Item]],super1[Bairro],mercado2)+SUMIFS(supercb[Qtde],supercb[Item],tab_higiene[[#This Row],[Item]],supercb[Bairro],mercado2)</f>
        <v>0</v>
      </c>
      <c r="AM193" s="61">
        <f>SUMIFS(super1[Qtde],super1[Item],tab_higiene[[#This Row],[Item]],super1[Bairro],mercado3)+SUMIFS(supercb[Qtde],supercb[Item],tab_higiene[[#This Row],[Item]],supercb[Bairro],mercado3)</f>
        <v>0</v>
      </c>
      <c r="AN193" s="61">
        <f>SUMIFS(super1[Qtde],super1[Item],tab_higiene[[#This Row],[Item]],super1[Bairro],mercado4)+SUMIFS(supercb[Qtde],supercb[Item],tab_higiene[[#This Row],[Item]],supercb[Bairro],mercado4)</f>
        <v>3</v>
      </c>
      <c r="AO193" s="61">
        <f>SUMIFS(super1[Qtde],super1[Item],tab_higiene[[#This Row],[Item]],super1[Bairro],mercado5)+SUMIFS(supercb[Qtde],supercb[Item],tab_higiene[[#This Row],[Item]],supercb[Bairro],mercado5)</f>
        <v>0</v>
      </c>
      <c r="AP193" s="61">
        <f>SUMIFS(super1[Qtde],super1[Item],tab_higiene[[#This Row],[Item]],super1[Bairro],mercado6)+SUMIFS(supercb[Qtde],supercb[Item],tab_higiene[[#This Row],[Item]],supercb[Bairro],mercado6)</f>
        <v>0</v>
      </c>
      <c r="AQ193" s="61">
        <f>SUMIFS(super1[Qtde],super1[Item],tab_higiene[[#This Row],[Item]],super1[Bairro],mercado7)+SUMIFS(supercb[Qtde],supercb[Item],tab_higiene[[#This Row],[Item]],supercb[Bairro],mercado7)</f>
        <v>0</v>
      </c>
      <c r="AR193" s="61">
        <f>SUMIFS(super1[Qtde],super1[Item],tab_higiene[[#This Row],[Item]],super1[Bairro],mercado8)+SUMIFS(supercb[Qtde],supercb[Item],tab_higiene[[#This Row],[Item]],supercb[Bairro],mercado8)</f>
        <v>1</v>
      </c>
      <c r="AS193" s="61">
        <f>SUMIFS(super1[Qtde],super1[Item],tab_higiene[[#This Row],[Item]],super1[Bairro],mercado9)+SUMIFS(supercb[Qtde],supercb[Item],tab_higiene[[#This Row],[Item]],supercb[Bairro],mercado9)</f>
        <v>1</v>
      </c>
      <c r="AT193" s="61">
        <f>SUMIFS(super1[Qtde],super1[Item],tab_higiene[[#This Row],[Item]],super1[Bairro],mercado10)+SUMIFS(supercb[Qtde],supercb[Item],tab_higiene[[#This Row],[Item]],supercb[Bairro],mercado10)</f>
        <v>6</v>
      </c>
      <c r="AU193" s="61">
        <f>SUMIFS(super1[Qtde],super1[Item],tab_higiene[[#This Row],[Item]],super1[Bairro],mercado11)+SUMIFS(supercb[Qtde],supercb[Item],tab_higiene[[#This Row],[Item]],supercb[Bairro],mercado11)</f>
        <v>0</v>
      </c>
      <c r="AV193" s="61">
        <f>SUMIFS(super1[Qtde],super1[Item],tab_higiene[[#This Row],[Item]],super1[Bairro],mercado12)+SUMIFS(supercb[Qtde],supercb[Item],tab_higiene[[#This Row],[Item]],supercb[Bairro],mercado12)</f>
        <v>0</v>
      </c>
      <c r="AW193" s="61">
        <f>SUMIFS(super1[Qtde],super1[Item],tab_higiene[[#This Row],[Item]],super1[Bairro],mercado13)+SUMIFS(supercb[Qtde],supercb[Item],tab_higiene[[#This Row],[Item]],supercb[Bairro],mercado13)</f>
        <v>0</v>
      </c>
      <c r="AX193" s="61">
        <f>SUMIFS(super1[Qtde],super1[Item],tab_higiene[[#This Row],[Item]],super1[Bairro],mercado14)+SUMIFS(supercb[Qtde],supercb[Item],tab_higiene[[#This Row],[Item]],supercb[Bairro],mercado14)</f>
        <v>0</v>
      </c>
      <c r="AY193" s="61">
        <f>SUMIFS(super1[Qtde],super1[Item],tab_higiene[[#This Row],[Item]],super1[Bairro],mercado15)+SUMIFS(supercb[Qtde],supercb[Item],tab_higiene[[#This Row],[Item]],supercb[Bairro],mercado15)</f>
        <v>0</v>
      </c>
      <c r="AZ193" s="61">
        <f>SUMIFS(super1[Qtde],super1[Item],tab_higiene[[#This Row],[Item]],super1[Bairro],mercado16)+SUMIFS(supercb[Qtde],supercb[Item],tab_higiene[[#This Row],[Item]],supercb[Bairro],mercado16)</f>
        <v>0</v>
      </c>
      <c r="BA193" s="61">
        <f>SUMIFS(super1[Qtde],super1[Item],tab_higiene[[#This Row],[Item]],super1[Bairro],mercado17)+SUMIFS(supercb[Qtde],supercb[Item],tab_higiene[[#This Row],[Item]],supercb[Bairro],mercado17)</f>
        <v>0</v>
      </c>
      <c r="BB193" s="61">
        <f>SUMIFS(super1[Qtde],super1[Item],tab_higiene[[#This Row],[Item]],super1[Bairro],mercado18)+SUMIFS(supercb[Qtde],supercb[Item],tab_higiene[[#This Row],[Item]],supercb[Bairro],mercado18)</f>
        <v>0</v>
      </c>
      <c r="BC193" s="51">
        <f>SUMIFS(super1[Qtde],super1[Item],tab_higiene[[#This Row],[Item]],super1[Bairro],extras)+SUMIFS(supercb[Qtde],supercb[Item],tab_higiene[[#This Row],[Item]],supercb[Bairro],extras)</f>
        <v>0</v>
      </c>
      <c r="BD193" s="8">
        <f t="shared" si="76"/>
        <v>11</v>
      </c>
      <c r="BE193" s="8">
        <f t="shared" si="77"/>
        <v>40.700000000000003</v>
      </c>
      <c r="BF193" s="23">
        <f t="shared" si="78"/>
        <v>12.287117663775392</v>
      </c>
    </row>
    <row r="194" spans="9:58" ht="15.75" thickBot="1" x14ac:dyDescent="0.3">
      <c r="I194" s="25" t="str">
        <f>alimentos[[#This Row],[Item]]</f>
        <v>Molho de tomate (400g)</v>
      </c>
      <c r="J194" s="1">
        <f>IFERROR(alimentos[[#This Row],[kg/embalagem]],0)</f>
        <v>0.4</v>
      </c>
      <c r="K194" s="18">
        <f>IFERROR(alimentos[[#This Row],[Preço]],0)</f>
        <v>4.1900000000000004</v>
      </c>
      <c r="L194" s="18">
        <f>SUMIFS(super1[Qtde],super1[Item],tab_alimentos[[#This Row],[Item]],super1[Bairro],mercado1)+SUMIFS(supercb[Qtde],supercb[Item],tab_alimentos[[#This Row],[Item]],supercb[Bairro],mercado1)</f>
        <v>0</v>
      </c>
      <c r="M194" s="18">
        <f>SUMIFS(super1[Qtde],super1[Item],tab_alimentos[[#This Row],[Item]],super1[Bairro],mercado2)+SUMIFS(supercb[Qtde],supercb[Item],tab_alimentos[[#This Row],[Item]],supercb[Bairro],mercado2)</f>
        <v>0</v>
      </c>
      <c r="N194" s="1">
        <f>SUMIFS(super1[Qtde],super1[Item],tab_alimentos[[#This Row],[Item]],super1[Bairro],mercado3)+SUMIFS(supercb[Qtde],supercb[Item],tab_alimentos[[#This Row],[Item]],supercb[Bairro],mercado3)</f>
        <v>0</v>
      </c>
      <c r="O194" s="18">
        <f>SUMIFS(super1[Qtde],super1[Item],tab_alimentos[[#This Row],[Item]],super1[Bairro],mercado4)+SUMIFS(supercb[Qtde],supercb[Item],tab_alimentos[[#This Row],[Item]],supercb[Bairro],mercado4)</f>
        <v>0</v>
      </c>
      <c r="P194" s="18">
        <f>SUMIFS(super1[Qtde],super1[Item],tab_alimentos[[#This Row],[Item]],super1[Bairro],mercado5)+SUMIFS(supercb[Qtde],supercb[Item],tab_alimentos[[#This Row],[Item]],supercb[Bairro],mercado5)</f>
        <v>0</v>
      </c>
      <c r="Q194" s="18">
        <f>SUMIFS(super1[Qtde],super1[Item],tab_alimentos[[#This Row],[Item]],super1[Bairro],mercado6)+SUMIFS(supercb[Qtde],supercb[Item],tab_alimentos[[#This Row],[Item]],supercb[Bairro],mercado6)</f>
        <v>0</v>
      </c>
      <c r="R194" s="18">
        <f>SUMIFS(super1[Qtde],super1[Item],tab_alimentos[[#This Row],[Item]],super1[Bairro],mercado7)+SUMIFS(supercb[Qtde],supercb[Item],tab_alimentos[[#This Row],[Item]],supercb[Bairro],mercado7)</f>
        <v>0</v>
      </c>
      <c r="S194" s="18">
        <f>SUMIFS(super1[Qtde],super1[Item],tab_alimentos[[#This Row],[Item]],super1[Bairro],mercado8)+SUMIFS(supercb[Qtde],supercb[Item],tab_alimentos[[#This Row],[Item]],supercb[Bairro],mercado8)</f>
        <v>0</v>
      </c>
      <c r="T194" s="18">
        <f>SUMIFS(super1[Qtde],super1[Item],tab_alimentos[[#This Row],[Item]],super1[Bairro],mercado9)+SUMIFS(supercb[Qtde],supercb[Item],tab_alimentos[[#This Row],[Item]],supercb[Bairro],mercado9)</f>
        <v>0</v>
      </c>
      <c r="U194" s="18">
        <f>SUMIFS(super1[Qtde],super1[Item],tab_alimentos[[#This Row],[Item]],super1[Bairro],mercado10)+SUMIFS(supercb[Qtde],supercb[Item],tab_alimentos[[#This Row],[Item]],supercb[Bairro],mercado10)</f>
        <v>0</v>
      </c>
      <c r="V194" s="18">
        <f>SUMIFS(super1[Qtde],super1[Item],tab_alimentos[[#This Row],[Item]],super1[Bairro],mercado11)+SUMIFS(supercb[Qtde],supercb[Item],tab_alimentos[[#This Row],[Item]],supercb[Bairro],mercado11)</f>
        <v>0</v>
      </c>
      <c r="W194" s="18">
        <f>SUMIFS(super1[Qtde],super1[Item],tab_alimentos[[#This Row],[Item]],super1[Bairro],mercado12)+SUMIFS(supercb[Qtde],supercb[Item],tab_alimentos[[#This Row],[Item]],supercb[Bairro],mercado12)</f>
        <v>0</v>
      </c>
      <c r="X194" s="18">
        <f>SUMIFS(super1[Qtde],super1[Item],tab_alimentos[[#This Row],[Item]],super1[Bairro],mercado13)+SUMIFS(supercb[Qtde],supercb[Item],tab_alimentos[[#This Row],[Item]],supercb[Bairro],mercado13)</f>
        <v>0</v>
      </c>
      <c r="Y194" s="18">
        <f>SUMIFS(super1[Qtde],super1[Item],tab_alimentos[[#This Row],[Item]],super1[Bairro],mercado14)+SUMIFS(supercb[Qtde],supercb[Item],tab_alimentos[[#This Row],[Item]],supercb[Bairro],mercado14)</f>
        <v>0</v>
      </c>
      <c r="Z194" s="18">
        <f>SUMIFS(super1[Qtde],super1[Item],tab_alimentos[[#This Row],[Item]],super1[Bairro],mercado15)+SUMIFS(supercb[Qtde],supercb[Item],tab_alimentos[[#This Row],[Item]],supercb[Bairro],mercado15)</f>
        <v>0</v>
      </c>
      <c r="AA194" s="18">
        <f>SUMIFS(super1[Qtde],super1[Item],tab_alimentos[[#This Row],[Item]],super1[Bairro],mercado16)+SUMIFS(supercb[Qtde],supercb[Item],tab_alimentos[[#This Row],[Item]],supercb[Bairro],mercado16)</f>
        <v>0</v>
      </c>
      <c r="AB194" s="18">
        <f>SUMIFS(super1[Qtde],super1[Item],tab_alimentos[[#This Row],[Item]],super1[Bairro],mercado17)+SUMIFS(supercb[Qtde],supercb[Item],tab_alimentos[[#This Row],[Item]],supercb[Bairro],mercado17)</f>
        <v>0</v>
      </c>
      <c r="AC194" s="18">
        <f>SUMIFS(super1[Qtde],super1[Item],tab_alimentos[[#This Row],[Item]],super1[Bairro],mercado18)+SUMIFS(supercb[Qtde],supercb[Item],tab_alimentos[[#This Row],[Item]],supercb[Bairro],mercado18)</f>
        <v>0</v>
      </c>
      <c r="AD194" s="18">
        <f>SUMIFS(super1[Qtde],super1[Item],tab_alimentos[[#This Row],[Item]],super1[Bairro],extras)+SUMIFS(supercb[Qtde],supercb[Item],tab_alimentos[[#This Row],[Item]],supercb[Bairro],extras)</f>
        <v>0</v>
      </c>
      <c r="AE194" s="1">
        <f t="shared" si="67"/>
        <v>0</v>
      </c>
      <c r="AF194" s="1">
        <f t="shared" si="68"/>
        <v>0</v>
      </c>
      <c r="AG194" s="26">
        <f t="shared" si="69"/>
        <v>0</v>
      </c>
      <c r="AH194" s="15" t="str">
        <f>higiene[[#This Row],[Item]]</f>
        <v>Saco de Lixo (20un)</v>
      </c>
      <c r="AI194" s="8">
        <f>IFERROR(higiene[[#This Row],[Kg equivalente]],0)</f>
        <v>3.2997099770286251</v>
      </c>
      <c r="AJ194" s="8">
        <f>IFERROR(higiene[[#This Row],[Preço por produto]],0)</f>
        <v>10.930000000000001</v>
      </c>
      <c r="AK194" s="61">
        <f>SUMIFS(super1[Qtde],super1[Item],tab_higiene[[#This Row],[Item]],super1[Bairro],mercado1)+SUMIFS(supercb[Qtde],supercb[Item],tab_higiene[[#This Row],[Item]],supercb[Bairro],mercado1)</f>
        <v>0</v>
      </c>
      <c r="AL194" s="61">
        <f>SUMIFS(super1[Qtde],super1[Item],tab_higiene[[#This Row],[Item]],super1[Bairro],mercado2)+SUMIFS(supercb[Qtde],supercb[Item],tab_higiene[[#This Row],[Item]],supercb[Bairro],mercado2)</f>
        <v>0</v>
      </c>
      <c r="AM194" s="61">
        <f>SUMIFS(super1[Qtde],super1[Item],tab_higiene[[#This Row],[Item]],super1[Bairro],mercado3)+SUMIFS(supercb[Qtde],supercb[Item],tab_higiene[[#This Row],[Item]],supercb[Bairro],mercado3)</f>
        <v>0</v>
      </c>
      <c r="AN194" s="61">
        <f>SUMIFS(super1[Qtde],super1[Item],tab_higiene[[#This Row],[Item]],super1[Bairro],mercado4)+SUMIFS(supercb[Qtde],supercb[Item],tab_higiene[[#This Row],[Item]],supercb[Bairro],mercado4)</f>
        <v>0</v>
      </c>
      <c r="AO194" s="61">
        <f>SUMIFS(super1[Qtde],super1[Item],tab_higiene[[#This Row],[Item]],super1[Bairro],mercado5)+SUMIFS(supercb[Qtde],supercb[Item],tab_higiene[[#This Row],[Item]],supercb[Bairro],mercado5)</f>
        <v>0</v>
      </c>
      <c r="AP194" s="61">
        <f>SUMIFS(super1[Qtde],super1[Item],tab_higiene[[#This Row],[Item]],super1[Bairro],mercado6)+SUMIFS(supercb[Qtde],supercb[Item],tab_higiene[[#This Row],[Item]],supercb[Bairro],mercado6)</f>
        <v>0</v>
      </c>
      <c r="AQ194" s="61">
        <f>SUMIFS(super1[Qtde],super1[Item],tab_higiene[[#This Row],[Item]],super1[Bairro],mercado7)+SUMIFS(supercb[Qtde],supercb[Item],tab_higiene[[#This Row],[Item]],supercb[Bairro],mercado7)</f>
        <v>0</v>
      </c>
      <c r="AR194" s="61">
        <f>SUMIFS(super1[Qtde],super1[Item],tab_higiene[[#This Row],[Item]],super1[Bairro],mercado8)+SUMIFS(supercb[Qtde],supercb[Item],tab_higiene[[#This Row],[Item]],supercb[Bairro],mercado8)</f>
        <v>0</v>
      </c>
      <c r="AS194" s="61">
        <f>SUMIFS(super1[Qtde],super1[Item],tab_higiene[[#This Row],[Item]],super1[Bairro],mercado9)+SUMIFS(supercb[Qtde],supercb[Item],tab_higiene[[#This Row],[Item]],supercb[Bairro],mercado9)</f>
        <v>0</v>
      </c>
      <c r="AT194" s="61">
        <f>SUMIFS(super1[Qtde],super1[Item],tab_higiene[[#This Row],[Item]],super1[Bairro],mercado10)+SUMIFS(supercb[Qtde],supercb[Item],tab_higiene[[#This Row],[Item]],supercb[Bairro],mercado10)</f>
        <v>0</v>
      </c>
      <c r="AU194" s="61">
        <f>SUMIFS(super1[Qtde],super1[Item],tab_higiene[[#This Row],[Item]],super1[Bairro],mercado11)+SUMIFS(supercb[Qtde],supercb[Item],tab_higiene[[#This Row],[Item]],supercb[Bairro],mercado11)</f>
        <v>0</v>
      </c>
      <c r="AV194" s="61">
        <f>SUMIFS(super1[Qtde],super1[Item],tab_higiene[[#This Row],[Item]],super1[Bairro],mercado12)+SUMIFS(supercb[Qtde],supercb[Item],tab_higiene[[#This Row],[Item]],supercb[Bairro],mercado12)</f>
        <v>0</v>
      </c>
      <c r="AW194" s="61">
        <f>SUMIFS(super1[Qtde],super1[Item],tab_higiene[[#This Row],[Item]],super1[Bairro],mercado13)+SUMIFS(supercb[Qtde],supercb[Item],tab_higiene[[#This Row],[Item]],supercb[Bairro],mercado13)</f>
        <v>0</v>
      </c>
      <c r="AX194" s="61">
        <f>SUMIFS(super1[Qtde],super1[Item],tab_higiene[[#This Row],[Item]],super1[Bairro],mercado14)+SUMIFS(supercb[Qtde],supercb[Item],tab_higiene[[#This Row],[Item]],supercb[Bairro],mercado14)</f>
        <v>0</v>
      </c>
      <c r="AY194" s="61">
        <f>SUMIFS(super1[Qtde],super1[Item],tab_higiene[[#This Row],[Item]],super1[Bairro],mercado15)+SUMIFS(supercb[Qtde],supercb[Item],tab_higiene[[#This Row],[Item]],supercb[Bairro],mercado15)</f>
        <v>0</v>
      </c>
      <c r="AZ194" s="61">
        <f>SUMIFS(super1[Qtde],super1[Item],tab_higiene[[#This Row],[Item]],super1[Bairro],mercado16)+SUMIFS(supercb[Qtde],supercb[Item],tab_higiene[[#This Row],[Item]],supercb[Bairro],mercado16)</f>
        <v>0</v>
      </c>
      <c r="BA194" s="61">
        <f>SUMIFS(super1[Qtde],super1[Item],tab_higiene[[#This Row],[Item]],super1[Bairro],mercado17)+SUMIFS(supercb[Qtde],supercb[Item],tab_higiene[[#This Row],[Item]],supercb[Bairro],mercado17)</f>
        <v>0</v>
      </c>
      <c r="BB194" s="61">
        <f>SUMIFS(super1[Qtde],super1[Item],tab_higiene[[#This Row],[Item]],super1[Bairro],mercado18)+SUMIFS(supercb[Qtde],supercb[Item],tab_higiene[[#This Row],[Item]],supercb[Bairro],mercado18)</f>
        <v>0</v>
      </c>
      <c r="BC194" s="51">
        <f>SUMIFS(super1[Qtde],super1[Item],tab_higiene[[#This Row],[Item]],super1[Bairro],extras)+SUMIFS(supercb[Qtde],supercb[Item],tab_higiene[[#This Row],[Item]],supercb[Bairro],extras)</f>
        <v>0</v>
      </c>
      <c r="BD194" s="8">
        <f t="shared" si="76"/>
        <v>0</v>
      </c>
      <c r="BE194" s="8">
        <f t="shared" si="77"/>
        <v>0</v>
      </c>
      <c r="BF194" s="23">
        <f t="shared" si="78"/>
        <v>0</v>
      </c>
    </row>
    <row r="195" spans="9:58" ht="15.75" thickBot="1" x14ac:dyDescent="0.3">
      <c r="I195" s="25" t="str">
        <f>alimentos[[#This Row],[Item]]</f>
        <v>Molho de Tomate (440g)</v>
      </c>
      <c r="J195" s="1">
        <f>IFERROR(alimentos[[#This Row],[kg/embalagem]],0)</f>
        <v>0.44</v>
      </c>
      <c r="K195" s="18">
        <f>IFERROR(alimentos[[#This Row],[Preço]],0)</f>
        <v>4.32</v>
      </c>
      <c r="L195" s="18">
        <f>SUMIFS(super1[Qtde],super1[Item],tab_alimentos[[#This Row],[Item]],super1[Bairro],mercado1)+SUMIFS(supercb[Qtde],supercb[Item],tab_alimentos[[#This Row],[Item]],supercb[Bairro],mercado1)</f>
        <v>0</v>
      </c>
      <c r="M195" s="18">
        <f>SUMIFS(super1[Qtde],super1[Item],tab_alimentos[[#This Row],[Item]],super1[Bairro],mercado2)+SUMIFS(supercb[Qtde],supercb[Item],tab_alimentos[[#This Row],[Item]],supercb[Bairro],mercado2)</f>
        <v>0</v>
      </c>
      <c r="N195" s="1">
        <f>SUMIFS(super1[Qtde],super1[Item],tab_alimentos[[#This Row],[Item]],super1[Bairro],mercado3)+SUMIFS(supercb[Qtde],supercb[Item],tab_alimentos[[#This Row],[Item]],supercb[Bairro],mercado3)</f>
        <v>0</v>
      </c>
      <c r="O195" s="18">
        <f>SUMIFS(super1[Qtde],super1[Item],tab_alimentos[[#This Row],[Item]],super1[Bairro],mercado4)+SUMIFS(supercb[Qtde],supercb[Item],tab_alimentos[[#This Row],[Item]],supercb[Bairro],mercado4)</f>
        <v>0</v>
      </c>
      <c r="P195" s="18">
        <f>SUMIFS(super1[Qtde],super1[Item],tab_alimentos[[#This Row],[Item]],super1[Bairro],mercado5)+SUMIFS(supercb[Qtde],supercb[Item],tab_alimentos[[#This Row],[Item]],supercb[Bairro],mercado5)</f>
        <v>0</v>
      </c>
      <c r="Q195" s="18">
        <f>SUMIFS(super1[Qtde],super1[Item],tab_alimentos[[#This Row],[Item]],super1[Bairro],mercado6)+SUMIFS(supercb[Qtde],supercb[Item],tab_alimentos[[#This Row],[Item]],supercb[Bairro],mercado6)</f>
        <v>0</v>
      </c>
      <c r="R195" s="18">
        <f>SUMIFS(super1[Qtde],super1[Item],tab_alimentos[[#This Row],[Item]],super1[Bairro],mercado7)+SUMIFS(supercb[Qtde],supercb[Item],tab_alimentos[[#This Row],[Item]],supercb[Bairro],mercado7)</f>
        <v>0</v>
      </c>
      <c r="S195" s="18">
        <f>SUMIFS(super1[Qtde],super1[Item],tab_alimentos[[#This Row],[Item]],super1[Bairro],mercado8)+SUMIFS(supercb[Qtde],supercb[Item],tab_alimentos[[#This Row],[Item]],supercb[Bairro],mercado8)</f>
        <v>0</v>
      </c>
      <c r="T195" s="18">
        <f>SUMIFS(super1[Qtde],super1[Item],tab_alimentos[[#This Row],[Item]],super1[Bairro],mercado9)+SUMIFS(supercb[Qtde],supercb[Item],tab_alimentos[[#This Row],[Item]],supercb[Bairro],mercado9)</f>
        <v>0</v>
      </c>
      <c r="U195" s="18">
        <f>SUMIFS(super1[Qtde],super1[Item],tab_alimentos[[#This Row],[Item]],super1[Bairro],mercado10)+SUMIFS(supercb[Qtde],supercb[Item],tab_alimentos[[#This Row],[Item]],supercb[Bairro],mercado10)</f>
        <v>0</v>
      </c>
      <c r="V195" s="18">
        <f>SUMIFS(super1[Qtde],super1[Item],tab_alimentos[[#This Row],[Item]],super1[Bairro],mercado11)+SUMIFS(supercb[Qtde],supercb[Item],tab_alimentos[[#This Row],[Item]],supercb[Bairro],mercado11)</f>
        <v>0</v>
      </c>
      <c r="W195" s="18">
        <f>SUMIFS(super1[Qtde],super1[Item],tab_alimentos[[#This Row],[Item]],super1[Bairro],mercado12)+SUMIFS(supercb[Qtde],supercb[Item],tab_alimentos[[#This Row],[Item]],supercb[Bairro],mercado12)</f>
        <v>0</v>
      </c>
      <c r="X195" s="18">
        <f>SUMIFS(super1[Qtde],super1[Item],tab_alimentos[[#This Row],[Item]],super1[Bairro],mercado13)+SUMIFS(supercb[Qtde],supercb[Item],tab_alimentos[[#This Row],[Item]],supercb[Bairro],mercado13)</f>
        <v>0</v>
      </c>
      <c r="Y195" s="18">
        <f>SUMIFS(super1[Qtde],super1[Item],tab_alimentos[[#This Row],[Item]],super1[Bairro],mercado14)+SUMIFS(supercb[Qtde],supercb[Item],tab_alimentos[[#This Row],[Item]],supercb[Bairro],mercado14)</f>
        <v>0</v>
      </c>
      <c r="Z195" s="18">
        <f>SUMIFS(super1[Qtde],super1[Item],tab_alimentos[[#This Row],[Item]],super1[Bairro],mercado15)+SUMIFS(supercb[Qtde],supercb[Item],tab_alimentos[[#This Row],[Item]],supercb[Bairro],mercado15)</f>
        <v>0</v>
      </c>
      <c r="AA195" s="18">
        <f>SUMIFS(super1[Qtde],super1[Item],tab_alimentos[[#This Row],[Item]],super1[Bairro],mercado16)+SUMIFS(supercb[Qtde],supercb[Item],tab_alimentos[[#This Row],[Item]],supercb[Bairro],mercado16)</f>
        <v>0</v>
      </c>
      <c r="AB195" s="18">
        <f>SUMIFS(super1[Qtde],super1[Item],tab_alimentos[[#This Row],[Item]],super1[Bairro],mercado17)+SUMIFS(supercb[Qtde],supercb[Item],tab_alimentos[[#This Row],[Item]],supercb[Bairro],mercado17)</f>
        <v>0</v>
      </c>
      <c r="AC195" s="18">
        <f>SUMIFS(super1[Qtde],super1[Item],tab_alimentos[[#This Row],[Item]],super1[Bairro],mercado18)+SUMIFS(supercb[Qtde],supercb[Item],tab_alimentos[[#This Row],[Item]],supercb[Bairro],mercado18)</f>
        <v>0</v>
      </c>
      <c r="AD195" s="18">
        <f>SUMIFS(super1[Qtde],super1[Item],tab_alimentos[[#This Row],[Item]],super1[Bairro],extras)+SUMIFS(supercb[Qtde],supercb[Item],tab_alimentos[[#This Row],[Item]],supercb[Bairro],extras)</f>
        <v>0</v>
      </c>
      <c r="AE195" s="1">
        <f t="shared" si="67"/>
        <v>0</v>
      </c>
      <c r="AF195" s="1">
        <f t="shared" si="68"/>
        <v>0</v>
      </c>
      <c r="AG195" s="26">
        <f t="shared" si="69"/>
        <v>0</v>
      </c>
      <c r="AH195" s="15" t="str">
        <f>higiene[[#This Row],[Item]]</f>
        <v>Saco de Lixo (20un) 15l</v>
      </c>
      <c r="AI195" s="8">
        <f>IFERROR(higiene[[#This Row],[Kg equivalente]],0)</f>
        <v>1.4641896970346595</v>
      </c>
      <c r="AJ195" s="8">
        <f>IFERROR(higiene[[#This Row],[Preço por produto]],0)</f>
        <v>4.8499999999999996</v>
      </c>
      <c r="AK195" s="61">
        <f>SUMIFS(super1[Qtde],super1[Item],tab_higiene[[#This Row],[Item]],super1[Bairro],mercado1)+SUMIFS(supercb[Qtde],supercb[Item],tab_higiene[[#This Row],[Item]],supercb[Bairro],mercado1)</f>
        <v>0</v>
      </c>
      <c r="AL195" s="61">
        <f>SUMIFS(super1[Qtde],super1[Item],tab_higiene[[#This Row],[Item]],super1[Bairro],mercado2)+SUMIFS(supercb[Qtde],supercb[Item],tab_higiene[[#This Row],[Item]],supercb[Bairro],mercado2)</f>
        <v>0</v>
      </c>
      <c r="AM195" s="61">
        <f>SUMIFS(super1[Qtde],super1[Item],tab_higiene[[#This Row],[Item]],super1[Bairro],mercado3)+SUMIFS(supercb[Qtde],supercb[Item],tab_higiene[[#This Row],[Item]],supercb[Bairro],mercado3)</f>
        <v>0</v>
      </c>
      <c r="AN195" s="61">
        <f>SUMIFS(super1[Qtde],super1[Item],tab_higiene[[#This Row],[Item]],super1[Bairro],mercado4)+SUMIFS(supercb[Qtde],supercb[Item],tab_higiene[[#This Row],[Item]],supercb[Bairro],mercado4)</f>
        <v>0</v>
      </c>
      <c r="AO195" s="61">
        <f>SUMIFS(super1[Qtde],super1[Item],tab_higiene[[#This Row],[Item]],super1[Bairro],mercado5)+SUMIFS(supercb[Qtde],supercb[Item],tab_higiene[[#This Row],[Item]],supercb[Bairro],mercado5)</f>
        <v>0</v>
      </c>
      <c r="AP195" s="61">
        <f>SUMIFS(super1[Qtde],super1[Item],tab_higiene[[#This Row],[Item]],super1[Bairro],mercado6)+SUMIFS(supercb[Qtde],supercb[Item],tab_higiene[[#This Row],[Item]],supercb[Bairro],mercado6)</f>
        <v>0</v>
      </c>
      <c r="AQ195" s="61">
        <f>SUMIFS(super1[Qtde],super1[Item],tab_higiene[[#This Row],[Item]],super1[Bairro],mercado7)+SUMIFS(supercb[Qtde],supercb[Item],tab_higiene[[#This Row],[Item]],supercb[Bairro],mercado7)</f>
        <v>0</v>
      </c>
      <c r="AR195" s="61">
        <f>SUMIFS(super1[Qtde],super1[Item],tab_higiene[[#This Row],[Item]],super1[Bairro],mercado8)+SUMIFS(supercb[Qtde],supercb[Item],tab_higiene[[#This Row],[Item]],supercb[Bairro],mercado8)</f>
        <v>0</v>
      </c>
      <c r="AS195" s="61">
        <f>SUMIFS(super1[Qtde],super1[Item],tab_higiene[[#This Row],[Item]],super1[Bairro],mercado9)+SUMIFS(supercb[Qtde],supercb[Item],tab_higiene[[#This Row],[Item]],supercb[Bairro],mercado9)</f>
        <v>0</v>
      </c>
      <c r="AT195" s="61">
        <f>SUMIFS(super1[Qtde],super1[Item],tab_higiene[[#This Row],[Item]],super1[Bairro],mercado10)+SUMIFS(supercb[Qtde],supercb[Item],tab_higiene[[#This Row],[Item]],supercb[Bairro],mercado10)</f>
        <v>0</v>
      </c>
      <c r="AU195" s="61">
        <f>SUMIFS(super1[Qtde],super1[Item],tab_higiene[[#This Row],[Item]],super1[Bairro],mercado11)+SUMIFS(supercb[Qtde],supercb[Item],tab_higiene[[#This Row],[Item]],supercb[Bairro],mercado11)</f>
        <v>0</v>
      </c>
      <c r="AV195" s="61">
        <f>SUMIFS(super1[Qtde],super1[Item],tab_higiene[[#This Row],[Item]],super1[Bairro],mercado12)+SUMIFS(supercb[Qtde],supercb[Item],tab_higiene[[#This Row],[Item]],supercb[Bairro],mercado12)</f>
        <v>0</v>
      </c>
      <c r="AW195" s="61">
        <f>SUMIFS(super1[Qtde],super1[Item],tab_higiene[[#This Row],[Item]],super1[Bairro],mercado13)+SUMIFS(supercb[Qtde],supercb[Item],tab_higiene[[#This Row],[Item]],supercb[Bairro],mercado13)</f>
        <v>0</v>
      </c>
      <c r="AX195" s="61">
        <f>SUMIFS(super1[Qtde],super1[Item],tab_higiene[[#This Row],[Item]],super1[Bairro],mercado14)+SUMIFS(supercb[Qtde],supercb[Item],tab_higiene[[#This Row],[Item]],supercb[Bairro],mercado14)</f>
        <v>0</v>
      </c>
      <c r="AY195" s="61">
        <f>SUMIFS(super1[Qtde],super1[Item],tab_higiene[[#This Row],[Item]],super1[Bairro],mercado15)+SUMIFS(supercb[Qtde],supercb[Item],tab_higiene[[#This Row],[Item]],supercb[Bairro],mercado15)</f>
        <v>0</v>
      </c>
      <c r="AZ195" s="61">
        <f>SUMIFS(super1[Qtde],super1[Item],tab_higiene[[#This Row],[Item]],super1[Bairro],mercado16)+SUMIFS(supercb[Qtde],supercb[Item],tab_higiene[[#This Row],[Item]],supercb[Bairro],mercado16)</f>
        <v>0</v>
      </c>
      <c r="BA195" s="61">
        <f>SUMIFS(super1[Qtde],super1[Item],tab_higiene[[#This Row],[Item]],super1[Bairro],mercado17)+SUMIFS(supercb[Qtde],supercb[Item],tab_higiene[[#This Row],[Item]],supercb[Bairro],mercado17)</f>
        <v>0</v>
      </c>
      <c r="BB195" s="61">
        <f>SUMIFS(super1[Qtde],super1[Item],tab_higiene[[#This Row],[Item]],super1[Bairro],mercado18)+SUMIFS(supercb[Qtde],supercb[Item],tab_higiene[[#This Row],[Item]],supercb[Bairro],mercado18)</f>
        <v>0</v>
      </c>
      <c r="BC195" s="51">
        <f>SUMIFS(super1[Qtde],super1[Item],tab_higiene[[#This Row],[Item]],super1[Bairro],extras)+SUMIFS(supercb[Qtde],supercb[Item],tab_higiene[[#This Row],[Item]],supercb[Bairro],extras)</f>
        <v>0</v>
      </c>
      <c r="BD195" s="8">
        <f t="shared" si="76"/>
        <v>0</v>
      </c>
      <c r="BE195" s="8">
        <f t="shared" si="77"/>
        <v>0</v>
      </c>
      <c r="BF195" s="23">
        <f t="shared" si="78"/>
        <v>0</v>
      </c>
    </row>
    <row r="196" spans="9:58" ht="15.75" thickBot="1" x14ac:dyDescent="0.3">
      <c r="I196" s="25" t="str">
        <f>alimentos[[#This Row],[Item]]</f>
        <v>Molho de tomate (520g)</v>
      </c>
      <c r="J196" s="1">
        <f>IFERROR(alimentos[[#This Row],[kg/embalagem]],0)</f>
        <v>0.52</v>
      </c>
      <c r="K196" s="18">
        <f>IFERROR(alimentos[[#This Row],[Preço]],0)</f>
        <v>3.4859999999999998</v>
      </c>
      <c r="L196" s="18">
        <f>SUMIFS(super1[Qtde],super1[Item],tab_alimentos[[#This Row],[Item]],super1[Bairro],mercado1)+SUMIFS(supercb[Qtde],supercb[Item],tab_alimentos[[#This Row],[Item]],supercb[Bairro],mercado1)</f>
        <v>0</v>
      </c>
      <c r="M196" s="18">
        <f>SUMIFS(super1[Qtde],super1[Item],tab_alimentos[[#This Row],[Item]],super1[Bairro],mercado2)+SUMIFS(supercb[Qtde],supercb[Item],tab_alimentos[[#This Row],[Item]],supercb[Bairro],mercado2)</f>
        <v>0</v>
      </c>
      <c r="N196" s="1">
        <f>SUMIFS(super1[Qtde],super1[Item],tab_alimentos[[#This Row],[Item]],super1[Bairro],mercado3)+SUMIFS(supercb[Qtde],supercb[Item],tab_alimentos[[#This Row],[Item]],supercb[Bairro],mercado3)</f>
        <v>0</v>
      </c>
      <c r="O196" s="18">
        <f>SUMIFS(super1[Qtde],super1[Item],tab_alimentos[[#This Row],[Item]],super1[Bairro],mercado4)+SUMIFS(supercb[Qtde],supercb[Item],tab_alimentos[[#This Row],[Item]],supercb[Bairro],mercado4)</f>
        <v>0</v>
      </c>
      <c r="P196" s="18">
        <f>SUMIFS(super1[Qtde],super1[Item],tab_alimentos[[#This Row],[Item]],super1[Bairro],mercado5)+SUMIFS(supercb[Qtde],supercb[Item],tab_alimentos[[#This Row],[Item]],supercb[Bairro],mercado5)</f>
        <v>0</v>
      </c>
      <c r="Q196" s="18">
        <f>SUMIFS(super1[Qtde],super1[Item],tab_alimentos[[#This Row],[Item]],super1[Bairro],mercado6)+SUMIFS(supercb[Qtde],supercb[Item],tab_alimentos[[#This Row],[Item]],supercb[Bairro],mercado6)</f>
        <v>0</v>
      </c>
      <c r="R196" s="18">
        <f>SUMIFS(super1[Qtde],super1[Item],tab_alimentos[[#This Row],[Item]],super1[Bairro],mercado7)+SUMIFS(supercb[Qtde],supercb[Item],tab_alimentos[[#This Row],[Item]],supercb[Bairro],mercado7)</f>
        <v>0</v>
      </c>
      <c r="S196" s="18">
        <f>SUMIFS(super1[Qtde],super1[Item],tab_alimentos[[#This Row],[Item]],super1[Bairro],mercado8)+SUMIFS(supercb[Qtde],supercb[Item],tab_alimentos[[#This Row],[Item]],supercb[Bairro],mercado8)</f>
        <v>0</v>
      </c>
      <c r="T196" s="18">
        <f>SUMIFS(super1[Qtde],super1[Item],tab_alimentos[[#This Row],[Item]],super1[Bairro],mercado9)+SUMIFS(supercb[Qtde],supercb[Item],tab_alimentos[[#This Row],[Item]],supercb[Bairro],mercado9)</f>
        <v>1</v>
      </c>
      <c r="U196" s="18">
        <f>SUMIFS(super1[Qtde],super1[Item],tab_alimentos[[#This Row],[Item]],super1[Bairro],mercado10)+SUMIFS(supercb[Qtde],supercb[Item],tab_alimentos[[#This Row],[Item]],supercb[Bairro],mercado10)</f>
        <v>2</v>
      </c>
      <c r="V196" s="18">
        <f>SUMIFS(super1[Qtde],super1[Item],tab_alimentos[[#This Row],[Item]],super1[Bairro],mercado11)+SUMIFS(supercb[Qtde],supercb[Item],tab_alimentos[[#This Row],[Item]],supercb[Bairro],mercado11)</f>
        <v>0</v>
      </c>
      <c r="W196" s="18">
        <f>SUMIFS(super1[Qtde],super1[Item],tab_alimentos[[#This Row],[Item]],super1[Bairro],mercado12)+SUMIFS(supercb[Qtde],supercb[Item],tab_alimentos[[#This Row],[Item]],supercb[Bairro],mercado12)</f>
        <v>0</v>
      </c>
      <c r="X196" s="18">
        <f>SUMIFS(super1[Qtde],super1[Item],tab_alimentos[[#This Row],[Item]],super1[Bairro],mercado13)+SUMIFS(supercb[Qtde],supercb[Item],tab_alimentos[[#This Row],[Item]],supercb[Bairro],mercado13)</f>
        <v>4</v>
      </c>
      <c r="Y196" s="18">
        <f>SUMIFS(super1[Qtde],super1[Item],tab_alimentos[[#This Row],[Item]],super1[Bairro],mercado14)+SUMIFS(supercb[Qtde],supercb[Item],tab_alimentos[[#This Row],[Item]],supercb[Bairro],mercado14)</f>
        <v>0</v>
      </c>
      <c r="Z196" s="18">
        <f>SUMIFS(super1[Qtde],super1[Item],tab_alimentos[[#This Row],[Item]],super1[Bairro],mercado15)+SUMIFS(supercb[Qtde],supercb[Item],tab_alimentos[[#This Row],[Item]],supercb[Bairro],mercado15)</f>
        <v>0</v>
      </c>
      <c r="AA196" s="18">
        <f>SUMIFS(super1[Qtde],super1[Item],tab_alimentos[[#This Row],[Item]],super1[Bairro],mercado16)+SUMIFS(supercb[Qtde],supercb[Item],tab_alimentos[[#This Row],[Item]],supercb[Bairro],mercado16)</f>
        <v>0</v>
      </c>
      <c r="AB196" s="18">
        <f>SUMIFS(super1[Qtde],super1[Item],tab_alimentos[[#This Row],[Item]],super1[Bairro],mercado17)+SUMIFS(supercb[Qtde],supercb[Item],tab_alimentos[[#This Row],[Item]],supercb[Bairro],mercado17)</f>
        <v>0</v>
      </c>
      <c r="AC196" s="18">
        <f>SUMIFS(super1[Qtde],super1[Item],tab_alimentos[[#This Row],[Item]],super1[Bairro],mercado18)+SUMIFS(supercb[Qtde],supercb[Item],tab_alimentos[[#This Row],[Item]],supercb[Bairro],mercado18)</f>
        <v>0</v>
      </c>
      <c r="AD196" s="18">
        <f>SUMIFS(super1[Qtde],super1[Item],tab_alimentos[[#This Row],[Item]],super1[Bairro],extras)+SUMIFS(supercb[Qtde],supercb[Item],tab_alimentos[[#This Row],[Item]],supercb[Bairro],extras)</f>
        <v>0</v>
      </c>
      <c r="AE196" s="1">
        <f t="shared" si="67"/>
        <v>7</v>
      </c>
      <c r="AF196" s="1">
        <f t="shared" si="68"/>
        <v>24.401999999999997</v>
      </c>
      <c r="AG196" s="26">
        <f t="shared" si="69"/>
        <v>3.64</v>
      </c>
      <c r="AH196" s="15" t="str">
        <f>higiene[[#This Row],[Item]]</f>
        <v>Saco de Lixo (50un)</v>
      </c>
      <c r="AI196" s="8">
        <f>IFERROR(higiene[[#This Row],[Kg equivalente]],0)</f>
        <v>4.1412416843449371</v>
      </c>
      <c r="AJ196" s="8">
        <f>IFERROR(higiene[[#This Row],[Preço por produto]],0)</f>
        <v>13.717500000000001</v>
      </c>
      <c r="AK196" s="61">
        <f>SUMIFS(super1[Qtde],super1[Item],tab_higiene[[#This Row],[Item]],super1[Bairro],mercado1)+SUMIFS(supercb[Qtde],supercb[Item],tab_higiene[[#This Row],[Item]],supercb[Bairro],mercado1)</f>
        <v>0</v>
      </c>
      <c r="AL196" s="61">
        <f>SUMIFS(super1[Qtde],super1[Item],tab_higiene[[#This Row],[Item]],super1[Bairro],mercado2)+SUMIFS(supercb[Qtde],supercb[Item],tab_higiene[[#This Row],[Item]],supercb[Bairro],mercado2)</f>
        <v>0</v>
      </c>
      <c r="AM196" s="61">
        <f>SUMIFS(super1[Qtde],super1[Item],tab_higiene[[#This Row],[Item]],super1[Bairro],mercado3)+SUMIFS(supercb[Qtde],supercb[Item],tab_higiene[[#This Row],[Item]],supercb[Bairro],mercado3)</f>
        <v>0</v>
      </c>
      <c r="AN196" s="61">
        <f>SUMIFS(super1[Qtde],super1[Item],tab_higiene[[#This Row],[Item]],super1[Bairro],mercado4)+SUMIFS(supercb[Qtde],supercb[Item],tab_higiene[[#This Row],[Item]],supercb[Bairro],mercado4)</f>
        <v>0</v>
      </c>
      <c r="AO196" s="61">
        <f>SUMIFS(super1[Qtde],super1[Item],tab_higiene[[#This Row],[Item]],super1[Bairro],mercado5)+SUMIFS(supercb[Qtde],supercb[Item],tab_higiene[[#This Row],[Item]],supercb[Bairro],mercado5)</f>
        <v>0</v>
      </c>
      <c r="AP196" s="61">
        <f>SUMIFS(super1[Qtde],super1[Item],tab_higiene[[#This Row],[Item]],super1[Bairro],mercado6)+SUMIFS(supercb[Qtde],supercb[Item],tab_higiene[[#This Row],[Item]],supercb[Bairro],mercado6)</f>
        <v>0</v>
      </c>
      <c r="AQ196" s="61">
        <f>SUMIFS(super1[Qtde],super1[Item],tab_higiene[[#This Row],[Item]],super1[Bairro],mercado7)+SUMIFS(supercb[Qtde],supercb[Item],tab_higiene[[#This Row],[Item]],supercb[Bairro],mercado7)</f>
        <v>0</v>
      </c>
      <c r="AR196" s="61">
        <f>SUMIFS(super1[Qtde],super1[Item],tab_higiene[[#This Row],[Item]],super1[Bairro],mercado8)+SUMIFS(supercb[Qtde],supercb[Item],tab_higiene[[#This Row],[Item]],supercb[Bairro],mercado8)</f>
        <v>0</v>
      </c>
      <c r="AS196" s="61">
        <f>SUMIFS(super1[Qtde],super1[Item],tab_higiene[[#This Row],[Item]],super1[Bairro],mercado9)+SUMIFS(supercb[Qtde],supercb[Item],tab_higiene[[#This Row],[Item]],supercb[Bairro],mercado9)</f>
        <v>0</v>
      </c>
      <c r="AT196" s="61">
        <f>SUMIFS(super1[Qtde],super1[Item],tab_higiene[[#This Row],[Item]],super1[Bairro],mercado10)+SUMIFS(supercb[Qtde],supercb[Item],tab_higiene[[#This Row],[Item]],supercb[Bairro],mercado10)</f>
        <v>0</v>
      </c>
      <c r="AU196" s="61">
        <f>SUMIFS(super1[Qtde],super1[Item],tab_higiene[[#This Row],[Item]],super1[Bairro],mercado11)+SUMIFS(supercb[Qtde],supercb[Item],tab_higiene[[#This Row],[Item]],supercb[Bairro],mercado11)</f>
        <v>0</v>
      </c>
      <c r="AV196" s="61">
        <f>SUMIFS(super1[Qtde],super1[Item],tab_higiene[[#This Row],[Item]],super1[Bairro],mercado12)+SUMIFS(supercb[Qtde],supercb[Item],tab_higiene[[#This Row],[Item]],supercb[Bairro],mercado12)</f>
        <v>0</v>
      </c>
      <c r="AW196" s="61">
        <f>SUMIFS(super1[Qtde],super1[Item],tab_higiene[[#This Row],[Item]],super1[Bairro],mercado13)+SUMIFS(supercb[Qtde],supercb[Item],tab_higiene[[#This Row],[Item]],supercb[Bairro],mercado13)</f>
        <v>0</v>
      </c>
      <c r="AX196" s="61">
        <f>SUMIFS(super1[Qtde],super1[Item],tab_higiene[[#This Row],[Item]],super1[Bairro],mercado14)+SUMIFS(supercb[Qtde],supercb[Item],tab_higiene[[#This Row],[Item]],supercb[Bairro],mercado14)</f>
        <v>0</v>
      </c>
      <c r="AY196" s="61">
        <f>SUMIFS(super1[Qtde],super1[Item],tab_higiene[[#This Row],[Item]],super1[Bairro],mercado15)+SUMIFS(supercb[Qtde],supercb[Item],tab_higiene[[#This Row],[Item]],supercb[Bairro],mercado15)</f>
        <v>0</v>
      </c>
      <c r="AZ196" s="61">
        <f>SUMIFS(super1[Qtde],super1[Item],tab_higiene[[#This Row],[Item]],super1[Bairro],mercado16)+SUMIFS(supercb[Qtde],supercb[Item],tab_higiene[[#This Row],[Item]],supercb[Bairro],mercado16)</f>
        <v>0</v>
      </c>
      <c r="BA196" s="61">
        <f>SUMIFS(super1[Qtde],super1[Item],tab_higiene[[#This Row],[Item]],super1[Bairro],mercado17)+SUMIFS(supercb[Qtde],supercb[Item],tab_higiene[[#This Row],[Item]],supercb[Bairro],mercado17)</f>
        <v>0</v>
      </c>
      <c r="BB196" s="61">
        <f>SUMIFS(super1[Qtde],super1[Item],tab_higiene[[#This Row],[Item]],super1[Bairro],mercado18)+SUMIFS(supercb[Qtde],supercb[Item],tab_higiene[[#This Row],[Item]],supercb[Bairro],mercado18)</f>
        <v>0</v>
      </c>
      <c r="BC196" s="51">
        <f>SUMIFS(super1[Qtde],super1[Item],tab_higiene[[#This Row],[Item]],super1[Bairro],extras)+SUMIFS(supercb[Qtde],supercb[Item],tab_higiene[[#This Row],[Item]],supercb[Bairro],extras)</f>
        <v>0</v>
      </c>
      <c r="BD196" s="8">
        <f t="shared" si="76"/>
        <v>0</v>
      </c>
      <c r="BE196" s="8">
        <f t="shared" si="77"/>
        <v>0</v>
      </c>
      <c r="BF196" s="23">
        <f t="shared" si="78"/>
        <v>0</v>
      </c>
    </row>
    <row r="197" spans="9:58" ht="15.75" thickBot="1" x14ac:dyDescent="0.3">
      <c r="I197" s="25" t="str">
        <f>alimentos[[#This Row],[Item]]</f>
        <v>Molho de tomate (680g)</v>
      </c>
      <c r="J197" s="1">
        <f>IFERROR(alimentos[[#This Row],[kg/embalagem]],0)</f>
        <v>0.68</v>
      </c>
      <c r="K197" s="18">
        <f>IFERROR(alimentos[[#This Row],[Preço]],0)</f>
        <v>8.99</v>
      </c>
      <c r="L197" s="18">
        <f>SUMIFS(super1[Qtde],super1[Item],tab_alimentos[[#This Row],[Item]],super1[Bairro],mercado1)+SUMIFS(supercb[Qtde],supercb[Item],tab_alimentos[[#This Row],[Item]],supercb[Bairro],mercado1)</f>
        <v>0</v>
      </c>
      <c r="M197" s="18">
        <f>SUMIFS(super1[Qtde],super1[Item],tab_alimentos[[#This Row],[Item]],super1[Bairro],mercado2)+SUMIFS(supercb[Qtde],supercb[Item],tab_alimentos[[#This Row],[Item]],supercb[Bairro],mercado2)</f>
        <v>0</v>
      </c>
      <c r="N197" s="1">
        <f>SUMIFS(super1[Qtde],super1[Item],tab_alimentos[[#This Row],[Item]],super1[Bairro],mercado3)+SUMIFS(supercb[Qtde],supercb[Item],tab_alimentos[[#This Row],[Item]],supercb[Bairro],mercado3)</f>
        <v>0</v>
      </c>
      <c r="O197" s="18">
        <f>SUMIFS(super1[Qtde],super1[Item],tab_alimentos[[#This Row],[Item]],super1[Bairro],mercado4)+SUMIFS(supercb[Qtde],supercb[Item],tab_alimentos[[#This Row],[Item]],supercb[Bairro],mercado4)</f>
        <v>0</v>
      </c>
      <c r="P197" s="18">
        <f>SUMIFS(super1[Qtde],super1[Item],tab_alimentos[[#This Row],[Item]],super1[Bairro],mercado5)+SUMIFS(supercb[Qtde],supercb[Item],tab_alimentos[[#This Row],[Item]],supercb[Bairro],mercado5)</f>
        <v>0</v>
      </c>
      <c r="Q197" s="18">
        <f>SUMIFS(super1[Qtde],super1[Item],tab_alimentos[[#This Row],[Item]],super1[Bairro],mercado6)+SUMIFS(supercb[Qtde],supercb[Item],tab_alimentos[[#This Row],[Item]],supercb[Bairro],mercado6)</f>
        <v>0</v>
      </c>
      <c r="R197" s="18">
        <f>SUMIFS(super1[Qtde],super1[Item],tab_alimentos[[#This Row],[Item]],super1[Bairro],mercado7)+SUMIFS(supercb[Qtde],supercb[Item],tab_alimentos[[#This Row],[Item]],supercb[Bairro],mercado7)</f>
        <v>0</v>
      </c>
      <c r="S197" s="18">
        <f>SUMIFS(super1[Qtde],super1[Item],tab_alimentos[[#This Row],[Item]],super1[Bairro],mercado8)+SUMIFS(supercb[Qtde],supercb[Item],tab_alimentos[[#This Row],[Item]],supercb[Bairro],mercado8)</f>
        <v>0</v>
      </c>
      <c r="T197" s="18">
        <f>SUMIFS(super1[Qtde],super1[Item],tab_alimentos[[#This Row],[Item]],super1[Bairro],mercado9)+SUMIFS(supercb[Qtde],supercb[Item],tab_alimentos[[#This Row],[Item]],supercb[Bairro],mercado9)</f>
        <v>0</v>
      </c>
      <c r="U197" s="18">
        <f>SUMIFS(super1[Qtde],super1[Item],tab_alimentos[[#This Row],[Item]],super1[Bairro],mercado10)+SUMIFS(supercb[Qtde],supercb[Item],tab_alimentos[[#This Row],[Item]],supercb[Bairro],mercado10)</f>
        <v>0</v>
      </c>
      <c r="V197" s="18">
        <f>SUMIFS(super1[Qtde],super1[Item],tab_alimentos[[#This Row],[Item]],super1[Bairro],mercado11)+SUMIFS(supercb[Qtde],supercb[Item],tab_alimentos[[#This Row],[Item]],supercb[Bairro],mercado11)</f>
        <v>0</v>
      </c>
      <c r="W197" s="18">
        <f>SUMIFS(super1[Qtde],super1[Item],tab_alimentos[[#This Row],[Item]],super1[Bairro],mercado12)+SUMIFS(supercb[Qtde],supercb[Item],tab_alimentos[[#This Row],[Item]],supercb[Bairro],mercado12)</f>
        <v>0</v>
      </c>
      <c r="X197" s="18">
        <f>SUMIFS(super1[Qtde],super1[Item],tab_alimentos[[#This Row],[Item]],super1[Bairro],mercado13)+SUMIFS(supercb[Qtde],supercb[Item],tab_alimentos[[#This Row],[Item]],supercb[Bairro],mercado13)</f>
        <v>0</v>
      </c>
      <c r="Y197" s="18">
        <f>SUMIFS(super1[Qtde],super1[Item],tab_alimentos[[#This Row],[Item]],super1[Bairro],mercado14)+SUMIFS(supercb[Qtde],supercb[Item],tab_alimentos[[#This Row],[Item]],supercb[Bairro],mercado14)</f>
        <v>0</v>
      </c>
      <c r="Z197" s="18">
        <f>SUMIFS(super1[Qtde],super1[Item],tab_alimentos[[#This Row],[Item]],super1[Bairro],mercado15)+SUMIFS(supercb[Qtde],supercb[Item],tab_alimentos[[#This Row],[Item]],supercb[Bairro],mercado15)</f>
        <v>0</v>
      </c>
      <c r="AA197" s="18">
        <f>SUMIFS(super1[Qtde],super1[Item],tab_alimentos[[#This Row],[Item]],super1[Bairro],mercado16)+SUMIFS(supercb[Qtde],supercb[Item],tab_alimentos[[#This Row],[Item]],supercb[Bairro],mercado16)</f>
        <v>0</v>
      </c>
      <c r="AB197" s="18">
        <f>SUMIFS(super1[Qtde],super1[Item],tab_alimentos[[#This Row],[Item]],super1[Bairro],mercado17)+SUMIFS(supercb[Qtde],supercb[Item],tab_alimentos[[#This Row],[Item]],supercb[Bairro],mercado17)</f>
        <v>0</v>
      </c>
      <c r="AC197" s="18">
        <f>SUMIFS(super1[Qtde],super1[Item],tab_alimentos[[#This Row],[Item]],super1[Bairro],mercado18)+SUMIFS(supercb[Qtde],supercb[Item],tab_alimentos[[#This Row],[Item]],supercb[Bairro],mercado18)</f>
        <v>0</v>
      </c>
      <c r="AD197" s="18">
        <f>SUMIFS(super1[Qtde],super1[Item],tab_alimentos[[#This Row],[Item]],super1[Bairro],extras)+SUMIFS(supercb[Qtde],supercb[Item],tab_alimentos[[#This Row],[Item]],supercb[Bairro],extras)</f>
        <v>0</v>
      </c>
      <c r="AE197" s="1">
        <f t="shared" si="67"/>
        <v>0</v>
      </c>
      <c r="AF197" s="1">
        <f t="shared" si="68"/>
        <v>0</v>
      </c>
      <c r="AG197" s="26">
        <f t="shared" si="69"/>
        <v>0</v>
      </c>
      <c r="AH197" s="15" t="str">
        <f>higiene[[#This Row],[Item]]</f>
        <v>Saco de lixo (5un - 100L)</v>
      </c>
      <c r="AI197" s="8">
        <f>IFERROR(higiene[[#This Row],[Kg equivalente]],0)</f>
        <v>1.3856970534822861</v>
      </c>
      <c r="AJ197" s="8">
        <f>IFERROR(higiene[[#This Row],[Preço por produto]],0)</f>
        <v>4.59</v>
      </c>
      <c r="AK197" s="61">
        <f>SUMIFS(super1[Qtde],super1[Item],tab_higiene[[#This Row],[Item]],super1[Bairro],mercado1)+SUMIFS(supercb[Qtde],supercb[Item],tab_higiene[[#This Row],[Item]],supercb[Bairro],mercado1)</f>
        <v>0</v>
      </c>
      <c r="AL197" s="61">
        <f>SUMIFS(super1[Qtde],super1[Item],tab_higiene[[#This Row],[Item]],super1[Bairro],mercado2)+SUMIFS(supercb[Qtde],supercb[Item],tab_higiene[[#This Row],[Item]],supercb[Bairro],mercado2)</f>
        <v>0</v>
      </c>
      <c r="AM197" s="61">
        <f>SUMIFS(super1[Qtde],super1[Item],tab_higiene[[#This Row],[Item]],super1[Bairro],mercado3)+SUMIFS(supercb[Qtde],supercb[Item],tab_higiene[[#This Row],[Item]],supercb[Bairro],mercado3)</f>
        <v>0</v>
      </c>
      <c r="AN197" s="61">
        <f>SUMIFS(super1[Qtde],super1[Item],tab_higiene[[#This Row],[Item]],super1[Bairro],mercado4)+SUMIFS(supercb[Qtde],supercb[Item],tab_higiene[[#This Row],[Item]],supercb[Bairro],mercado4)</f>
        <v>2</v>
      </c>
      <c r="AO197" s="61">
        <f>SUMIFS(super1[Qtde],super1[Item],tab_higiene[[#This Row],[Item]],super1[Bairro],mercado5)+SUMIFS(supercb[Qtde],supercb[Item],tab_higiene[[#This Row],[Item]],supercb[Bairro],mercado5)</f>
        <v>0</v>
      </c>
      <c r="AP197" s="61">
        <f>SUMIFS(super1[Qtde],super1[Item],tab_higiene[[#This Row],[Item]],super1[Bairro],mercado6)+SUMIFS(supercb[Qtde],supercb[Item],tab_higiene[[#This Row],[Item]],supercb[Bairro],mercado6)</f>
        <v>0</v>
      </c>
      <c r="AQ197" s="61">
        <f>SUMIFS(super1[Qtde],super1[Item],tab_higiene[[#This Row],[Item]],super1[Bairro],mercado7)+SUMIFS(supercb[Qtde],supercb[Item],tab_higiene[[#This Row],[Item]],supercb[Bairro],mercado7)</f>
        <v>0</v>
      </c>
      <c r="AR197" s="61">
        <f>SUMIFS(super1[Qtde],super1[Item],tab_higiene[[#This Row],[Item]],super1[Bairro],mercado8)+SUMIFS(supercb[Qtde],supercb[Item],tab_higiene[[#This Row],[Item]],supercb[Bairro],mercado8)</f>
        <v>2</v>
      </c>
      <c r="AS197" s="61">
        <f>SUMIFS(super1[Qtde],super1[Item],tab_higiene[[#This Row],[Item]],super1[Bairro],mercado9)+SUMIFS(supercb[Qtde],supercb[Item],tab_higiene[[#This Row],[Item]],supercb[Bairro],mercado9)</f>
        <v>0</v>
      </c>
      <c r="AT197" s="61">
        <f>SUMIFS(super1[Qtde],super1[Item],tab_higiene[[#This Row],[Item]],super1[Bairro],mercado10)+SUMIFS(supercb[Qtde],supercb[Item],tab_higiene[[#This Row],[Item]],supercb[Bairro],mercado10)</f>
        <v>0</v>
      </c>
      <c r="AU197" s="61">
        <f>SUMIFS(super1[Qtde],super1[Item],tab_higiene[[#This Row],[Item]],super1[Bairro],mercado11)+SUMIFS(supercb[Qtde],supercb[Item],tab_higiene[[#This Row],[Item]],supercb[Bairro],mercado11)</f>
        <v>0</v>
      </c>
      <c r="AV197" s="61">
        <f>SUMIFS(super1[Qtde],super1[Item],tab_higiene[[#This Row],[Item]],super1[Bairro],mercado12)+SUMIFS(supercb[Qtde],supercb[Item],tab_higiene[[#This Row],[Item]],supercb[Bairro],mercado12)</f>
        <v>0</v>
      </c>
      <c r="AW197" s="61">
        <f>SUMIFS(super1[Qtde],super1[Item],tab_higiene[[#This Row],[Item]],super1[Bairro],mercado13)+SUMIFS(supercb[Qtde],supercb[Item],tab_higiene[[#This Row],[Item]],supercb[Bairro],mercado13)</f>
        <v>0</v>
      </c>
      <c r="AX197" s="61">
        <f>SUMIFS(super1[Qtde],super1[Item],tab_higiene[[#This Row],[Item]],super1[Bairro],mercado14)+SUMIFS(supercb[Qtde],supercb[Item],tab_higiene[[#This Row],[Item]],supercb[Bairro],mercado14)</f>
        <v>0</v>
      </c>
      <c r="AY197" s="61">
        <f>SUMIFS(super1[Qtde],super1[Item],tab_higiene[[#This Row],[Item]],super1[Bairro],mercado15)+SUMIFS(supercb[Qtde],supercb[Item],tab_higiene[[#This Row],[Item]],supercb[Bairro],mercado15)</f>
        <v>0</v>
      </c>
      <c r="AZ197" s="61">
        <f>SUMIFS(super1[Qtde],super1[Item],tab_higiene[[#This Row],[Item]],super1[Bairro],mercado16)+SUMIFS(supercb[Qtde],supercb[Item],tab_higiene[[#This Row],[Item]],supercb[Bairro],mercado16)</f>
        <v>0</v>
      </c>
      <c r="BA197" s="61">
        <f>SUMIFS(super1[Qtde],super1[Item],tab_higiene[[#This Row],[Item]],super1[Bairro],mercado17)+SUMIFS(supercb[Qtde],supercb[Item],tab_higiene[[#This Row],[Item]],supercb[Bairro],mercado17)</f>
        <v>0</v>
      </c>
      <c r="BB197" s="61">
        <f>SUMIFS(super1[Qtde],super1[Item],tab_higiene[[#This Row],[Item]],super1[Bairro],mercado18)+SUMIFS(supercb[Qtde],supercb[Item],tab_higiene[[#This Row],[Item]],supercb[Bairro],mercado18)</f>
        <v>0</v>
      </c>
      <c r="BC197" s="51">
        <f>SUMIFS(super1[Qtde],super1[Item],tab_higiene[[#This Row],[Item]],super1[Bairro],extras)+SUMIFS(supercb[Qtde],supercb[Item],tab_higiene[[#This Row],[Item]],supercb[Bairro],extras)</f>
        <v>0</v>
      </c>
      <c r="BD197" s="8">
        <f t="shared" si="76"/>
        <v>4</v>
      </c>
      <c r="BE197" s="8">
        <f t="shared" si="77"/>
        <v>18.36</v>
      </c>
      <c r="BF197" s="23">
        <f t="shared" si="78"/>
        <v>5.5427882139291444</v>
      </c>
    </row>
    <row r="198" spans="9:58" ht="15.75" thickBot="1" x14ac:dyDescent="0.3">
      <c r="I198" s="25" t="str">
        <f>alimentos[[#This Row],[Item]]</f>
        <v>Molho de tomate(390g)</v>
      </c>
      <c r="J198" s="1">
        <f>IFERROR(alimentos[[#This Row],[kg/embalagem]],0)</f>
        <v>0.39</v>
      </c>
      <c r="K198" s="18">
        <f>IFERROR(alimentos[[#This Row],[Preço]],0)</f>
        <v>2.98</v>
      </c>
      <c r="L198" s="18">
        <f>SUMIFS(super1[Qtde],super1[Item],tab_alimentos[[#This Row],[Item]],super1[Bairro],mercado1)+SUMIFS(supercb[Qtde],supercb[Item],tab_alimentos[[#This Row],[Item]],supercb[Bairro],mercado1)</f>
        <v>0</v>
      </c>
      <c r="M198" s="18">
        <f>SUMIFS(super1[Qtde],super1[Item],tab_alimentos[[#This Row],[Item]],super1[Bairro],mercado2)+SUMIFS(supercb[Qtde],supercb[Item],tab_alimentos[[#This Row],[Item]],supercb[Bairro],mercado2)</f>
        <v>0</v>
      </c>
      <c r="N198" s="1">
        <f>SUMIFS(super1[Qtde],super1[Item],tab_alimentos[[#This Row],[Item]],super1[Bairro],mercado3)+SUMIFS(supercb[Qtde],supercb[Item],tab_alimentos[[#This Row],[Item]],supercb[Bairro],mercado3)</f>
        <v>0</v>
      </c>
      <c r="O198" s="18">
        <f>SUMIFS(super1[Qtde],super1[Item],tab_alimentos[[#This Row],[Item]],super1[Bairro],mercado4)+SUMIFS(supercb[Qtde],supercb[Item],tab_alimentos[[#This Row],[Item]],supercb[Bairro],mercado4)</f>
        <v>1</v>
      </c>
      <c r="P198" s="18">
        <f>SUMIFS(super1[Qtde],super1[Item],tab_alimentos[[#This Row],[Item]],super1[Bairro],mercado5)+SUMIFS(supercb[Qtde],supercb[Item],tab_alimentos[[#This Row],[Item]],supercb[Bairro],mercado5)</f>
        <v>0</v>
      </c>
      <c r="Q198" s="18">
        <f>SUMIFS(super1[Qtde],super1[Item],tab_alimentos[[#This Row],[Item]],super1[Bairro],mercado6)+SUMIFS(supercb[Qtde],supercb[Item],tab_alimentos[[#This Row],[Item]],supercb[Bairro],mercado6)</f>
        <v>0</v>
      </c>
      <c r="R198" s="18">
        <f>SUMIFS(super1[Qtde],super1[Item],tab_alimentos[[#This Row],[Item]],super1[Bairro],mercado7)+SUMIFS(supercb[Qtde],supercb[Item],tab_alimentos[[#This Row],[Item]],supercb[Bairro],mercado7)</f>
        <v>0</v>
      </c>
      <c r="S198" s="18">
        <f>SUMIFS(super1[Qtde],super1[Item],tab_alimentos[[#This Row],[Item]],super1[Bairro],mercado8)+SUMIFS(supercb[Qtde],supercb[Item],tab_alimentos[[#This Row],[Item]],supercb[Bairro],mercado8)</f>
        <v>0</v>
      </c>
      <c r="T198" s="18">
        <f>SUMIFS(super1[Qtde],super1[Item],tab_alimentos[[#This Row],[Item]],super1[Bairro],mercado9)+SUMIFS(supercb[Qtde],supercb[Item],tab_alimentos[[#This Row],[Item]],supercb[Bairro],mercado9)</f>
        <v>0</v>
      </c>
      <c r="U198" s="18">
        <f>SUMIFS(super1[Qtde],super1[Item],tab_alimentos[[#This Row],[Item]],super1[Bairro],mercado10)+SUMIFS(supercb[Qtde],supercb[Item],tab_alimentos[[#This Row],[Item]],supercb[Bairro],mercado10)</f>
        <v>0</v>
      </c>
      <c r="V198" s="18">
        <f>SUMIFS(super1[Qtde],super1[Item],tab_alimentos[[#This Row],[Item]],super1[Bairro],mercado11)+SUMIFS(supercb[Qtde],supercb[Item],tab_alimentos[[#This Row],[Item]],supercb[Bairro],mercado11)</f>
        <v>0</v>
      </c>
      <c r="W198" s="18">
        <f>SUMIFS(super1[Qtde],super1[Item],tab_alimentos[[#This Row],[Item]],super1[Bairro],mercado12)+SUMIFS(supercb[Qtde],supercb[Item],tab_alimentos[[#This Row],[Item]],supercb[Bairro],mercado12)</f>
        <v>0</v>
      </c>
      <c r="X198" s="18">
        <f>SUMIFS(super1[Qtde],super1[Item],tab_alimentos[[#This Row],[Item]],super1[Bairro],mercado13)+SUMIFS(supercb[Qtde],supercb[Item],tab_alimentos[[#This Row],[Item]],supercb[Bairro],mercado13)</f>
        <v>0</v>
      </c>
      <c r="Y198" s="18">
        <f>SUMIFS(super1[Qtde],super1[Item],tab_alimentos[[#This Row],[Item]],super1[Bairro],mercado14)+SUMIFS(supercb[Qtde],supercb[Item],tab_alimentos[[#This Row],[Item]],supercb[Bairro],mercado14)</f>
        <v>0</v>
      </c>
      <c r="Z198" s="18">
        <f>SUMIFS(super1[Qtde],super1[Item],tab_alimentos[[#This Row],[Item]],super1[Bairro],mercado15)+SUMIFS(supercb[Qtde],supercb[Item],tab_alimentos[[#This Row],[Item]],supercb[Bairro],mercado15)</f>
        <v>0</v>
      </c>
      <c r="AA198" s="18">
        <f>SUMIFS(super1[Qtde],super1[Item],tab_alimentos[[#This Row],[Item]],super1[Bairro],mercado16)+SUMIFS(supercb[Qtde],supercb[Item],tab_alimentos[[#This Row],[Item]],supercb[Bairro],mercado16)</f>
        <v>0</v>
      </c>
      <c r="AB198" s="18">
        <f>SUMIFS(super1[Qtde],super1[Item],tab_alimentos[[#This Row],[Item]],super1[Bairro],mercado17)+SUMIFS(supercb[Qtde],supercb[Item],tab_alimentos[[#This Row],[Item]],supercb[Bairro],mercado17)</f>
        <v>0</v>
      </c>
      <c r="AC198" s="18">
        <f>SUMIFS(super1[Qtde],super1[Item],tab_alimentos[[#This Row],[Item]],super1[Bairro],mercado18)+SUMIFS(supercb[Qtde],supercb[Item],tab_alimentos[[#This Row],[Item]],supercb[Bairro],mercado18)</f>
        <v>0</v>
      </c>
      <c r="AD198" s="18">
        <f>SUMIFS(super1[Qtde],super1[Item],tab_alimentos[[#This Row],[Item]],super1[Bairro],extras)+SUMIFS(supercb[Qtde],supercb[Item],tab_alimentos[[#This Row],[Item]],supercb[Bairro],extras)</f>
        <v>0</v>
      </c>
      <c r="AE198" s="1">
        <f t="shared" si="67"/>
        <v>1</v>
      </c>
      <c r="AF198" s="1">
        <f t="shared" si="68"/>
        <v>2.98</v>
      </c>
      <c r="AG198" s="26">
        <f t="shared" si="69"/>
        <v>0.39</v>
      </c>
      <c r="AH198" s="15" t="str">
        <f>higiene[[#This Row],[Item]]</f>
        <v>Saco de Lixo (5un) 100l</v>
      </c>
      <c r="AI198" s="8">
        <f>IFERROR(higiene[[#This Row],[Kg equivalente]],0)</f>
        <v>1.3856970534822861</v>
      </c>
      <c r="AJ198" s="8">
        <f>IFERROR(higiene[[#This Row],[Preço por produto]],0)</f>
        <v>4.59</v>
      </c>
      <c r="AK198" s="61">
        <f>SUMIFS(super1[Qtde],super1[Item],tab_higiene[[#This Row],[Item]],super1[Bairro],mercado1)+SUMIFS(supercb[Qtde],supercb[Item],tab_higiene[[#This Row],[Item]],supercb[Bairro],mercado1)</f>
        <v>0</v>
      </c>
      <c r="AL198" s="61">
        <f>SUMIFS(super1[Qtde],super1[Item],tab_higiene[[#This Row],[Item]],super1[Bairro],mercado2)+SUMIFS(supercb[Qtde],supercb[Item],tab_higiene[[#This Row],[Item]],supercb[Bairro],mercado2)</f>
        <v>1</v>
      </c>
      <c r="AM198" s="61">
        <f>SUMIFS(super1[Qtde],super1[Item],tab_higiene[[#This Row],[Item]],super1[Bairro],mercado3)+SUMIFS(supercb[Qtde],supercb[Item],tab_higiene[[#This Row],[Item]],supercb[Bairro],mercado3)</f>
        <v>0</v>
      </c>
      <c r="AN198" s="61">
        <f>SUMIFS(super1[Qtde],super1[Item],tab_higiene[[#This Row],[Item]],super1[Bairro],mercado4)+SUMIFS(supercb[Qtde],supercb[Item],tab_higiene[[#This Row],[Item]],supercb[Bairro],mercado4)</f>
        <v>0</v>
      </c>
      <c r="AO198" s="61">
        <f>SUMIFS(super1[Qtde],super1[Item],tab_higiene[[#This Row],[Item]],super1[Bairro],mercado5)+SUMIFS(supercb[Qtde],supercb[Item],tab_higiene[[#This Row],[Item]],supercb[Bairro],mercado5)</f>
        <v>0</v>
      </c>
      <c r="AP198" s="61">
        <f>SUMIFS(super1[Qtde],super1[Item],tab_higiene[[#This Row],[Item]],super1[Bairro],mercado6)+SUMIFS(supercb[Qtde],supercb[Item],tab_higiene[[#This Row],[Item]],supercb[Bairro],mercado6)</f>
        <v>0</v>
      </c>
      <c r="AQ198" s="61">
        <f>SUMIFS(super1[Qtde],super1[Item],tab_higiene[[#This Row],[Item]],super1[Bairro],mercado7)+SUMIFS(supercb[Qtde],supercb[Item],tab_higiene[[#This Row],[Item]],supercb[Bairro],mercado7)</f>
        <v>0</v>
      </c>
      <c r="AR198" s="61">
        <f>SUMIFS(super1[Qtde],super1[Item],tab_higiene[[#This Row],[Item]],super1[Bairro],mercado8)+SUMIFS(supercb[Qtde],supercb[Item],tab_higiene[[#This Row],[Item]],supercb[Bairro],mercado8)</f>
        <v>0</v>
      </c>
      <c r="AS198" s="61">
        <f>SUMIFS(super1[Qtde],super1[Item],tab_higiene[[#This Row],[Item]],super1[Bairro],mercado9)+SUMIFS(supercb[Qtde],supercb[Item],tab_higiene[[#This Row],[Item]],supercb[Bairro],mercado9)</f>
        <v>0</v>
      </c>
      <c r="AT198" s="61">
        <f>SUMIFS(super1[Qtde],super1[Item],tab_higiene[[#This Row],[Item]],super1[Bairro],mercado10)+SUMIFS(supercb[Qtde],supercb[Item],tab_higiene[[#This Row],[Item]],supercb[Bairro],mercado10)</f>
        <v>0</v>
      </c>
      <c r="AU198" s="61">
        <f>SUMIFS(super1[Qtde],super1[Item],tab_higiene[[#This Row],[Item]],super1[Bairro],mercado11)+SUMIFS(supercb[Qtde],supercb[Item],tab_higiene[[#This Row],[Item]],supercb[Bairro],mercado11)</f>
        <v>0</v>
      </c>
      <c r="AV198" s="61">
        <f>SUMIFS(super1[Qtde],super1[Item],tab_higiene[[#This Row],[Item]],super1[Bairro],mercado12)+SUMIFS(supercb[Qtde],supercb[Item],tab_higiene[[#This Row],[Item]],supercb[Bairro],mercado12)</f>
        <v>0</v>
      </c>
      <c r="AW198" s="61">
        <f>SUMIFS(super1[Qtde],super1[Item],tab_higiene[[#This Row],[Item]],super1[Bairro],mercado13)+SUMIFS(supercb[Qtde],supercb[Item],tab_higiene[[#This Row],[Item]],supercb[Bairro],mercado13)</f>
        <v>0</v>
      </c>
      <c r="AX198" s="61">
        <f>SUMIFS(super1[Qtde],super1[Item],tab_higiene[[#This Row],[Item]],super1[Bairro],mercado14)+SUMIFS(supercb[Qtde],supercb[Item],tab_higiene[[#This Row],[Item]],supercb[Bairro],mercado14)</f>
        <v>0</v>
      </c>
      <c r="AY198" s="61">
        <f>SUMIFS(super1[Qtde],super1[Item],tab_higiene[[#This Row],[Item]],super1[Bairro],mercado15)+SUMIFS(supercb[Qtde],supercb[Item],tab_higiene[[#This Row],[Item]],supercb[Bairro],mercado15)</f>
        <v>0</v>
      </c>
      <c r="AZ198" s="61">
        <f>SUMIFS(super1[Qtde],super1[Item],tab_higiene[[#This Row],[Item]],super1[Bairro],mercado16)+SUMIFS(supercb[Qtde],supercb[Item],tab_higiene[[#This Row],[Item]],supercb[Bairro],mercado16)</f>
        <v>0</v>
      </c>
      <c r="BA198" s="61">
        <f>SUMIFS(super1[Qtde],super1[Item],tab_higiene[[#This Row],[Item]],super1[Bairro],mercado17)+SUMIFS(supercb[Qtde],supercb[Item],tab_higiene[[#This Row],[Item]],supercb[Bairro],mercado17)</f>
        <v>0</v>
      </c>
      <c r="BB198" s="61">
        <f>SUMIFS(super1[Qtde],super1[Item],tab_higiene[[#This Row],[Item]],super1[Bairro],mercado18)+SUMIFS(supercb[Qtde],supercb[Item],tab_higiene[[#This Row],[Item]],supercb[Bairro],mercado18)</f>
        <v>0</v>
      </c>
      <c r="BC198" s="51">
        <f>SUMIFS(super1[Qtde],super1[Item],tab_higiene[[#This Row],[Item]],super1[Bairro],extras)+SUMIFS(supercb[Qtde],supercb[Item],tab_higiene[[#This Row],[Item]],supercb[Bairro],extras)</f>
        <v>0</v>
      </c>
      <c r="BD198" s="8">
        <f t="shared" si="76"/>
        <v>1</v>
      </c>
      <c r="BE198" s="8">
        <f t="shared" si="77"/>
        <v>4.59</v>
      </c>
      <c r="BF198" s="23">
        <f t="shared" si="78"/>
        <v>1.3856970534822861</v>
      </c>
    </row>
    <row r="199" spans="9:58" ht="15.75" thickBot="1" x14ac:dyDescent="0.3">
      <c r="I199" s="25" t="str">
        <f>alimentos[[#This Row],[Item]]</f>
        <v>N</v>
      </c>
      <c r="J199" s="1">
        <f>IFERROR(alimentos[[#This Row],[kg/embalagem]],0)</f>
        <v>0</v>
      </c>
      <c r="K199" s="18">
        <f>IFERROR(alimentos[[#This Row],[Preço]],0)</f>
        <v>0</v>
      </c>
      <c r="L199" s="18">
        <f>SUMIFS(super1[Qtde],super1[Item],tab_alimentos[[#This Row],[Item]],super1[Bairro],mercado1)+SUMIFS(supercb[Qtde],supercb[Item],tab_alimentos[[#This Row],[Item]],supercb[Bairro],mercado1)</f>
        <v>0</v>
      </c>
      <c r="M199" s="18">
        <f>SUMIFS(super1[Qtde],super1[Item],tab_alimentos[[#This Row],[Item]],super1[Bairro],mercado2)+SUMIFS(supercb[Qtde],supercb[Item],tab_alimentos[[#This Row],[Item]],supercb[Bairro],mercado2)</f>
        <v>0</v>
      </c>
      <c r="N199" s="1">
        <f>SUMIFS(super1[Qtde],super1[Item],tab_alimentos[[#This Row],[Item]],super1[Bairro],mercado3)+SUMIFS(supercb[Qtde],supercb[Item],tab_alimentos[[#This Row],[Item]],supercb[Bairro],mercado3)</f>
        <v>0</v>
      </c>
      <c r="O199" s="18">
        <f>SUMIFS(super1[Qtde],super1[Item],tab_alimentos[[#This Row],[Item]],super1[Bairro],mercado4)+SUMIFS(supercb[Qtde],supercb[Item],tab_alimentos[[#This Row],[Item]],supercb[Bairro],mercado4)</f>
        <v>0</v>
      </c>
      <c r="P199" s="18">
        <f>SUMIFS(super1[Qtde],super1[Item],tab_alimentos[[#This Row],[Item]],super1[Bairro],mercado5)+SUMIFS(supercb[Qtde],supercb[Item],tab_alimentos[[#This Row],[Item]],supercb[Bairro],mercado5)</f>
        <v>0</v>
      </c>
      <c r="Q199" s="18">
        <f>SUMIFS(super1[Qtde],super1[Item],tab_alimentos[[#This Row],[Item]],super1[Bairro],mercado6)+SUMIFS(supercb[Qtde],supercb[Item],tab_alimentos[[#This Row],[Item]],supercb[Bairro],mercado6)</f>
        <v>0</v>
      </c>
      <c r="R199" s="18">
        <f>SUMIFS(super1[Qtde],super1[Item],tab_alimentos[[#This Row],[Item]],super1[Bairro],mercado7)+SUMIFS(supercb[Qtde],supercb[Item],tab_alimentos[[#This Row],[Item]],supercb[Bairro],mercado7)</f>
        <v>0</v>
      </c>
      <c r="S199" s="18">
        <f>SUMIFS(super1[Qtde],super1[Item],tab_alimentos[[#This Row],[Item]],super1[Bairro],mercado8)+SUMIFS(supercb[Qtde],supercb[Item],tab_alimentos[[#This Row],[Item]],supercb[Bairro],mercado8)</f>
        <v>0</v>
      </c>
      <c r="T199" s="18">
        <f>SUMIFS(super1[Qtde],super1[Item],tab_alimentos[[#This Row],[Item]],super1[Bairro],mercado9)+SUMIFS(supercb[Qtde],supercb[Item],tab_alimentos[[#This Row],[Item]],supercb[Bairro],mercado9)</f>
        <v>0</v>
      </c>
      <c r="U199" s="18">
        <f>SUMIFS(super1[Qtde],super1[Item],tab_alimentos[[#This Row],[Item]],super1[Bairro],mercado10)+SUMIFS(supercb[Qtde],supercb[Item],tab_alimentos[[#This Row],[Item]],supercb[Bairro],mercado10)</f>
        <v>0</v>
      </c>
      <c r="V199" s="18">
        <f>SUMIFS(super1[Qtde],super1[Item],tab_alimentos[[#This Row],[Item]],super1[Bairro],mercado11)+SUMIFS(supercb[Qtde],supercb[Item],tab_alimentos[[#This Row],[Item]],supercb[Bairro],mercado11)</f>
        <v>0</v>
      </c>
      <c r="W199" s="18">
        <f>SUMIFS(super1[Qtde],super1[Item],tab_alimentos[[#This Row],[Item]],super1[Bairro],mercado12)+SUMIFS(supercb[Qtde],supercb[Item],tab_alimentos[[#This Row],[Item]],supercb[Bairro],mercado12)</f>
        <v>0</v>
      </c>
      <c r="X199" s="18">
        <f>SUMIFS(super1[Qtde],super1[Item],tab_alimentos[[#This Row],[Item]],super1[Bairro],mercado13)+SUMIFS(supercb[Qtde],supercb[Item],tab_alimentos[[#This Row],[Item]],supercb[Bairro],mercado13)</f>
        <v>0</v>
      </c>
      <c r="Y199" s="18">
        <f>SUMIFS(super1[Qtde],super1[Item],tab_alimentos[[#This Row],[Item]],super1[Bairro],mercado14)+SUMIFS(supercb[Qtde],supercb[Item],tab_alimentos[[#This Row],[Item]],supercb[Bairro],mercado14)</f>
        <v>0</v>
      </c>
      <c r="Z199" s="18">
        <f>SUMIFS(super1[Qtde],super1[Item],tab_alimentos[[#This Row],[Item]],super1[Bairro],mercado15)+SUMIFS(supercb[Qtde],supercb[Item],tab_alimentos[[#This Row],[Item]],supercb[Bairro],mercado15)</f>
        <v>0</v>
      </c>
      <c r="AA199" s="18">
        <f>SUMIFS(super1[Qtde],super1[Item],tab_alimentos[[#This Row],[Item]],super1[Bairro],mercado16)+SUMIFS(supercb[Qtde],supercb[Item],tab_alimentos[[#This Row],[Item]],supercb[Bairro],mercado16)</f>
        <v>0</v>
      </c>
      <c r="AB199" s="18">
        <f>SUMIFS(super1[Qtde],super1[Item],tab_alimentos[[#This Row],[Item]],super1[Bairro],mercado17)+SUMIFS(supercb[Qtde],supercb[Item],tab_alimentos[[#This Row],[Item]],supercb[Bairro],mercado17)</f>
        <v>0</v>
      </c>
      <c r="AC199" s="18">
        <f>SUMIFS(super1[Qtde],super1[Item],tab_alimentos[[#This Row],[Item]],super1[Bairro],mercado18)+SUMIFS(supercb[Qtde],supercb[Item],tab_alimentos[[#This Row],[Item]],supercb[Bairro],mercado18)</f>
        <v>0</v>
      </c>
      <c r="AD199" s="18">
        <f>SUMIFS(super1[Qtde],super1[Item],tab_alimentos[[#This Row],[Item]],super1[Bairro],extras)+SUMIFS(supercb[Qtde],supercb[Item],tab_alimentos[[#This Row],[Item]],supercb[Bairro],extras)</f>
        <v>0</v>
      </c>
      <c r="AE199" s="1">
        <f t="shared" si="67"/>
        <v>0</v>
      </c>
      <c r="AF199" s="1">
        <f t="shared" si="68"/>
        <v>0</v>
      </c>
      <c r="AG199" s="26">
        <f t="shared" si="69"/>
        <v>0</v>
      </c>
      <c r="AH199" s="15" t="str">
        <f>higiene[[#This Row],[Item]]</f>
        <v>SBP</v>
      </c>
      <c r="AI199" s="8">
        <f>IFERROR(higiene[[#This Row],[Kg equivalente]],0)</f>
        <v>2.7834698982803228</v>
      </c>
      <c r="AJ199" s="8">
        <f>IFERROR(higiene[[#This Row],[Preço por produto]],0)</f>
        <v>9.2200000000000024</v>
      </c>
      <c r="AK199" s="61">
        <f>SUMIFS(super1[Qtde],super1[Item],tab_higiene[[#This Row],[Item]],super1[Bairro],mercado1)+SUMIFS(supercb[Qtde],supercb[Item],tab_higiene[[#This Row],[Item]],supercb[Bairro],mercado1)</f>
        <v>0</v>
      </c>
      <c r="AL199" s="61">
        <f>SUMIFS(super1[Qtde],super1[Item],tab_higiene[[#This Row],[Item]],super1[Bairro],mercado2)+SUMIFS(supercb[Qtde],supercb[Item],tab_higiene[[#This Row],[Item]],supercb[Bairro],mercado2)</f>
        <v>0</v>
      </c>
      <c r="AM199" s="61">
        <f>SUMIFS(super1[Qtde],super1[Item],tab_higiene[[#This Row],[Item]],super1[Bairro],mercado3)+SUMIFS(supercb[Qtde],supercb[Item],tab_higiene[[#This Row],[Item]],supercb[Bairro],mercado3)</f>
        <v>0</v>
      </c>
      <c r="AN199" s="61">
        <f>SUMIFS(super1[Qtde],super1[Item],tab_higiene[[#This Row],[Item]],super1[Bairro],mercado4)+SUMIFS(supercb[Qtde],supercb[Item],tab_higiene[[#This Row],[Item]],supercb[Bairro],mercado4)</f>
        <v>0</v>
      </c>
      <c r="AO199" s="61">
        <f>SUMIFS(super1[Qtde],super1[Item],tab_higiene[[#This Row],[Item]],super1[Bairro],mercado5)+SUMIFS(supercb[Qtde],supercb[Item],tab_higiene[[#This Row],[Item]],supercb[Bairro],mercado5)</f>
        <v>0</v>
      </c>
      <c r="AP199" s="61">
        <f>SUMIFS(super1[Qtde],super1[Item],tab_higiene[[#This Row],[Item]],super1[Bairro],mercado6)+SUMIFS(supercb[Qtde],supercb[Item],tab_higiene[[#This Row],[Item]],supercb[Bairro],mercado6)</f>
        <v>0</v>
      </c>
      <c r="AQ199" s="61">
        <f>SUMIFS(super1[Qtde],super1[Item],tab_higiene[[#This Row],[Item]],super1[Bairro],mercado7)+SUMIFS(supercb[Qtde],supercb[Item],tab_higiene[[#This Row],[Item]],supercb[Bairro],mercado7)</f>
        <v>0</v>
      </c>
      <c r="AR199" s="61">
        <f>SUMIFS(super1[Qtde],super1[Item],tab_higiene[[#This Row],[Item]],super1[Bairro],mercado8)+SUMIFS(supercb[Qtde],supercb[Item],tab_higiene[[#This Row],[Item]],supercb[Bairro],mercado8)</f>
        <v>0</v>
      </c>
      <c r="AS199" s="61">
        <f>SUMIFS(super1[Qtde],super1[Item],tab_higiene[[#This Row],[Item]],super1[Bairro],mercado9)+SUMIFS(supercb[Qtde],supercb[Item],tab_higiene[[#This Row],[Item]],supercb[Bairro],mercado9)</f>
        <v>0</v>
      </c>
      <c r="AT199" s="61">
        <f>SUMIFS(super1[Qtde],super1[Item],tab_higiene[[#This Row],[Item]],super1[Bairro],mercado10)+SUMIFS(supercb[Qtde],supercb[Item],tab_higiene[[#This Row],[Item]],supercb[Bairro],mercado10)</f>
        <v>0</v>
      </c>
      <c r="AU199" s="61">
        <f>SUMIFS(super1[Qtde],super1[Item],tab_higiene[[#This Row],[Item]],super1[Bairro],mercado11)+SUMIFS(supercb[Qtde],supercb[Item],tab_higiene[[#This Row],[Item]],supercb[Bairro],mercado11)</f>
        <v>0</v>
      </c>
      <c r="AV199" s="61">
        <f>SUMIFS(super1[Qtde],super1[Item],tab_higiene[[#This Row],[Item]],super1[Bairro],mercado12)+SUMIFS(supercb[Qtde],supercb[Item],tab_higiene[[#This Row],[Item]],supercb[Bairro],mercado12)</f>
        <v>0</v>
      </c>
      <c r="AW199" s="61">
        <f>SUMIFS(super1[Qtde],super1[Item],tab_higiene[[#This Row],[Item]],super1[Bairro],mercado13)+SUMIFS(supercb[Qtde],supercb[Item],tab_higiene[[#This Row],[Item]],supercb[Bairro],mercado13)</f>
        <v>0</v>
      </c>
      <c r="AX199" s="61">
        <f>SUMIFS(super1[Qtde],super1[Item],tab_higiene[[#This Row],[Item]],super1[Bairro],mercado14)+SUMIFS(supercb[Qtde],supercb[Item],tab_higiene[[#This Row],[Item]],supercb[Bairro],mercado14)</f>
        <v>0</v>
      </c>
      <c r="AY199" s="61">
        <f>SUMIFS(super1[Qtde],super1[Item],tab_higiene[[#This Row],[Item]],super1[Bairro],mercado15)+SUMIFS(supercb[Qtde],supercb[Item],tab_higiene[[#This Row],[Item]],supercb[Bairro],mercado15)</f>
        <v>0</v>
      </c>
      <c r="AZ199" s="61">
        <f>SUMIFS(super1[Qtde],super1[Item],tab_higiene[[#This Row],[Item]],super1[Bairro],mercado16)+SUMIFS(supercb[Qtde],supercb[Item],tab_higiene[[#This Row],[Item]],supercb[Bairro],mercado16)</f>
        <v>0</v>
      </c>
      <c r="BA199" s="61">
        <f>SUMIFS(super1[Qtde],super1[Item],tab_higiene[[#This Row],[Item]],super1[Bairro],mercado17)+SUMIFS(supercb[Qtde],supercb[Item],tab_higiene[[#This Row],[Item]],supercb[Bairro],mercado17)</f>
        <v>0</v>
      </c>
      <c r="BB199" s="61">
        <f>SUMIFS(super1[Qtde],super1[Item],tab_higiene[[#This Row],[Item]],super1[Bairro],mercado18)+SUMIFS(supercb[Qtde],supercb[Item],tab_higiene[[#This Row],[Item]],supercb[Bairro],mercado18)</f>
        <v>0</v>
      </c>
      <c r="BC199" s="51">
        <f>SUMIFS(super1[Qtde],super1[Item],tab_higiene[[#This Row],[Item]],super1[Bairro],extras)+SUMIFS(supercb[Qtde],supercb[Item],tab_higiene[[#This Row],[Item]],supercb[Bairro],extras)</f>
        <v>0</v>
      </c>
      <c r="BD199" s="8">
        <f t="shared" si="76"/>
        <v>0</v>
      </c>
      <c r="BE199" s="8">
        <f t="shared" si="77"/>
        <v>0</v>
      </c>
      <c r="BF199" s="23">
        <f t="shared" si="78"/>
        <v>0</v>
      </c>
    </row>
    <row r="200" spans="9:58" ht="15.75" thickBot="1" x14ac:dyDescent="0.3">
      <c r="I200" s="25" t="str">
        <f>alimentos[[#This Row],[Item]]</f>
        <v>Nozes (200g)</v>
      </c>
      <c r="J200" s="1">
        <f>IFERROR(alimentos[[#This Row],[kg/embalagem]],0)</f>
        <v>0.2</v>
      </c>
      <c r="K200" s="18">
        <f>IFERROR(alimentos[[#This Row],[Preço]],0)</f>
        <v>18.899999999999999</v>
      </c>
      <c r="L200" s="18">
        <f>SUMIFS(super1[Qtde],super1[Item],tab_alimentos[[#This Row],[Item]],super1[Bairro],mercado1)+SUMIFS(supercb[Qtde],supercb[Item],tab_alimentos[[#This Row],[Item]],supercb[Bairro],mercado1)</f>
        <v>0</v>
      </c>
      <c r="M200" s="18">
        <f>SUMIFS(super1[Qtde],super1[Item],tab_alimentos[[#This Row],[Item]],super1[Bairro],mercado2)+SUMIFS(supercb[Qtde],supercb[Item],tab_alimentos[[#This Row],[Item]],supercb[Bairro],mercado2)</f>
        <v>0</v>
      </c>
      <c r="N200" s="1">
        <f>SUMIFS(super1[Qtde],super1[Item],tab_alimentos[[#This Row],[Item]],super1[Bairro],mercado3)+SUMIFS(supercb[Qtde],supercb[Item],tab_alimentos[[#This Row],[Item]],supercb[Bairro],mercado3)</f>
        <v>0</v>
      </c>
      <c r="O200" s="18">
        <f>SUMIFS(super1[Qtde],super1[Item],tab_alimentos[[#This Row],[Item]],super1[Bairro],mercado4)+SUMIFS(supercb[Qtde],supercb[Item],tab_alimentos[[#This Row],[Item]],supercb[Bairro],mercado4)</f>
        <v>0</v>
      </c>
      <c r="P200" s="18">
        <f>SUMIFS(super1[Qtde],super1[Item],tab_alimentos[[#This Row],[Item]],super1[Bairro],mercado5)+SUMIFS(supercb[Qtde],supercb[Item],tab_alimentos[[#This Row],[Item]],supercb[Bairro],mercado5)</f>
        <v>0</v>
      </c>
      <c r="Q200" s="18">
        <f>SUMIFS(super1[Qtde],super1[Item],tab_alimentos[[#This Row],[Item]],super1[Bairro],mercado6)+SUMIFS(supercb[Qtde],supercb[Item],tab_alimentos[[#This Row],[Item]],supercb[Bairro],mercado6)</f>
        <v>0</v>
      </c>
      <c r="R200" s="18">
        <f>SUMIFS(super1[Qtde],super1[Item],tab_alimentos[[#This Row],[Item]],super1[Bairro],mercado7)+SUMIFS(supercb[Qtde],supercb[Item],tab_alimentos[[#This Row],[Item]],supercb[Bairro],mercado7)</f>
        <v>0</v>
      </c>
      <c r="S200" s="18">
        <f>SUMIFS(super1[Qtde],super1[Item],tab_alimentos[[#This Row],[Item]],super1[Bairro],mercado8)+SUMIFS(supercb[Qtde],supercb[Item],tab_alimentos[[#This Row],[Item]],supercb[Bairro],mercado8)</f>
        <v>0</v>
      </c>
      <c r="T200" s="18">
        <f>SUMIFS(super1[Qtde],super1[Item],tab_alimentos[[#This Row],[Item]],super1[Bairro],mercado9)+SUMIFS(supercb[Qtde],supercb[Item],tab_alimentos[[#This Row],[Item]],supercb[Bairro],mercado9)</f>
        <v>0</v>
      </c>
      <c r="U200" s="18">
        <f>SUMIFS(super1[Qtde],super1[Item],tab_alimentos[[#This Row],[Item]],super1[Bairro],mercado10)+SUMIFS(supercb[Qtde],supercb[Item],tab_alimentos[[#This Row],[Item]],supercb[Bairro],mercado10)</f>
        <v>0</v>
      </c>
      <c r="V200" s="18">
        <f>SUMIFS(super1[Qtde],super1[Item],tab_alimentos[[#This Row],[Item]],super1[Bairro],mercado11)+SUMIFS(supercb[Qtde],supercb[Item],tab_alimentos[[#This Row],[Item]],supercb[Bairro],mercado11)</f>
        <v>0</v>
      </c>
      <c r="W200" s="18">
        <f>SUMIFS(super1[Qtde],super1[Item],tab_alimentos[[#This Row],[Item]],super1[Bairro],mercado12)+SUMIFS(supercb[Qtde],supercb[Item],tab_alimentos[[#This Row],[Item]],supercb[Bairro],mercado12)</f>
        <v>0</v>
      </c>
      <c r="X200" s="18">
        <f>SUMIFS(super1[Qtde],super1[Item],tab_alimentos[[#This Row],[Item]],super1[Bairro],mercado13)+SUMIFS(supercb[Qtde],supercb[Item],tab_alimentos[[#This Row],[Item]],supercb[Bairro],mercado13)</f>
        <v>0</v>
      </c>
      <c r="Y200" s="18">
        <f>SUMIFS(super1[Qtde],super1[Item],tab_alimentos[[#This Row],[Item]],super1[Bairro],mercado14)+SUMIFS(supercb[Qtde],supercb[Item],tab_alimentos[[#This Row],[Item]],supercb[Bairro],mercado14)</f>
        <v>0</v>
      </c>
      <c r="Z200" s="18">
        <f>SUMIFS(super1[Qtde],super1[Item],tab_alimentos[[#This Row],[Item]],super1[Bairro],mercado15)+SUMIFS(supercb[Qtde],supercb[Item],tab_alimentos[[#This Row],[Item]],supercb[Bairro],mercado15)</f>
        <v>0</v>
      </c>
      <c r="AA200" s="18">
        <f>SUMIFS(super1[Qtde],super1[Item],tab_alimentos[[#This Row],[Item]],super1[Bairro],mercado16)+SUMIFS(supercb[Qtde],supercb[Item],tab_alimentos[[#This Row],[Item]],supercb[Bairro],mercado16)</f>
        <v>0</v>
      </c>
      <c r="AB200" s="18">
        <f>SUMIFS(super1[Qtde],super1[Item],tab_alimentos[[#This Row],[Item]],super1[Bairro],mercado17)+SUMIFS(supercb[Qtde],supercb[Item],tab_alimentos[[#This Row],[Item]],supercb[Bairro],mercado17)</f>
        <v>0</v>
      </c>
      <c r="AC200" s="18">
        <f>SUMIFS(super1[Qtde],super1[Item],tab_alimentos[[#This Row],[Item]],super1[Bairro],mercado18)+SUMIFS(supercb[Qtde],supercb[Item],tab_alimentos[[#This Row],[Item]],supercb[Bairro],mercado18)</f>
        <v>0</v>
      </c>
      <c r="AD200" s="18">
        <f>SUMIFS(super1[Qtde],super1[Item],tab_alimentos[[#This Row],[Item]],super1[Bairro],extras)+SUMIFS(supercb[Qtde],supercb[Item],tab_alimentos[[#This Row],[Item]],supercb[Bairro],extras)</f>
        <v>0</v>
      </c>
      <c r="AE200" s="1">
        <f t="shared" si="67"/>
        <v>0</v>
      </c>
      <c r="AF200" s="1">
        <f t="shared" si="68"/>
        <v>0</v>
      </c>
      <c r="AG200" s="26">
        <f t="shared" si="69"/>
        <v>0</v>
      </c>
      <c r="AH200" s="15" t="str">
        <f>higiene[[#This Row],[Item]]</f>
        <v>Shampoo</v>
      </c>
      <c r="AI200" s="8">
        <f>IFERROR(higiene[[#This Row],[Kg equivalente]],0)</f>
        <v>2.714034098214761</v>
      </c>
      <c r="AJ200" s="8">
        <f>IFERROR(higiene[[#This Row],[Preço por produto]],0)</f>
        <v>8.99</v>
      </c>
      <c r="AK200" s="61">
        <f>SUMIFS(super1[Qtde],super1[Item],tab_higiene[[#This Row],[Item]],super1[Bairro],mercado1)+SUMIFS(supercb[Qtde],supercb[Item],tab_higiene[[#This Row],[Item]],supercb[Bairro],mercado1)</f>
        <v>0</v>
      </c>
      <c r="AL200" s="61">
        <f>SUMIFS(super1[Qtde],super1[Item],tab_higiene[[#This Row],[Item]],super1[Bairro],mercado2)+SUMIFS(supercb[Qtde],supercb[Item],tab_higiene[[#This Row],[Item]],supercb[Bairro],mercado2)</f>
        <v>2</v>
      </c>
      <c r="AM200" s="61">
        <f>SUMIFS(super1[Qtde],super1[Item],tab_higiene[[#This Row],[Item]],super1[Bairro],mercado3)+SUMIFS(supercb[Qtde],supercb[Item],tab_higiene[[#This Row],[Item]],supercb[Bairro],mercado3)</f>
        <v>0</v>
      </c>
      <c r="AN200" s="61">
        <f>SUMIFS(super1[Qtde],super1[Item],tab_higiene[[#This Row],[Item]],super1[Bairro],mercado4)+SUMIFS(supercb[Qtde],supercb[Item],tab_higiene[[#This Row],[Item]],supercb[Bairro],mercado4)</f>
        <v>0</v>
      </c>
      <c r="AO200" s="61">
        <f>SUMIFS(super1[Qtde],super1[Item],tab_higiene[[#This Row],[Item]],super1[Bairro],mercado5)+SUMIFS(supercb[Qtde],supercb[Item],tab_higiene[[#This Row],[Item]],supercb[Bairro],mercado5)</f>
        <v>0</v>
      </c>
      <c r="AP200" s="61">
        <f>SUMIFS(super1[Qtde],super1[Item],tab_higiene[[#This Row],[Item]],super1[Bairro],mercado6)+SUMIFS(supercb[Qtde],supercb[Item],tab_higiene[[#This Row],[Item]],supercb[Bairro],mercado6)</f>
        <v>0</v>
      </c>
      <c r="AQ200" s="61">
        <f>SUMIFS(super1[Qtde],super1[Item],tab_higiene[[#This Row],[Item]],super1[Bairro],mercado7)+SUMIFS(supercb[Qtde],supercb[Item],tab_higiene[[#This Row],[Item]],supercb[Bairro],mercado7)</f>
        <v>0</v>
      </c>
      <c r="AR200" s="61">
        <f>SUMIFS(super1[Qtde],super1[Item],tab_higiene[[#This Row],[Item]],super1[Bairro],mercado8)+SUMIFS(supercb[Qtde],supercb[Item],tab_higiene[[#This Row],[Item]],supercb[Bairro],mercado8)</f>
        <v>1</v>
      </c>
      <c r="AS200" s="61">
        <f>SUMIFS(super1[Qtde],super1[Item],tab_higiene[[#This Row],[Item]],super1[Bairro],mercado9)+SUMIFS(supercb[Qtde],supercb[Item],tab_higiene[[#This Row],[Item]],supercb[Bairro],mercado9)</f>
        <v>0</v>
      </c>
      <c r="AT200" s="61">
        <f>SUMIFS(super1[Qtde],super1[Item],tab_higiene[[#This Row],[Item]],super1[Bairro],mercado10)+SUMIFS(supercb[Qtde],supercb[Item],tab_higiene[[#This Row],[Item]],supercb[Bairro],mercado10)</f>
        <v>0</v>
      </c>
      <c r="AU200" s="61">
        <f>SUMIFS(super1[Qtde],super1[Item],tab_higiene[[#This Row],[Item]],super1[Bairro],mercado11)+SUMIFS(supercb[Qtde],supercb[Item],tab_higiene[[#This Row],[Item]],supercb[Bairro],mercado11)</f>
        <v>0</v>
      </c>
      <c r="AV200" s="61">
        <f>SUMIFS(super1[Qtde],super1[Item],tab_higiene[[#This Row],[Item]],super1[Bairro],mercado12)+SUMIFS(supercb[Qtde],supercb[Item],tab_higiene[[#This Row],[Item]],supercb[Bairro],mercado12)</f>
        <v>0</v>
      </c>
      <c r="AW200" s="61">
        <f>SUMIFS(super1[Qtde],super1[Item],tab_higiene[[#This Row],[Item]],super1[Bairro],mercado13)+SUMIFS(supercb[Qtde],supercb[Item],tab_higiene[[#This Row],[Item]],supercb[Bairro],mercado13)</f>
        <v>0</v>
      </c>
      <c r="AX200" s="61">
        <f>SUMIFS(super1[Qtde],super1[Item],tab_higiene[[#This Row],[Item]],super1[Bairro],mercado14)+SUMIFS(supercb[Qtde],supercb[Item],tab_higiene[[#This Row],[Item]],supercb[Bairro],mercado14)</f>
        <v>0</v>
      </c>
      <c r="AY200" s="61">
        <f>SUMIFS(super1[Qtde],super1[Item],tab_higiene[[#This Row],[Item]],super1[Bairro],mercado15)+SUMIFS(supercb[Qtde],supercb[Item],tab_higiene[[#This Row],[Item]],supercb[Bairro],mercado15)</f>
        <v>0</v>
      </c>
      <c r="AZ200" s="61">
        <f>SUMIFS(super1[Qtde],super1[Item],tab_higiene[[#This Row],[Item]],super1[Bairro],mercado16)+SUMIFS(supercb[Qtde],supercb[Item],tab_higiene[[#This Row],[Item]],supercb[Bairro],mercado16)</f>
        <v>0</v>
      </c>
      <c r="BA200" s="61">
        <f>SUMIFS(super1[Qtde],super1[Item],tab_higiene[[#This Row],[Item]],super1[Bairro],mercado17)+SUMIFS(supercb[Qtde],supercb[Item],tab_higiene[[#This Row],[Item]],supercb[Bairro],mercado17)</f>
        <v>0</v>
      </c>
      <c r="BB200" s="61">
        <f>SUMIFS(super1[Qtde],super1[Item],tab_higiene[[#This Row],[Item]],super1[Bairro],mercado18)+SUMIFS(supercb[Qtde],supercb[Item],tab_higiene[[#This Row],[Item]],supercb[Bairro],mercado18)</f>
        <v>0</v>
      </c>
      <c r="BC200" s="51">
        <f>SUMIFS(super1[Qtde],super1[Item],tab_higiene[[#This Row],[Item]],super1[Bairro],extras)+SUMIFS(supercb[Qtde],supercb[Item],tab_higiene[[#This Row],[Item]],supercb[Bairro],extras)</f>
        <v>0</v>
      </c>
      <c r="BD200" s="8">
        <f t="shared" si="76"/>
        <v>3</v>
      </c>
      <c r="BE200" s="8">
        <f t="shared" si="77"/>
        <v>26.97</v>
      </c>
      <c r="BF200" s="23">
        <f t="shared" si="78"/>
        <v>8.1421022946442836</v>
      </c>
    </row>
    <row r="201" spans="9:58" ht="15.75" thickBot="1" x14ac:dyDescent="0.3">
      <c r="I201" s="25" t="str">
        <f>alimentos[[#This Row],[Item]]</f>
        <v>O</v>
      </c>
      <c r="J201" s="1">
        <f>IFERROR(alimentos[[#This Row],[kg/embalagem]],0)</f>
        <v>0</v>
      </c>
      <c r="K201" s="18">
        <f>IFERROR(alimentos[[#This Row],[Preço]],0)</f>
        <v>0</v>
      </c>
      <c r="L201" s="18">
        <f>SUMIFS(super1[Qtde],super1[Item],tab_alimentos[[#This Row],[Item]],super1[Bairro],mercado1)+SUMIFS(supercb[Qtde],supercb[Item],tab_alimentos[[#This Row],[Item]],supercb[Bairro],mercado1)</f>
        <v>0</v>
      </c>
      <c r="M201" s="18">
        <f>SUMIFS(super1[Qtde],super1[Item],tab_alimentos[[#This Row],[Item]],super1[Bairro],mercado2)+SUMIFS(supercb[Qtde],supercb[Item],tab_alimentos[[#This Row],[Item]],supercb[Bairro],mercado2)</f>
        <v>0</v>
      </c>
      <c r="N201" s="1">
        <f>SUMIFS(super1[Qtde],super1[Item],tab_alimentos[[#This Row],[Item]],super1[Bairro],mercado3)+SUMIFS(supercb[Qtde],supercb[Item],tab_alimentos[[#This Row],[Item]],supercb[Bairro],mercado3)</f>
        <v>0</v>
      </c>
      <c r="O201" s="18">
        <f>SUMIFS(super1[Qtde],super1[Item],tab_alimentos[[#This Row],[Item]],super1[Bairro],mercado4)+SUMIFS(supercb[Qtde],supercb[Item],tab_alimentos[[#This Row],[Item]],supercb[Bairro],mercado4)</f>
        <v>0</v>
      </c>
      <c r="P201" s="18">
        <f>SUMIFS(super1[Qtde],super1[Item],tab_alimentos[[#This Row],[Item]],super1[Bairro],mercado5)+SUMIFS(supercb[Qtde],supercb[Item],tab_alimentos[[#This Row],[Item]],supercb[Bairro],mercado5)</f>
        <v>0</v>
      </c>
      <c r="Q201" s="18">
        <f>SUMIFS(super1[Qtde],super1[Item],tab_alimentos[[#This Row],[Item]],super1[Bairro],mercado6)+SUMIFS(supercb[Qtde],supercb[Item],tab_alimentos[[#This Row],[Item]],supercb[Bairro],mercado6)</f>
        <v>0</v>
      </c>
      <c r="R201" s="18">
        <f>SUMIFS(super1[Qtde],super1[Item],tab_alimentos[[#This Row],[Item]],super1[Bairro],mercado7)+SUMIFS(supercb[Qtde],supercb[Item],tab_alimentos[[#This Row],[Item]],supercb[Bairro],mercado7)</f>
        <v>0</v>
      </c>
      <c r="S201" s="18">
        <f>SUMIFS(super1[Qtde],super1[Item],tab_alimentos[[#This Row],[Item]],super1[Bairro],mercado8)+SUMIFS(supercb[Qtde],supercb[Item],tab_alimentos[[#This Row],[Item]],supercb[Bairro],mercado8)</f>
        <v>0</v>
      </c>
      <c r="T201" s="18">
        <f>SUMIFS(super1[Qtde],super1[Item],tab_alimentos[[#This Row],[Item]],super1[Bairro],mercado9)+SUMIFS(supercb[Qtde],supercb[Item],tab_alimentos[[#This Row],[Item]],supercb[Bairro],mercado9)</f>
        <v>0</v>
      </c>
      <c r="U201" s="18">
        <f>SUMIFS(super1[Qtde],super1[Item],tab_alimentos[[#This Row],[Item]],super1[Bairro],mercado10)+SUMIFS(supercb[Qtde],supercb[Item],tab_alimentos[[#This Row],[Item]],supercb[Bairro],mercado10)</f>
        <v>0</v>
      </c>
      <c r="V201" s="18">
        <f>SUMIFS(super1[Qtde],super1[Item],tab_alimentos[[#This Row],[Item]],super1[Bairro],mercado11)+SUMIFS(supercb[Qtde],supercb[Item],tab_alimentos[[#This Row],[Item]],supercb[Bairro],mercado11)</f>
        <v>0</v>
      </c>
      <c r="W201" s="18">
        <f>SUMIFS(super1[Qtde],super1[Item],tab_alimentos[[#This Row],[Item]],super1[Bairro],mercado12)+SUMIFS(supercb[Qtde],supercb[Item],tab_alimentos[[#This Row],[Item]],supercb[Bairro],mercado12)</f>
        <v>0</v>
      </c>
      <c r="X201" s="18">
        <f>SUMIFS(super1[Qtde],super1[Item],tab_alimentos[[#This Row],[Item]],super1[Bairro],mercado13)+SUMIFS(supercb[Qtde],supercb[Item],tab_alimentos[[#This Row],[Item]],supercb[Bairro],mercado13)</f>
        <v>0</v>
      </c>
      <c r="Y201" s="18">
        <f>SUMIFS(super1[Qtde],super1[Item],tab_alimentos[[#This Row],[Item]],super1[Bairro],mercado14)+SUMIFS(supercb[Qtde],supercb[Item],tab_alimentos[[#This Row],[Item]],supercb[Bairro],mercado14)</f>
        <v>0</v>
      </c>
      <c r="Z201" s="18">
        <f>SUMIFS(super1[Qtde],super1[Item],tab_alimentos[[#This Row],[Item]],super1[Bairro],mercado15)+SUMIFS(supercb[Qtde],supercb[Item],tab_alimentos[[#This Row],[Item]],supercb[Bairro],mercado15)</f>
        <v>0</v>
      </c>
      <c r="AA201" s="18">
        <f>SUMIFS(super1[Qtde],super1[Item],tab_alimentos[[#This Row],[Item]],super1[Bairro],mercado16)+SUMIFS(supercb[Qtde],supercb[Item],tab_alimentos[[#This Row],[Item]],supercb[Bairro],mercado16)</f>
        <v>0</v>
      </c>
      <c r="AB201" s="18">
        <f>SUMIFS(super1[Qtde],super1[Item],tab_alimentos[[#This Row],[Item]],super1[Bairro],mercado17)+SUMIFS(supercb[Qtde],supercb[Item],tab_alimentos[[#This Row],[Item]],supercb[Bairro],mercado17)</f>
        <v>0</v>
      </c>
      <c r="AC201" s="18">
        <f>SUMIFS(super1[Qtde],super1[Item],tab_alimentos[[#This Row],[Item]],super1[Bairro],mercado18)+SUMIFS(supercb[Qtde],supercb[Item],tab_alimentos[[#This Row],[Item]],supercb[Bairro],mercado18)</f>
        <v>0</v>
      </c>
      <c r="AD201" s="18">
        <f>SUMIFS(super1[Qtde],super1[Item],tab_alimentos[[#This Row],[Item]],super1[Bairro],extras)+SUMIFS(supercb[Qtde],supercb[Item],tab_alimentos[[#This Row],[Item]],supercb[Bairro],extras)</f>
        <v>0</v>
      </c>
      <c r="AE201" s="1">
        <f t="shared" si="67"/>
        <v>0</v>
      </c>
      <c r="AF201" s="1">
        <f t="shared" si="68"/>
        <v>0</v>
      </c>
      <c r="AG201" s="26">
        <f t="shared" si="69"/>
        <v>0</v>
      </c>
      <c r="AH201" s="15" t="str">
        <f>higiene[[#This Row],[Item]]</f>
        <v xml:space="preserve">Shampoo (400mL) </v>
      </c>
      <c r="AI201" s="8">
        <f>IFERROR(higiene[[#This Row],[Kg equivalente]],0)</f>
        <v>4.4046448824197286</v>
      </c>
      <c r="AJ201" s="8">
        <f>IFERROR(higiene[[#This Row],[Preço por produto]],0)</f>
        <v>14.59</v>
      </c>
      <c r="AK201" s="61">
        <f>SUMIFS(super1[Qtde],super1[Item],tab_higiene[[#This Row],[Item]],super1[Bairro],mercado1)+SUMIFS(supercb[Qtde],supercb[Item],tab_higiene[[#This Row],[Item]],supercb[Bairro],mercado1)</f>
        <v>0</v>
      </c>
      <c r="AL201" s="61">
        <f>SUMIFS(super1[Qtde],super1[Item],tab_higiene[[#This Row],[Item]],super1[Bairro],mercado2)+SUMIFS(supercb[Qtde],supercb[Item],tab_higiene[[#This Row],[Item]],supercb[Bairro],mercado2)</f>
        <v>0</v>
      </c>
      <c r="AM201" s="61">
        <f>SUMIFS(super1[Qtde],super1[Item],tab_higiene[[#This Row],[Item]],super1[Bairro],mercado3)+SUMIFS(supercb[Qtde],supercb[Item],tab_higiene[[#This Row],[Item]],supercb[Bairro],mercado3)</f>
        <v>0</v>
      </c>
      <c r="AN201" s="61">
        <f>SUMIFS(super1[Qtde],super1[Item],tab_higiene[[#This Row],[Item]],super1[Bairro],mercado4)+SUMIFS(supercb[Qtde],supercb[Item],tab_higiene[[#This Row],[Item]],supercb[Bairro],mercado4)</f>
        <v>0</v>
      </c>
      <c r="AO201" s="61">
        <f>SUMIFS(super1[Qtde],super1[Item],tab_higiene[[#This Row],[Item]],super1[Bairro],mercado5)+SUMIFS(supercb[Qtde],supercb[Item],tab_higiene[[#This Row],[Item]],supercb[Bairro],mercado5)</f>
        <v>0</v>
      </c>
      <c r="AP201" s="61">
        <f>SUMIFS(super1[Qtde],super1[Item],tab_higiene[[#This Row],[Item]],super1[Bairro],mercado6)+SUMIFS(supercb[Qtde],supercb[Item],tab_higiene[[#This Row],[Item]],supercb[Bairro],mercado6)</f>
        <v>0</v>
      </c>
      <c r="AQ201" s="61">
        <f>SUMIFS(super1[Qtde],super1[Item],tab_higiene[[#This Row],[Item]],super1[Bairro],mercado7)+SUMIFS(supercb[Qtde],supercb[Item],tab_higiene[[#This Row],[Item]],supercb[Bairro],mercado7)</f>
        <v>0</v>
      </c>
      <c r="AR201" s="61">
        <f>SUMIFS(super1[Qtde],super1[Item],tab_higiene[[#This Row],[Item]],super1[Bairro],mercado8)+SUMIFS(supercb[Qtde],supercb[Item],tab_higiene[[#This Row],[Item]],supercb[Bairro],mercado8)</f>
        <v>0</v>
      </c>
      <c r="AS201" s="61">
        <f>SUMIFS(super1[Qtde],super1[Item],tab_higiene[[#This Row],[Item]],super1[Bairro],mercado9)+SUMIFS(supercb[Qtde],supercb[Item],tab_higiene[[#This Row],[Item]],supercb[Bairro],mercado9)</f>
        <v>0</v>
      </c>
      <c r="AT201" s="61">
        <f>SUMIFS(super1[Qtde],super1[Item],tab_higiene[[#This Row],[Item]],super1[Bairro],mercado10)+SUMIFS(supercb[Qtde],supercb[Item],tab_higiene[[#This Row],[Item]],supercb[Bairro],mercado10)</f>
        <v>3</v>
      </c>
      <c r="AU201" s="61">
        <f>SUMIFS(super1[Qtde],super1[Item],tab_higiene[[#This Row],[Item]],super1[Bairro],mercado11)+SUMIFS(supercb[Qtde],supercb[Item],tab_higiene[[#This Row],[Item]],supercb[Bairro],mercado11)</f>
        <v>0</v>
      </c>
      <c r="AV201" s="61">
        <f>SUMIFS(super1[Qtde],super1[Item],tab_higiene[[#This Row],[Item]],super1[Bairro],mercado12)+SUMIFS(supercb[Qtde],supercb[Item],tab_higiene[[#This Row],[Item]],supercb[Bairro],mercado12)</f>
        <v>0</v>
      </c>
      <c r="AW201" s="61">
        <f>SUMIFS(super1[Qtde],super1[Item],tab_higiene[[#This Row],[Item]],super1[Bairro],mercado13)+SUMIFS(supercb[Qtde],supercb[Item],tab_higiene[[#This Row],[Item]],supercb[Bairro],mercado13)</f>
        <v>0</v>
      </c>
      <c r="AX201" s="61">
        <f>SUMIFS(super1[Qtde],super1[Item],tab_higiene[[#This Row],[Item]],super1[Bairro],mercado14)+SUMIFS(supercb[Qtde],supercb[Item],tab_higiene[[#This Row],[Item]],supercb[Bairro],mercado14)</f>
        <v>0</v>
      </c>
      <c r="AY201" s="61">
        <f>SUMIFS(super1[Qtde],super1[Item],tab_higiene[[#This Row],[Item]],super1[Bairro],mercado15)+SUMIFS(supercb[Qtde],supercb[Item],tab_higiene[[#This Row],[Item]],supercb[Bairro],mercado15)</f>
        <v>0</v>
      </c>
      <c r="AZ201" s="61">
        <f>SUMIFS(super1[Qtde],super1[Item],tab_higiene[[#This Row],[Item]],super1[Bairro],mercado16)+SUMIFS(supercb[Qtde],supercb[Item],tab_higiene[[#This Row],[Item]],supercb[Bairro],mercado16)</f>
        <v>0</v>
      </c>
      <c r="BA201" s="61">
        <f>SUMIFS(super1[Qtde],super1[Item],tab_higiene[[#This Row],[Item]],super1[Bairro],mercado17)+SUMIFS(supercb[Qtde],supercb[Item],tab_higiene[[#This Row],[Item]],supercb[Bairro],mercado17)</f>
        <v>0</v>
      </c>
      <c r="BB201" s="61">
        <f>SUMIFS(super1[Qtde],super1[Item],tab_higiene[[#This Row],[Item]],super1[Bairro],mercado18)+SUMIFS(supercb[Qtde],supercb[Item],tab_higiene[[#This Row],[Item]],supercb[Bairro],mercado18)</f>
        <v>0</v>
      </c>
      <c r="BC201" s="51">
        <f>SUMIFS(super1[Qtde],super1[Item],tab_higiene[[#This Row],[Item]],super1[Bairro],extras)+SUMIFS(supercb[Qtde],supercb[Item],tab_higiene[[#This Row],[Item]],supercb[Bairro],extras)</f>
        <v>0</v>
      </c>
      <c r="BD201" s="8">
        <f t="shared" si="76"/>
        <v>3</v>
      </c>
      <c r="BE201" s="8">
        <f t="shared" si="77"/>
        <v>43.769999999999996</v>
      </c>
      <c r="BF201" s="23">
        <f t="shared" si="78"/>
        <v>13.213934647259187</v>
      </c>
    </row>
    <row r="202" spans="9:58" ht="15.75" thickBot="1" x14ac:dyDescent="0.3">
      <c r="I202" s="25" t="str">
        <f>alimentos[[#This Row],[Item]]</f>
        <v>Óleo</v>
      </c>
      <c r="J202" s="1">
        <f>IFERROR(alimentos[[#This Row],[kg/embalagem]],0)</f>
        <v>0.9</v>
      </c>
      <c r="K202" s="18">
        <f>IFERROR(alimentos[[#This Row],[Preço]],0)</f>
        <v>2.9683333333333333</v>
      </c>
      <c r="L202" s="18">
        <f>SUMIFS(super1[Qtde],super1[Item],tab_alimentos[[#This Row],[Item]],super1[Bairro],mercado1)+SUMIFS(supercb[Qtde],supercb[Item],tab_alimentos[[#This Row],[Item]],supercb[Bairro],mercado1)</f>
        <v>9</v>
      </c>
      <c r="M202" s="18">
        <f>SUMIFS(super1[Qtde],super1[Item],tab_alimentos[[#This Row],[Item]],super1[Bairro],mercado2)+SUMIFS(supercb[Qtde],supercb[Item],tab_alimentos[[#This Row],[Item]],supercb[Bairro],mercado2)</f>
        <v>27</v>
      </c>
      <c r="N202" s="1">
        <f>SUMIFS(super1[Qtde],super1[Item],tab_alimentos[[#This Row],[Item]],super1[Bairro],mercado3)+SUMIFS(supercb[Qtde],supercb[Item],tab_alimentos[[#This Row],[Item]],supercb[Bairro],mercado3)</f>
        <v>16</v>
      </c>
      <c r="O202" s="18">
        <f>SUMIFS(super1[Qtde],super1[Item],tab_alimentos[[#This Row],[Item]],super1[Bairro],mercado4)+SUMIFS(supercb[Qtde],supercb[Item],tab_alimentos[[#This Row],[Item]],supercb[Bairro],mercado4)</f>
        <v>18</v>
      </c>
      <c r="P202" s="18">
        <f>SUMIFS(super1[Qtde],super1[Item],tab_alimentos[[#This Row],[Item]],super1[Bairro],mercado5)+SUMIFS(supercb[Qtde],supercb[Item],tab_alimentos[[#This Row],[Item]],supercb[Bairro],mercado5)</f>
        <v>14</v>
      </c>
      <c r="Q202" s="18">
        <f>SUMIFS(super1[Qtde],super1[Item],tab_alimentos[[#This Row],[Item]],super1[Bairro],mercado6)+SUMIFS(supercb[Qtde],supercb[Item],tab_alimentos[[#This Row],[Item]],supercb[Bairro],mercado6)</f>
        <v>10</v>
      </c>
      <c r="R202" s="18">
        <f>SUMIFS(super1[Qtde],super1[Item],tab_alimentos[[#This Row],[Item]],super1[Bairro],mercado7)+SUMIFS(supercb[Qtde],supercb[Item],tab_alimentos[[#This Row],[Item]],supercb[Bairro],mercado7)</f>
        <v>18</v>
      </c>
      <c r="S202" s="18">
        <f>SUMIFS(super1[Qtde],super1[Item],tab_alimentos[[#This Row],[Item]],super1[Bairro],mercado8)+SUMIFS(supercb[Qtde],supercb[Item],tab_alimentos[[#This Row],[Item]],supercb[Bairro],mercado8)</f>
        <v>21</v>
      </c>
      <c r="T202" s="18">
        <f>SUMIFS(super1[Qtde],super1[Item],tab_alimentos[[#This Row],[Item]],super1[Bairro],mercado9)+SUMIFS(supercb[Qtde],supercb[Item],tab_alimentos[[#This Row],[Item]],supercb[Bairro],mercado9)</f>
        <v>29</v>
      </c>
      <c r="U202" s="18">
        <f>SUMIFS(super1[Qtde],super1[Item],tab_alimentos[[#This Row],[Item]],super1[Bairro],mercado10)+SUMIFS(supercb[Qtde],supercb[Item],tab_alimentos[[#This Row],[Item]],supercb[Bairro],mercado10)</f>
        <v>76</v>
      </c>
      <c r="V202" s="18">
        <f>SUMIFS(super1[Qtde],super1[Item],tab_alimentos[[#This Row],[Item]],super1[Bairro],mercado11)+SUMIFS(supercb[Qtde],supercb[Item],tab_alimentos[[#This Row],[Item]],supercb[Bairro],mercado11)</f>
        <v>33</v>
      </c>
      <c r="W202" s="18">
        <f>SUMIFS(super1[Qtde],super1[Item],tab_alimentos[[#This Row],[Item]],super1[Bairro],mercado12)+SUMIFS(supercb[Qtde],supercb[Item],tab_alimentos[[#This Row],[Item]],supercb[Bairro],mercado12)</f>
        <v>0</v>
      </c>
      <c r="X202" s="18">
        <f>SUMIFS(super1[Qtde],super1[Item],tab_alimentos[[#This Row],[Item]],super1[Bairro],mercado13)+SUMIFS(supercb[Qtde],supercb[Item],tab_alimentos[[#This Row],[Item]],supercb[Bairro],mercado13)</f>
        <v>51</v>
      </c>
      <c r="Y202" s="18">
        <f>SUMIFS(super1[Qtde],super1[Item],tab_alimentos[[#This Row],[Item]],super1[Bairro],mercado14)+SUMIFS(supercb[Qtde],supercb[Item],tab_alimentos[[#This Row],[Item]],supercb[Bairro],mercado14)</f>
        <v>0</v>
      </c>
      <c r="Z202" s="18">
        <f>SUMIFS(super1[Qtde],super1[Item],tab_alimentos[[#This Row],[Item]],super1[Bairro],mercado15)+SUMIFS(supercb[Qtde],supercb[Item],tab_alimentos[[#This Row],[Item]],supercb[Bairro],mercado15)</f>
        <v>0</v>
      </c>
      <c r="AA202" s="18">
        <f>SUMIFS(super1[Qtde],super1[Item],tab_alimentos[[#This Row],[Item]],super1[Bairro],mercado16)+SUMIFS(supercb[Qtde],supercb[Item],tab_alimentos[[#This Row],[Item]],supercb[Bairro],mercado16)</f>
        <v>0</v>
      </c>
      <c r="AB202" s="18">
        <f>SUMIFS(super1[Qtde],super1[Item],tab_alimentos[[#This Row],[Item]],super1[Bairro],mercado17)+SUMIFS(supercb[Qtde],supercb[Item],tab_alimentos[[#This Row],[Item]],supercb[Bairro],mercado17)</f>
        <v>0</v>
      </c>
      <c r="AC202" s="18">
        <f>SUMIFS(super1[Qtde],super1[Item],tab_alimentos[[#This Row],[Item]],super1[Bairro],mercado18)+SUMIFS(supercb[Qtde],supercb[Item],tab_alimentos[[#This Row],[Item]],supercb[Bairro],mercado18)</f>
        <v>0</v>
      </c>
      <c r="AD202" s="18">
        <f>SUMIFS(super1[Qtde],super1[Item],tab_alimentos[[#This Row],[Item]],super1[Bairro],extras)+SUMIFS(supercb[Qtde],supercb[Item],tab_alimentos[[#This Row],[Item]],supercb[Bairro],extras)</f>
        <v>0</v>
      </c>
      <c r="AE202" s="1">
        <f t="shared" si="67"/>
        <v>322</v>
      </c>
      <c r="AF202" s="1">
        <f t="shared" si="68"/>
        <v>955.80333333333328</v>
      </c>
      <c r="AG202" s="26">
        <f t="shared" si="69"/>
        <v>289.8</v>
      </c>
      <c r="AH202" s="15" t="str">
        <f>higiene[[#This Row],[Item]]</f>
        <v>Shampoo e Condicionador 325ml</v>
      </c>
      <c r="AI202" s="8">
        <f>IFERROR(higiene[[#This Row],[Kg equivalente]],0)</f>
        <v>3.9185942819608006</v>
      </c>
      <c r="AJ202" s="8">
        <f>IFERROR(higiene[[#This Row],[Preço por produto]],0)</f>
        <v>12.98</v>
      </c>
      <c r="AK202" s="61">
        <f>SUMIFS(super1[Qtde],super1[Item],tab_higiene[[#This Row],[Item]],super1[Bairro],mercado1)+SUMIFS(supercb[Qtde],supercb[Item],tab_higiene[[#This Row],[Item]],supercb[Bairro],mercado1)</f>
        <v>0</v>
      </c>
      <c r="AL202" s="61">
        <f>SUMIFS(super1[Qtde],super1[Item],tab_higiene[[#This Row],[Item]],super1[Bairro],mercado2)+SUMIFS(supercb[Qtde],supercb[Item],tab_higiene[[#This Row],[Item]],supercb[Bairro],mercado2)</f>
        <v>1</v>
      </c>
      <c r="AM202" s="61">
        <f>SUMIFS(super1[Qtde],super1[Item],tab_higiene[[#This Row],[Item]],super1[Bairro],mercado3)+SUMIFS(supercb[Qtde],supercb[Item],tab_higiene[[#This Row],[Item]],supercb[Bairro],mercado3)</f>
        <v>0</v>
      </c>
      <c r="AN202" s="61">
        <f>SUMIFS(super1[Qtde],super1[Item],tab_higiene[[#This Row],[Item]],super1[Bairro],mercado4)+SUMIFS(supercb[Qtde],supercb[Item],tab_higiene[[#This Row],[Item]],supercb[Bairro],mercado4)</f>
        <v>0</v>
      </c>
      <c r="AO202" s="61">
        <f>SUMIFS(super1[Qtde],super1[Item],tab_higiene[[#This Row],[Item]],super1[Bairro],mercado5)+SUMIFS(supercb[Qtde],supercb[Item],tab_higiene[[#This Row],[Item]],supercb[Bairro],mercado5)</f>
        <v>0</v>
      </c>
      <c r="AP202" s="61">
        <f>SUMIFS(super1[Qtde],super1[Item],tab_higiene[[#This Row],[Item]],super1[Bairro],mercado6)+SUMIFS(supercb[Qtde],supercb[Item],tab_higiene[[#This Row],[Item]],supercb[Bairro],mercado6)</f>
        <v>0</v>
      </c>
      <c r="AQ202" s="61">
        <f>SUMIFS(super1[Qtde],super1[Item],tab_higiene[[#This Row],[Item]],super1[Bairro],mercado7)+SUMIFS(supercb[Qtde],supercb[Item],tab_higiene[[#This Row],[Item]],supercb[Bairro],mercado7)</f>
        <v>0</v>
      </c>
      <c r="AR202" s="61">
        <f>SUMIFS(super1[Qtde],super1[Item],tab_higiene[[#This Row],[Item]],super1[Bairro],mercado8)+SUMIFS(supercb[Qtde],supercb[Item],tab_higiene[[#This Row],[Item]],supercb[Bairro],mercado8)</f>
        <v>0</v>
      </c>
      <c r="AS202" s="61">
        <f>SUMIFS(super1[Qtde],super1[Item],tab_higiene[[#This Row],[Item]],super1[Bairro],mercado9)+SUMIFS(supercb[Qtde],supercb[Item],tab_higiene[[#This Row],[Item]],supercb[Bairro],mercado9)</f>
        <v>0</v>
      </c>
      <c r="AT202" s="61">
        <f>SUMIFS(super1[Qtde],super1[Item],tab_higiene[[#This Row],[Item]],super1[Bairro],mercado10)+SUMIFS(supercb[Qtde],supercb[Item],tab_higiene[[#This Row],[Item]],supercb[Bairro],mercado10)</f>
        <v>0</v>
      </c>
      <c r="AU202" s="61">
        <f>SUMIFS(super1[Qtde],super1[Item],tab_higiene[[#This Row],[Item]],super1[Bairro],mercado11)+SUMIFS(supercb[Qtde],supercb[Item],tab_higiene[[#This Row],[Item]],supercb[Bairro],mercado11)</f>
        <v>0</v>
      </c>
      <c r="AV202" s="61">
        <f>SUMIFS(super1[Qtde],super1[Item],tab_higiene[[#This Row],[Item]],super1[Bairro],mercado12)+SUMIFS(supercb[Qtde],supercb[Item],tab_higiene[[#This Row],[Item]],supercb[Bairro],mercado12)</f>
        <v>0</v>
      </c>
      <c r="AW202" s="61">
        <f>SUMIFS(super1[Qtde],super1[Item],tab_higiene[[#This Row],[Item]],super1[Bairro],mercado13)+SUMIFS(supercb[Qtde],supercb[Item],tab_higiene[[#This Row],[Item]],supercb[Bairro],mercado13)</f>
        <v>0</v>
      </c>
      <c r="AX202" s="61">
        <f>SUMIFS(super1[Qtde],super1[Item],tab_higiene[[#This Row],[Item]],super1[Bairro],mercado14)+SUMIFS(supercb[Qtde],supercb[Item],tab_higiene[[#This Row],[Item]],supercb[Bairro],mercado14)</f>
        <v>0</v>
      </c>
      <c r="AY202" s="61">
        <f>SUMIFS(super1[Qtde],super1[Item],tab_higiene[[#This Row],[Item]],super1[Bairro],mercado15)+SUMIFS(supercb[Qtde],supercb[Item],tab_higiene[[#This Row],[Item]],supercb[Bairro],mercado15)</f>
        <v>0</v>
      </c>
      <c r="AZ202" s="61">
        <f>SUMIFS(super1[Qtde],super1[Item],tab_higiene[[#This Row],[Item]],super1[Bairro],mercado16)+SUMIFS(supercb[Qtde],supercb[Item],tab_higiene[[#This Row],[Item]],supercb[Bairro],mercado16)</f>
        <v>0</v>
      </c>
      <c r="BA202" s="61">
        <f>SUMIFS(super1[Qtde],super1[Item],tab_higiene[[#This Row],[Item]],super1[Bairro],mercado17)+SUMIFS(supercb[Qtde],supercb[Item],tab_higiene[[#This Row],[Item]],supercb[Bairro],mercado17)</f>
        <v>0</v>
      </c>
      <c r="BB202" s="61">
        <f>SUMIFS(super1[Qtde],super1[Item],tab_higiene[[#This Row],[Item]],super1[Bairro],mercado18)+SUMIFS(supercb[Qtde],supercb[Item],tab_higiene[[#This Row],[Item]],supercb[Bairro],mercado18)</f>
        <v>0</v>
      </c>
      <c r="BC202" s="51">
        <f>SUMIFS(super1[Qtde],super1[Item],tab_higiene[[#This Row],[Item]],super1[Bairro],extras)+SUMIFS(supercb[Qtde],supercb[Item],tab_higiene[[#This Row],[Item]],supercb[Bairro],extras)</f>
        <v>0</v>
      </c>
      <c r="BD202" s="8">
        <f t="shared" si="76"/>
        <v>1</v>
      </c>
      <c r="BE202" s="8">
        <f t="shared" si="77"/>
        <v>12.98</v>
      </c>
      <c r="BF202" s="23">
        <f t="shared" si="78"/>
        <v>3.9185942819608006</v>
      </c>
    </row>
    <row r="203" spans="9:58" ht="15.75" thickBot="1" x14ac:dyDescent="0.3">
      <c r="I203" s="25" t="str">
        <f>alimentos[[#This Row],[Item]]</f>
        <v>Orégano (10g)</v>
      </c>
      <c r="J203" s="1">
        <f>IFERROR(alimentos[[#This Row],[kg/embalagem]],0)</f>
        <v>0.01</v>
      </c>
      <c r="K203" s="18">
        <f>IFERROR(alimentos[[#This Row],[Preço]],0)</f>
        <v>3.65</v>
      </c>
      <c r="L203" s="18">
        <f>SUMIFS(super1[Qtde],super1[Item],tab_alimentos[[#This Row],[Item]],super1[Bairro],mercado1)+SUMIFS(supercb[Qtde],supercb[Item],tab_alimentos[[#This Row],[Item]],supercb[Bairro],mercado1)</f>
        <v>0</v>
      </c>
      <c r="M203" s="18">
        <f>SUMIFS(super1[Qtde],super1[Item],tab_alimentos[[#This Row],[Item]],super1[Bairro],mercado2)+SUMIFS(supercb[Qtde],supercb[Item],tab_alimentos[[#This Row],[Item]],supercb[Bairro],mercado2)</f>
        <v>0</v>
      </c>
      <c r="N203" s="1">
        <f>SUMIFS(super1[Qtde],super1[Item],tab_alimentos[[#This Row],[Item]],super1[Bairro],mercado3)+SUMIFS(supercb[Qtde],supercb[Item],tab_alimentos[[#This Row],[Item]],supercb[Bairro],mercado3)</f>
        <v>0</v>
      </c>
      <c r="O203" s="18">
        <f>SUMIFS(super1[Qtde],super1[Item],tab_alimentos[[#This Row],[Item]],super1[Bairro],mercado4)+SUMIFS(supercb[Qtde],supercb[Item],tab_alimentos[[#This Row],[Item]],supercb[Bairro],mercado4)</f>
        <v>0</v>
      </c>
      <c r="P203" s="18">
        <f>SUMIFS(super1[Qtde],super1[Item],tab_alimentos[[#This Row],[Item]],super1[Bairro],mercado5)+SUMIFS(supercb[Qtde],supercb[Item],tab_alimentos[[#This Row],[Item]],supercb[Bairro],mercado5)</f>
        <v>0</v>
      </c>
      <c r="Q203" s="18">
        <f>SUMIFS(super1[Qtde],super1[Item],tab_alimentos[[#This Row],[Item]],super1[Bairro],mercado6)+SUMIFS(supercb[Qtde],supercb[Item],tab_alimentos[[#This Row],[Item]],supercb[Bairro],mercado6)</f>
        <v>0</v>
      </c>
      <c r="R203" s="18">
        <f>SUMIFS(super1[Qtde],super1[Item],tab_alimentos[[#This Row],[Item]],super1[Bairro],mercado7)+SUMIFS(supercb[Qtde],supercb[Item],tab_alimentos[[#This Row],[Item]],supercb[Bairro],mercado7)</f>
        <v>0</v>
      </c>
      <c r="S203" s="18">
        <f>SUMIFS(super1[Qtde],super1[Item],tab_alimentos[[#This Row],[Item]],super1[Bairro],mercado8)+SUMIFS(supercb[Qtde],supercb[Item],tab_alimentos[[#This Row],[Item]],supercb[Bairro],mercado8)</f>
        <v>0</v>
      </c>
      <c r="T203" s="18">
        <f>SUMIFS(super1[Qtde],super1[Item],tab_alimentos[[#This Row],[Item]],super1[Bairro],mercado9)+SUMIFS(supercb[Qtde],supercb[Item],tab_alimentos[[#This Row],[Item]],supercb[Bairro],mercado9)</f>
        <v>0</v>
      </c>
      <c r="U203" s="18">
        <f>SUMIFS(super1[Qtde],super1[Item],tab_alimentos[[#This Row],[Item]],super1[Bairro],mercado10)+SUMIFS(supercb[Qtde],supercb[Item],tab_alimentos[[#This Row],[Item]],supercb[Bairro],mercado10)</f>
        <v>0</v>
      </c>
      <c r="V203" s="18">
        <f>SUMIFS(super1[Qtde],super1[Item],tab_alimentos[[#This Row],[Item]],super1[Bairro],mercado11)+SUMIFS(supercb[Qtde],supercb[Item],tab_alimentos[[#This Row],[Item]],supercb[Bairro],mercado11)</f>
        <v>0</v>
      </c>
      <c r="W203" s="18">
        <f>SUMIFS(super1[Qtde],super1[Item],tab_alimentos[[#This Row],[Item]],super1[Bairro],mercado12)+SUMIFS(supercb[Qtde],supercb[Item],tab_alimentos[[#This Row],[Item]],supercb[Bairro],mercado12)</f>
        <v>0</v>
      </c>
      <c r="X203" s="18">
        <f>SUMIFS(super1[Qtde],super1[Item],tab_alimentos[[#This Row],[Item]],super1[Bairro],mercado13)+SUMIFS(supercb[Qtde],supercb[Item],tab_alimentos[[#This Row],[Item]],supercb[Bairro],mercado13)</f>
        <v>0</v>
      </c>
      <c r="Y203" s="18">
        <f>SUMIFS(super1[Qtde],super1[Item],tab_alimentos[[#This Row],[Item]],super1[Bairro],mercado14)+SUMIFS(supercb[Qtde],supercb[Item],tab_alimentos[[#This Row],[Item]],supercb[Bairro],mercado14)</f>
        <v>0</v>
      </c>
      <c r="Z203" s="18">
        <f>SUMIFS(super1[Qtde],super1[Item],tab_alimentos[[#This Row],[Item]],super1[Bairro],mercado15)+SUMIFS(supercb[Qtde],supercb[Item],tab_alimentos[[#This Row],[Item]],supercb[Bairro],mercado15)</f>
        <v>0</v>
      </c>
      <c r="AA203" s="18">
        <f>SUMIFS(super1[Qtde],super1[Item],tab_alimentos[[#This Row],[Item]],super1[Bairro],mercado16)+SUMIFS(supercb[Qtde],supercb[Item],tab_alimentos[[#This Row],[Item]],supercb[Bairro],mercado16)</f>
        <v>0</v>
      </c>
      <c r="AB203" s="18">
        <f>SUMIFS(super1[Qtde],super1[Item],tab_alimentos[[#This Row],[Item]],super1[Bairro],mercado17)+SUMIFS(supercb[Qtde],supercb[Item],tab_alimentos[[#This Row],[Item]],supercb[Bairro],mercado17)</f>
        <v>0</v>
      </c>
      <c r="AC203" s="18">
        <f>SUMIFS(super1[Qtde],super1[Item],tab_alimentos[[#This Row],[Item]],super1[Bairro],mercado18)+SUMIFS(supercb[Qtde],supercb[Item],tab_alimentos[[#This Row],[Item]],supercb[Bairro],mercado18)</f>
        <v>0</v>
      </c>
      <c r="AD203" s="18">
        <f>SUMIFS(super1[Qtde],super1[Item],tab_alimentos[[#This Row],[Item]],super1[Bairro],extras)+SUMIFS(supercb[Qtde],supercb[Item],tab_alimentos[[#This Row],[Item]],supercb[Bairro],extras)</f>
        <v>0</v>
      </c>
      <c r="AE203" s="1">
        <f t="shared" si="67"/>
        <v>0</v>
      </c>
      <c r="AF203" s="1">
        <f t="shared" si="68"/>
        <v>0</v>
      </c>
      <c r="AG203" s="26">
        <f t="shared" si="69"/>
        <v>0</v>
      </c>
      <c r="AH203" s="15" t="str">
        <f>higiene[[#This Row],[Item]]</f>
        <v xml:space="preserve">Shampoo ou condicinador (200mL) </v>
      </c>
      <c r="AI203" s="8">
        <f>IFERROR(higiene[[#This Row],[Kg equivalente]],0)</f>
        <v>2.7600730526060566</v>
      </c>
      <c r="AJ203" s="8">
        <f>IFERROR(higiene[[#This Row],[Preço por produto]],0)</f>
        <v>9.1425000000000001</v>
      </c>
      <c r="AK203" s="61">
        <f>SUMIFS(super1[Qtde],super1[Item],tab_higiene[[#This Row],[Item]],super1[Bairro],mercado1)+SUMIFS(supercb[Qtde],supercb[Item],tab_higiene[[#This Row],[Item]],supercb[Bairro],mercado1)</f>
        <v>0</v>
      </c>
      <c r="AL203" s="61">
        <f>SUMIFS(super1[Qtde],super1[Item],tab_higiene[[#This Row],[Item]],super1[Bairro],mercado2)+SUMIFS(supercb[Qtde],supercb[Item],tab_higiene[[#This Row],[Item]],supercb[Bairro],mercado2)</f>
        <v>0</v>
      </c>
      <c r="AM203" s="61">
        <f>SUMIFS(super1[Qtde],super1[Item],tab_higiene[[#This Row],[Item]],super1[Bairro],mercado3)+SUMIFS(supercb[Qtde],supercb[Item],tab_higiene[[#This Row],[Item]],supercb[Bairro],mercado3)</f>
        <v>0</v>
      </c>
      <c r="AN203" s="61">
        <f>SUMIFS(super1[Qtde],super1[Item],tab_higiene[[#This Row],[Item]],super1[Bairro],mercado4)+SUMIFS(supercb[Qtde],supercb[Item],tab_higiene[[#This Row],[Item]],supercb[Bairro],mercado4)</f>
        <v>0</v>
      </c>
      <c r="AO203" s="61">
        <f>SUMIFS(super1[Qtde],super1[Item],tab_higiene[[#This Row],[Item]],super1[Bairro],mercado5)+SUMIFS(supercb[Qtde],supercb[Item],tab_higiene[[#This Row],[Item]],supercb[Bairro],mercado5)</f>
        <v>0</v>
      </c>
      <c r="AP203" s="61">
        <f>SUMIFS(super1[Qtde],super1[Item],tab_higiene[[#This Row],[Item]],super1[Bairro],mercado6)+SUMIFS(supercb[Qtde],supercb[Item],tab_higiene[[#This Row],[Item]],supercb[Bairro],mercado6)</f>
        <v>0</v>
      </c>
      <c r="AQ203" s="61">
        <f>SUMIFS(super1[Qtde],super1[Item],tab_higiene[[#This Row],[Item]],super1[Bairro],mercado7)+SUMIFS(supercb[Qtde],supercb[Item],tab_higiene[[#This Row],[Item]],supercb[Bairro],mercado7)</f>
        <v>0</v>
      </c>
      <c r="AR203" s="61">
        <f>SUMIFS(super1[Qtde],super1[Item],tab_higiene[[#This Row],[Item]],super1[Bairro],mercado8)+SUMIFS(supercb[Qtde],supercb[Item],tab_higiene[[#This Row],[Item]],supercb[Bairro],mercado8)</f>
        <v>0</v>
      </c>
      <c r="AS203" s="61">
        <f>SUMIFS(super1[Qtde],super1[Item],tab_higiene[[#This Row],[Item]],super1[Bairro],mercado9)+SUMIFS(supercb[Qtde],supercb[Item],tab_higiene[[#This Row],[Item]],supercb[Bairro],mercado9)</f>
        <v>0</v>
      </c>
      <c r="AT203" s="61">
        <f>SUMIFS(super1[Qtde],super1[Item],tab_higiene[[#This Row],[Item]],super1[Bairro],mercado10)+SUMIFS(supercb[Qtde],supercb[Item],tab_higiene[[#This Row],[Item]],supercb[Bairro],mercado10)</f>
        <v>0</v>
      </c>
      <c r="AU203" s="61">
        <f>SUMIFS(super1[Qtde],super1[Item],tab_higiene[[#This Row],[Item]],super1[Bairro],mercado11)+SUMIFS(supercb[Qtde],supercb[Item],tab_higiene[[#This Row],[Item]],supercb[Bairro],mercado11)</f>
        <v>0</v>
      </c>
      <c r="AV203" s="61">
        <f>SUMIFS(super1[Qtde],super1[Item],tab_higiene[[#This Row],[Item]],super1[Bairro],mercado12)+SUMIFS(supercb[Qtde],supercb[Item],tab_higiene[[#This Row],[Item]],supercb[Bairro],mercado12)</f>
        <v>0</v>
      </c>
      <c r="AW203" s="61">
        <f>SUMIFS(super1[Qtde],super1[Item],tab_higiene[[#This Row],[Item]],super1[Bairro],mercado13)+SUMIFS(supercb[Qtde],supercb[Item],tab_higiene[[#This Row],[Item]],supercb[Bairro],mercado13)</f>
        <v>1</v>
      </c>
      <c r="AX203" s="61">
        <f>SUMIFS(super1[Qtde],super1[Item],tab_higiene[[#This Row],[Item]],super1[Bairro],mercado14)+SUMIFS(supercb[Qtde],supercb[Item],tab_higiene[[#This Row],[Item]],supercb[Bairro],mercado14)</f>
        <v>0</v>
      </c>
      <c r="AY203" s="61">
        <f>SUMIFS(super1[Qtde],super1[Item],tab_higiene[[#This Row],[Item]],super1[Bairro],mercado15)+SUMIFS(supercb[Qtde],supercb[Item],tab_higiene[[#This Row],[Item]],supercb[Bairro],mercado15)</f>
        <v>0</v>
      </c>
      <c r="AZ203" s="61">
        <f>SUMIFS(super1[Qtde],super1[Item],tab_higiene[[#This Row],[Item]],super1[Bairro],mercado16)+SUMIFS(supercb[Qtde],supercb[Item],tab_higiene[[#This Row],[Item]],supercb[Bairro],mercado16)</f>
        <v>0</v>
      </c>
      <c r="BA203" s="61">
        <f>SUMIFS(super1[Qtde],super1[Item],tab_higiene[[#This Row],[Item]],super1[Bairro],mercado17)+SUMIFS(supercb[Qtde],supercb[Item],tab_higiene[[#This Row],[Item]],supercb[Bairro],mercado17)</f>
        <v>0</v>
      </c>
      <c r="BB203" s="61">
        <f>SUMIFS(super1[Qtde],super1[Item],tab_higiene[[#This Row],[Item]],super1[Bairro],mercado18)+SUMIFS(supercb[Qtde],supercb[Item],tab_higiene[[#This Row],[Item]],supercb[Bairro],mercado18)</f>
        <v>0</v>
      </c>
      <c r="BC203" s="51">
        <f>SUMIFS(super1[Qtde],super1[Item],tab_higiene[[#This Row],[Item]],super1[Bairro],extras)+SUMIFS(supercb[Qtde],supercb[Item],tab_higiene[[#This Row],[Item]],supercb[Bairro],extras)</f>
        <v>0</v>
      </c>
      <c r="BD203" s="8">
        <f t="shared" si="76"/>
        <v>1</v>
      </c>
      <c r="BE203" s="8">
        <f t="shared" si="77"/>
        <v>9.1425000000000001</v>
      </c>
      <c r="BF203" s="23">
        <f t="shared" si="78"/>
        <v>2.7600730526060566</v>
      </c>
    </row>
    <row r="204" spans="9:58" ht="15.75" thickBot="1" x14ac:dyDescent="0.3">
      <c r="I204" s="25" t="str">
        <f>alimentos[[#This Row],[Item]]</f>
        <v>P</v>
      </c>
      <c r="J204" s="1">
        <f>IFERROR(alimentos[[#This Row],[kg/embalagem]],0)</f>
        <v>0</v>
      </c>
      <c r="K204" s="18">
        <f>IFERROR(alimentos[[#This Row],[Preço]],0)</f>
        <v>0</v>
      </c>
      <c r="L204" s="18">
        <f>SUMIFS(super1[Qtde],super1[Item],tab_alimentos[[#This Row],[Item]],super1[Bairro],mercado1)+SUMIFS(supercb[Qtde],supercb[Item],tab_alimentos[[#This Row],[Item]],supercb[Bairro],mercado1)</f>
        <v>0</v>
      </c>
      <c r="M204" s="18">
        <f>SUMIFS(super1[Qtde],super1[Item],tab_alimentos[[#This Row],[Item]],super1[Bairro],mercado2)+SUMIFS(supercb[Qtde],supercb[Item],tab_alimentos[[#This Row],[Item]],supercb[Bairro],mercado2)</f>
        <v>0</v>
      </c>
      <c r="N204" s="1">
        <f>SUMIFS(super1[Qtde],super1[Item],tab_alimentos[[#This Row],[Item]],super1[Bairro],mercado3)+SUMIFS(supercb[Qtde],supercb[Item],tab_alimentos[[#This Row],[Item]],supercb[Bairro],mercado3)</f>
        <v>0</v>
      </c>
      <c r="O204" s="18">
        <f>SUMIFS(super1[Qtde],super1[Item],tab_alimentos[[#This Row],[Item]],super1[Bairro],mercado4)+SUMIFS(supercb[Qtde],supercb[Item],tab_alimentos[[#This Row],[Item]],supercb[Bairro],mercado4)</f>
        <v>0</v>
      </c>
      <c r="P204" s="18">
        <f>SUMIFS(super1[Qtde],super1[Item],tab_alimentos[[#This Row],[Item]],super1[Bairro],mercado5)+SUMIFS(supercb[Qtde],supercb[Item],tab_alimentos[[#This Row],[Item]],supercb[Bairro],mercado5)</f>
        <v>0</v>
      </c>
      <c r="Q204" s="18">
        <f>SUMIFS(super1[Qtde],super1[Item],tab_alimentos[[#This Row],[Item]],super1[Bairro],mercado6)+SUMIFS(supercb[Qtde],supercb[Item],tab_alimentos[[#This Row],[Item]],supercb[Bairro],mercado6)</f>
        <v>0</v>
      </c>
      <c r="R204" s="18">
        <f>SUMIFS(super1[Qtde],super1[Item],tab_alimentos[[#This Row],[Item]],super1[Bairro],mercado7)+SUMIFS(supercb[Qtde],supercb[Item],tab_alimentos[[#This Row],[Item]],supercb[Bairro],mercado7)</f>
        <v>0</v>
      </c>
      <c r="S204" s="18">
        <f>SUMIFS(super1[Qtde],super1[Item],tab_alimentos[[#This Row],[Item]],super1[Bairro],mercado8)+SUMIFS(supercb[Qtde],supercb[Item],tab_alimentos[[#This Row],[Item]],supercb[Bairro],mercado8)</f>
        <v>0</v>
      </c>
      <c r="T204" s="18">
        <f>SUMIFS(super1[Qtde],super1[Item],tab_alimentos[[#This Row],[Item]],super1[Bairro],mercado9)+SUMIFS(supercb[Qtde],supercb[Item],tab_alimentos[[#This Row],[Item]],supercb[Bairro],mercado9)</f>
        <v>0</v>
      </c>
      <c r="U204" s="18">
        <f>SUMIFS(super1[Qtde],super1[Item],tab_alimentos[[#This Row],[Item]],super1[Bairro],mercado10)+SUMIFS(supercb[Qtde],supercb[Item],tab_alimentos[[#This Row],[Item]],supercb[Bairro],mercado10)</f>
        <v>0</v>
      </c>
      <c r="V204" s="18">
        <f>SUMIFS(super1[Qtde],super1[Item],tab_alimentos[[#This Row],[Item]],super1[Bairro],mercado11)+SUMIFS(supercb[Qtde],supercb[Item],tab_alimentos[[#This Row],[Item]],supercb[Bairro],mercado11)</f>
        <v>0</v>
      </c>
      <c r="W204" s="18">
        <f>SUMIFS(super1[Qtde],super1[Item],tab_alimentos[[#This Row],[Item]],super1[Bairro],mercado12)+SUMIFS(supercb[Qtde],supercb[Item],tab_alimentos[[#This Row],[Item]],supercb[Bairro],mercado12)</f>
        <v>0</v>
      </c>
      <c r="X204" s="18">
        <f>SUMIFS(super1[Qtde],super1[Item],tab_alimentos[[#This Row],[Item]],super1[Bairro],mercado13)+SUMIFS(supercb[Qtde],supercb[Item],tab_alimentos[[#This Row],[Item]],supercb[Bairro],mercado13)</f>
        <v>0</v>
      </c>
      <c r="Y204" s="18">
        <f>SUMIFS(super1[Qtde],super1[Item],tab_alimentos[[#This Row],[Item]],super1[Bairro],mercado14)+SUMIFS(supercb[Qtde],supercb[Item],tab_alimentos[[#This Row],[Item]],supercb[Bairro],mercado14)</f>
        <v>0</v>
      </c>
      <c r="Z204" s="18">
        <f>SUMIFS(super1[Qtde],super1[Item],tab_alimentos[[#This Row],[Item]],super1[Bairro],mercado15)+SUMIFS(supercb[Qtde],supercb[Item],tab_alimentos[[#This Row],[Item]],supercb[Bairro],mercado15)</f>
        <v>0</v>
      </c>
      <c r="AA204" s="18">
        <f>SUMIFS(super1[Qtde],super1[Item],tab_alimentos[[#This Row],[Item]],super1[Bairro],mercado16)+SUMIFS(supercb[Qtde],supercb[Item],tab_alimentos[[#This Row],[Item]],supercb[Bairro],mercado16)</f>
        <v>0</v>
      </c>
      <c r="AB204" s="18">
        <f>SUMIFS(super1[Qtde],super1[Item],tab_alimentos[[#This Row],[Item]],super1[Bairro],mercado17)+SUMIFS(supercb[Qtde],supercb[Item],tab_alimentos[[#This Row],[Item]],supercb[Bairro],mercado17)</f>
        <v>0</v>
      </c>
      <c r="AC204" s="18">
        <f>SUMIFS(super1[Qtde],super1[Item],tab_alimentos[[#This Row],[Item]],super1[Bairro],mercado18)+SUMIFS(supercb[Qtde],supercb[Item],tab_alimentos[[#This Row],[Item]],supercb[Bairro],mercado18)</f>
        <v>0</v>
      </c>
      <c r="AD204" s="18">
        <f>SUMIFS(super1[Qtde],super1[Item],tab_alimentos[[#This Row],[Item]],super1[Bairro],extras)+SUMIFS(supercb[Qtde],supercb[Item],tab_alimentos[[#This Row],[Item]],supercb[Bairro],extras)</f>
        <v>0</v>
      </c>
      <c r="AE204" s="1">
        <f t="shared" si="67"/>
        <v>0</v>
      </c>
      <c r="AF204" s="1">
        <f t="shared" si="68"/>
        <v>0</v>
      </c>
      <c r="AG204" s="26">
        <f t="shared" si="69"/>
        <v>0</v>
      </c>
      <c r="AH204" s="15" t="str">
        <f>higiene[[#This Row],[Item]]</f>
        <v xml:space="preserve">Shampoo ou condicinador (400mL) </v>
      </c>
      <c r="AI204" s="8">
        <f>IFERROR(higiene[[#This Row],[Kg equivalente]],0)</f>
        <v>3.5661321229323537</v>
      </c>
      <c r="AJ204" s="8">
        <f>IFERROR(higiene[[#This Row],[Preço por produto]],0)</f>
        <v>11.8125</v>
      </c>
      <c r="AK204" s="61">
        <f>SUMIFS(super1[Qtde],super1[Item],tab_higiene[[#This Row],[Item]],super1[Bairro],mercado1)+SUMIFS(supercb[Qtde],supercb[Item],tab_higiene[[#This Row],[Item]],supercb[Bairro],mercado1)</f>
        <v>0</v>
      </c>
      <c r="AL204" s="61">
        <f>SUMIFS(super1[Qtde],super1[Item],tab_higiene[[#This Row],[Item]],super1[Bairro],mercado2)+SUMIFS(supercb[Qtde],supercb[Item],tab_higiene[[#This Row],[Item]],supercb[Bairro],mercado2)</f>
        <v>0</v>
      </c>
      <c r="AM204" s="61">
        <f>SUMIFS(super1[Qtde],super1[Item],tab_higiene[[#This Row],[Item]],super1[Bairro],mercado3)+SUMIFS(supercb[Qtde],supercb[Item],tab_higiene[[#This Row],[Item]],supercb[Bairro],mercado3)</f>
        <v>0</v>
      </c>
      <c r="AN204" s="61">
        <f>SUMIFS(super1[Qtde],super1[Item],tab_higiene[[#This Row],[Item]],super1[Bairro],mercado4)+SUMIFS(supercb[Qtde],supercb[Item],tab_higiene[[#This Row],[Item]],supercb[Bairro],mercado4)</f>
        <v>0</v>
      </c>
      <c r="AO204" s="61">
        <f>SUMIFS(super1[Qtde],super1[Item],tab_higiene[[#This Row],[Item]],super1[Bairro],mercado5)+SUMIFS(supercb[Qtde],supercb[Item],tab_higiene[[#This Row],[Item]],supercb[Bairro],mercado5)</f>
        <v>0</v>
      </c>
      <c r="AP204" s="61">
        <f>SUMIFS(super1[Qtde],super1[Item],tab_higiene[[#This Row],[Item]],super1[Bairro],mercado6)+SUMIFS(supercb[Qtde],supercb[Item],tab_higiene[[#This Row],[Item]],supercb[Bairro],mercado6)</f>
        <v>0</v>
      </c>
      <c r="AQ204" s="61">
        <f>SUMIFS(super1[Qtde],super1[Item],tab_higiene[[#This Row],[Item]],super1[Bairro],mercado7)+SUMIFS(supercb[Qtde],supercb[Item],tab_higiene[[#This Row],[Item]],supercb[Bairro],mercado7)</f>
        <v>0</v>
      </c>
      <c r="AR204" s="61">
        <f>SUMIFS(super1[Qtde],super1[Item],tab_higiene[[#This Row],[Item]],super1[Bairro],mercado8)+SUMIFS(supercb[Qtde],supercb[Item],tab_higiene[[#This Row],[Item]],supercb[Bairro],mercado8)</f>
        <v>0</v>
      </c>
      <c r="AS204" s="61">
        <f>SUMIFS(super1[Qtde],super1[Item],tab_higiene[[#This Row],[Item]],super1[Bairro],mercado9)+SUMIFS(supercb[Qtde],supercb[Item],tab_higiene[[#This Row],[Item]],supercb[Bairro],mercado9)</f>
        <v>0</v>
      </c>
      <c r="AT204" s="61">
        <f>SUMIFS(super1[Qtde],super1[Item],tab_higiene[[#This Row],[Item]],super1[Bairro],mercado10)+SUMIFS(supercb[Qtde],supercb[Item],tab_higiene[[#This Row],[Item]],supercb[Bairro],mercado10)</f>
        <v>0</v>
      </c>
      <c r="AU204" s="61">
        <f>SUMIFS(super1[Qtde],super1[Item],tab_higiene[[#This Row],[Item]],super1[Bairro],mercado11)+SUMIFS(supercb[Qtde],supercb[Item],tab_higiene[[#This Row],[Item]],supercb[Bairro],mercado11)</f>
        <v>0</v>
      </c>
      <c r="AV204" s="61">
        <f>SUMIFS(super1[Qtde],super1[Item],tab_higiene[[#This Row],[Item]],super1[Bairro],mercado12)+SUMIFS(supercb[Qtde],supercb[Item],tab_higiene[[#This Row],[Item]],supercb[Bairro],mercado12)</f>
        <v>0</v>
      </c>
      <c r="AW204" s="61">
        <f>SUMIFS(super1[Qtde],super1[Item],tab_higiene[[#This Row],[Item]],super1[Bairro],mercado13)+SUMIFS(supercb[Qtde],supercb[Item],tab_higiene[[#This Row],[Item]],supercb[Bairro],mercado13)</f>
        <v>0</v>
      </c>
      <c r="AX204" s="61">
        <f>SUMIFS(super1[Qtde],super1[Item],tab_higiene[[#This Row],[Item]],super1[Bairro],mercado14)+SUMIFS(supercb[Qtde],supercb[Item],tab_higiene[[#This Row],[Item]],supercb[Bairro],mercado14)</f>
        <v>0</v>
      </c>
      <c r="AY204" s="61">
        <f>SUMIFS(super1[Qtde],super1[Item],tab_higiene[[#This Row],[Item]],super1[Bairro],mercado15)+SUMIFS(supercb[Qtde],supercb[Item],tab_higiene[[#This Row],[Item]],supercb[Bairro],mercado15)</f>
        <v>0</v>
      </c>
      <c r="AZ204" s="61">
        <f>SUMIFS(super1[Qtde],super1[Item],tab_higiene[[#This Row],[Item]],super1[Bairro],mercado16)+SUMIFS(supercb[Qtde],supercb[Item],tab_higiene[[#This Row],[Item]],supercb[Bairro],mercado16)</f>
        <v>0</v>
      </c>
      <c r="BA204" s="61">
        <f>SUMIFS(super1[Qtde],super1[Item],tab_higiene[[#This Row],[Item]],super1[Bairro],mercado17)+SUMIFS(supercb[Qtde],supercb[Item],tab_higiene[[#This Row],[Item]],supercb[Bairro],mercado17)</f>
        <v>0</v>
      </c>
      <c r="BB204" s="61">
        <f>SUMIFS(super1[Qtde],super1[Item],tab_higiene[[#This Row],[Item]],super1[Bairro],mercado18)+SUMIFS(supercb[Qtde],supercb[Item],tab_higiene[[#This Row],[Item]],supercb[Bairro],mercado18)</f>
        <v>0</v>
      </c>
      <c r="BC204" s="51">
        <f>SUMIFS(super1[Qtde],super1[Item],tab_higiene[[#This Row],[Item]],super1[Bairro],extras)+SUMIFS(supercb[Qtde],supercb[Item],tab_higiene[[#This Row],[Item]],supercb[Bairro],extras)</f>
        <v>0</v>
      </c>
      <c r="BD204" s="8">
        <f t="shared" si="76"/>
        <v>0</v>
      </c>
      <c r="BE204" s="8">
        <f t="shared" si="77"/>
        <v>0</v>
      </c>
      <c r="BF204" s="23">
        <f t="shared" si="78"/>
        <v>0</v>
      </c>
    </row>
    <row r="205" spans="9:58" ht="15.75" thickBot="1" x14ac:dyDescent="0.3">
      <c r="I205" s="25" t="str">
        <f>alimentos[[#This Row],[Item]]</f>
        <v>Pacote de bala (200g)</v>
      </c>
      <c r="J205" s="1">
        <f>IFERROR(alimentos[[#This Row],[kg/embalagem]],0)</f>
        <v>0.2</v>
      </c>
      <c r="K205" s="18">
        <f>IFERROR(alimentos[[#This Row],[Preço]],0)</f>
        <v>4.59</v>
      </c>
      <c r="L205" s="18">
        <f>SUMIFS(super1[Qtde],super1[Item],tab_alimentos[[#This Row],[Item]],super1[Bairro],mercado1)+SUMIFS(supercb[Qtde],supercb[Item],tab_alimentos[[#This Row],[Item]],supercb[Bairro],mercado1)</f>
        <v>0</v>
      </c>
      <c r="M205" s="18">
        <f>SUMIFS(super1[Qtde],super1[Item],tab_alimentos[[#This Row],[Item]],super1[Bairro],mercado2)+SUMIFS(supercb[Qtde],supercb[Item],tab_alimentos[[#This Row],[Item]],supercb[Bairro],mercado2)</f>
        <v>0</v>
      </c>
      <c r="N205" s="1">
        <f>SUMIFS(super1[Qtde],super1[Item],tab_alimentos[[#This Row],[Item]],super1[Bairro],mercado3)+SUMIFS(supercb[Qtde],supercb[Item],tab_alimentos[[#This Row],[Item]],supercb[Bairro],mercado3)</f>
        <v>0</v>
      </c>
      <c r="O205" s="18">
        <f>SUMIFS(super1[Qtde],super1[Item],tab_alimentos[[#This Row],[Item]],super1[Bairro],mercado4)+SUMIFS(supercb[Qtde],supercb[Item],tab_alimentos[[#This Row],[Item]],supercb[Bairro],mercado4)</f>
        <v>0</v>
      </c>
      <c r="P205" s="18">
        <f>SUMIFS(super1[Qtde],super1[Item],tab_alimentos[[#This Row],[Item]],super1[Bairro],mercado5)+SUMIFS(supercb[Qtde],supercb[Item],tab_alimentos[[#This Row],[Item]],supercb[Bairro],mercado5)</f>
        <v>0</v>
      </c>
      <c r="Q205" s="18">
        <f>SUMIFS(super1[Qtde],super1[Item],tab_alimentos[[#This Row],[Item]],super1[Bairro],mercado6)+SUMIFS(supercb[Qtde],supercb[Item],tab_alimentos[[#This Row],[Item]],supercb[Bairro],mercado6)</f>
        <v>0</v>
      </c>
      <c r="R205" s="18">
        <f>SUMIFS(super1[Qtde],super1[Item],tab_alimentos[[#This Row],[Item]],super1[Bairro],mercado7)+SUMIFS(supercb[Qtde],supercb[Item],tab_alimentos[[#This Row],[Item]],supercb[Bairro],mercado7)</f>
        <v>0</v>
      </c>
      <c r="S205" s="18">
        <f>SUMIFS(super1[Qtde],super1[Item],tab_alimentos[[#This Row],[Item]],super1[Bairro],mercado8)+SUMIFS(supercb[Qtde],supercb[Item],tab_alimentos[[#This Row],[Item]],supercb[Bairro],mercado8)</f>
        <v>0</v>
      </c>
      <c r="T205" s="18">
        <f>SUMIFS(super1[Qtde],super1[Item],tab_alimentos[[#This Row],[Item]],super1[Bairro],mercado9)+SUMIFS(supercb[Qtde],supercb[Item],tab_alimentos[[#This Row],[Item]],supercb[Bairro],mercado9)</f>
        <v>0</v>
      </c>
      <c r="U205" s="18">
        <f>SUMIFS(super1[Qtde],super1[Item],tab_alimentos[[#This Row],[Item]],super1[Bairro],mercado10)+SUMIFS(supercb[Qtde],supercb[Item],tab_alimentos[[#This Row],[Item]],supercb[Bairro],mercado10)</f>
        <v>0</v>
      </c>
      <c r="V205" s="18">
        <f>SUMIFS(super1[Qtde],super1[Item],tab_alimentos[[#This Row],[Item]],super1[Bairro],mercado11)+SUMIFS(supercb[Qtde],supercb[Item],tab_alimentos[[#This Row],[Item]],supercb[Bairro],mercado11)</f>
        <v>0</v>
      </c>
      <c r="W205" s="18">
        <f>SUMIFS(super1[Qtde],super1[Item],tab_alimentos[[#This Row],[Item]],super1[Bairro],mercado12)+SUMIFS(supercb[Qtde],supercb[Item],tab_alimentos[[#This Row],[Item]],supercb[Bairro],mercado12)</f>
        <v>0</v>
      </c>
      <c r="X205" s="18">
        <f>SUMIFS(super1[Qtde],super1[Item],tab_alimentos[[#This Row],[Item]],super1[Bairro],mercado13)+SUMIFS(supercb[Qtde],supercb[Item],tab_alimentos[[#This Row],[Item]],supercb[Bairro],mercado13)</f>
        <v>0</v>
      </c>
      <c r="Y205" s="18">
        <f>SUMIFS(super1[Qtde],super1[Item],tab_alimentos[[#This Row],[Item]],super1[Bairro],mercado14)+SUMIFS(supercb[Qtde],supercb[Item],tab_alimentos[[#This Row],[Item]],supercb[Bairro],mercado14)</f>
        <v>0</v>
      </c>
      <c r="Z205" s="18">
        <f>SUMIFS(super1[Qtde],super1[Item],tab_alimentos[[#This Row],[Item]],super1[Bairro],mercado15)+SUMIFS(supercb[Qtde],supercb[Item],tab_alimentos[[#This Row],[Item]],supercb[Bairro],mercado15)</f>
        <v>0</v>
      </c>
      <c r="AA205" s="18">
        <f>SUMIFS(super1[Qtde],super1[Item],tab_alimentos[[#This Row],[Item]],super1[Bairro],mercado16)+SUMIFS(supercb[Qtde],supercb[Item],tab_alimentos[[#This Row],[Item]],supercb[Bairro],mercado16)</f>
        <v>0</v>
      </c>
      <c r="AB205" s="18">
        <f>SUMIFS(super1[Qtde],super1[Item],tab_alimentos[[#This Row],[Item]],super1[Bairro],mercado17)+SUMIFS(supercb[Qtde],supercb[Item],tab_alimentos[[#This Row],[Item]],supercb[Bairro],mercado17)</f>
        <v>0</v>
      </c>
      <c r="AC205" s="18">
        <f>SUMIFS(super1[Qtde],super1[Item],tab_alimentos[[#This Row],[Item]],super1[Bairro],mercado18)+SUMIFS(supercb[Qtde],supercb[Item],tab_alimentos[[#This Row],[Item]],supercb[Bairro],mercado18)</f>
        <v>0</v>
      </c>
      <c r="AD205" s="18">
        <f>SUMIFS(super1[Qtde],super1[Item],tab_alimentos[[#This Row],[Item]],super1[Bairro],extras)+SUMIFS(supercb[Qtde],supercb[Item],tab_alimentos[[#This Row],[Item]],supercb[Bairro],extras)</f>
        <v>0</v>
      </c>
      <c r="AE205" s="1">
        <f t="shared" ref="AE205:AE211" si="79">SUM(L205:AC205)</f>
        <v>0</v>
      </c>
      <c r="AF205" s="1">
        <f t="shared" ref="AF205:AF211" si="80">IFERROR(AE205*K205,0)</f>
        <v>0</v>
      </c>
      <c r="AG205" s="26">
        <f t="shared" ref="AG205:AG211" si="81">IFERROR(J205*AE205,0)</f>
        <v>0</v>
      </c>
      <c r="AH205" s="15" t="str">
        <f>higiene[[#This Row],[Item]]</f>
        <v xml:space="preserve">Shampoo ou condicionador (200mL) </v>
      </c>
      <c r="AI205" s="8">
        <f>IFERROR(higiene[[#This Row],[Kg equivalente]],0)</f>
        <v>2.354779306571205</v>
      </c>
      <c r="AJ205" s="8">
        <f>IFERROR(higiene[[#This Row],[Preço por produto]],0)</f>
        <v>7.8</v>
      </c>
      <c r="AK205" s="61">
        <f>SUMIFS(super1[Qtde],super1[Item],tab_higiene[[#This Row],[Item]],super1[Bairro],mercado1)+SUMIFS(supercb[Qtde],supercb[Item],tab_higiene[[#This Row],[Item]],supercb[Bairro],mercado1)</f>
        <v>0</v>
      </c>
      <c r="AL205" s="61">
        <f>SUMIFS(super1[Qtde],super1[Item],tab_higiene[[#This Row],[Item]],super1[Bairro],mercado2)+SUMIFS(supercb[Qtde],supercb[Item],tab_higiene[[#This Row],[Item]],supercb[Bairro],mercado2)</f>
        <v>0</v>
      </c>
      <c r="AM205" s="61">
        <f>SUMIFS(super1[Qtde],super1[Item],tab_higiene[[#This Row],[Item]],super1[Bairro],mercado3)+SUMIFS(supercb[Qtde],supercb[Item],tab_higiene[[#This Row],[Item]],supercb[Bairro],mercado3)</f>
        <v>0</v>
      </c>
      <c r="AN205" s="61">
        <f>SUMIFS(super1[Qtde],super1[Item],tab_higiene[[#This Row],[Item]],super1[Bairro],mercado4)+SUMIFS(supercb[Qtde],supercb[Item],tab_higiene[[#This Row],[Item]],supercb[Bairro],mercado4)</f>
        <v>0</v>
      </c>
      <c r="AO205" s="61">
        <f>SUMIFS(super1[Qtde],super1[Item],tab_higiene[[#This Row],[Item]],super1[Bairro],mercado5)+SUMIFS(supercb[Qtde],supercb[Item],tab_higiene[[#This Row],[Item]],supercb[Bairro],mercado5)</f>
        <v>0</v>
      </c>
      <c r="AP205" s="61">
        <f>SUMIFS(super1[Qtde],super1[Item],tab_higiene[[#This Row],[Item]],super1[Bairro],mercado6)+SUMIFS(supercb[Qtde],supercb[Item],tab_higiene[[#This Row],[Item]],supercb[Bairro],mercado6)</f>
        <v>0</v>
      </c>
      <c r="AQ205" s="61">
        <f>SUMIFS(super1[Qtde],super1[Item],tab_higiene[[#This Row],[Item]],super1[Bairro],mercado7)+SUMIFS(supercb[Qtde],supercb[Item],tab_higiene[[#This Row],[Item]],supercb[Bairro],mercado7)</f>
        <v>0</v>
      </c>
      <c r="AR205" s="61">
        <f>SUMIFS(super1[Qtde],super1[Item],tab_higiene[[#This Row],[Item]],super1[Bairro],mercado8)+SUMIFS(supercb[Qtde],supercb[Item],tab_higiene[[#This Row],[Item]],supercb[Bairro],mercado8)</f>
        <v>0</v>
      </c>
      <c r="AS205" s="61">
        <f>SUMIFS(super1[Qtde],super1[Item],tab_higiene[[#This Row],[Item]],super1[Bairro],mercado9)+SUMIFS(supercb[Qtde],supercb[Item],tab_higiene[[#This Row],[Item]],supercb[Bairro],mercado9)</f>
        <v>0</v>
      </c>
      <c r="AT205" s="61">
        <f>SUMIFS(super1[Qtde],super1[Item],tab_higiene[[#This Row],[Item]],super1[Bairro],mercado10)+SUMIFS(supercb[Qtde],supercb[Item],tab_higiene[[#This Row],[Item]],supercb[Bairro],mercado10)</f>
        <v>0</v>
      </c>
      <c r="AU205" s="61">
        <f>SUMIFS(super1[Qtde],super1[Item],tab_higiene[[#This Row],[Item]],super1[Bairro],mercado11)+SUMIFS(supercb[Qtde],supercb[Item],tab_higiene[[#This Row],[Item]],supercb[Bairro],mercado11)</f>
        <v>0</v>
      </c>
      <c r="AV205" s="61">
        <f>SUMIFS(super1[Qtde],super1[Item],tab_higiene[[#This Row],[Item]],super1[Bairro],mercado12)+SUMIFS(supercb[Qtde],supercb[Item],tab_higiene[[#This Row],[Item]],supercb[Bairro],mercado12)</f>
        <v>0</v>
      </c>
      <c r="AW205" s="61">
        <f>SUMIFS(super1[Qtde],super1[Item],tab_higiene[[#This Row],[Item]],super1[Bairro],mercado13)+SUMIFS(supercb[Qtde],supercb[Item],tab_higiene[[#This Row],[Item]],supercb[Bairro],mercado13)</f>
        <v>0</v>
      </c>
      <c r="AX205" s="61">
        <f>SUMIFS(super1[Qtde],super1[Item],tab_higiene[[#This Row],[Item]],super1[Bairro],mercado14)+SUMIFS(supercb[Qtde],supercb[Item],tab_higiene[[#This Row],[Item]],supercb[Bairro],mercado14)</f>
        <v>0</v>
      </c>
      <c r="AY205" s="61">
        <f>SUMIFS(super1[Qtde],super1[Item],tab_higiene[[#This Row],[Item]],super1[Bairro],mercado15)+SUMIFS(supercb[Qtde],supercb[Item],tab_higiene[[#This Row],[Item]],supercb[Bairro],mercado15)</f>
        <v>0</v>
      </c>
      <c r="AZ205" s="61">
        <f>SUMIFS(super1[Qtde],super1[Item],tab_higiene[[#This Row],[Item]],super1[Bairro],mercado16)+SUMIFS(supercb[Qtde],supercb[Item],tab_higiene[[#This Row],[Item]],supercb[Bairro],mercado16)</f>
        <v>0</v>
      </c>
      <c r="BA205" s="61">
        <f>SUMIFS(super1[Qtde],super1[Item],tab_higiene[[#This Row],[Item]],super1[Bairro],mercado17)+SUMIFS(supercb[Qtde],supercb[Item],tab_higiene[[#This Row],[Item]],supercb[Bairro],mercado17)</f>
        <v>0</v>
      </c>
      <c r="BB205" s="61">
        <f>SUMIFS(super1[Qtde],super1[Item],tab_higiene[[#This Row],[Item]],super1[Bairro],mercado18)+SUMIFS(supercb[Qtde],supercb[Item],tab_higiene[[#This Row],[Item]],supercb[Bairro],mercado18)</f>
        <v>0</v>
      </c>
      <c r="BC205" s="51">
        <f>SUMIFS(super1[Qtde],super1[Item],tab_higiene[[#This Row],[Item]],super1[Bairro],extras)+SUMIFS(supercb[Qtde],supercb[Item],tab_higiene[[#This Row],[Item]],supercb[Bairro],extras)</f>
        <v>0</v>
      </c>
      <c r="BD205" s="8">
        <f t="shared" si="76"/>
        <v>0</v>
      </c>
      <c r="BE205" s="8">
        <f t="shared" si="77"/>
        <v>0</v>
      </c>
      <c r="BF205" s="23">
        <f t="shared" si="78"/>
        <v>0</v>
      </c>
    </row>
    <row r="206" spans="9:58" ht="15.75" thickBot="1" x14ac:dyDescent="0.3">
      <c r="I206" s="25" t="str">
        <f>alimentos[[#This Row],[Item]]</f>
        <v>Pacote de bala (500g)</v>
      </c>
      <c r="J206" s="1">
        <f>IFERROR(alimentos[[#This Row],[kg/embalagem]],0)</f>
        <v>0.5</v>
      </c>
      <c r="K206" s="18">
        <f>IFERROR(alimentos[[#This Row],[Preço]],0)</f>
        <v>6.69</v>
      </c>
      <c r="L206" s="18">
        <f>SUMIFS(super1[Qtde],super1[Item],tab_alimentos[[#This Row],[Item]],super1[Bairro],mercado1)+SUMIFS(supercb[Qtde],supercb[Item],tab_alimentos[[#This Row],[Item]],supercb[Bairro],mercado1)</f>
        <v>0</v>
      </c>
      <c r="M206" s="18">
        <f>SUMIFS(super1[Qtde],super1[Item],tab_alimentos[[#This Row],[Item]],super1[Bairro],mercado2)+SUMIFS(supercb[Qtde],supercb[Item],tab_alimentos[[#This Row],[Item]],supercb[Bairro],mercado2)</f>
        <v>0</v>
      </c>
      <c r="N206" s="1">
        <f>SUMIFS(super1[Qtde],super1[Item],tab_alimentos[[#This Row],[Item]],super1[Bairro],mercado3)+SUMIFS(supercb[Qtde],supercb[Item],tab_alimentos[[#This Row],[Item]],supercb[Bairro],mercado3)</f>
        <v>0</v>
      </c>
      <c r="O206" s="18">
        <f>SUMIFS(super1[Qtde],super1[Item],tab_alimentos[[#This Row],[Item]],super1[Bairro],mercado4)+SUMIFS(supercb[Qtde],supercb[Item],tab_alimentos[[#This Row],[Item]],supercb[Bairro],mercado4)</f>
        <v>0</v>
      </c>
      <c r="P206" s="18">
        <f>SUMIFS(super1[Qtde],super1[Item],tab_alimentos[[#This Row],[Item]],super1[Bairro],mercado5)+SUMIFS(supercb[Qtde],supercb[Item],tab_alimentos[[#This Row],[Item]],supercb[Bairro],mercado5)</f>
        <v>0</v>
      </c>
      <c r="Q206" s="18">
        <f>SUMIFS(super1[Qtde],super1[Item],tab_alimentos[[#This Row],[Item]],super1[Bairro],mercado6)+SUMIFS(supercb[Qtde],supercb[Item],tab_alimentos[[#This Row],[Item]],supercb[Bairro],mercado6)</f>
        <v>0</v>
      </c>
      <c r="R206" s="18">
        <f>SUMIFS(super1[Qtde],super1[Item],tab_alimentos[[#This Row],[Item]],super1[Bairro],mercado7)+SUMIFS(supercb[Qtde],supercb[Item],tab_alimentos[[#This Row],[Item]],supercb[Bairro],mercado7)</f>
        <v>0</v>
      </c>
      <c r="S206" s="18">
        <f>SUMIFS(super1[Qtde],super1[Item],tab_alimentos[[#This Row],[Item]],super1[Bairro],mercado8)+SUMIFS(supercb[Qtde],supercb[Item],tab_alimentos[[#This Row],[Item]],supercb[Bairro],mercado8)</f>
        <v>0</v>
      </c>
      <c r="T206" s="18">
        <f>SUMIFS(super1[Qtde],super1[Item],tab_alimentos[[#This Row],[Item]],super1[Bairro],mercado9)+SUMIFS(supercb[Qtde],supercb[Item],tab_alimentos[[#This Row],[Item]],supercb[Bairro],mercado9)</f>
        <v>0</v>
      </c>
      <c r="U206" s="18">
        <f>SUMIFS(super1[Qtde],super1[Item],tab_alimentos[[#This Row],[Item]],super1[Bairro],mercado10)+SUMIFS(supercb[Qtde],supercb[Item],tab_alimentos[[#This Row],[Item]],supercb[Bairro],mercado10)</f>
        <v>0</v>
      </c>
      <c r="V206" s="18">
        <f>SUMIFS(super1[Qtde],super1[Item],tab_alimentos[[#This Row],[Item]],super1[Bairro],mercado11)+SUMIFS(supercb[Qtde],supercb[Item],tab_alimentos[[#This Row],[Item]],supercb[Bairro],mercado11)</f>
        <v>0</v>
      </c>
      <c r="W206" s="18">
        <f>SUMIFS(super1[Qtde],super1[Item],tab_alimentos[[#This Row],[Item]],super1[Bairro],mercado12)+SUMIFS(supercb[Qtde],supercb[Item],tab_alimentos[[#This Row],[Item]],supercb[Bairro],mercado12)</f>
        <v>0</v>
      </c>
      <c r="X206" s="18">
        <f>SUMIFS(super1[Qtde],super1[Item],tab_alimentos[[#This Row],[Item]],super1[Bairro],mercado13)+SUMIFS(supercb[Qtde],supercb[Item],tab_alimentos[[#This Row],[Item]],supercb[Bairro],mercado13)</f>
        <v>0</v>
      </c>
      <c r="Y206" s="18">
        <f>SUMIFS(super1[Qtde],super1[Item],tab_alimentos[[#This Row],[Item]],super1[Bairro],mercado14)+SUMIFS(supercb[Qtde],supercb[Item],tab_alimentos[[#This Row],[Item]],supercb[Bairro],mercado14)</f>
        <v>0</v>
      </c>
      <c r="Z206" s="18">
        <f>SUMIFS(super1[Qtde],super1[Item],tab_alimentos[[#This Row],[Item]],super1[Bairro],mercado15)+SUMIFS(supercb[Qtde],supercb[Item],tab_alimentos[[#This Row],[Item]],supercb[Bairro],mercado15)</f>
        <v>0</v>
      </c>
      <c r="AA206" s="18">
        <f>SUMIFS(super1[Qtde],super1[Item],tab_alimentos[[#This Row],[Item]],super1[Bairro],mercado16)+SUMIFS(supercb[Qtde],supercb[Item],tab_alimentos[[#This Row],[Item]],supercb[Bairro],mercado16)</f>
        <v>0</v>
      </c>
      <c r="AB206" s="18">
        <f>SUMIFS(super1[Qtde],super1[Item],tab_alimentos[[#This Row],[Item]],super1[Bairro],mercado17)+SUMIFS(supercb[Qtde],supercb[Item],tab_alimentos[[#This Row],[Item]],supercb[Bairro],mercado17)</f>
        <v>0</v>
      </c>
      <c r="AC206" s="18">
        <f>SUMIFS(super1[Qtde],super1[Item],tab_alimentos[[#This Row],[Item]],super1[Bairro],mercado18)+SUMIFS(supercb[Qtde],supercb[Item],tab_alimentos[[#This Row],[Item]],supercb[Bairro],mercado18)</f>
        <v>0</v>
      </c>
      <c r="AD206" s="18">
        <f>SUMIFS(super1[Qtde],super1[Item],tab_alimentos[[#This Row],[Item]],super1[Bairro],extras)+SUMIFS(supercb[Qtde],supercb[Item],tab_alimentos[[#This Row],[Item]],supercb[Bairro],extras)</f>
        <v>0</v>
      </c>
      <c r="AE206" s="1">
        <f t="shared" si="79"/>
        <v>0</v>
      </c>
      <c r="AF206" s="1">
        <f t="shared" si="80"/>
        <v>0</v>
      </c>
      <c r="AG206" s="26">
        <f t="shared" si="81"/>
        <v>0</v>
      </c>
      <c r="AH206" s="15" t="str">
        <f>higiene[[#This Row],[Item]]</f>
        <v>Shampoo ou condicionador (325ml)</v>
      </c>
      <c r="AI206" s="8">
        <f>IFERROR(higiene[[#This Row],[Kg equivalente]],0)</f>
        <v>1.8770308126418547</v>
      </c>
      <c r="AJ206" s="8">
        <f>IFERROR(higiene[[#This Row],[Preço por produto]],0)</f>
        <v>6.2174999999999994</v>
      </c>
      <c r="AK206" s="61">
        <f>SUMIFS(super1[Qtde],super1[Item],tab_higiene[[#This Row],[Item]],super1[Bairro],mercado1)+SUMIFS(supercb[Qtde],supercb[Item],tab_higiene[[#This Row],[Item]],supercb[Bairro],mercado1)</f>
        <v>0</v>
      </c>
      <c r="AL206" s="61">
        <f>SUMIFS(super1[Qtde],super1[Item],tab_higiene[[#This Row],[Item]],super1[Bairro],mercado2)+SUMIFS(supercb[Qtde],supercb[Item],tab_higiene[[#This Row],[Item]],supercb[Bairro],mercado2)</f>
        <v>0</v>
      </c>
      <c r="AM206" s="61">
        <f>SUMIFS(super1[Qtde],super1[Item],tab_higiene[[#This Row],[Item]],super1[Bairro],mercado3)+SUMIFS(supercb[Qtde],supercb[Item],tab_higiene[[#This Row],[Item]],supercb[Bairro],mercado3)</f>
        <v>0</v>
      </c>
      <c r="AN206" s="61">
        <f>SUMIFS(super1[Qtde],super1[Item],tab_higiene[[#This Row],[Item]],super1[Bairro],mercado4)+SUMIFS(supercb[Qtde],supercb[Item],tab_higiene[[#This Row],[Item]],supercb[Bairro],mercado4)</f>
        <v>0</v>
      </c>
      <c r="AO206" s="61">
        <f>SUMIFS(super1[Qtde],super1[Item],tab_higiene[[#This Row],[Item]],super1[Bairro],mercado5)+SUMIFS(supercb[Qtde],supercb[Item],tab_higiene[[#This Row],[Item]],supercb[Bairro],mercado5)</f>
        <v>0</v>
      </c>
      <c r="AP206" s="61">
        <f>SUMIFS(super1[Qtde],super1[Item],tab_higiene[[#This Row],[Item]],super1[Bairro],mercado6)+SUMIFS(supercb[Qtde],supercb[Item],tab_higiene[[#This Row],[Item]],supercb[Bairro],mercado6)</f>
        <v>0</v>
      </c>
      <c r="AQ206" s="61">
        <f>SUMIFS(super1[Qtde],super1[Item],tab_higiene[[#This Row],[Item]],super1[Bairro],mercado7)+SUMIFS(supercb[Qtde],supercb[Item],tab_higiene[[#This Row],[Item]],supercb[Bairro],mercado7)</f>
        <v>0</v>
      </c>
      <c r="AR206" s="61">
        <f>SUMIFS(super1[Qtde],super1[Item],tab_higiene[[#This Row],[Item]],super1[Bairro],mercado8)+SUMIFS(supercb[Qtde],supercb[Item],tab_higiene[[#This Row],[Item]],supercb[Bairro],mercado8)</f>
        <v>1</v>
      </c>
      <c r="AS206" s="61">
        <f>SUMIFS(super1[Qtde],super1[Item],tab_higiene[[#This Row],[Item]],super1[Bairro],mercado9)+SUMIFS(supercb[Qtde],supercb[Item],tab_higiene[[#This Row],[Item]],supercb[Bairro],mercado9)</f>
        <v>0</v>
      </c>
      <c r="AT206" s="61">
        <f>SUMIFS(super1[Qtde],super1[Item],tab_higiene[[#This Row],[Item]],super1[Bairro],mercado10)+SUMIFS(supercb[Qtde],supercb[Item],tab_higiene[[#This Row],[Item]],supercb[Bairro],mercado10)</f>
        <v>0</v>
      </c>
      <c r="AU206" s="61">
        <f>SUMIFS(super1[Qtde],super1[Item],tab_higiene[[#This Row],[Item]],super1[Bairro],mercado11)+SUMIFS(supercb[Qtde],supercb[Item],tab_higiene[[#This Row],[Item]],supercb[Bairro],mercado11)</f>
        <v>0</v>
      </c>
      <c r="AV206" s="61">
        <f>SUMIFS(super1[Qtde],super1[Item],tab_higiene[[#This Row],[Item]],super1[Bairro],mercado12)+SUMIFS(supercb[Qtde],supercb[Item],tab_higiene[[#This Row],[Item]],supercb[Bairro],mercado12)</f>
        <v>0</v>
      </c>
      <c r="AW206" s="61">
        <f>SUMIFS(super1[Qtde],super1[Item],tab_higiene[[#This Row],[Item]],super1[Bairro],mercado13)+SUMIFS(supercb[Qtde],supercb[Item],tab_higiene[[#This Row],[Item]],supercb[Bairro],mercado13)</f>
        <v>0</v>
      </c>
      <c r="AX206" s="61">
        <f>SUMIFS(super1[Qtde],super1[Item],tab_higiene[[#This Row],[Item]],super1[Bairro],mercado14)+SUMIFS(supercb[Qtde],supercb[Item],tab_higiene[[#This Row],[Item]],supercb[Bairro],mercado14)</f>
        <v>0</v>
      </c>
      <c r="AY206" s="61">
        <f>SUMIFS(super1[Qtde],super1[Item],tab_higiene[[#This Row],[Item]],super1[Bairro],mercado15)+SUMIFS(supercb[Qtde],supercb[Item],tab_higiene[[#This Row],[Item]],supercb[Bairro],mercado15)</f>
        <v>0</v>
      </c>
      <c r="AZ206" s="61">
        <f>SUMIFS(super1[Qtde],super1[Item],tab_higiene[[#This Row],[Item]],super1[Bairro],mercado16)+SUMIFS(supercb[Qtde],supercb[Item],tab_higiene[[#This Row],[Item]],supercb[Bairro],mercado16)</f>
        <v>0</v>
      </c>
      <c r="BA206" s="61">
        <f>SUMIFS(super1[Qtde],super1[Item],tab_higiene[[#This Row],[Item]],super1[Bairro],mercado17)+SUMIFS(supercb[Qtde],supercb[Item],tab_higiene[[#This Row],[Item]],supercb[Bairro],mercado17)</f>
        <v>0</v>
      </c>
      <c r="BB206" s="61">
        <f>SUMIFS(super1[Qtde],super1[Item],tab_higiene[[#This Row],[Item]],super1[Bairro],mercado18)+SUMIFS(supercb[Qtde],supercb[Item],tab_higiene[[#This Row],[Item]],supercb[Bairro],mercado18)</f>
        <v>0</v>
      </c>
      <c r="BC206" s="51">
        <f>SUMIFS(super1[Qtde],super1[Item],tab_higiene[[#This Row],[Item]],super1[Bairro],extras)+SUMIFS(supercb[Qtde],supercb[Item],tab_higiene[[#This Row],[Item]],supercb[Bairro],extras)</f>
        <v>0</v>
      </c>
      <c r="BD206" s="8">
        <f t="shared" si="76"/>
        <v>1</v>
      </c>
      <c r="BE206" s="8">
        <f t="shared" si="77"/>
        <v>6.2174999999999994</v>
      </c>
      <c r="BF206" s="23">
        <f t="shared" si="78"/>
        <v>1.8770308126418547</v>
      </c>
    </row>
    <row r="207" spans="9:58" ht="15.75" thickBot="1" x14ac:dyDescent="0.3">
      <c r="I207" s="25" t="str">
        <f>alimentos[[#This Row],[Item]]</f>
        <v>Pacote de bala (600g)</v>
      </c>
      <c r="J207" s="1">
        <f>IFERROR(alimentos[[#This Row],[kg/embalagem]],0)</f>
        <v>0.6</v>
      </c>
      <c r="K207" s="18">
        <f>IFERROR(alimentos[[#This Row],[Preço]],0)</f>
        <v>7.4566666666666661</v>
      </c>
      <c r="L207" s="18">
        <f>SUMIFS(super1[Qtde],super1[Item],tab_alimentos[[#This Row],[Item]],super1[Bairro],mercado1)+SUMIFS(supercb[Qtde],supercb[Item],tab_alimentos[[#This Row],[Item]],supercb[Bairro],mercado1)</f>
        <v>0</v>
      </c>
      <c r="M207" s="18">
        <f>SUMIFS(super1[Qtde],super1[Item],tab_alimentos[[#This Row],[Item]],super1[Bairro],mercado2)+SUMIFS(supercb[Qtde],supercb[Item],tab_alimentos[[#This Row],[Item]],supercb[Bairro],mercado2)</f>
        <v>0</v>
      </c>
      <c r="N207" s="1">
        <f>SUMIFS(super1[Qtde],super1[Item],tab_alimentos[[#This Row],[Item]],super1[Bairro],mercado3)+SUMIFS(supercb[Qtde],supercb[Item],tab_alimentos[[#This Row],[Item]],supercb[Bairro],mercado3)</f>
        <v>0</v>
      </c>
      <c r="O207" s="18">
        <f>SUMIFS(super1[Qtde],super1[Item],tab_alimentos[[#This Row],[Item]],super1[Bairro],mercado4)+SUMIFS(supercb[Qtde],supercb[Item],tab_alimentos[[#This Row],[Item]],supercb[Bairro],mercado4)</f>
        <v>0</v>
      </c>
      <c r="P207" s="18">
        <f>SUMIFS(super1[Qtde],super1[Item],tab_alimentos[[#This Row],[Item]],super1[Bairro],mercado5)+SUMIFS(supercb[Qtde],supercb[Item],tab_alimentos[[#This Row],[Item]],supercb[Bairro],mercado5)</f>
        <v>0</v>
      </c>
      <c r="Q207" s="18">
        <f>SUMIFS(super1[Qtde],super1[Item],tab_alimentos[[#This Row],[Item]],super1[Bairro],mercado6)+SUMIFS(supercb[Qtde],supercb[Item],tab_alimentos[[#This Row],[Item]],supercb[Bairro],mercado6)</f>
        <v>0</v>
      </c>
      <c r="R207" s="18">
        <f>SUMIFS(super1[Qtde],super1[Item],tab_alimentos[[#This Row],[Item]],super1[Bairro],mercado7)+SUMIFS(supercb[Qtde],supercb[Item],tab_alimentos[[#This Row],[Item]],supercb[Bairro],mercado7)</f>
        <v>0</v>
      </c>
      <c r="S207" s="18">
        <f>SUMIFS(super1[Qtde],super1[Item],tab_alimentos[[#This Row],[Item]],super1[Bairro],mercado8)+SUMIFS(supercb[Qtde],supercb[Item],tab_alimentos[[#This Row],[Item]],supercb[Bairro],mercado8)</f>
        <v>0</v>
      </c>
      <c r="T207" s="18">
        <f>SUMIFS(super1[Qtde],super1[Item],tab_alimentos[[#This Row],[Item]],super1[Bairro],mercado9)+SUMIFS(supercb[Qtde],supercb[Item],tab_alimentos[[#This Row],[Item]],supercb[Bairro],mercado9)</f>
        <v>0</v>
      </c>
      <c r="U207" s="18">
        <f>SUMIFS(super1[Qtde],super1[Item],tab_alimentos[[#This Row],[Item]],super1[Bairro],mercado10)+SUMIFS(supercb[Qtde],supercb[Item],tab_alimentos[[#This Row],[Item]],supercb[Bairro],mercado10)</f>
        <v>0</v>
      </c>
      <c r="V207" s="18">
        <f>SUMIFS(super1[Qtde],super1[Item],tab_alimentos[[#This Row],[Item]],super1[Bairro],mercado11)+SUMIFS(supercb[Qtde],supercb[Item],tab_alimentos[[#This Row],[Item]],supercb[Bairro],mercado11)</f>
        <v>0</v>
      </c>
      <c r="W207" s="18">
        <f>SUMIFS(super1[Qtde],super1[Item],tab_alimentos[[#This Row],[Item]],super1[Bairro],mercado12)+SUMIFS(supercb[Qtde],supercb[Item],tab_alimentos[[#This Row],[Item]],supercb[Bairro],mercado12)</f>
        <v>0</v>
      </c>
      <c r="X207" s="18">
        <f>SUMIFS(super1[Qtde],super1[Item],tab_alimentos[[#This Row],[Item]],super1[Bairro],mercado13)+SUMIFS(supercb[Qtde],supercb[Item],tab_alimentos[[#This Row],[Item]],supercb[Bairro],mercado13)</f>
        <v>0</v>
      </c>
      <c r="Y207" s="18">
        <f>SUMIFS(super1[Qtde],super1[Item],tab_alimentos[[#This Row],[Item]],super1[Bairro],mercado14)+SUMIFS(supercb[Qtde],supercb[Item],tab_alimentos[[#This Row],[Item]],supercb[Bairro],mercado14)</f>
        <v>0</v>
      </c>
      <c r="Z207" s="18">
        <f>SUMIFS(super1[Qtde],super1[Item],tab_alimentos[[#This Row],[Item]],super1[Bairro],mercado15)+SUMIFS(supercb[Qtde],supercb[Item],tab_alimentos[[#This Row],[Item]],supercb[Bairro],mercado15)</f>
        <v>0</v>
      </c>
      <c r="AA207" s="18">
        <f>SUMIFS(super1[Qtde],super1[Item],tab_alimentos[[#This Row],[Item]],super1[Bairro],mercado16)+SUMIFS(supercb[Qtde],supercb[Item],tab_alimentos[[#This Row],[Item]],supercb[Bairro],mercado16)</f>
        <v>0</v>
      </c>
      <c r="AB207" s="18">
        <f>SUMIFS(super1[Qtde],super1[Item],tab_alimentos[[#This Row],[Item]],super1[Bairro],mercado17)+SUMIFS(supercb[Qtde],supercb[Item],tab_alimentos[[#This Row],[Item]],supercb[Bairro],mercado17)</f>
        <v>0</v>
      </c>
      <c r="AC207" s="18">
        <f>SUMIFS(super1[Qtde],super1[Item],tab_alimentos[[#This Row],[Item]],super1[Bairro],mercado18)+SUMIFS(supercb[Qtde],supercb[Item],tab_alimentos[[#This Row],[Item]],supercb[Bairro],mercado18)</f>
        <v>0</v>
      </c>
      <c r="AD207" s="18">
        <f>SUMIFS(super1[Qtde],super1[Item],tab_alimentos[[#This Row],[Item]],super1[Bairro],extras)+SUMIFS(supercb[Qtde],supercb[Item],tab_alimentos[[#This Row],[Item]],supercb[Bairro],extras)</f>
        <v>0</v>
      </c>
      <c r="AE207" s="1">
        <f t="shared" si="79"/>
        <v>0</v>
      </c>
      <c r="AF207" s="1">
        <f t="shared" si="80"/>
        <v>0</v>
      </c>
      <c r="AG207" s="26">
        <f t="shared" si="81"/>
        <v>0</v>
      </c>
      <c r="AH207" s="15" t="str">
        <f>higiene[[#This Row],[Item]]</f>
        <v>Shampoo ou condicionador (350ml)</v>
      </c>
      <c r="AI207" s="8">
        <f>IFERROR(higiene[[#This Row],[Kg equivalente]],0)</f>
        <v>1.8996729213588859</v>
      </c>
      <c r="AJ207" s="8">
        <f>IFERROR(higiene[[#This Row],[Preço por produto]],0)</f>
        <v>6.2925000000000004</v>
      </c>
      <c r="AK207" s="61">
        <f>SUMIFS(super1[Qtde],super1[Item],tab_higiene[[#This Row],[Item]],super1[Bairro],mercado1)+SUMIFS(supercb[Qtde],supercb[Item],tab_higiene[[#This Row],[Item]],supercb[Bairro],mercado1)</f>
        <v>0</v>
      </c>
      <c r="AL207" s="61">
        <f>SUMIFS(super1[Qtde],super1[Item],tab_higiene[[#This Row],[Item]],super1[Bairro],mercado2)+SUMIFS(supercb[Qtde],supercb[Item],tab_higiene[[#This Row],[Item]],supercb[Bairro],mercado2)</f>
        <v>0</v>
      </c>
      <c r="AM207" s="61">
        <f>SUMIFS(super1[Qtde],super1[Item],tab_higiene[[#This Row],[Item]],super1[Bairro],mercado3)+SUMIFS(supercb[Qtde],supercb[Item],tab_higiene[[#This Row],[Item]],supercb[Bairro],mercado3)</f>
        <v>0</v>
      </c>
      <c r="AN207" s="61">
        <f>SUMIFS(super1[Qtde],super1[Item],tab_higiene[[#This Row],[Item]],super1[Bairro],mercado4)+SUMIFS(supercb[Qtde],supercb[Item],tab_higiene[[#This Row],[Item]],supercb[Bairro],mercado4)</f>
        <v>0</v>
      </c>
      <c r="AO207" s="61">
        <f>SUMIFS(super1[Qtde],super1[Item],tab_higiene[[#This Row],[Item]],super1[Bairro],mercado5)+SUMIFS(supercb[Qtde],supercb[Item],tab_higiene[[#This Row],[Item]],supercb[Bairro],mercado5)</f>
        <v>1</v>
      </c>
      <c r="AP207" s="61">
        <f>SUMIFS(super1[Qtde],super1[Item],tab_higiene[[#This Row],[Item]],super1[Bairro],mercado6)+SUMIFS(supercb[Qtde],supercb[Item],tab_higiene[[#This Row],[Item]],supercb[Bairro],mercado6)</f>
        <v>0</v>
      </c>
      <c r="AQ207" s="61">
        <f>SUMIFS(super1[Qtde],super1[Item],tab_higiene[[#This Row],[Item]],super1[Bairro],mercado7)+SUMIFS(supercb[Qtde],supercb[Item],tab_higiene[[#This Row],[Item]],supercb[Bairro],mercado7)</f>
        <v>0</v>
      </c>
      <c r="AR207" s="61">
        <f>SUMIFS(super1[Qtde],super1[Item],tab_higiene[[#This Row],[Item]],super1[Bairro],mercado8)+SUMIFS(supercb[Qtde],supercb[Item],tab_higiene[[#This Row],[Item]],supercb[Bairro],mercado8)</f>
        <v>0</v>
      </c>
      <c r="AS207" s="61">
        <f>SUMIFS(super1[Qtde],super1[Item],tab_higiene[[#This Row],[Item]],super1[Bairro],mercado9)+SUMIFS(supercb[Qtde],supercb[Item],tab_higiene[[#This Row],[Item]],supercb[Bairro],mercado9)</f>
        <v>0</v>
      </c>
      <c r="AT207" s="61">
        <f>SUMIFS(super1[Qtde],super1[Item],tab_higiene[[#This Row],[Item]],super1[Bairro],mercado10)+SUMIFS(supercb[Qtde],supercb[Item],tab_higiene[[#This Row],[Item]],supercb[Bairro],mercado10)</f>
        <v>1</v>
      </c>
      <c r="AU207" s="61">
        <f>SUMIFS(super1[Qtde],super1[Item],tab_higiene[[#This Row],[Item]],super1[Bairro],mercado11)+SUMIFS(supercb[Qtde],supercb[Item],tab_higiene[[#This Row],[Item]],supercb[Bairro],mercado11)</f>
        <v>0</v>
      </c>
      <c r="AV207" s="61">
        <f>SUMIFS(super1[Qtde],super1[Item],tab_higiene[[#This Row],[Item]],super1[Bairro],mercado12)+SUMIFS(supercb[Qtde],supercb[Item],tab_higiene[[#This Row],[Item]],supercb[Bairro],mercado12)</f>
        <v>0</v>
      </c>
      <c r="AW207" s="61">
        <f>SUMIFS(super1[Qtde],super1[Item],tab_higiene[[#This Row],[Item]],super1[Bairro],mercado13)+SUMIFS(supercb[Qtde],supercb[Item],tab_higiene[[#This Row],[Item]],supercb[Bairro],mercado13)</f>
        <v>0</v>
      </c>
      <c r="AX207" s="61">
        <f>SUMIFS(super1[Qtde],super1[Item],tab_higiene[[#This Row],[Item]],super1[Bairro],mercado14)+SUMIFS(supercb[Qtde],supercb[Item],tab_higiene[[#This Row],[Item]],supercb[Bairro],mercado14)</f>
        <v>0</v>
      </c>
      <c r="AY207" s="61">
        <f>SUMIFS(super1[Qtde],super1[Item],tab_higiene[[#This Row],[Item]],super1[Bairro],mercado15)+SUMIFS(supercb[Qtde],supercb[Item],tab_higiene[[#This Row],[Item]],supercb[Bairro],mercado15)</f>
        <v>0</v>
      </c>
      <c r="AZ207" s="61">
        <f>SUMIFS(super1[Qtde],super1[Item],tab_higiene[[#This Row],[Item]],super1[Bairro],mercado16)+SUMIFS(supercb[Qtde],supercb[Item],tab_higiene[[#This Row],[Item]],supercb[Bairro],mercado16)</f>
        <v>0</v>
      </c>
      <c r="BA207" s="61">
        <f>SUMIFS(super1[Qtde],super1[Item],tab_higiene[[#This Row],[Item]],super1[Bairro],mercado17)+SUMIFS(supercb[Qtde],supercb[Item],tab_higiene[[#This Row],[Item]],supercb[Bairro],mercado17)</f>
        <v>0</v>
      </c>
      <c r="BB207" s="61">
        <f>SUMIFS(super1[Qtde],super1[Item],tab_higiene[[#This Row],[Item]],super1[Bairro],mercado18)+SUMIFS(supercb[Qtde],supercb[Item],tab_higiene[[#This Row],[Item]],supercb[Bairro],mercado18)</f>
        <v>0</v>
      </c>
      <c r="BC207" s="51">
        <f>SUMIFS(super1[Qtde],super1[Item],tab_higiene[[#This Row],[Item]],super1[Bairro],extras)+SUMIFS(supercb[Qtde],supercb[Item],tab_higiene[[#This Row],[Item]],supercb[Bairro],extras)</f>
        <v>0</v>
      </c>
      <c r="BD207" s="8">
        <f t="shared" si="76"/>
        <v>2</v>
      </c>
      <c r="BE207" s="8">
        <f t="shared" si="77"/>
        <v>12.585000000000001</v>
      </c>
      <c r="BF207" s="23">
        <f t="shared" si="78"/>
        <v>3.7993458427177718</v>
      </c>
    </row>
    <row r="208" spans="9:58" ht="15.75" thickBot="1" x14ac:dyDescent="0.3">
      <c r="I208" s="25" t="str">
        <f>alimentos[[#This Row],[Item]]</f>
        <v>Palmito (300g)</v>
      </c>
      <c r="J208" s="1">
        <f>IFERROR(alimentos[[#This Row],[kg/embalagem]],0)</f>
        <v>0.3</v>
      </c>
      <c r="K208" s="18">
        <f>IFERROR(alimentos[[#This Row],[Preço]],0)</f>
        <v>5.95</v>
      </c>
      <c r="L208" s="18">
        <f>SUMIFS(super1[Qtde],super1[Item],tab_alimentos[[#This Row],[Item]],super1[Bairro],mercado1)+SUMIFS(supercb[Qtde],supercb[Item],tab_alimentos[[#This Row],[Item]],supercb[Bairro],mercado1)</f>
        <v>0</v>
      </c>
      <c r="M208" s="18">
        <f>SUMIFS(super1[Qtde],super1[Item],tab_alimentos[[#This Row],[Item]],super1[Bairro],mercado2)+SUMIFS(supercb[Qtde],supercb[Item],tab_alimentos[[#This Row],[Item]],supercb[Bairro],mercado2)</f>
        <v>0</v>
      </c>
      <c r="N208" s="1">
        <f>SUMIFS(super1[Qtde],super1[Item],tab_alimentos[[#This Row],[Item]],super1[Bairro],mercado3)+SUMIFS(supercb[Qtde],supercb[Item],tab_alimentos[[#This Row],[Item]],supercb[Bairro],mercado3)</f>
        <v>0</v>
      </c>
      <c r="O208" s="18">
        <f>SUMIFS(super1[Qtde],super1[Item],tab_alimentos[[#This Row],[Item]],super1[Bairro],mercado4)+SUMIFS(supercb[Qtde],supercb[Item],tab_alimentos[[#This Row],[Item]],supercb[Bairro],mercado4)</f>
        <v>0</v>
      </c>
      <c r="P208" s="18">
        <f>SUMIFS(super1[Qtde],super1[Item],tab_alimentos[[#This Row],[Item]],super1[Bairro],mercado5)+SUMIFS(supercb[Qtde],supercb[Item],tab_alimentos[[#This Row],[Item]],supercb[Bairro],mercado5)</f>
        <v>0</v>
      </c>
      <c r="Q208" s="18">
        <f>SUMIFS(super1[Qtde],super1[Item],tab_alimentos[[#This Row],[Item]],super1[Bairro],mercado6)+SUMIFS(supercb[Qtde],supercb[Item],tab_alimentos[[#This Row],[Item]],supercb[Bairro],mercado6)</f>
        <v>0</v>
      </c>
      <c r="R208" s="18">
        <f>SUMIFS(super1[Qtde],super1[Item],tab_alimentos[[#This Row],[Item]],super1[Bairro],mercado7)+SUMIFS(supercb[Qtde],supercb[Item],tab_alimentos[[#This Row],[Item]],supercb[Bairro],mercado7)</f>
        <v>0</v>
      </c>
      <c r="S208" s="18">
        <f>SUMIFS(super1[Qtde],super1[Item],tab_alimentos[[#This Row],[Item]],super1[Bairro],mercado8)+SUMIFS(supercb[Qtde],supercb[Item],tab_alimentos[[#This Row],[Item]],supercb[Bairro],mercado8)</f>
        <v>0</v>
      </c>
      <c r="T208" s="18">
        <f>SUMIFS(super1[Qtde],super1[Item],tab_alimentos[[#This Row],[Item]],super1[Bairro],mercado9)+SUMIFS(supercb[Qtde],supercb[Item],tab_alimentos[[#This Row],[Item]],supercb[Bairro],mercado9)</f>
        <v>0</v>
      </c>
      <c r="U208" s="18">
        <f>SUMIFS(super1[Qtde],super1[Item],tab_alimentos[[#This Row],[Item]],super1[Bairro],mercado10)+SUMIFS(supercb[Qtde],supercb[Item],tab_alimentos[[#This Row],[Item]],supercb[Bairro],mercado10)</f>
        <v>0</v>
      </c>
      <c r="V208" s="18">
        <f>SUMIFS(super1[Qtde],super1[Item],tab_alimentos[[#This Row],[Item]],super1[Bairro],mercado11)+SUMIFS(supercb[Qtde],supercb[Item],tab_alimentos[[#This Row],[Item]],supercb[Bairro],mercado11)</f>
        <v>0</v>
      </c>
      <c r="W208" s="18">
        <f>SUMIFS(super1[Qtde],super1[Item],tab_alimentos[[#This Row],[Item]],super1[Bairro],mercado12)+SUMIFS(supercb[Qtde],supercb[Item],tab_alimentos[[#This Row],[Item]],supercb[Bairro],mercado12)</f>
        <v>0</v>
      </c>
      <c r="X208" s="18">
        <f>SUMIFS(super1[Qtde],super1[Item],tab_alimentos[[#This Row],[Item]],super1[Bairro],mercado13)+SUMIFS(supercb[Qtde],supercb[Item],tab_alimentos[[#This Row],[Item]],supercb[Bairro],mercado13)</f>
        <v>0</v>
      </c>
      <c r="Y208" s="18">
        <f>SUMIFS(super1[Qtde],super1[Item],tab_alimentos[[#This Row],[Item]],super1[Bairro],mercado14)+SUMIFS(supercb[Qtde],supercb[Item],tab_alimentos[[#This Row],[Item]],supercb[Bairro],mercado14)</f>
        <v>0</v>
      </c>
      <c r="Z208" s="18">
        <f>SUMIFS(super1[Qtde],super1[Item],tab_alimentos[[#This Row],[Item]],super1[Bairro],mercado15)+SUMIFS(supercb[Qtde],supercb[Item],tab_alimentos[[#This Row],[Item]],supercb[Bairro],mercado15)</f>
        <v>0</v>
      </c>
      <c r="AA208" s="18">
        <f>SUMIFS(super1[Qtde],super1[Item],tab_alimentos[[#This Row],[Item]],super1[Bairro],mercado16)+SUMIFS(supercb[Qtde],supercb[Item],tab_alimentos[[#This Row],[Item]],supercb[Bairro],mercado16)</f>
        <v>0</v>
      </c>
      <c r="AB208" s="18">
        <f>SUMIFS(super1[Qtde],super1[Item],tab_alimentos[[#This Row],[Item]],super1[Bairro],mercado17)+SUMIFS(supercb[Qtde],supercb[Item],tab_alimentos[[#This Row],[Item]],supercb[Bairro],mercado17)</f>
        <v>0</v>
      </c>
      <c r="AC208" s="18">
        <f>SUMIFS(super1[Qtde],super1[Item],tab_alimentos[[#This Row],[Item]],super1[Bairro],mercado18)+SUMIFS(supercb[Qtde],supercb[Item],tab_alimentos[[#This Row],[Item]],supercb[Bairro],mercado18)</f>
        <v>0</v>
      </c>
      <c r="AD208" s="18">
        <f>SUMIFS(super1[Qtde],super1[Item],tab_alimentos[[#This Row],[Item]],super1[Bairro],extras)+SUMIFS(supercb[Qtde],supercb[Item],tab_alimentos[[#This Row],[Item]],supercb[Bairro],extras)</f>
        <v>0</v>
      </c>
      <c r="AE208" s="1">
        <f t="shared" si="79"/>
        <v>0</v>
      </c>
      <c r="AF208" s="1">
        <f t="shared" si="80"/>
        <v>0</v>
      </c>
      <c r="AG208" s="26">
        <f t="shared" si="81"/>
        <v>0</v>
      </c>
      <c r="AH208" s="15" t="str">
        <f>higiene[[#This Row],[Item]]</f>
        <v xml:space="preserve">Shampoo ou condicionador (400mL) </v>
      </c>
      <c r="AI208" s="8">
        <f>IFERROR(higiene[[#This Row],[Kg equivalente]],0)</f>
        <v>4.1963374822230453</v>
      </c>
      <c r="AJ208" s="8">
        <f>IFERROR(higiene[[#This Row],[Preço por produto]],0)</f>
        <v>13.9</v>
      </c>
      <c r="AK208" s="61">
        <f>SUMIFS(super1[Qtde],super1[Item],tab_higiene[[#This Row],[Item]],super1[Bairro],mercado1)+SUMIFS(supercb[Qtde],supercb[Item],tab_higiene[[#This Row],[Item]],supercb[Bairro],mercado1)</f>
        <v>0</v>
      </c>
      <c r="AL208" s="61">
        <f>SUMIFS(super1[Qtde],super1[Item],tab_higiene[[#This Row],[Item]],super1[Bairro],mercado2)+SUMIFS(supercb[Qtde],supercb[Item],tab_higiene[[#This Row],[Item]],supercb[Bairro],mercado2)</f>
        <v>0</v>
      </c>
      <c r="AM208" s="61">
        <f>SUMIFS(super1[Qtde],super1[Item],tab_higiene[[#This Row],[Item]],super1[Bairro],mercado3)+SUMIFS(supercb[Qtde],supercb[Item],tab_higiene[[#This Row],[Item]],supercb[Bairro],mercado3)</f>
        <v>0</v>
      </c>
      <c r="AN208" s="61">
        <f>SUMIFS(super1[Qtde],super1[Item],tab_higiene[[#This Row],[Item]],super1[Bairro],mercado4)+SUMIFS(supercb[Qtde],supercb[Item],tab_higiene[[#This Row],[Item]],supercb[Bairro],mercado4)</f>
        <v>0</v>
      </c>
      <c r="AO208" s="61">
        <f>SUMIFS(super1[Qtde],super1[Item],tab_higiene[[#This Row],[Item]],super1[Bairro],mercado5)+SUMIFS(supercb[Qtde],supercb[Item],tab_higiene[[#This Row],[Item]],supercb[Bairro],mercado5)</f>
        <v>0</v>
      </c>
      <c r="AP208" s="61">
        <f>SUMIFS(super1[Qtde],super1[Item],tab_higiene[[#This Row],[Item]],super1[Bairro],mercado6)+SUMIFS(supercb[Qtde],supercb[Item],tab_higiene[[#This Row],[Item]],supercb[Bairro],mercado6)</f>
        <v>0</v>
      </c>
      <c r="AQ208" s="61">
        <f>SUMIFS(super1[Qtde],super1[Item],tab_higiene[[#This Row],[Item]],super1[Bairro],mercado7)+SUMIFS(supercb[Qtde],supercb[Item],tab_higiene[[#This Row],[Item]],supercb[Bairro],mercado7)</f>
        <v>0</v>
      </c>
      <c r="AR208" s="61">
        <f>SUMIFS(super1[Qtde],super1[Item],tab_higiene[[#This Row],[Item]],super1[Bairro],mercado8)+SUMIFS(supercb[Qtde],supercb[Item],tab_higiene[[#This Row],[Item]],supercb[Bairro],mercado8)</f>
        <v>0</v>
      </c>
      <c r="AS208" s="61">
        <f>SUMIFS(super1[Qtde],super1[Item],tab_higiene[[#This Row],[Item]],super1[Bairro],mercado9)+SUMIFS(supercb[Qtde],supercb[Item],tab_higiene[[#This Row],[Item]],supercb[Bairro],mercado9)</f>
        <v>0</v>
      </c>
      <c r="AT208" s="61">
        <f>SUMIFS(super1[Qtde],super1[Item],tab_higiene[[#This Row],[Item]],super1[Bairro],mercado10)+SUMIFS(supercb[Qtde],supercb[Item],tab_higiene[[#This Row],[Item]],supercb[Bairro],mercado10)</f>
        <v>0</v>
      </c>
      <c r="AU208" s="61">
        <f>SUMIFS(super1[Qtde],super1[Item],tab_higiene[[#This Row],[Item]],super1[Bairro],mercado11)+SUMIFS(supercb[Qtde],supercb[Item],tab_higiene[[#This Row],[Item]],supercb[Bairro],mercado11)</f>
        <v>0</v>
      </c>
      <c r="AV208" s="61">
        <f>SUMIFS(super1[Qtde],super1[Item],tab_higiene[[#This Row],[Item]],super1[Bairro],mercado12)+SUMIFS(supercb[Qtde],supercb[Item],tab_higiene[[#This Row],[Item]],supercb[Bairro],mercado12)</f>
        <v>0</v>
      </c>
      <c r="AW208" s="61">
        <f>SUMIFS(super1[Qtde],super1[Item],tab_higiene[[#This Row],[Item]],super1[Bairro],mercado13)+SUMIFS(supercb[Qtde],supercb[Item],tab_higiene[[#This Row],[Item]],supercb[Bairro],mercado13)</f>
        <v>0</v>
      </c>
      <c r="AX208" s="61">
        <f>SUMIFS(super1[Qtde],super1[Item],tab_higiene[[#This Row],[Item]],super1[Bairro],mercado14)+SUMIFS(supercb[Qtde],supercb[Item],tab_higiene[[#This Row],[Item]],supercb[Bairro],mercado14)</f>
        <v>0</v>
      </c>
      <c r="AY208" s="61">
        <f>SUMIFS(super1[Qtde],super1[Item],tab_higiene[[#This Row],[Item]],super1[Bairro],mercado15)+SUMIFS(supercb[Qtde],supercb[Item],tab_higiene[[#This Row],[Item]],supercb[Bairro],mercado15)</f>
        <v>0</v>
      </c>
      <c r="AZ208" s="61">
        <f>SUMIFS(super1[Qtde],super1[Item],tab_higiene[[#This Row],[Item]],super1[Bairro],mercado16)+SUMIFS(supercb[Qtde],supercb[Item],tab_higiene[[#This Row],[Item]],supercb[Bairro],mercado16)</f>
        <v>0</v>
      </c>
      <c r="BA208" s="61">
        <f>SUMIFS(super1[Qtde],super1[Item],tab_higiene[[#This Row],[Item]],super1[Bairro],mercado17)+SUMIFS(supercb[Qtde],supercb[Item],tab_higiene[[#This Row],[Item]],supercb[Bairro],mercado17)</f>
        <v>0</v>
      </c>
      <c r="BB208" s="61">
        <f>SUMIFS(super1[Qtde],super1[Item],tab_higiene[[#This Row],[Item]],super1[Bairro],mercado18)+SUMIFS(supercb[Qtde],supercb[Item],tab_higiene[[#This Row],[Item]],supercb[Bairro],mercado18)</f>
        <v>0</v>
      </c>
      <c r="BC208" s="51">
        <f>SUMIFS(super1[Qtde],super1[Item],tab_higiene[[#This Row],[Item]],super1[Bairro],extras)+SUMIFS(supercb[Qtde],supercb[Item],tab_higiene[[#This Row],[Item]],supercb[Bairro],extras)</f>
        <v>0</v>
      </c>
      <c r="BD208" s="8">
        <f t="shared" si="76"/>
        <v>0</v>
      </c>
      <c r="BE208" s="8">
        <f t="shared" si="77"/>
        <v>0</v>
      </c>
      <c r="BF208" s="23">
        <f t="shared" si="78"/>
        <v>0</v>
      </c>
    </row>
    <row r="209" spans="9:58" ht="15.75" thickBot="1" x14ac:dyDescent="0.3">
      <c r="I209" s="25" t="str">
        <f>alimentos[[#This Row],[Item]]</f>
        <v>Palmito (500g)</v>
      </c>
      <c r="J209" s="1">
        <f>IFERROR(alimentos[[#This Row],[kg/embalagem]],0)</f>
        <v>0.5</v>
      </c>
      <c r="K209" s="18">
        <f>IFERROR(alimentos[[#This Row],[Preço]],0)</f>
        <v>27.58</v>
      </c>
      <c r="L209" s="18">
        <f>SUMIFS(super1[Qtde],super1[Item],tab_alimentos[[#This Row],[Item]],super1[Bairro],mercado1)+SUMIFS(supercb[Qtde],supercb[Item],tab_alimentos[[#This Row],[Item]],supercb[Bairro],mercado1)</f>
        <v>0</v>
      </c>
      <c r="M209" s="18">
        <f>SUMIFS(super1[Qtde],super1[Item],tab_alimentos[[#This Row],[Item]],super1[Bairro],mercado2)+SUMIFS(supercb[Qtde],supercb[Item],tab_alimentos[[#This Row],[Item]],supercb[Bairro],mercado2)</f>
        <v>0</v>
      </c>
      <c r="N209" s="1">
        <f>SUMIFS(super1[Qtde],super1[Item],tab_alimentos[[#This Row],[Item]],super1[Bairro],mercado3)+SUMIFS(supercb[Qtde],supercb[Item],tab_alimentos[[#This Row],[Item]],supercb[Bairro],mercado3)</f>
        <v>0</v>
      </c>
      <c r="O209" s="18">
        <f>SUMIFS(super1[Qtde],super1[Item],tab_alimentos[[#This Row],[Item]],super1[Bairro],mercado4)+SUMIFS(supercb[Qtde],supercb[Item],tab_alimentos[[#This Row],[Item]],supercb[Bairro],mercado4)</f>
        <v>0</v>
      </c>
      <c r="P209" s="18">
        <f>SUMIFS(super1[Qtde],super1[Item],tab_alimentos[[#This Row],[Item]],super1[Bairro],mercado5)+SUMIFS(supercb[Qtde],supercb[Item],tab_alimentos[[#This Row],[Item]],supercb[Bairro],mercado5)</f>
        <v>0</v>
      </c>
      <c r="Q209" s="18">
        <f>SUMIFS(super1[Qtde],super1[Item],tab_alimentos[[#This Row],[Item]],super1[Bairro],mercado6)+SUMIFS(supercb[Qtde],supercb[Item],tab_alimentos[[#This Row],[Item]],supercb[Bairro],mercado6)</f>
        <v>0</v>
      </c>
      <c r="R209" s="18">
        <f>SUMIFS(super1[Qtde],super1[Item],tab_alimentos[[#This Row],[Item]],super1[Bairro],mercado7)+SUMIFS(supercb[Qtde],supercb[Item],tab_alimentos[[#This Row],[Item]],supercb[Bairro],mercado7)</f>
        <v>0</v>
      </c>
      <c r="S209" s="18">
        <f>SUMIFS(super1[Qtde],super1[Item],tab_alimentos[[#This Row],[Item]],super1[Bairro],mercado8)+SUMIFS(supercb[Qtde],supercb[Item],tab_alimentos[[#This Row],[Item]],supercb[Bairro],mercado8)</f>
        <v>0</v>
      </c>
      <c r="T209" s="18">
        <f>SUMIFS(super1[Qtde],super1[Item],tab_alimentos[[#This Row],[Item]],super1[Bairro],mercado9)+SUMIFS(supercb[Qtde],supercb[Item],tab_alimentos[[#This Row],[Item]],supercb[Bairro],mercado9)</f>
        <v>0</v>
      </c>
      <c r="U209" s="18">
        <f>SUMIFS(super1[Qtde],super1[Item],tab_alimentos[[#This Row],[Item]],super1[Bairro],mercado10)+SUMIFS(supercb[Qtde],supercb[Item],tab_alimentos[[#This Row],[Item]],supercb[Bairro],mercado10)</f>
        <v>0</v>
      </c>
      <c r="V209" s="18">
        <f>SUMIFS(super1[Qtde],super1[Item],tab_alimentos[[#This Row],[Item]],super1[Bairro],mercado11)+SUMIFS(supercb[Qtde],supercb[Item],tab_alimentos[[#This Row],[Item]],supercb[Bairro],mercado11)</f>
        <v>0</v>
      </c>
      <c r="W209" s="18">
        <f>SUMIFS(super1[Qtde],super1[Item],tab_alimentos[[#This Row],[Item]],super1[Bairro],mercado12)+SUMIFS(supercb[Qtde],supercb[Item],tab_alimentos[[#This Row],[Item]],supercb[Bairro],mercado12)</f>
        <v>0</v>
      </c>
      <c r="X209" s="18">
        <f>SUMIFS(super1[Qtde],super1[Item],tab_alimentos[[#This Row],[Item]],super1[Bairro],mercado13)+SUMIFS(supercb[Qtde],supercb[Item],tab_alimentos[[#This Row],[Item]],supercb[Bairro],mercado13)</f>
        <v>0</v>
      </c>
      <c r="Y209" s="18">
        <f>SUMIFS(super1[Qtde],super1[Item],tab_alimentos[[#This Row],[Item]],super1[Bairro],mercado14)+SUMIFS(supercb[Qtde],supercb[Item],tab_alimentos[[#This Row],[Item]],supercb[Bairro],mercado14)</f>
        <v>0</v>
      </c>
      <c r="Z209" s="18">
        <f>SUMIFS(super1[Qtde],super1[Item],tab_alimentos[[#This Row],[Item]],super1[Bairro],mercado15)+SUMIFS(supercb[Qtde],supercb[Item],tab_alimentos[[#This Row],[Item]],supercb[Bairro],mercado15)</f>
        <v>0</v>
      </c>
      <c r="AA209" s="18">
        <f>SUMIFS(super1[Qtde],super1[Item],tab_alimentos[[#This Row],[Item]],super1[Bairro],mercado16)+SUMIFS(supercb[Qtde],supercb[Item],tab_alimentos[[#This Row],[Item]],supercb[Bairro],mercado16)</f>
        <v>0</v>
      </c>
      <c r="AB209" s="18">
        <f>SUMIFS(super1[Qtde],super1[Item],tab_alimentos[[#This Row],[Item]],super1[Bairro],mercado17)+SUMIFS(supercb[Qtde],supercb[Item],tab_alimentos[[#This Row],[Item]],supercb[Bairro],mercado17)</f>
        <v>0</v>
      </c>
      <c r="AC209" s="18">
        <f>SUMIFS(super1[Qtde],super1[Item],tab_alimentos[[#This Row],[Item]],super1[Bairro],mercado18)+SUMIFS(supercb[Qtde],supercb[Item],tab_alimentos[[#This Row],[Item]],supercb[Bairro],mercado18)</f>
        <v>0</v>
      </c>
      <c r="AD209" s="18">
        <f>SUMIFS(super1[Qtde],super1[Item],tab_alimentos[[#This Row],[Item]],super1[Bairro],extras)+SUMIFS(supercb[Qtde],supercb[Item],tab_alimentos[[#This Row],[Item]],supercb[Bairro],extras)</f>
        <v>0</v>
      </c>
      <c r="AE209" s="1">
        <f t="shared" si="79"/>
        <v>0</v>
      </c>
      <c r="AF209" s="1">
        <f t="shared" si="80"/>
        <v>0</v>
      </c>
      <c r="AG209" s="26">
        <f t="shared" si="81"/>
        <v>0</v>
      </c>
      <c r="AH209" s="15" t="str">
        <f>higiene[[#This Row],[Item]]</f>
        <v>T</v>
      </c>
      <c r="AI209" s="8">
        <f>IFERROR(higiene[[#This Row],[Kg equivalente]],0)</f>
        <v>0</v>
      </c>
      <c r="AJ209" s="8" t="str">
        <f>IFERROR(higiene[[#This Row],[Preço por produto]],0)</f>
        <v/>
      </c>
      <c r="AK209" s="61">
        <f>SUMIFS(super1[Qtde],super1[Item],tab_higiene[[#This Row],[Item]],super1[Bairro],mercado1)+SUMIFS(supercb[Qtde],supercb[Item],tab_higiene[[#This Row],[Item]],supercb[Bairro],mercado1)</f>
        <v>0</v>
      </c>
      <c r="AL209" s="61">
        <f>SUMIFS(super1[Qtde],super1[Item],tab_higiene[[#This Row],[Item]],super1[Bairro],mercado2)+SUMIFS(supercb[Qtde],supercb[Item],tab_higiene[[#This Row],[Item]],supercb[Bairro],mercado2)</f>
        <v>0</v>
      </c>
      <c r="AM209" s="61">
        <f>SUMIFS(super1[Qtde],super1[Item],tab_higiene[[#This Row],[Item]],super1[Bairro],mercado3)+SUMIFS(supercb[Qtde],supercb[Item],tab_higiene[[#This Row],[Item]],supercb[Bairro],mercado3)</f>
        <v>0</v>
      </c>
      <c r="AN209" s="61">
        <f>SUMIFS(super1[Qtde],super1[Item],tab_higiene[[#This Row],[Item]],super1[Bairro],mercado4)+SUMIFS(supercb[Qtde],supercb[Item],tab_higiene[[#This Row],[Item]],supercb[Bairro],mercado4)</f>
        <v>0</v>
      </c>
      <c r="AO209" s="61">
        <f>SUMIFS(super1[Qtde],super1[Item],tab_higiene[[#This Row],[Item]],super1[Bairro],mercado5)+SUMIFS(supercb[Qtde],supercb[Item],tab_higiene[[#This Row],[Item]],supercb[Bairro],mercado5)</f>
        <v>0</v>
      </c>
      <c r="AP209" s="61">
        <f>SUMIFS(super1[Qtde],super1[Item],tab_higiene[[#This Row],[Item]],super1[Bairro],mercado6)+SUMIFS(supercb[Qtde],supercb[Item],tab_higiene[[#This Row],[Item]],supercb[Bairro],mercado6)</f>
        <v>0</v>
      </c>
      <c r="AQ209" s="61">
        <f>SUMIFS(super1[Qtde],super1[Item],tab_higiene[[#This Row],[Item]],super1[Bairro],mercado7)+SUMIFS(supercb[Qtde],supercb[Item],tab_higiene[[#This Row],[Item]],supercb[Bairro],mercado7)</f>
        <v>0</v>
      </c>
      <c r="AR209" s="61">
        <f>SUMIFS(super1[Qtde],super1[Item],tab_higiene[[#This Row],[Item]],super1[Bairro],mercado8)+SUMIFS(supercb[Qtde],supercb[Item],tab_higiene[[#This Row],[Item]],supercb[Bairro],mercado8)</f>
        <v>0</v>
      </c>
      <c r="AS209" s="61">
        <f>SUMIFS(super1[Qtde],super1[Item],tab_higiene[[#This Row],[Item]],super1[Bairro],mercado9)+SUMIFS(supercb[Qtde],supercb[Item],tab_higiene[[#This Row],[Item]],supercb[Bairro],mercado9)</f>
        <v>0</v>
      </c>
      <c r="AT209" s="61">
        <f>SUMIFS(super1[Qtde],super1[Item],tab_higiene[[#This Row],[Item]],super1[Bairro],mercado10)+SUMIFS(supercb[Qtde],supercb[Item],tab_higiene[[#This Row],[Item]],supercb[Bairro],mercado10)</f>
        <v>0</v>
      </c>
      <c r="AU209" s="61">
        <f>SUMIFS(super1[Qtde],super1[Item],tab_higiene[[#This Row],[Item]],super1[Bairro],mercado11)+SUMIFS(supercb[Qtde],supercb[Item],tab_higiene[[#This Row],[Item]],supercb[Bairro],mercado11)</f>
        <v>0</v>
      </c>
      <c r="AV209" s="61">
        <f>SUMIFS(super1[Qtde],super1[Item],tab_higiene[[#This Row],[Item]],super1[Bairro],mercado12)+SUMIFS(supercb[Qtde],supercb[Item],tab_higiene[[#This Row],[Item]],supercb[Bairro],mercado12)</f>
        <v>0</v>
      </c>
      <c r="AW209" s="61">
        <f>SUMIFS(super1[Qtde],super1[Item],tab_higiene[[#This Row],[Item]],super1[Bairro],mercado13)+SUMIFS(supercb[Qtde],supercb[Item],tab_higiene[[#This Row],[Item]],supercb[Bairro],mercado13)</f>
        <v>0</v>
      </c>
      <c r="AX209" s="61">
        <f>SUMIFS(super1[Qtde],super1[Item],tab_higiene[[#This Row],[Item]],super1[Bairro],mercado14)+SUMIFS(supercb[Qtde],supercb[Item],tab_higiene[[#This Row],[Item]],supercb[Bairro],mercado14)</f>
        <v>0</v>
      </c>
      <c r="AY209" s="61">
        <f>SUMIFS(super1[Qtde],super1[Item],tab_higiene[[#This Row],[Item]],super1[Bairro],mercado15)+SUMIFS(supercb[Qtde],supercb[Item],tab_higiene[[#This Row],[Item]],supercb[Bairro],mercado15)</f>
        <v>0</v>
      </c>
      <c r="AZ209" s="61">
        <f>SUMIFS(super1[Qtde],super1[Item],tab_higiene[[#This Row],[Item]],super1[Bairro],mercado16)+SUMIFS(supercb[Qtde],supercb[Item],tab_higiene[[#This Row],[Item]],supercb[Bairro],mercado16)</f>
        <v>0</v>
      </c>
      <c r="BA209" s="61">
        <f>SUMIFS(super1[Qtde],super1[Item],tab_higiene[[#This Row],[Item]],super1[Bairro],mercado17)+SUMIFS(supercb[Qtde],supercb[Item],tab_higiene[[#This Row],[Item]],supercb[Bairro],mercado17)</f>
        <v>0</v>
      </c>
      <c r="BB209" s="61">
        <f>SUMIFS(super1[Qtde],super1[Item],tab_higiene[[#This Row],[Item]],super1[Bairro],mercado18)+SUMIFS(supercb[Qtde],supercb[Item],tab_higiene[[#This Row],[Item]],supercb[Bairro],mercado18)</f>
        <v>0</v>
      </c>
      <c r="BC209" s="51">
        <f>SUMIFS(super1[Qtde],super1[Item],tab_higiene[[#This Row],[Item]],super1[Bairro],extras)+SUMIFS(supercb[Qtde],supercb[Item],tab_higiene[[#This Row],[Item]],supercb[Bairro],extras)</f>
        <v>0</v>
      </c>
      <c r="BD209" s="8">
        <f t="shared" si="76"/>
        <v>0</v>
      </c>
      <c r="BE209" s="8">
        <f t="shared" si="77"/>
        <v>0</v>
      </c>
      <c r="BF209" s="23">
        <f t="shared" si="78"/>
        <v>0</v>
      </c>
    </row>
    <row r="210" spans="9:58" ht="15.75" thickBot="1" x14ac:dyDescent="0.3">
      <c r="I210" s="25" t="str">
        <f>alimentos[[#This Row],[Item]]</f>
        <v>Palmito (530g)</v>
      </c>
      <c r="J210" s="1">
        <f>IFERROR(alimentos[[#This Row],[kg/embalagem]],0)</f>
        <v>0.53</v>
      </c>
      <c r="K210" s="18">
        <f>IFERROR(alimentos[[#This Row],[Preço]],0)</f>
        <v>18.150000000000002</v>
      </c>
      <c r="L210" s="18">
        <f>SUMIFS(super1[Qtde],super1[Item],tab_alimentos[[#This Row],[Item]],super1[Bairro],mercado1)+SUMIFS(supercb[Qtde],supercb[Item],tab_alimentos[[#This Row],[Item]],supercb[Bairro],mercado1)</f>
        <v>0</v>
      </c>
      <c r="M210" s="18">
        <f>SUMIFS(super1[Qtde],super1[Item],tab_alimentos[[#This Row],[Item]],super1[Bairro],mercado2)+SUMIFS(supercb[Qtde],supercb[Item],tab_alimentos[[#This Row],[Item]],supercb[Bairro],mercado2)</f>
        <v>0</v>
      </c>
      <c r="N210" s="1">
        <f>SUMIFS(super1[Qtde],super1[Item],tab_alimentos[[#This Row],[Item]],super1[Bairro],mercado3)+SUMIFS(supercb[Qtde],supercb[Item],tab_alimentos[[#This Row],[Item]],supercb[Bairro],mercado3)</f>
        <v>0</v>
      </c>
      <c r="O210" s="18">
        <f>SUMIFS(super1[Qtde],super1[Item],tab_alimentos[[#This Row],[Item]],super1[Bairro],mercado4)+SUMIFS(supercb[Qtde],supercb[Item],tab_alimentos[[#This Row],[Item]],supercb[Bairro],mercado4)</f>
        <v>0</v>
      </c>
      <c r="P210" s="18">
        <f>SUMIFS(super1[Qtde],super1[Item],tab_alimentos[[#This Row],[Item]],super1[Bairro],mercado5)+SUMIFS(supercb[Qtde],supercb[Item],tab_alimentos[[#This Row],[Item]],supercb[Bairro],mercado5)</f>
        <v>0</v>
      </c>
      <c r="Q210" s="18">
        <f>SUMIFS(super1[Qtde],super1[Item],tab_alimentos[[#This Row],[Item]],super1[Bairro],mercado6)+SUMIFS(supercb[Qtde],supercb[Item],tab_alimentos[[#This Row],[Item]],supercb[Bairro],mercado6)</f>
        <v>0</v>
      </c>
      <c r="R210" s="18">
        <f>SUMIFS(super1[Qtde],super1[Item],tab_alimentos[[#This Row],[Item]],super1[Bairro],mercado7)+SUMIFS(supercb[Qtde],supercb[Item],tab_alimentos[[#This Row],[Item]],supercb[Bairro],mercado7)</f>
        <v>0</v>
      </c>
      <c r="S210" s="18">
        <f>SUMIFS(super1[Qtde],super1[Item],tab_alimentos[[#This Row],[Item]],super1[Bairro],mercado8)+SUMIFS(supercb[Qtde],supercb[Item],tab_alimentos[[#This Row],[Item]],supercb[Bairro],mercado8)</f>
        <v>0</v>
      </c>
      <c r="T210" s="18">
        <f>SUMIFS(super1[Qtde],super1[Item],tab_alimentos[[#This Row],[Item]],super1[Bairro],mercado9)+SUMIFS(supercb[Qtde],supercb[Item],tab_alimentos[[#This Row],[Item]],supercb[Bairro],mercado9)</f>
        <v>0</v>
      </c>
      <c r="U210" s="18">
        <f>SUMIFS(super1[Qtde],super1[Item],tab_alimentos[[#This Row],[Item]],super1[Bairro],mercado10)+SUMIFS(supercb[Qtde],supercb[Item],tab_alimentos[[#This Row],[Item]],supercb[Bairro],mercado10)</f>
        <v>0</v>
      </c>
      <c r="V210" s="18">
        <f>SUMIFS(super1[Qtde],super1[Item],tab_alimentos[[#This Row],[Item]],super1[Bairro],mercado11)+SUMIFS(supercb[Qtde],supercb[Item],tab_alimentos[[#This Row],[Item]],supercb[Bairro],mercado11)</f>
        <v>0</v>
      </c>
      <c r="W210" s="18">
        <f>SUMIFS(super1[Qtde],super1[Item],tab_alimentos[[#This Row],[Item]],super1[Bairro],mercado12)+SUMIFS(supercb[Qtde],supercb[Item],tab_alimentos[[#This Row],[Item]],supercb[Bairro],mercado12)</f>
        <v>0</v>
      </c>
      <c r="X210" s="18">
        <f>SUMIFS(super1[Qtde],super1[Item],tab_alimentos[[#This Row],[Item]],super1[Bairro],mercado13)+SUMIFS(supercb[Qtde],supercb[Item],tab_alimentos[[#This Row],[Item]],supercb[Bairro],mercado13)</f>
        <v>0</v>
      </c>
      <c r="Y210" s="18">
        <f>SUMIFS(super1[Qtde],super1[Item],tab_alimentos[[#This Row],[Item]],super1[Bairro],mercado14)+SUMIFS(supercb[Qtde],supercb[Item],tab_alimentos[[#This Row],[Item]],supercb[Bairro],mercado14)</f>
        <v>0</v>
      </c>
      <c r="Z210" s="18">
        <f>SUMIFS(super1[Qtde],super1[Item],tab_alimentos[[#This Row],[Item]],super1[Bairro],mercado15)+SUMIFS(supercb[Qtde],supercb[Item],tab_alimentos[[#This Row],[Item]],supercb[Bairro],mercado15)</f>
        <v>0</v>
      </c>
      <c r="AA210" s="18">
        <f>SUMIFS(super1[Qtde],super1[Item],tab_alimentos[[#This Row],[Item]],super1[Bairro],mercado16)+SUMIFS(supercb[Qtde],supercb[Item],tab_alimentos[[#This Row],[Item]],supercb[Bairro],mercado16)</f>
        <v>0</v>
      </c>
      <c r="AB210" s="18">
        <f>SUMIFS(super1[Qtde],super1[Item],tab_alimentos[[#This Row],[Item]],super1[Bairro],mercado17)+SUMIFS(supercb[Qtde],supercb[Item],tab_alimentos[[#This Row],[Item]],supercb[Bairro],mercado17)</f>
        <v>0</v>
      </c>
      <c r="AC210" s="18">
        <f>SUMIFS(super1[Qtde],super1[Item],tab_alimentos[[#This Row],[Item]],super1[Bairro],mercado18)+SUMIFS(supercb[Qtde],supercb[Item],tab_alimentos[[#This Row],[Item]],supercb[Bairro],mercado18)</f>
        <v>0</v>
      </c>
      <c r="AD210" s="18">
        <f>SUMIFS(super1[Qtde],super1[Item],tab_alimentos[[#This Row],[Item]],super1[Bairro],extras)+SUMIFS(supercb[Qtde],supercb[Item],tab_alimentos[[#This Row],[Item]],supercb[Bairro],extras)</f>
        <v>0</v>
      </c>
      <c r="AE210" s="1">
        <f t="shared" si="79"/>
        <v>0</v>
      </c>
      <c r="AF210" s="1">
        <f t="shared" si="80"/>
        <v>0</v>
      </c>
      <c r="AG210" s="26">
        <f t="shared" si="81"/>
        <v>0</v>
      </c>
      <c r="AH210" s="15" t="str">
        <f>higiene[[#This Row],[Item]]</f>
        <v>Talco (100g)</v>
      </c>
      <c r="AI210" s="8">
        <f>IFERROR(higiene[[#This Row],[Kg equivalente]],0)</f>
        <v>2.5011982762746712</v>
      </c>
      <c r="AJ210" s="8">
        <f>IFERROR(higiene[[#This Row],[Preço por produto]],0)</f>
        <v>8.2850000000000001</v>
      </c>
      <c r="AK210" s="61">
        <f>SUMIFS(super1[Qtde],super1[Item],tab_higiene[[#This Row],[Item]],super1[Bairro],mercado1)+SUMIFS(supercb[Qtde],supercb[Item],tab_higiene[[#This Row],[Item]],supercb[Bairro],mercado1)</f>
        <v>0</v>
      </c>
      <c r="AL210" s="61">
        <f>SUMIFS(super1[Qtde],super1[Item],tab_higiene[[#This Row],[Item]],super1[Bairro],mercado2)+SUMIFS(supercb[Qtde],supercb[Item],tab_higiene[[#This Row],[Item]],supercb[Bairro],mercado2)</f>
        <v>0</v>
      </c>
      <c r="AM210" s="61">
        <f>SUMIFS(super1[Qtde],super1[Item],tab_higiene[[#This Row],[Item]],super1[Bairro],mercado3)+SUMIFS(supercb[Qtde],supercb[Item],tab_higiene[[#This Row],[Item]],supercb[Bairro],mercado3)</f>
        <v>0</v>
      </c>
      <c r="AN210" s="61">
        <f>SUMIFS(super1[Qtde],super1[Item],tab_higiene[[#This Row],[Item]],super1[Bairro],mercado4)+SUMIFS(supercb[Qtde],supercb[Item],tab_higiene[[#This Row],[Item]],supercb[Bairro],mercado4)</f>
        <v>0</v>
      </c>
      <c r="AO210" s="61">
        <f>SUMIFS(super1[Qtde],super1[Item],tab_higiene[[#This Row],[Item]],super1[Bairro],mercado5)+SUMIFS(supercb[Qtde],supercb[Item],tab_higiene[[#This Row],[Item]],supercb[Bairro],mercado5)</f>
        <v>0</v>
      </c>
      <c r="AP210" s="61">
        <f>SUMIFS(super1[Qtde],super1[Item],tab_higiene[[#This Row],[Item]],super1[Bairro],mercado6)+SUMIFS(supercb[Qtde],supercb[Item],tab_higiene[[#This Row],[Item]],supercb[Bairro],mercado6)</f>
        <v>0</v>
      </c>
      <c r="AQ210" s="61">
        <f>SUMIFS(super1[Qtde],super1[Item],tab_higiene[[#This Row],[Item]],super1[Bairro],mercado7)+SUMIFS(supercb[Qtde],supercb[Item],tab_higiene[[#This Row],[Item]],supercb[Bairro],mercado7)</f>
        <v>0</v>
      </c>
      <c r="AR210" s="61">
        <f>SUMIFS(super1[Qtde],super1[Item],tab_higiene[[#This Row],[Item]],super1[Bairro],mercado8)+SUMIFS(supercb[Qtde],supercb[Item],tab_higiene[[#This Row],[Item]],supercb[Bairro],mercado8)</f>
        <v>0</v>
      </c>
      <c r="AS210" s="61">
        <f>SUMIFS(super1[Qtde],super1[Item],tab_higiene[[#This Row],[Item]],super1[Bairro],mercado9)+SUMIFS(supercb[Qtde],supercb[Item],tab_higiene[[#This Row],[Item]],supercb[Bairro],mercado9)</f>
        <v>0</v>
      </c>
      <c r="AT210" s="61">
        <f>SUMIFS(super1[Qtde],super1[Item],tab_higiene[[#This Row],[Item]],super1[Bairro],mercado10)+SUMIFS(supercb[Qtde],supercb[Item],tab_higiene[[#This Row],[Item]],supercb[Bairro],mercado10)</f>
        <v>0</v>
      </c>
      <c r="AU210" s="61">
        <f>SUMIFS(super1[Qtde],super1[Item],tab_higiene[[#This Row],[Item]],super1[Bairro],mercado11)+SUMIFS(supercb[Qtde],supercb[Item],tab_higiene[[#This Row],[Item]],supercb[Bairro],mercado11)</f>
        <v>0</v>
      </c>
      <c r="AV210" s="61">
        <f>SUMIFS(super1[Qtde],super1[Item],tab_higiene[[#This Row],[Item]],super1[Bairro],mercado12)+SUMIFS(supercb[Qtde],supercb[Item],tab_higiene[[#This Row],[Item]],supercb[Bairro],mercado12)</f>
        <v>0</v>
      </c>
      <c r="AW210" s="61">
        <f>SUMIFS(super1[Qtde],super1[Item],tab_higiene[[#This Row],[Item]],super1[Bairro],mercado13)+SUMIFS(supercb[Qtde],supercb[Item],tab_higiene[[#This Row],[Item]],supercb[Bairro],mercado13)</f>
        <v>0</v>
      </c>
      <c r="AX210" s="61">
        <f>SUMIFS(super1[Qtde],super1[Item],tab_higiene[[#This Row],[Item]],super1[Bairro],mercado14)+SUMIFS(supercb[Qtde],supercb[Item],tab_higiene[[#This Row],[Item]],supercb[Bairro],mercado14)</f>
        <v>0</v>
      </c>
      <c r="AY210" s="61">
        <f>SUMIFS(super1[Qtde],super1[Item],tab_higiene[[#This Row],[Item]],super1[Bairro],mercado15)+SUMIFS(supercb[Qtde],supercb[Item],tab_higiene[[#This Row],[Item]],supercb[Bairro],mercado15)</f>
        <v>0</v>
      </c>
      <c r="AZ210" s="61">
        <f>SUMIFS(super1[Qtde],super1[Item],tab_higiene[[#This Row],[Item]],super1[Bairro],mercado16)+SUMIFS(supercb[Qtde],supercb[Item],tab_higiene[[#This Row],[Item]],supercb[Bairro],mercado16)</f>
        <v>0</v>
      </c>
      <c r="BA210" s="61">
        <f>SUMIFS(super1[Qtde],super1[Item],tab_higiene[[#This Row],[Item]],super1[Bairro],mercado17)+SUMIFS(supercb[Qtde],supercb[Item],tab_higiene[[#This Row],[Item]],supercb[Bairro],mercado17)</f>
        <v>0</v>
      </c>
      <c r="BB210" s="61">
        <f>SUMIFS(super1[Qtde],super1[Item],tab_higiene[[#This Row],[Item]],super1[Bairro],mercado18)+SUMIFS(supercb[Qtde],supercb[Item],tab_higiene[[#This Row],[Item]],supercb[Bairro],mercado18)</f>
        <v>0</v>
      </c>
      <c r="BC210" s="51">
        <f>SUMIFS(super1[Qtde],super1[Item],tab_higiene[[#This Row],[Item]],super1[Bairro],extras)+SUMIFS(supercb[Qtde],supercb[Item],tab_higiene[[#This Row],[Item]],supercb[Bairro],extras)</f>
        <v>0</v>
      </c>
      <c r="BD210" s="8">
        <f t="shared" si="76"/>
        <v>0</v>
      </c>
      <c r="BE210" s="8">
        <f t="shared" si="77"/>
        <v>0</v>
      </c>
      <c r="BF210" s="23">
        <f t="shared" si="78"/>
        <v>0</v>
      </c>
    </row>
    <row r="211" spans="9:58" ht="15.75" thickBot="1" x14ac:dyDescent="0.3">
      <c r="I211" s="25" t="str">
        <f>alimentos[[#This Row],[Item]]</f>
        <v>Panetone</v>
      </c>
      <c r="J211" s="1">
        <f>IFERROR(alimentos[[#This Row],[kg/embalagem]],0)</f>
        <v>0.5</v>
      </c>
      <c r="K211" s="18">
        <f>IFERROR(alimentos[[#This Row],[Preço]],0)</f>
        <v>7.99</v>
      </c>
      <c r="L211" s="18">
        <f>SUMIFS(super1[Qtde],super1[Item],tab_alimentos[[#This Row],[Item]],super1[Bairro],mercado1)+SUMIFS(supercb[Qtde],supercb[Item],tab_alimentos[[#This Row],[Item]],supercb[Bairro],mercado1)</f>
        <v>0</v>
      </c>
      <c r="M211" s="18">
        <f>SUMIFS(super1[Qtde],super1[Item],tab_alimentos[[#This Row],[Item]],super1[Bairro],mercado2)+SUMIFS(supercb[Qtde],supercb[Item],tab_alimentos[[#This Row],[Item]],supercb[Bairro],mercado2)</f>
        <v>0</v>
      </c>
      <c r="N211" s="1">
        <f>SUMIFS(super1[Qtde],super1[Item],tab_alimentos[[#This Row],[Item]],super1[Bairro],mercado3)+SUMIFS(supercb[Qtde],supercb[Item],tab_alimentos[[#This Row],[Item]],supercb[Bairro],mercado3)</f>
        <v>0</v>
      </c>
      <c r="O211" s="18">
        <f>SUMIFS(super1[Qtde],super1[Item],tab_alimentos[[#This Row],[Item]],super1[Bairro],mercado4)+SUMIFS(supercb[Qtde],supercb[Item],tab_alimentos[[#This Row],[Item]],supercb[Bairro],mercado4)</f>
        <v>0</v>
      </c>
      <c r="P211" s="18">
        <f>SUMIFS(super1[Qtde],super1[Item],tab_alimentos[[#This Row],[Item]],super1[Bairro],mercado5)+SUMIFS(supercb[Qtde],supercb[Item],tab_alimentos[[#This Row],[Item]],supercb[Bairro],mercado5)</f>
        <v>0</v>
      </c>
      <c r="Q211" s="18">
        <f>SUMIFS(super1[Qtde],super1[Item],tab_alimentos[[#This Row],[Item]],super1[Bairro],mercado6)+SUMIFS(supercb[Qtde],supercb[Item],tab_alimentos[[#This Row],[Item]],supercb[Bairro],mercado6)</f>
        <v>0</v>
      </c>
      <c r="R211" s="18">
        <f>SUMIFS(super1[Qtde],super1[Item],tab_alimentos[[#This Row],[Item]],super1[Bairro],mercado7)+SUMIFS(supercb[Qtde],supercb[Item],tab_alimentos[[#This Row],[Item]],supercb[Bairro],mercado7)</f>
        <v>0</v>
      </c>
      <c r="S211" s="18">
        <f>SUMIFS(super1[Qtde],super1[Item],tab_alimentos[[#This Row],[Item]],super1[Bairro],mercado8)+SUMIFS(supercb[Qtde],supercb[Item],tab_alimentos[[#This Row],[Item]],supercb[Bairro],mercado8)</f>
        <v>0</v>
      </c>
      <c r="T211" s="18">
        <f>SUMIFS(super1[Qtde],super1[Item],tab_alimentos[[#This Row],[Item]],super1[Bairro],mercado9)+SUMIFS(supercb[Qtde],supercb[Item],tab_alimentos[[#This Row],[Item]],supercb[Bairro],mercado9)</f>
        <v>0</v>
      </c>
      <c r="U211" s="18">
        <f>SUMIFS(super1[Qtde],super1[Item],tab_alimentos[[#This Row],[Item]],super1[Bairro],mercado10)+SUMIFS(supercb[Qtde],supercb[Item],tab_alimentos[[#This Row],[Item]],supercb[Bairro],mercado10)</f>
        <v>0</v>
      </c>
      <c r="V211" s="18">
        <f>SUMIFS(super1[Qtde],super1[Item],tab_alimentos[[#This Row],[Item]],super1[Bairro],mercado11)+SUMIFS(supercb[Qtde],supercb[Item],tab_alimentos[[#This Row],[Item]],supercb[Bairro],mercado11)</f>
        <v>0</v>
      </c>
      <c r="W211" s="18">
        <f>SUMIFS(super1[Qtde],super1[Item],tab_alimentos[[#This Row],[Item]],super1[Bairro],mercado12)+SUMIFS(supercb[Qtde],supercb[Item],tab_alimentos[[#This Row],[Item]],supercb[Bairro],mercado12)</f>
        <v>0</v>
      </c>
      <c r="X211" s="18">
        <f>SUMIFS(super1[Qtde],super1[Item],tab_alimentos[[#This Row],[Item]],super1[Bairro],mercado13)+SUMIFS(supercb[Qtde],supercb[Item],tab_alimentos[[#This Row],[Item]],supercb[Bairro],mercado13)</f>
        <v>0</v>
      </c>
      <c r="Y211" s="18">
        <f>SUMIFS(super1[Qtde],super1[Item],tab_alimentos[[#This Row],[Item]],super1[Bairro],mercado14)+SUMIFS(supercb[Qtde],supercb[Item],tab_alimentos[[#This Row],[Item]],supercb[Bairro],mercado14)</f>
        <v>0</v>
      </c>
      <c r="Z211" s="18">
        <f>SUMIFS(super1[Qtde],super1[Item],tab_alimentos[[#This Row],[Item]],super1[Bairro],mercado15)+SUMIFS(supercb[Qtde],supercb[Item],tab_alimentos[[#This Row],[Item]],supercb[Bairro],mercado15)</f>
        <v>0</v>
      </c>
      <c r="AA211" s="18">
        <f>SUMIFS(super1[Qtde],super1[Item],tab_alimentos[[#This Row],[Item]],super1[Bairro],mercado16)+SUMIFS(supercb[Qtde],supercb[Item],tab_alimentos[[#This Row],[Item]],supercb[Bairro],mercado16)</f>
        <v>0</v>
      </c>
      <c r="AB211" s="18">
        <f>SUMIFS(super1[Qtde],super1[Item],tab_alimentos[[#This Row],[Item]],super1[Bairro],mercado17)+SUMIFS(supercb[Qtde],supercb[Item],tab_alimentos[[#This Row],[Item]],supercb[Bairro],mercado17)</f>
        <v>0</v>
      </c>
      <c r="AC211" s="18">
        <f>SUMIFS(super1[Qtde],super1[Item],tab_alimentos[[#This Row],[Item]],super1[Bairro],mercado18)+SUMIFS(supercb[Qtde],supercb[Item],tab_alimentos[[#This Row],[Item]],supercb[Bairro],mercado18)</f>
        <v>0</v>
      </c>
      <c r="AD211" s="18">
        <f>SUMIFS(super1[Qtde],super1[Item],tab_alimentos[[#This Row],[Item]],super1[Bairro],extras)+SUMIFS(supercb[Qtde],supercb[Item],tab_alimentos[[#This Row],[Item]],supercb[Bairro],extras)</f>
        <v>0</v>
      </c>
      <c r="AE211" s="1">
        <f t="shared" si="79"/>
        <v>0</v>
      </c>
      <c r="AF211" s="1">
        <f t="shared" si="80"/>
        <v>0</v>
      </c>
      <c r="AG211" s="26">
        <f t="shared" si="81"/>
        <v>0</v>
      </c>
      <c r="AH211" s="15" t="str">
        <f>higiene[[#This Row],[Item]]</f>
        <v>Talco (200g)</v>
      </c>
      <c r="AI211" s="8">
        <f>IFERROR(higiene[[#This Row],[Kg equivalente]],0)</f>
        <v>4.9027712741944063</v>
      </c>
      <c r="AJ211" s="8">
        <f>IFERROR(higiene[[#This Row],[Preço por produto]],0)</f>
        <v>16.239999999999998</v>
      </c>
      <c r="AK211" s="61">
        <f>SUMIFS(super1[Qtde],super1[Item],tab_higiene[[#This Row],[Item]],super1[Bairro],mercado1)+SUMIFS(supercb[Qtde],supercb[Item],tab_higiene[[#This Row],[Item]],supercb[Bairro],mercado1)</f>
        <v>0</v>
      </c>
      <c r="AL211" s="61">
        <f>SUMIFS(super1[Qtde],super1[Item],tab_higiene[[#This Row],[Item]],super1[Bairro],mercado2)+SUMIFS(supercb[Qtde],supercb[Item],tab_higiene[[#This Row],[Item]],supercb[Bairro],mercado2)</f>
        <v>0</v>
      </c>
      <c r="AM211" s="61">
        <f>SUMIFS(super1[Qtde],super1[Item],tab_higiene[[#This Row],[Item]],super1[Bairro],mercado3)+SUMIFS(supercb[Qtde],supercb[Item],tab_higiene[[#This Row],[Item]],supercb[Bairro],mercado3)</f>
        <v>0</v>
      </c>
      <c r="AN211" s="61">
        <f>SUMIFS(super1[Qtde],super1[Item],tab_higiene[[#This Row],[Item]],super1[Bairro],mercado4)+SUMIFS(supercb[Qtde],supercb[Item],tab_higiene[[#This Row],[Item]],supercb[Bairro],mercado4)</f>
        <v>0</v>
      </c>
      <c r="AO211" s="61">
        <f>SUMIFS(super1[Qtde],super1[Item],tab_higiene[[#This Row],[Item]],super1[Bairro],mercado5)+SUMIFS(supercb[Qtde],supercb[Item],tab_higiene[[#This Row],[Item]],supercb[Bairro],mercado5)</f>
        <v>0</v>
      </c>
      <c r="AP211" s="61">
        <f>SUMIFS(super1[Qtde],super1[Item],tab_higiene[[#This Row],[Item]],super1[Bairro],mercado6)+SUMIFS(supercb[Qtde],supercb[Item],tab_higiene[[#This Row],[Item]],supercb[Bairro],mercado6)</f>
        <v>0</v>
      </c>
      <c r="AQ211" s="61">
        <f>SUMIFS(super1[Qtde],super1[Item],tab_higiene[[#This Row],[Item]],super1[Bairro],mercado7)+SUMIFS(supercb[Qtde],supercb[Item],tab_higiene[[#This Row],[Item]],supercb[Bairro],mercado7)</f>
        <v>0</v>
      </c>
      <c r="AR211" s="61">
        <f>SUMIFS(super1[Qtde],super1[Item],tab_higiene[[#This Row],[Item]],super1[Bairro],mercado8)+SUMIFS(supercb[Qtde],supercb[Item],tab_higiene[[#This Row],[Item]],supercb[Bairro],mercado8)</f>
        <v>0</v>
      </c>
      <c r="AS211" s="61">
        <f>SUMIFS(super1[Qtde],super1[Item],tab_higiene[[#This Row],[Item]],super1[Bairro],mercado9)+SUMIFS(supercb[Qtde],supercb[Item],tab_higiene[[#This Row],[Item]],supercb[Bairro],mercado9)</f>
        <v>0</v>
      </c>
      <c r="AT211" s="61">
        <f>SUMIFS(super1[Qtde],super1[Item],tab_higiene[[#This Row],[Item]],super1[Bairro],mercado10)+SUMIFS(supercb[Qtde],supercb[Item],tab_higiene[[#This Row],[Item]],supercb[Bairro],mercado10)</f>
        <v>0</v>
      </c>
      <c r="AU211" s="61">
        <f>SUMIFS(super1[Qtde],super1[Item],tab_higiene[[#This Row],[Item]],super1[Bairro],mercado11)+SUMIFS(supercb[Qtde],supercb[Item],tab_higiene[[#This Row],[Item]],supercb[Bairro],mercado11)</f>
        <v>0</v>
      </c>
      <c r="AV211" s="61">
        <f>SUMIFS(super1[Qtde],super1[Item],tab_higiene[[#This Row],[Item]],super1[Bairro],mercado12)+SUMIFS(supercb[Qtde],supercb[Item],tab_higiene[[#This Row],[Item]],supercb[Bairro],mercado12)</f>
        <v>0</v>
      </c>
      <c r="AW211" s="61">
        <f>SUMIFS(super1[Qtde],super1[Item],tab_higiene[[#This Row],[Item]],super1[Bairro],mercado13)+SUMIFS(supercb[Qtde],supercb[Item],tab_higiene[[#This Row],[Item]],supercb[Bairro],mercado13)</f>
        <v>0</v>
      </c>
      <c r="AX211" s="61">
        <f>SUMIFS(super1[Qtde],super1[Item],tab_higiene[[#This Row],[Item]],super1[Bairro],mercado14)+SUMIFS(supercb[Qtde],supercb[Item],tab_higiene[[#This Row],[Item]],supercb[Bairro],mercado14)</f>
        <v>0</v>
      </c>
      <c r="AY211" s="61">
        <f>SUMIFS(super1[Qtde],super1[Item],tab_higiene[[#This Row],[Item]],super1[Bairro],mercado15)+SUMIFS(supercb[Qtde],supercb[Item],tab_higiene[[#This Row],[Item]],supercb[Bairro],mercado15)</f>
        <v>0</v>
      </c>
      <c r="AZ211" s="61">
        <f>SUMIFS(super1[Qtde],super1[Item],tab_higiene[[#This Row],[Item]],super1[Bairro],mercado16)+SUMIFS(supercb[Qtde],supercb[Item],tab_higiene[[#This Row],[Item]],supercb[Bairro],mercado16)</f>
        <v>0</v>
      </c>
      <c r="BA211" s="61">
        <f>SUMIFS(super1[Qtde],super1[Item],tab_higiene[[#This Row],[Item]],super1[Bairro],mercado17)+SUMIFS(supercb[Qtde],supercb[Item],tab_higiene[[#This Row],[Item]],supercb[Bairro],mercado17)</f>
        <v>0</v>
      </c>
      <c r="BB211" s="61">
        <f>SUMIFS(super1[Qtde],super1[Item],tab_higiene[[#This Row],[Item]],super1[Bairro],mercado18)+SUMIFS(supercb[Qtde],supercb[Item],tab_higiene[[#This Row],[Item]],supercb[Bairro],mercado18)</f>
        <v>0</v>
      </c>
      <c r="BC211" s="51">
        <f>SUMIFS(super1[Qtde],super1[Item],tab_higiene[[#This Row],[Item]],super1[Bairro],extras)+SUMIFS(supercb[Qtde],supercb[Item],tab_higiene[[#This Row],[Item]],supercb[Bairro],extras)</f>
        <v>0</v>
      </c>
      <c r="BD211" s="8">
        <f t="shared" si="76"/>
        <v>0</v>
      </c>
      <c r="BE211" s="8">
        <f t="shared" si="77"/>
        <v>0</v>
      </c>
      <c r="BF211" s="23">
        <f t="shared" si="78"/>
        <v>0</v>
      </c>
    </row>
    <row r="212" spans="9:58" ht="15.75" thickBot="1" x14ac:dyDescent="0.3">
      <c r="I212" s="65" t="str">
        <f>alimentos[[#This Row],[Item]]</f>
        <v>Panetone (80g)</v>
      </c>
      <c r="J212" s="61">
        <f>IFERROR(alimentos[[#This Row],[kg/embalagem]],0)</f>
        <v>0.08</v>
      </c>
      <c r="K212" s="64">
        <f>IFERROR(alimentos[[#This Row],[Preço]],0)</f>
        <v>2.5299999999999998</v>
      </c>
      <c r="L212" s="64">
        <f>SUMIFS(super1[Qtde],super1[Item],tab_alimentos[[#This Row],[Item]],super1[Bairro],mercado1)+SUMIFS(supercb[Qtde],supercb[Item],tab_alimentos[[#This Row],[Item]],supercb[Bairro],mercado1)</f>
        <v>0</v>
      </c>
      <c r="M212" s="64">
        <f>SUMIFS(super1[Qtde],super1[Item],tab_alimentos[[#This Row],[Item]],super1[Bairro],mercado2)+SUMIFS(supercb[Qtde],supercb[Item],tab_alimentos[[#This Row],[Item]],supercb[Bairro],mercado2)</f>
        <v>0</v>
      </c>
      <c r="N212" s="61">
        <f>SUMIFS(super1[Qtde],super1[Item],tab_alimentos[[#This Row],[Item]],super1[Bairro],mercado3)+SUMIFS(supercb[Qtde],supercb[Item],tab_alimentos[[#This Row],[Item]],supercb[Bairro],mercado3)</f>
        <v>0</v>
      </c>
      <c r="O212" s="64">
        <f>SUMIFS(super1[Qtde],super1[Item],tab_alimentos[[#This Row],[Item]],super1[Bairro],mercado4)+SUMIFS(supercb[Qtde],supercb[Item],tab_alimentos[[#This Row],[Item]],supercb[Bairro],mercado4)</f>
        <v>0</v>
      </c>
      <c r="P212" s="64">
        <f>SUMIFS(super1[Qtde],super1[Item],tab_alimentos[[#This Row],[Item]],super1[Bairro],mercado5)+SUMIFS(supercb[Qtde],supercb[Item],tab_alimentos[[#This Row],[Item]],supercb[Bairro],mercado5)</f>
        <v>0</v>
      </c>
      <c r="Q212" s="64">
        <f>SUMIFS(super1[Qtde],super1[Item],tab_alimentos[[#This Row],[Item]],super1[Bairro],mercado6)+SUMIFS(supercb[Qtde],supercb[Item],tab_alimentos[[#This Row],[Item]],supercb[Bairro],mercado6)</f>
        <v>0</v>
      </c>
      <c r="R212" s="64">
        <f>SUMIFS(super1[Qtde],super1[Item],tab_alimentos[[#This Row],[Item]],super1[Bairro],mercado7)+SUMIFS(supercb[Qtde],supercb[Item],tab_alimentos[[#This Row],[Item]],supercb[Bairro],mercado7)</f>
        <v>0</v>
      </c>
      <c r="S212" s="64">
        <f>SUMIFS(super1[Qtde],super1[Item],tab_alimentos[[#This Row],[Item]],super1[Bairro],mercado8)+SUMIFS(supercb[Qtde],supercb[Item],tab_alimentos[[#This Row],[Item]],supercb[Bairro],mercado8)</f>
        <v>0</v>
      </c>
      <c r="T212" s="64">
        <f>SUMIFS(super1[Qtde],super1[Item],tab_alimentos[[#This Row],[Item]],super1[Bairro],mercado9)+SUMIFS(supercb[Qtde],supercb[Item],tab_alimentos[[#This Row],[Item]],supercb[Bairro],mercado9)</f>
        <v>0</v>
      </c>
      <c r="U212" s="64">
        <f>SUMIFS(super1[Qtde],super1[Item],tab_alimentos[[#This Row],[Item]],super1[Bairro],mercado10)+SUMIFS(supercb[Qtde],supercb[Item],tab_alimentos[[#This Row],[Item]],supercb[Bairro],mercado10)</f>
        <v>0</v>
      </c>
      <c r="V212" s="64">
        <f>SUMIFS(super1[Qtde],super1[Item],tab_alimentos[[#This Row],[Item]],super1[Bairro],mercado11)+SUMIFS(supercb[Qtde],supercb[Item],tab_alimentos[[#This Row],[Item]],supercb[Bairro],mercado11)</f>
        <v>0</v>
      </c>
      <c r="W212" s="64">
        <f>SUMIFS(super1[Qtde],super1[Item],tab_alimentos[[#This Row],[Item]],super1[Bairro],mercado12)+SUMIFS(supercb[Qtde],supercb[Item],tab_alimentos[[#This Row],[Item]],supercb[Bairro],mercado12)</f>
        <v>0</v>
      </c>
      <c r="X212" s="64">
        <f>SUMIFS(super1[Qtde],super1[Item],tab_alimentos[[#This Row],[Item]],super1[Bairro],mercado13)+SUMIFS(supercb[Qtde],supercb[Item],tab_alimentos[[#This Row],[Item]],supercb[Bairro],mercado13)</f>
        <v>0</v>
      </c>
      <c r="Y212" s="64">
        <f>SUMIFS(super1[Qtde],super1[Item],tab_alimentos[[#This Row],[Item]],super1[Bairro],mercado14)+SUMIFS(supercb[Qtde],supercb[Item],tab_alimentos[[#This Row],[Item]],supercb[Bairro],mercado14)</f>
        <v>0</v>
      </c>
      <c r="Z212" s="64">
        <f>SUMIFS(super1[Qtde],super1[Item],tab_alimentos[[#This Row],[Item]],super1[Bairro],mercado15)+SUMIFS(supercb[Qtde],supercb[Item],tab_alimentos[[#This Row],[Item]],supercb[Bairro],mercado15)</f>
        <v>0</v>
      </c>
      <c r="AA212" s="64">
        <f>SUMIFS(super1[Qtde],super1[Item],tab_alimentos[[#This Row],[Item]],super1[Bairro],mercado16)+SUMIFS(supercb[Qtde],supercb[Item],tab_alimentos[[#This Row],[Item]],supercb[Bairro],mercado16)</f>
        <v>0</v>
      </c>
      <c r="AB212" s="64">
        <f>SUMIFS(super1[Qtde],super1[Item],tab_alimentos[[#This Row],[Item]],super1[Bairro],mercado17)+SUMIFS(supercb[Qtde],supercb[Item],tab_alimentos[[#This Row],[Item]],supercb[Bairro],mercado17)</f>
        <v>0</v>
      </c>
      <c r="AC212" s="64">
        <f>SUMIFS(super1[Qtde],super1[Item],tab_alimentos[[#This Row],[Item]],super1[Bairro],mercado18)+SUMIFS(supercb[Qtde],supercb[Item],tab_alimentos[[#This Row],[Item]],supercb[Bairro],mercado18)</f>
        <v>0</v>
      </c>
      <c r="AD212" s="64">
        <f>SUMIFS(super1[Qtde],super1[Item],tab_alimentos[[#This Row],[Item]],super1[Bairro],extras)+SUMIFS(supercb[Qtde],supercb[Item],tab_alimentos[[#This Row],[Item]],supercb[Bairro],extras)</f>
        <v>0</v>
      </c>
      <c r="AE212" s="61">
        <f t="shared" ref="AE212:AE275" si="82">SUM(L212:AC212)</f>
        <v>0</v>
      </c>
      <c r="AF212" s="61">
        <f t="shared" ref="AF212:AF275" si="83">IFERROR(AE212*K212,0)</f>
        <v>0</v>
      </c>
      <c r="AG212" s="62">
        <f t="shared" ref="AG212:AG275" si="84">IFERROR(J212*AE212,0)</f>
        <v>0</v>
      </c>
      <c r="AH212" s="15" t="str">
        <f>higiene[[#This Row],[Item]]</f>
        <v>Tira manchas (450g)</v>
      </c>
      <c r="AI212" s="8">
        <f>IFERROR(higiene[[#This Row],[Kg equivalente]],0)</f>
        <v>4.4046448824197286</v>
      </c>
      <c r="AJ212" s="8">
        <f>IFERROR(higiene[[#This Row],[Preço por produto]],0)</f>
        <v>14.59</v>
      </c>
      <c r="AK212" s="61">
        <f>SUMIFS(super1[Qtde],super1[Item],tab_higiene[[#This Row],[Item]],super1[Bairro],mercado1)+SUMIFS(supercb[Qtde],supercb[Item],tab_higiene[[#This Row],[Item]],supercb[Bairro],mercado1)</f>
        <v>0</v>
      </c>
      <c r="AL212" s="61">
        <f>SUMIFS(super1[Qtde],super1[Item],tab_higiene[[#This Row],[Item]],super1[Bairro],mercado2)+SUMIFS(supercb[Qtde],supercb[Item],tab_higiene[[#This Row],[Item]],supercb[Bairro],mercado2)</f>
        <v>0</v>
      </c>
      <c r="AM212" s="61">
        <f>SUMIFS(super1[Qtde],super1[Item],tab_higiene[[#This Row],[Item]],super1[Bairro],mercado3)+SUMIFS(supercb[Qtde],supercb[Item],tab_higiene[[#This Row],[Item]],supercb[Bairro],mercado3)</f>
        <v>0</v>
      </c>
      <c r="AN212" s="61">
        <f>SUMIFS(super1[Qtde],super1[Item],tab_higiene[[#This Row],[Item]],super1[Bairro],mercado4)+SUMIFS(supercb[Qtde],supercb[Item],tab_higiene[[#This Row],[Item]],supercb[Bairro],mercado4)</f>
        <v>0</v>
      </c>
      <c r="AO212" s="61">
        <f>SUMIFS(super1[Qtde],super1[Item],tab_higiene[[#This Row],[Item]],super1[Bairro],mercado5)+SUMIFS(supercb[Qtde],supercb[Item],tab_higiene[[#This Row],[Item]],supercb[Bairro],mercado5)</f>
        <v>0</v>
      </c>
      <c r="AP212" s="61">
        <f>SUMIFS(super1[Qtde],super1[Item],tab_higiene[[#This Row],[Item]],super1[Bairro],mercado6)+SUMIFS(supercb[Qtde],supercb[Item],tab_higiene[[#This Row],[Item]],supercb[Bairro],mercado6)</f>
        <v>0</v>
      </c>
      <c r="AQ212" s="61">
        <f>SUMIFS(super1[Qtde],super1[Item],tab_higiene[[#This Row],[Item]],super1[Bairro],mercado7)+SUMIFS(supercb[Qtde],supercb[Item],tab_higiene[[#This Row],[Item]],supercb[Bairro],mercado7)</f>
        <v>0</v>
      </c>
      <c r="AR212" s="61">
        <f>SUMIFS(super1[Qtde],super1[Item],tab_higiene[[#This Row],[Item]],super1[Bairro],mercado8)+SUMIFS(supercb[Qtde],supercb[Item],tab_higiene[[#This Row],[Item]],supercb[Bairro],mercado8)</f>
        <v>0</v>
      </c>
      <c r="AS212" s="61">
        <f>SUMIFS(super1[Qtde],super1[Item],tab_higiene[[#This Row],[Item]],super1[Bairro],mercado9)+SUMIFS(supercb[Qtde],supercb[Item],tab_higiene[[#This Row],[Item]],supercb[Bairro],mercado9)</f>
        <v>0</v>
      </c>
      <c r="AT212" s="61">
        <f>SUMIFS(super1[Qtde],super1[Item],tab_higiene[[#This Row],[Item]],super1[Bairro],mercado10)+SUMIFS(supercb[Qtde],supercb[Item],tab_higiene[[#This Row],[Item]],supercb[Bairro],mercado10)</f>
        <v>0</v>
      </c>
      <c r="AU212" s="61">
        <f>SUMIFS(super1[Qtde],super1[Item],tab_higiene[[#This Row],[Item]],super1[Bairro],mercado11)+SUMIFS(supercb[Qtde],supercb[Item],tab_higiene[[#This Row],[Item]],supercb[Bairro],mercado11)</f>
        <v>0</v>
      </c>
      <c r="AV212" s="61">
        <f>SUMIFS(super1[Qtde],super1[Item],tab_higiene[[#This Row],[Item]],super1[Bairro],mercado12)+SUMIFS(supercb[Qtde],supercb[Item],tab_higiene[[#This Row],[Item]],supercb[Bairro],mercado12)</f>
        <v>0</v>
      </c>
      <c r="AW212" s="61">
        <f>SUMIFS(super1[Qtde],super1[Item],tab_higiene[[#This Row],[Item]],super1[Bairro],mercado13)+SUMIFS(supercb[Qtde],supercb[Item],tab_higiene[[#This Row],[Item]],supercb[Bairro],mercado13)</f>
        <v>0</v>
      </c>
      <c r="AX212" s="61">
        <f>SUMIFS(super1[Qtde],super1[Item],tab_higiene[[#This Row],[Item]],super1[Bairro],mercado14)+SUMIFS(supercb[Qtde],supercb[Item],tab_higiene[[#This Row],[Item]],supercb[Bairro],mercado14)</f>
        <v>0</v>
      </c>
      <c r="AY212" s="61">
        <f>SUMIFS(super1[Qtde],super1[Item],tab_higiene[[#This Row],[Item]],super1[Bairro],mercado15)+SUMIFS(supercb[Qtde],supercb[Item],tab_higiene[[#This Row],[Item]],supercb[Bairro],mercado15)</f>
        <v>0</v>
      </c>
      <c r="AZ212" s="61">
        <f>SUMIFS(super1[Qtde],super1[Item],tab_higiene[[#This Row],[Item]],super1[Bairro],mercado16)+SUMIFS(supercb[Qtde],supercb[Item],tab_higiene[[#This Row],[Item]],supercb[Bairro],mercado16)</f>
        <v>0</v>
      </c>
      <c r="BA212" s="61">
        <f>SUMIFS(super1[Qtde],super1[Item],tab_higiene[[#This Row],[Item]],super1[Bairro],mercado17)+SUMIFS(supercb[Qtde],supercb[Item],tab_higiene[[#This Row],[Item]],supercb[Bairro],mercado17)</f>
        <v>0</v>
      </c>
      <c r="BB212" s="61">
        <f>SUMIFS(super1[Qtde],super1[Item],tab_higiene[[#This Row],[Item]],super1[Bairro],mercado18)+SUMIFS(supercb[Qtde],supercb[Item],tab_higiene[[#This Row],[Item]],supercb[Bairro],mercado18)</f>
        <v>0</v>
      </c>
      <c r="BC212" s="51">
        <f>SUMIFS(super1[Qtde],super1[Item],tab_higiene[[#This Row],[Item]],super1[Bairro],extras)+SUMIFS(supercb[Qtde],supercb[Item],tab_higiene[[#This Row],[Item]],supercb[Bairro],extras)</f>
        <v>0</v>
      </c>
      <c r="BD212" s="8">
        <f t="shared" si="76"/>
        <v>0</v>
      </c>
      <c r="BE212" s="8">
        <f t="shared" si="77"/>
        <v>0</v>
      </c>
      <c r="BF212" s="23">
        <f t="shared" si="78"/>
        <v>0</v>
      </c>
    </row>
    <row r="213" spans="9:58" ht="15.75" thickBot="1" x14ac:dyDescent="0.3">
      <c r="I213" s="65" t="str">
        <f>alimentos[[#This Row],[Item]]</f>
        <v>Pão de Forma (500g)</v>
      </c>
      <c r="J213" s="61">
        <f>IFERROR(alimentos[[#This Row],[kg/embalagem]],0)</f>
        <v>0.5</v>
      </c>
      <c r="K213" s="64">
        <f>IFERROR(alimentos[[#This Row],[Preço]],0)</f>
        <v>5.29</v>
      </c>
      <c r="L213" s="64">
        <f>SUMIFS(super1[Qtde],super1[Item],tab_alimentos[[#This Row],[Item]],super1[Bairro],mercado1)+SUMIFS(supercb[Qtde],supercb[Item],tab_alimentos[[#This Row],[Item]],supercb[Bairro],mercado1)</f>
        <v>0</v>
      </c>
      <c r="M213" s="64">
        <f>SUMIFS(super1[Qtde],super1[Item],tab_alimentos[[#This Row],[Item]],super1[Bairro],mercado2)+SUMIFS(supercb[Qtde],supercb[Item],tab_alimentos[[#This Row],[Item]],supercb[Bairro],mercado2)</f>
        <v>0</v>
      </c>
      <c r="N213" s="61">
        <f>SUMIFS(super1[Qtde],super1[Item],tab_alimentos[[#This Row],[Item]],super1[Bairro],mercado3)+SUMIFS(supercb[Qtde],supercb[Item],tab_alimentos[[#This Row],[Item]],supercb[Bairro],mercado3)</f>
        <v>0</v>
      </c>
      <c r="O213" s="64">
        <f>SUMIFS(super1[Qtde],super1[Item],tab_alimentos[[#This Row],[Item]],super1[Bairro],mercado4)+SUMIFS(supercb[Qtde],supercb[Item],tab_alimentos[[#This Row],[Item]],supercb[Bairro],mercado4)</f>
        <v>0</v>
      </c>
      <c r="P213" s="64">
        <f>SUMIFS(super1[Qtde],super1[Item],tab_alimentos[[#This Row],[Item]],super1[Bairro],mercado5)+SUMIFS(supercb[Qtde],supercb[Item],tab_alimentos[[#This Row],[Item]],supercb[Bairro],mercado5)</f>
        <v>0</v>
      </c>
      <c r="Q213" s="64">
        <f>SUMIFS(super1[Qtde],super1[Item],tab_alimentos[[#This Row],[Item]],super1[Bairro],mercado6)+SUMIFS(supercb[Qtde],supercb[Item],tab_alimentos[[#This Row],[Item]],supercb[Bairro],mercado6)</f>
        <v>0</v>
      </c>
      <c r="R213" s="64">
        <f>SUMIFS(super1[Qtde],super1[Item],tab_alimentos[[#This Row],[Item]],super1[Bairro],mercado7)+SUMIFS(supercb[Qtde],supercb[Item],tab_alimentos[[#This Row],[Item]],supercb[Bairro],mercado7)</f>
        <v>0</v>
      </c>
      <c r="S213" s="64">
        <f>SUMIFS(super1[Qtde],super1[Item],tab_alimentos[[#This Row],[Item]],super1[Bairro],mercado8)+SUMIFS(supercb[Qtde],supercb[Item],tab_alimentos[[#This Row],[Item]],supercb[Bairro],mercado8)</f>
        <v>0</v>
      </c>
      <c r="T213" s="64">
        <f>SUMIFS(super1[Qtde],super1[Item],tab_alimentos[[#This Row],[Item]],super1[Bairro],mercado9)+SUMIFS(supercb[Qtde],supercb[Item],tab_alimentos[[#This Row],[Item]],supercb[Bairro],mercado9)</f>
        <v>0</v>
      </c>
      <c r="U213" s="64">
        <f>SUMIFS(super1[Qtde],super1[Item],tab_alimentos[[#This Row],[Item]],super1[Bairro],mercado10)+SUMIFS(supercb[Qtde],supercb[Item],tab_alimentos[[#This Row],[Item]],supercb[Bairro],mercado10)</f>
        <v>2</v>
      </c>
      <c r="V213" s="64">
        <f>SUMIFS(super1[Qtde],super1[Item],tab_alimentos[[#This Row],[Item]],super1[Bairro],mercado11)+SUMIFS(supercb[Qtde],supercb[Item],tab_alimentos[[#This Row],[Item]],supercb[Bairro],mercado11)</f>
        <v>1</v>
      </c>
      <c r="W213" s="64">
        <f>SUMIFS(super1[Qtde],super1[Item],tab_alimentos[[#This Row],[Item]],super1[Bairro],mercado12)+SUMIFS(supercb[Qtde],supercb[Item],tab_alimentos[[#This Row],[Item]],supercb[Bairro],mercado12)</f>
        <v>0</v>
      </c>
      <c r="X213" s="64">
        <f>SUMIFS(super1[Qtde],super1[Item],tab_alimentos[[#This Row],[Item]],super1[Bairro],mercado13)+SUMIFS(supercb[Qtde],supercb[Item],tab_alimentos[[#This Row],[Item]],supercb[Bairro],mercado13)</f>
        <v>0</v>
      </c>
      <c r="Y213" s="64">
        <f>SUMIFS(super1[Qtde],super1[Item],tab_alimentos[[#This Row],[Item]],super1[Bairro],mercado14)+SUMIFS(supercb[Qtde],supercb[Item],tab_alimentos[[#This Row],[Item]],supercb[Bairro],mercado14)</f>
        <v>0</v>
      </c>
      <c r="Z213" s="64">
        <f>SUMIFS(super1[Qtde],super1[Item],tab_alimentos[[#This Row],[Item]],super1[Bairro],mercado15)+SUMIFS(supercb[Qtde],supercb[Item],tab_alimentos[[#This Row],[Item]],supercb[Bairro],mercado15)</f>
        <v>0</v>
      </c>
      <c r="AA213" s="64">
        <f>SUMIFS(super1[Qtde],super1[Item],tab_alimentos[[#This Row],[Item]],super1[Bairro],mercado16)+SUMIFS(supercb[Qtde],supercb[Item],tab_alimentos[[#This Row],[Item]],supercb[Bairro],mercado16)</f>
        <v>0</v>
      </c>
      <c r="AB213" s="64">
        <f>SUMIFS(super1[Qtde],super1[Item],tab_alimentos[[#This Row],[Item]],super1[Bairro],mercado17)+SUMIFS(supercb[Qtde],supercb[Item],tab_alimentos[[#This Row],[Item]],supercb[Bairro],mercado17)</f>
        <v>0</v>
      </c>
      <c r="AC213" s="64">
        <f>SUMIFS(super1[Qtde],super1[Item],tab_alimentos[[#This Row],[Item]],super1[Bairro],mercado18)+SUMIFS(supercb[Qtde],supercb[Item],tab_alimentos[[#This Row],[Item]],supercb[Bairro],mercado18)</f>
        <v>0</v>
      </c>
      <c r="AD213" s="64">
        <f>SUMIFS(super1[Qtde],super1[Item],tab_alimentos[[#This Row],[Item]],super1[Bairro],extras)+SUMIFS(supercb[Qtde],supercb[Item],tab_alimentos[[#This Row],[Item]],supercb[Bairro],extras)</f>
        <v>0</v>
      </c>
      <c r="AE213" s="61">
        <f t="shared" si="82"/>
        <v>3</v>
      </c>
      <c r="AF213" s="61">
        <f t="shared" si="83"/>
        <v>15.870000000000001</v>
      </c>
      <c r="AG213" s="62">
        <f t="shared" si="84"/>
        <v>1.5</v>
      </c>
      <c r="AH213" s="15" t="str">
        <f>higiene[[#This Row],[Item]]</f>
        <v>Tira manchas (450mL)</v>
      </c>
      <c r="AI213" s="8">
        <f>IFERROR(higiene[[#This Row],[Kg equivalente]],0)</f>
        <v>1.619665510224938</v>
      </c>
      <c r="AJ213" s="8">
        <f>IFERROR(higiene[[#This Row],[Preço por produto]],0)</f>
        <v>5.3650000000000002</v>
      </c>
      <c r="AK213" s="61">
        <f>SUMIFS(super1[Qtde],super1[Item],tab_higiene[[#This Row],[Item]],super1[Bairro],mercado1)+SUMIFS(supercb[Qtde],supercb[Item],tab_higiene[[#This Row],[Item]],supercb[Bairro],mercado1)</f>
        <v>0</v>
      </c>
      <c r="AL213" s="61">
        <f>SUMIFS(super1[Qtde],super1[Item],tab_higiene[[#This Row],[Item]],super1[Bairro],mercado2)+SUMIFS(supercb[Qtde],supercb[Item],tab_higiene[[#This Row],[Item]],supercb[Bairro],mercado2)</f>
        <v>0</v>
      </c>
      <c r="AM213" s="61">
        <f>SUMIFS(super1[Qtde],super1[Item],tab_higiene[[#This Row],[Item]],super1[Bairro],mercado3)+SUMIFS(supercb[Qtde],supercb[Item],tab_higiene[[#This Row],[Item]],supercb[Bairro],mercado3)</f>
        <v>0</v>
      </c>
      <c r="AN213" s="61">
        <f>SUMIFS(super1[Qtde],super1[Item],tab_higiene[[#This Row],[Item]],super1[Bairro],mercado4)+SUMIFS(supercb[Qtde],supercb[Item],tab_higiene[[#This Row],[Item]],supercb[Bairro],mercado4)</f>
        <v>0</v>
      </c>
      <c r="AO213" s="61">
        <f>SUMIFS(super1[Qtde],super1[Item],tab_higiene[[#This Row],[Item]],super1[Bairro],mercado5)+SUMIFS(supercb[Qtde],supercb[Item],tab_higiene[[#This Row],[Item]],supercb[Bairro],mercado5)</f>
        <v>0</v>
      </c>
      <c r="AP213" s="61">
        <f>SUMIFS(super1[Qtde],super1[Item],tab_higiene[[#This Row],[Item]],super1[Bairro],mercado6)+SUMIFS(supercb[Qtde],supercb[Item],tab_higiene[[#This Row],[Item]],supercb[Bairro],mercado6)</f>
        <v>0</v>
      </c>
      <c r="AQ213" s="61">
        <f>SUMIFS(super1[Qtde],super1[Item],tab_higiene[[#This Row],[Item]],super1[Bairro],mercado7)+SUMIFS(supercb[Qtde],supercb[Item],tab_higiene[[#This Row],[Item]],supercb[Bairro],mercado7)</f>
        <v>0</v>
      </c>
      <c r="AR213" s="61">
        <f>SUMIFS(super1[Qtde],super1[Item],tab_higiene[[#This Row],[Item]],super1[Bairro],mercado8)+SUMIFS(supercb[Qtde],supercb[Item],tab_higiene[[#This Row],[Item]],supercb[Bairro],mercado8)</f>
        <v>0</v>
      </c>
      <c r="AS213" s="61">
        <f>SUMIFS(super1[Qtde],super1[Item],tab_higiene[[#This Row],[Item]],super1[Bairro],mercado9)+SUMIFS(supercb[Qtde],supercb[Item],tab_higiene[[#This Row],[Item]],supercb[Bairro],mercado9)</f>
        <v>0</v>
      </c>
      <c r="AT213" s="61">
        <f>SUMIFS(super1[Qtde],super1[Item],tab_higiene[[#This Row],[Item]],super1[Bairro],mercado10)+SUMIFS(supercb[Qtde],supercb[Item],tab_higiene[[#This Row],[Item]],supercb[Bairro],mercado10)</f>
        <v>0</v>
      </c>
      <c r="AU213" s="61">
        <f>SUMIFS(super1[Qtde],super1[Item],tab_higiene[[#This Row],[Item]],super1[Bairro],mercado11)+SUMIFS(supercb[Qtde],supercb[Item],tab_higiene[[#This Row],[Item]],supercb[Bairro],mercado11)</f>
        <v>0</v>
      </c>
      <c r="AV213" s="61">
        <f>SUMIFS(super1[Qtde],super1[Item],tab_higiene[[#This Row],[Item]],super1[Bairro],mercado12)+SUMIFS(supercb[Qtde],supercb[Item],tab_higiene[[#This Row],[Item]],supercb[Bairro],mercado12)</f>
        <v>0</v>
      </c>
      <c r="AW213" s="61">
        <f>SUMIFS(super1[Qtde],super1[Item],tab_higiene[[#This Row],[Item]],super1[Bairro],mercado13)+SUMIFS(supercb[Qtde],supercb[Item],tab_higiene[[#This Row],[Item]],supercb[Bairro],mercado13)</f>
        <v>0</v>
      </c>
      <c r="AX213" s="61">
        <f>SUMIFS(super1[Qtde],super1[Item],tab_higiene[[#This Row],[Item]],super1[Bairro],mercado14)+SUMIFS(supercb[Qtde],supercb[Item],tab_higiene[[#This Row],[Item]],supercb[Bairro],mercado14)</f>
        <v>0</v>
      </c>
      <c r="AY213" s="61">
        <f>SUMIFS(super1[Qtde],super1[Item],tab_higiene[[#This Row],[Item]],super1[Bairro],mercado15)+SUMIFS(supercb[Qtde],supercb[Item],tab_higiene[[#This Row],[Item]],supercb[Bairro],mercado15)</f>
        <v>0</v>
      </c>
      <c r="AZ213" s="61">
        <f>SUMIFS(super1[Qtde],super1[Item],tab_higiene[[#This Row],[Item]],super1[Bairro],mercado16)+SUMIFS(supercb[Qtde],supercb[Item],tab_higiene[[#This Row],[Item]],supercb[Bairro],mercado16)</f>
        <v>0</v>
      </c>
      <c r="BA213" s="61">
        <f>SUMIFS(super1[Qtde],super1[Item],tab_higiene[[#This Row],[Item]],super1[Bairro],mercado17)+SUMIFS(supercb[Qtde],supercb[Item],tab_higiene[[#This Row],[Item]],supercb[Bairro],mercado17)</f>
        <v>0</v>
      </c>
      <c r="BB213" s="61">
        <f>SUMIFS(super1[Qtde],super1[Item],tab_higiene[[#This Row],[Item]],super1[Bairro],mercado18)+SUMIFS(supercb[Qtde],supercb[Item],tab_higiene[[#This Row],[Item]],supercb[Bairro],mercado18)</f>
        <v>0</v>
      </c>
      <c r="BC213" s="51">
        <f>SUMIFS(super1[Qtde],super1[Item],tab_higiene[[#This Row],[Item]],super1[Bairro],extras)+SUMIFS(supercb[Qtde],supercb[Item],tab_higiene[[#This Row],[Item]],supercb[Bairro],extras)</f>
        <v>0</v>
      </c>
      <c r="BD213" s="8">
        <f t="shared" si="76"/>
        <v>0</v>
      </c>
      <c r="BE213" s="8">
        <f t="shared" si="77"/>
        <v>0</v>
      </c>
      <c r="BF213" s="23">
        <f t="shared" si="78"/>
        <v>0</v>
      </c>
    </row>
    <row r="214" spans="9:58" ht="15.75" thickBot="1" x14ac:dyDescent="0.3">
      <c r="I214" s="65" t="str">
        <f>alimentos[[#This Row],[Item]]</f>
        <v>Pão de Mel (200g)</v>
      </c>
      <c r="J214" s="61">
        <f>IFERROR(alimentos[[#This Row],[kg/embalagem]],0)</f>
        <v>0.2</v>
      </c>
      <c r="K214" s="64">
        <f>IFERROR(alimentos[[#This Row],[Preço]],0)</f>
        <v>8.2899999999999991</v>
      </c>
      <c r="L214" s="64">
        <f>SUMIFS(super1[Qtde],super1[Item],tab_alimentos[[#This Row],[Item]],super1[Bairro],mercado1)+SUMIFS(supercb[Qtde],supercb[Item],tab_alimentos[[#This Row],[Item]],supercb[Bairro],mercado1)</f>
        <v>0</v>
      </c>
      <c r="M214" s="64">
        <f>SUMIFS(super1[Qtde],super1[Item],tab_alimentos[[#This Row],[Item]],super1[Bairro],mercado2)+SUMIFS(supercb[Qtde],supercb[Item],tab_alimentos[[#This Row],[Item]],supercb[Bairro],mercado2)</f>
        <v>0</v>
      </c>
      <c r="N214" s="61">
        <f>SUMIFS(super1[Qtde],super1[Item],tab_alimentos[[#This Row],[Item]],super1[Bairro],mercado3)+SUMIFS(supercb[Qtde],supercb[Item],tab_alimentos[[#This Row],[Item]],supercb[Bairro],mercado3)</f>
        <v>0</v>
      </c>
      <c r="O214" s="64">
        <f>SUMIFS(super1[Qtde],super1[Item],tab_alimentos[[#This Row],[Item]],super1[Bairro],mercado4)+SUMIFS(supercb[Qtde],supercb[Item],tab_alimentos[[#This Row],[Item]],supercb[Bairro],mercado4)</f>
        <v>0</v>
      </c>
      <c r="P214" s="64">
        <f>SUMIFS(super1[Qtde],super1[Item],tab_alimentos[[#This Row],[Item]],super1[Bairro],mercado5)+SUMIFS(supercb[Qtde],supercb[Item],tab_alimentos[[#This Row],[Item]],supercb[Bairro],mercado5)</f>
        <v>0</v>
      </c>
      <c r="Q214" s="64">
        <f>SUMIFS(super1[Qtde],super1[Item],tab_alimentos[[#This Row],[Item]],super1[Bairro],mercado6)+SUMIFS(supercb[Qtde],supercb[Item],tab_alimentos[[#This Row],[Item]],supercb[Bairro],mercado6)</f>
        <v>0</v>
      </c>
      <c r="R214" s="64">
        <f>SUMIFS(super1[Qtde],super1[Item],tab_alimentos[[#This Row],[Item]],super1[Bairro],mercado7)+SUMIFS(supercb[Qtde],supercb[Item],tab_alimentos[[#This Row],[Item]],supercb[Bairro],mercado7)</f>
        <v>0</v>
      </c>
      <c r="S214" s="64">
        <f>SUMIFS(super1[Qtde],super1[Item],tab_alimentos[[#This Row],[Item]],super1[Bairro],mercado8)+SUMIFS(supercb[Qtde],supercb[Item],tab_alimentos[[#This Row],[Item]],supercb[Bairro],mercado8)</f>
        <v>0</v>
      </c>
      <c r="T214" s="64">
        <f>SUMIFS(super1[Qtde],super1[Item],tab_alimentos[[#This Row],[Item]],super1[Bairro],mercado9)+SUMIFS(supercb[Qtde],supercb[Item],tab_alimentos[[#This Row],[Item]],supercb[Bairro],mercado9)</f>
        <v>0</v>
      </c>
      <c r="U214" s="64">
        <f>SUMIFS(super1[Qtde],super1[Item],tab_alimentos[[#This Row],[Item]],super1[Bairro],mercado10)+SUMIFS(supercb[Qtde],supercb[Item],tab_alimentos[[#This Row],[Item]],supercb[Bairro],mercado10)</f>
        <v>0</v>
      </c>
      <c r="V214" s="64">
        <f>SUMIFS(super1[Qtde],super1[Item],tab_alimentos[[#This Row],[Item]],super1[Bairro],mercado11)+SUMIFS(supercb[Qtde],supercb[Item],tab_alimentos[[#This Row],[Item]],supercb[Bairro],mercado11)</f>
        <v>0</v>
      </c>
      <c r="W214" s="64">
        <f>SUMIFS(super1[Qtde],super1[Item],tab_alimentos[[#This Row],[Item]],super1[Bairro],mercado12)+SUMIFS(supercb[Qtde],supercb[Item],tab_alimentos[[#This Row],[Item]],supercb[Bairro],mercado12)</f>
        <v>0</v>
      </c>
      <c r="X214" s="64">
        <f>SUMIFS(super1[Qtde],super1[Item],tab_alimentos[[#This Row],[Item]],super1[Bairro],mercado13)+SUMIFS(supercb[Qtde],supercb[Item],tab_alimentos[[#This Row],[Item]],supercb[Bairro],mercado13)</f>
        <v>0</v>
      </c>
      <c r="Y214" s="64">
        <f>SUMIFS(super1[Qtde],super1[Item],tab_alimentos[[#This Row],[Item]],super1[Bairro],mercado14)+SUMIFS(supercb[Qtde],supercb[Item],tab_alimentos[[#This Row],[Item]],supercb[Bairro],mercado14)</f>
        <v>0</v>
      </c>
      <c r="Z214" s="64">
        <f>SUMIFS(super1[Qtde],super1[Item],tab_alimentos[[#This Row],[Item]],super1[Bairro],mercado15)+SUMIFS(supercb[Qtde],supercb[Item],tab_alimentos[[#This Row],[Item]],supercb[Bairro],mercado15)</f>
        <v>0</v>
      </c>
      <c r="AA214" s="64">
        <f>SUMIFS(super1[Qtde],super1[Item],tab_alimentos[[#This Row],[Item]],super1[Bairro],mercado16)+SUMIFS(supercb[Qtde],supercb[Item],tab_alimentos[[#This Row],[Item]],supercb[Bairro],mercado16)</f>
        <v>0</v>
      </c>
      <c r="AB214" s="64">
        <f>SUMIFS(super1[Qtde],super1[Item],tab_alimentos[[#This Row],[Item]],super1[Bairro],mercado17)+SUMIFS(supercb[Qtde],supercb[Item],tab_alimentos[[#This Row],[Item]],supercb[Bairro],mercado17)</f>
        <v>0</v>
      </c>
      <c r="AC214" s="64">
        <f>SUMIFS(super1[Qtde],super1[Item],tab_alimentos[[#This Row],[Item]],super1[Bairro],mercado18)+SUMIFS(supercb[Qtde],supercb[Item],tab_alimentos[[#This Row],[Item]],supercb[Bairro],mercado18)</f>
        <v>0</v>
      </c>
      <c r="AD214" s="64">
        <f>SUMIFS(super1[Qtde],super1[Item],tab_alimentos[[#This Row],[Item]],super1[Bairro],extras)+SUMIFS(supercb[Qtde],supercb[Item],tab_alimentos[[#This Row],[Item]],supercb[Bairro],extras)</f>
        <v>0</v>
      </c>
      <c r="AE214" s="61">
        <f t="shared" si="82"/>
        <v>0</v>
      </c>
      <c r="AF214" s="61">
        <f t="shared" si="83"/>
        <v>0</v>
      </c>
      <c r="AG214" s="62">
        <f t="shared" si="84"/>
        <v>0</v>
      </c>
      <c r="AH214" s="15" t="str">
        <f>higiene[[#This Row],[Item]]</f>
        <v>U</v>
      </c>
      <c r="AI214" s="8">
        <f>IFERROR(higiene[[#This Row],[Kg equivalente]],0)</f>
        <v>0</v>
      </c>
      <c r="AJ214" s="8">
        <f>IFERROR(higiene[[#This Row],[Preço por produto]],0)</f>
        <v>0</v>
      </c>
      <c r="AK214" s="61">
        <f>SUMIFS(super1[Qtde],super1[Item],tab_higiene[[#This Row],[Item]],super1[Bairro],mercado1)+SUMIFS(supercb[Qtde],supercb[Item],tab_higiene[[#This Row],[Item]],supercb[Bairro],mercado1)</f>
        <v>0</v>
      </c>
      <c r="AL214" s="61">
        <f>SUMIFS(super1[Qtde],super1[Item],tab_higiene[[#This Row],[Item]],super1[Bairro],mercado2)+SUMIFS(supercb[Qtde],supercb[Item],tab_higiene[[#This Row],[Item]],supercb[Bairro],mercado2)</f>
        <v>0</v>
      </c>
      <c r="AM214" s="61">
        <f>SUMIFS(super1[Qtde],super1[Item],tab_higiene[[#This Row],[Item]],super1[Bairro],mercado3)+SUMIFS(supercb[Qtde],supercb[Item],tab_higiene[[#This Row],[Item]],supercb[Bairro],mercado3)</f>
        <v>0</v>
      </c>
      <c r="AN214" s="61">
        <f>SUMIFS(super1[Qtde],super1[Item],tab_higiene[[#This Row],[Item]],super1[Bairro],mercado4)+SUMIFS(supercb[Qtde],supercb[Item],tab_higiene[[#This Row],[Item]],supercb[Bairro],mercado4)</f>
        <v>0</v>
      </c>
      <c r="AO214" s="61">
        <f>SUMIFS(super1[Qtde],super1[Item],tab_higiene[[#This Row],[Item]],super1[Bairro],mercado5)+SUMIFS(supercb[Qtde],supercb[Item],tab_higiene[[#This Row],[Item]],supercb[Bairro],mercado5)</f>
        <v>0</v>
      </c>
      <c r="AP214" s="61">
        <f>SUMIFS(super1[Qtde],super1[Item],tab_higiene[[#This Row],[Item]],super1[Bairro],mercado6)+SUMIFS(supercb[Qtde],supercb[Item],tab_higiene[[#This Row],[Item]],supercb[Bairro],mercado6)</f>
        <v>0</v>
      </c>
      <c r="AQ214" s="61">
        <f>SUMIFS(super1[Qtde],super1[Item],tab_higiene[[#This Row],[Item]],super1[Bairro],mercado7)+SUMIFS(supercb[Qtde],supercb[Item],tab_higiene[[#This Row],[Item]],supercb[Bairro],mercado7)</f>
        <v>0</v>
      </c>
      <c r="AR214" s="61">
        <f>SUMIFS(super1[Qtde],super1[Item],tab_higiene[[#This Row],[Item]],super1[Bairro],mercado8)+SUMIFS(supercb[Qtde],supercb[Item],tab_higiene[[#This Row],[Item]],supercb[Bairro],mercado8)</f>
        <v>0</v>
      </c>
      <c r="AS214" s="61">
        <f>SUMIFS(super1[Qtde],super1[Item],tab_higiene[[#This Row],[Item]],super1[Bairro],mercado9)+SUMIFS(supercb[Qtde],supercb[Item],tab_higiene[[#This Row],[Item]],supercb[Bairro],mercado9)</f>
        <v>0</v>
      </c>
      <c r="AT214" s="61">
        <f>SUMIFS(super1[Qtde],super1[Item],tab_higiene[[#This Row],[Item]],super1[Bairro],mercado10)+SUMIFS(supercb[Qtde],supercb[Item],tab_higiene[[#This Row],[Item]],supercb[Bairro],mercado10)</f>
        <v>0</v>
      </c>
      <c r="AU214" s="61">
        <f>SUMIFS(super1[Qtde],super1[Item],tab_higiene[[#This Row],[Item]],super1[Bairro],mercado11)+SUMIFS(supercb[Qtde],supercb[Item],tab_higiene[[#This Row],[Item]],supercb[Bairro],mercado11)</f>
        <v>0</v>
      </c>
      <c r="AV214" s="61">
        <f>SUMIFS(super1[Qtde],super1[Item],tab_higiene[[#This Row],[Item]],super1[Bairro],mercado12)+SUMIFS(supercb[Qtde],supercb[Item],tab_higiene[[#This Row],[Item]],supercb[Bairro],mercado12)</f>
        <v>0</v>
      </c>
      <c r="AW214" s="61">
        <f>SUMIFS(super1[Qtde],super1[Item],tab_higiene[[#This Row],[Item]],super1[Bairro],mercado13)+SUMIFS(supercb[Qtde],supercb[Item],tab_higiene[[#This Row],[Item]],supercb[Bairro],mercado13)</f>
        <v>0</v>
      </c>
      <c r="AX214" s="61">
        <f>SUMIFS(super1[Qtde],super1[Item],tab_higiene[[#This Row],[Item]],super1[Bairro],mercado14)+SUMIFS(supercb[Qtde],supercb[Item],tab_higiene[[#This Row],[Item]],supercb[Bairro],mercado14)</f>
        <v>0</v>
      </c>
      <c r="AY214" s="61">
        <f>SUMIFS(super1[Qtde],super1[Item],tab_higiene[[#This Row],[Item]],super1[Bairro],mercado15)+SUMIFS(supercb[Qtde],supercb[Item],tab_higiene[[#This Row],[Item]],supercb[Bairro],mercado15)</f>
        <v>0</v>
      </c>
      <c r="AZ214" s="61">
        <f>SUMIFS(super1[Qtde],super1[Item],tab_higiene[[#This Row],[Item]],super1[Bairro],mercado16)+SUMIFS(supercb[Qtde],supercb[Item],tab_higiene[[#This Row],[Item]],supercb[Bairro],mercado16)</f>
        <v>0</v>
      </c>
      <c r="BA214" s="61">
        <f>SUMIFS(super1[Qtde],super1[Item],tab_higiene[[#This Row],[Item]],super1[Bairro],mercado17)+SUMIFS(supercb[Qtde],supercb[Item],tab_higiene[[#This Row],[Item]],supercb[Bairro],mercado17)</f>
        <v>0</v>
      </c>
      <c r="BB214" s="61">
        <f>SUMIFS(super1[Qtde],super1[Item],tab_higiene[[#This Row],[Item]],super1[Bairro],mercado18)+SUMIFS(supercb[Qtde],supercb[Item],tab_higiene[[#This Row],[Item]],supercb[Bairro],mercado18)</f>
        <v>0</v>
      </c>
      <c r="BC214" s="51">
        <f>SUMIFS(super1[Qtde],super1[Item],tab_higiene[[#This Row],[Item]],super1[Bairro],extras)+SUMIFS(supercb[Qtde],supercb[Item],tab_higiene[[#This Row],[Item]],supercb[Bairro],extras)</f>
        <v>0</v>
      </c>
      <c r="BD214" s="8">
        <f t="shared" si="76"/>
        <v>0</v>
      </c>
      <c r="BE214" s="8">
        <f t="shared" si="77"/>
        <v>0</v>
      </c>
      <c r="BF214" s="23">
        <f t="shared" si="78"/>
        <v>0</v>
      </c>
    </row>
    <row r="215" spans="9:58" ht="15.75" thickBot="1" x14ac:dyDescent="0.3">
      <c r="I215" s="65" t="str">
        <f>alimentos[[#This Row],[Item]]</f>
        <v>Pão de Mel (240g)</v>
      </c>
      <c r="J215" s="61">
        <f>IFERROR(alimentos[[#This Row],[kg/embalagem]],0)</f>
        <v>0.24</v>
      </c>
      <c r="K215" s="64">
        <f>IFERROR(alimentos[[#This Row],[Preço]],0)</f>
        <v>7.99</v>
      </c>
      <c r="L215" s="64">
        <f>SUMIFS(super1[Qtde],super1[Item],tab_alimentos[[#This Row],[Item]],super1[Bairro],mercado1)+SUMIFS(supercb[Qtde],supercb[Item],tab_alimentos[[#This Row],[Item]],supercb[Bairro],mercado1)</f>
        <v>0</v>
      </c>
      <c r="M215" s="64">
        <f>SUMIFS(super1[Qtde],super1[Item],tab_alimentos[[#This Row],[Item]],super1[Bairro],mercado2)+SUMIFS(supercb[Qtde],supercb[Item],tab_alimentos[[#This Row],[Item]],supercb[Bairro],mercado2)</f>
        <v>0</v>
      </c>
      <c r="N215" s="61">
        <f>SUMIFS(super1[Qtde],super1[Item],tab_alimentos[[#This Row],[Item]],super1[Bairro],mercado3)+SUMIFS(supercb[Qtde],supercb[Item],tab_alimentos[[#This Row],[Item]],supercb[Bairro],mercado3)</f>
        <v>0</v>
      </c>
      <c r="O215" s="64">
        <f>SUMIFS(super1[Qtde],super1[Item],tab_alimentos[[#This Row],[Item]],super1[Bairro],mercado4)+SUMIFS(supercb[Qtde],supercb[Item],tab_alimentos[[#This Row],[Item]],supercb[Bairro],mercado4)</f>
        <v>0</v>
      </c>
      <c r="P215" s="64">
        <f>SUMIFS(super1[Qtde],super1[Item],tab_alimentos[[#This Row],[Item]],super1[Bairro],mercado5)+SUMIFS(supercb[Qtde],supercb[Item],tab_alimentos[[#This Row],[Item]],supercb[Bairro],mercado5)</f>
        <v>0</v>
      </c>
      <c r="Q215" s="64">
        <f>SUMIFS(super1[Qtde],super1[Item],tab_alimentos[[#This Row],[Item]],super1[Bairro],mercado6)+SUMIFS(supercb[Qtde],supercb[Item],tab_alimentos[[#This Row],[Item]],supercb[Bairro],mercado6)</f>
        <v>0</v>
      </c>
      <c r="R215" s="64">
        <f>SUMIFS(super1[Qtde],super1[Item],tab_alimentos[[#This Row],[Item]],super1[Bairro],mercado7)+SUMIFS(supercb[Qtde],supercb[Item],tab_alimentos[[#This Row],[Item]],supercb[Bairro],mercado7)</f>
        <v>0</v>
      </c>
      <c r="S215" s="64">
        <f>SUMIFS(super1[Qtde],super1[Item],tab_alimentos[[#This Row],[Item]],super1[Bairro],mercado8)+SUMIFS(supercb[Qtde],supercb[Item],tab_alimentos[[#This Row],[Item]],supercb[Bairro],mercado8)</f>
        <v>0</v>
      </c>
      <c r="T215" s="64">
        <f>SUMIFS(super1[Qtde],super1[Item],tab_alimentos[[#This Row],[Item]],super1[Bairro],mercado9)+SUMIFS(supercb[Qtde],supercb[Item],tab_alimentos[[#This Row],[Item]],supercb[Bairro],mercado9)</f>
        <v>0</v>
      </c>
      <c r="U215" s="64">
        <f>SUMIFS(super1[Qtde],super1[Item],tab_alimentos[[#This Row],[Item]],super1[Bairro],mercado10)+SUMIFS(supercb[Qtde],supercb[Item],tab_alimentos[[#This Row],[Item]],supercb[Bairro],mercado10)</f>
        <v>0</v>
      </c>
      <c r="V215" s="64">
        <f>SUMIFS(super1[Qtde],super1[Item],tab_alimentos[[#This Row],[Item]],super1[Bairro],mercado11)+SUMIFS(supercb[Qtde],supercb[Item],tab_alimentos[[#This Row],[Item]],supercb[Bairro],mercado11)</f>
        <v>0</v>
      </c>
      <c r="W215" s="64">
        <f>SUMIFS(super1[Qtde],super1[Item],tab_alimentos[[#This Row],[Item]],super1[Bairro],mercado12)+SUMIFS(supercb[Qtde],supercb[Item],tab_alimentos[[#This Row],[Item]],supercb[Bairro],mercado12)</f>
        <v>0</v>
      </c>
      <c r="X215" s="64">
        <f>SUMIFS(super1[Qtde],super1[Item],tab_alimentos[[#This Row],[Item]],super1[Bairro],mercado13)+SUMIFS(supercb[Qtde],supercb[Item],tab_alimentos[[#This Row],[Item]],supercb[Bairro],mercado13)</f>
        <v>0</v>
      </c>
      <c r="Y215" s="64">
        <f>SUMIFS(super1[Qtde],super1[Item],tab_alimentos[[#This Row],[Item]],super1[Bairro],mercado14)+SUMIFS(supercb[Qtde],supercb[Item],tab_alimentos[[#This Row],[Item]],supercb[Bairro],mercado14)</f>
        <v>0</v>
      </c>
      <c r="Z215" s="64">
        <f>SUMIFS(super1[Qtde],super1[Item],tab_alimentos[[#This Row],[Item]],super1[Bairro],mercado15)+SUMIFS(supercb[Qtde],supercb[Item],tab_alimentos[[#This Row],[Item]],supercb[Bairro],mercado15)</f>
        <v>0</v>
      </c>
      <c r="AA215" s="64">
        <f>SUMIFS(super1[Qtde],super1[Item],tab_alimentos[[#This Row],[Item]],super1[Bairro],mercado16)+SUMIFS(supercb[Qtde],supercb[Item],tab_alimentos[[#This Row],[Item]],supercb[Bairro],mercado16)</f>
        <v>0</v>
      </c>
      <c r="AB215" s="64">
        <f>SUMIFS(super1[Qtde],super1[Item],tab_alimentos[[#This Row],[Item]],super1[Bairro],mercado17)+SUMIFS(supercb[Qtde],supercb[Item],tab_alimentos[[#This Row],[Item]],supercb[Bairro],mercado17)</f>
        <v>0</v>
      </c>
      <c r="AC215" s="64">
        <f>SUMIFS(super1[Qtde],super1[Item],tab_alimentos[[#This Row],[Item]],super1[Bairro],mercado18)+SUMIFS(supercb[Qtde],supercb[Item],tab_alimentos[[#This Row],[Item]],supercb[Bairro],mercado18)</f>
        <v>0</v>
      </c>
      <c r="AD215" s="64">
        <f>SUMIFS(super1[Qtde],super1[Item],tab_alimentos[[#This Row],[Item]],super1[Bairro],extras)+SUMIFS(supercb[Qtde],supercb[Item],tab_alimentos[[#This Row],[Item]],supercb[Bairro],extras)</f>
        <v>0</v>
      </c>
      <c r="AE215" s="61">
        <f t="shared" si="82"/>
        <v>0</v>
      </c>
      <c r="AF215" s="61">
        <f t="shared" si="83"/>
        <v>0</v>
      </c>
      <c r="AG215" s="62">
        <f t="shared" si="84"/>
        <v>0</v>
      </c>
      <c r="AH215" s="15" t="str">
        <f>higiene[[#This Row],[Item]]</f>
        <v>V</v>
      </c>
      <c r="AI215" s="8">
        <f>IFERROR(higiene[[#This Row],[Kg equivalente]],0)</f>
        <v>0</v>
      </c>
      <c r="AJ215" s="8">
        <f>IFERROR(higiene[[#This Row],[Preço por produto]],0)</f>
        <v>0</v>
      </c>
      <c r="AK215" s="61">
        <f>SUMIFS(super1[Qtde],super1[Item],tab_higiene[[#This Row],[Item]],super1[Bairro],mercado1)+SUMIFS(supercb[Qtde],supercb[Item],tab_higiene[[#This Row],[Item]],supercb[Bairro],mercado1)</f>
        <v>0</v>
      </c>
      <c r="AL215" s="61">
        <f>SUMIFS(super1[Qtde],super1[Item],tab_higiene[[#This Row],[Item]],super1[Bairro],mercado2)+SUMIFS(supercb[Qtde],supercb[Item],tab_higiene[[#This Row],[Item]],supercb[Bairro],mercado2)</f>
        <v>0</v>
      </c>
      <c r="AM215" s="61">
        <f>SUMIFS(super1[Qtde],super1[Item],tab_higiene[[#This Row],[Item]],super1[Bairro],mercado3)+SUMIFS(supercb[Qtde],supercb[Item],tab_higiene[[#This Row],[Item]],supercb[Bairro],mercado3)</f>
        <v>0</v>
      </c>
      <c r="AN215" s="61">
        <f>SUMIFS(super1[Qtde],super1[Item],tab_higiene[[#This Row],[Item]],super1[Bairro],mercado4)+SUMIFS(supercb[Qtde],supercb[Item],tab_higiene[[#This Row],[Item]],supercb[Bairro],mercado4)</f>
        <v>0</v>
      </c>
      <c r="AO215" s="61">
        <f>SUMIFS(super1[Qtde],super1[Item],tab_higiene[[#This Row],[Item]],super1[Bairro],mercado5)+SUMIFS(supercb[Qtde],supercb[Item],tab_higiene[[#This Row],[Item]],supercb[Bairro],mercado5)</f>
        <v>0</v>
      </c>
      <c r="AP215" s="61">
        <f>SUMIFS(super1[Qtde],super1[Item],tab_higiene[[#This Row],[Item]],super1[Bairro],mercado6)+SUMIFS(supercb[Qtde],supercb[Item],tab_higiene[[#This Row],[Item]],supercb[Bairro],mercado6)</f>
        <v>0</v>
      </c>
      <c r="AQ215" s="61">
        <f>SUMIFS(super1[Qtde],super1[Item],tab_higiene[[#This Row],[Item]],super1[Bairro],mercado7)+SUMIFS(supercb[Qtde],supercb[Item],tab_higiene[[#This Row],[Item]],supercb[Bairro],mercado7)</f>
        <v>0</v>
      </c>
      <c r="AR215" s="61">
        <f>SUMIFS(super1[Qtde],super1[Item],tab_higiene[[#This Row],[Item]],super1[Bairro],mercado8)+SUMIFS(supercb[Qtde],supercb[Item],tab_higiene[[#This Row],[Item]],supercb[Bairro],mercado8)</f>
        <v>0</v>
      </c>
      <c r="AS215" s="61">
        <f>SUMIFS(super1[Qtde],super1[Item],tab_higiene[[#This Row],[Item]],super1[Bairro],mercado9)+SUMIFS(supercb[Qtde],supercb[Item],tab_higiene[[#This Row],[Item]],supercb[Bairro],mercado9)</f>
        <v>0</v>
      </c>
      <c r="AT215" s="61">
        <f>SUMIFS(super1[Qtde],super1[Item],tab_higiene[[#This Row],[Item]],super1[Bairro],mercado10)+SUMIFS(supercb[Qtde],supercb[Item],tab_higiene[[#This Row],[Item]],supercb[Bairro],mercado10)</f>
        <v>0</v>
      </c>
      <c r="AU215" s="61">
        <f>SUMIFS(super1[Qtde],super1[Item],tab_higiene[[#This Row],[Item]],super1[Bairro],mercado11)+SUMIFS(supercb[Qtde],supercb[Item],tab_higiene[[#This Row],[Item]],supercb[Bairro],mercado11)</f>
        <v>0</v>
      </c>
      <c r="AV215" s="61">
        <f>SUMIFS(super1[Qtde],super1[Item],tab_higiene[[#This Row],[Item]],super1[Bairro],mercado12)+SUMIFS(supercb[Qtde],supercb[Item],tab_higiene[[#This Row],[Item]],supercb[Bairro],mercado12)</f>
        <v>0</v>
      </c>
      <c r="AW215" s="61">
        <f>SUMIFS(super1[Qtde],super1[Item],tab_higiene[[#This Row],[Item]],super1[Bairro],mercado13)+SUMIFS(supercb[Qtde],supercb[Item],tab_higiene[[#This Row],[Item]],supercb[Bairro],mercado13)</f>
        <v>0</v>
      </c>
      <c r="AX215" s="61">
        <f>SUMIFS(super1[Qtde],super1[Item],tab_higiene[[#This Row],[Item]],super1[Bairro],mercado14)+SUMIFS(supercb[Qtde],supercb[Item],tab_higiene[[#This Row],[Item]],supercb[Bairro],mercado14)</f>
        <v>0</v>
      </c>
      <c r="AY215" s="61">
        <f>SUMIFS(super1[Qtde],super1[Item],tab_higiene[[#This Row],[Item]],super1[Bairro],mercado15)+SUMIFS(supercb[Qtde],supercb[Item],tab_higiene[[#This Row],[Item]],supercb[Bairro],mercado15)</f>
        <v>0</v>
      </c>
      <c r="AZ215" s="61">
        <f>SUMIFS(super1[Qtde],super1[Item],tab_higiene[[#This Row],[Item]],super1[Bairro],mercado16)+SUMIFS(supercb[Qtde],supercb[Item],tab_higiene[[#This Row],[Item]],supercb[Bairro],mercado16)</f>
        <v>0</v>
      </c>
      <c r="BA215" s="61">
        <f>SUMIFS(super1[Qtde],super1[Item],tab_higiene[[#This Row],[Item]],super1[Bairro],mercado17)+SUMIFS(supercb[Qtde],supercb[Item],tab_higiene[[#This Row],[Item]],supercb[Bairro],mercado17)</f>
        <v>0</v>
      </c>
      <c r="BB215" s="61">
        <f>SUMIFS(super1[Qtde],super1[Item],tab_higiene[[#This Row],[Item]],super1[Bairro],mercado18)+SUMIFS(supercb[Qtde],supercb[Item],tab_higiene[[#This Row],[Item]],supercb[Bairro],mercado18)</f>
        <v>0</v>
      </c>
      <c r="BC215" s="51">
        <f>SUMIFS(super1[Qtde],super1[Item],tab_higiene[[#This Row],[Item]],super1[Bairro],extras)+SUMIFS(supercb[Qtde],supercb[Item],tab_higiene[[#This Row],[Item]],supercb[Bairro],extras)</f>
        <v>0</v>
      </c>
      <c r="BD215" s="8">
        <f t="shared" si="76"/>
        <v>0</v>
      </c>
      <c r="BE215" s="8">
        <f t="shared" si="77"/>
        <v>0</v>
      </c>
      <c r="BF215" s="23">
        <f t="shared" si="78"/>
        <v>0</v>
      </c>
    </row>
    <row r="216" spans="9:58" ht="15.75" thickBot="1" x14ac:dyDescent="0.3">
      <c r="I216" s="65" t="str">
        <f>alimentos[[#This Row],[Item]]</f>
        <v>Pão de Mel (300g)</v>
      </c>
      <c r="J216" s="61">
        <f>IFERROR(alimentos[[#This Row],[kg/embalagem]],0)</f>
        <v>0.3</v>
      </c>
      <c r="K216" s="64">
        <f>IFERROR(alimentos[[#This Row],[Preço]],0)</f>
        <v>7.56</v>
      </c>
      <c r="L216" s="64">
        <f>SUMIFS(super1[Qtde],super1[Item],tab_alimentos[[#This Row],[Item]],super1[Bairro],mercado1)+SUMIFS(supercb[Qtde],supercb[Item],tab_alimentos[[#This Row],[Item]],supercb[Bairro],mercado1)</f>
        <v>0</v>
      </c>
      <c r="M216" s="64">
        <f>SUMIFS(super1[Qtde],super1[Item],tab_alimentos[[#This Row],[Item]],super1[Bairro],mercado2)+SUMIFS(supercb[Qtde],supercb[Item],tab_alimentos[[#This Row],[Item]],supercb[Bairro],mercado2)</f>
        <v>0</v>
      </c>
      <c r="N216" s="61">
        <f>SUMIFS(super1[Qtde],super1[Item],tab_alimentos[[#This Row],[Item]],super1[Bairro],mercado3)+SUMIFS(supercb[Qtde],supercb[Item],tab_alimentos[[#This Row],[Item]],supercb[Bairro],mercado3)</f>
        <v>0</v>
      </c>
      <c r="O216" s="64">
        <f>SUMIFS(super1[Qtde],super1[Item],tab_alimentos[[#This Row],[Item]],super1[Bairro],mercado4)+SUMIFS(supercb[Qtde],supercb[Item],tab_alimentos[[#This Row],[Item]],supercb[Bairro],mercado4)</f>
        <v>0</v>
      </c>
      <c r="P216" s="64">
        <f>SUMIFS(super1[Qtde],super1[Item],tab_alimentos[[#This Row],[Item]],super1[Bairro],mercado5)+SUMIFS(supercb[Qtde],supercb[Item],tab_alimentos[[#This Row],[Item]],supercb[Bairro],mercado5)</f>
        <v>0</v>
      </c>
      <c r="Q216" s="64">
        <f>SUMIFS(super1[Qtde],super1[Item],tab_alimentos[[#This Row],[Item]],super1[Bairro],mercado6)+SUMIFS(supercb[Qtde],supercb[Item],tab_alimentos[[#This Row],[Item]],supercb[Bairro],mercado6)</f>
        <v>0</v>
      </c>
      <c r="R216" s="64">
        <f>SUMIFS(super1[Qtde],super1[Item],tab_alimentos[[#This Row],[Item]],super1[Bairro],mercado7)+SUMIFS(supercb[Qtde],supercb[Item],tab_alimentos[[#This Row],[Item]],supercb[Bairro],mercado7)</f>
        <v>1</v>
      </c>
      <c r="S216" s="64">
        <f>SUMIFS(super1[Qtde],super1[Item],tab_alimentos[[#This Row],[Item]],super1[Bairro],mercado8)+SUMIFS(supercb[Qtde],supercb[Item],tab_alimentos[[#This Row],[Item]],supercb[Bairro],mercado8)</f>
        <v>0</v>
      </c>
      <c r="T216" s="64">
        <f>SUMIFS(super1[Qtde],super1[Item],tab_alimentos[[#This Row],[Item]],super1[Bairro],mercado9)+SUMIFS(supercb[Qtde],supercb[Item],tab_alimentos[[#This Row],[Item]],supercb[Bairro],mercado9)</f>
        <v>0</v>
      </c>
      <c r="U216" s="64">
        <f>SUMIFS(super1[Qtde],super1[Item],tab_alimentos[[#This Row],[Item]],super1[Bairro],mercado10)+SUMIFS(supercb[Qtde],supercb[Item],tab_alimentos[[#This Row],[Item]],supercb[Bairro],mercado10)</f>
        <v>0</v>
      </c>
      <c r="V216" s="64">
        <f>SUMIFS(super1[Qtde],super1[Item],tab_alimentos[[#This Row],[Item]],super1[Bairro],mercado11)+SUMIFS(supercb[Qtde],supercb[Item],tab_alimentos[[#This Row],[Item]],supercb[Bairro],mercado11)</f>
        <v>0</v>
      </c>
      <c r="W216" s="64">
        <f>SUMIFS(super1[Qtde],super1[Item],tab_alimentos[[#This Row],[Item]],super1[Bairro],mercado12)+SUMIFS(supercb[Qtde],supercb[Item],tab_alimentos[[#This Row],[Item]],supercb[Bairro],mercado12)</f>
        <v>0</v>
      </c>
      <c r="X216" s="64">
        <f>SUMIFS(super1[Qtde],super1[Item],tab_alimentos[[#This Row],[Item]],super1[Bairro],mercado13)+SUMIFS(supercb[Qtde],supercb[Item],tab_alimentos[[#This Row],[Item]],supercb[Bairro],mercado13)</f>
        <v>0</v>
      </c>
      <c r="Y216" s="64">
        <f>SUMIFS(super1[Qtde],super1[Item],tab_alimentos[[#This Row],[Item]],super1[Bairro],mercado14)+SUMIFS(supercb[Qtde],supercb[Item],tab_alimentos[[#This Row],[Item]],supercb[Bairro],mercado14)</f>
        <v>0</v>
      </c>
      <c r="Z216" s="64">
        <f>SUMIFS(super1[Qtde],super1[Item],tab_alimentos[[#This Row],[Item]],super1[Bairro],mercado15)+SUMIFS(supercb[Qtde],supercb[Item],tab_alimentos[[#This Row],[Item]],supercb[Bairro],mercado15)</f>
        <v>0</v>
      </c>
      <c r="AA216" s="64">
        <f>SUMIFS(super1[Qtde],super1[Item],tab_alimentos[[#This Row],[Item]],super1[Bairro],mercado16)+SUMIFS(supercb[Qtde],supercb[Item],tab_alimentos[[#This Row],[Item]],supercb[Bairro],mercado16)</f>
        <v>0</v>
      </c>
      <c r="AB216" s="64">
        <f>SUMIFS(super1[Qtde],super1[Item],tab_alimentos[[#This Row],[Item]],super1[Bairro],mercado17)+SUMIFS(supercb[Qtde],supercb[Item],tab_alimentos[[#This Row],[Item]],supercb[Bairro],mercado17)</f>
        <v>0</v>
      </c>
      <c r="AC216" s="64">
        <f>SUMIFS(super1[Qtde],super1[Item],tab_alimentos[[#This Row],[Item]],super1[Bairro],mercado18)+SUMIFS(supercb[Qtde],supercb[Item],tab_alimentos[[#This Row],[Item]],supercb[Bairro],mercado18)</f>
        <v>0</v>
      </c>
      <c r="AD216" s="64">
        <f>SUMIFS(super1[Qtde],super1[Item],tab_alimentos[[#This Row],[Item]],super1[Bairro],extras)+SUMIFS(supercb[Qtde],supercb[Item],tab_alimentos[[#This Row],[Item]],supercb[Bairro],extras)</f>
        <v>0</v>
      </c>
      <c r="AE216" s="61">
        <f t="shared" si="82"/>
        <v>1</v>
      </c>
      <c r="AF216" s="61">
        <f t="shared" si="83"/>
        <v>7.56</v>
      </c>
      <c r="AG216" s="62">
        <f t="shared" si="84"/>
        <v>0.3</v>
      </c>
      <c r="AH216" s="15" t="str">
        <f>higiene[[#This Row],[Item]]</f>
        <v>W</v>
      </c>
      <c r="AI216" s="8">
        <f>IFERROR(higiene[[#This Row],[Kg equivalente]],0)</f>
        <v>0</v>
      </c>
      <c r="AJ216" s="8">
        <f>IFERROR(higiene[[#This Row],[Preço por produto]],0)</f>
        <v>0</v>
      </c>
      <c r="AK216" s="61">
        <f>SUMIFS(super1[Qtde],super1[Item],tab_higiene[[#This Row],[Item]],super1[Bairro],mercado1)+SUMIFS(supercb[Qtde],supercb[Item],tab_higiene[[#This Row],[Item]],supercb[Bairro],mercado1)</f>
        <v>0</v>
      </c>
      <c r="AL216" s="61">
        <f>SUMIFS(super1[Qtde],super1[Item],tab_higiene[[#This Row],[Item]],super1[Bairro],mercado2)+SUMIFS(supercb[Qtde],supercb[Item],tab_higiene[[#This Row],[Item]],supercb[Bairro],mercado2)</f>
        <v>0</v>
      </c>
      <c r="AM216" s="61">
        <f>SUMIFS(super1[Qtde],super1[Item],tab_higiene[[#This Row],[Item]],super1[Bairro],mercado3)+SUMIFS(supercb[Qtde],supercb[Item],tab_higiene[[#This Row],[Item]],supercb[Bairro],mercado3)</f>
        <v>0</v>
      </c>
      <c r="AN216" s="61">
        <f>SUMIFS(super1[Qtde],super1[Item],tab_higiene[[#This Row],[Item]],super1[Bairro],mercado4)+SUMIFS(supercb[Qtde],supercb[Item],tab_higiene[[#This Row],[Item]],supercb[Bairro],mercado4)</f>
        <v>0</v>
      </c>
      <c r="AO216" s="61">
        <f>SUMIFS(super1[Qtde],super1[Item],tab_higiene[[#This Row],[Item]],super1[Bairro],mercado5)+SUMIFS(supercb[Qtde],supercb[Item],tab_higiene[[#This Row],[Item]],supercb[Bairro],mercado5)</f>
        <v>0</v>
      </c>
      <c r="AP216" s="61">
        <f>SUMIFS(super1[Qtde],super1[Item],tab_higiene[[#This Row],[Item]],super1[Bairro],mercado6)+SUMIFS(supercb[Qtde],supercb[Item],tab_higiene[[#This Row],[Item]],supercb[Bairro],mercado6)</f>
        <v>0</v>
      </c>
      <c r="AQ216" s="61">
        <f>SUMIFS(super1[Qtde],super1[Item],tab_higiene[[#This Row],[Item]],super1[Bairro],mercado7)+SUMIFS(supercb[Qtde],supercb[Item],tab_higiene[[#This Row],[Item]],supercb[Bairro],mercado7)</f>
        <v>0</v>
      </c>
      <c r="AR216" s="61">
        <f>SUMIFS(super1[Qtde],super1[Item],tab_higiene[[#This Row],[Item]],super1[Bairro],mercado8)+SUMIFS(supercb[Qtde],supercb[Item],tab_higiene[[#This Row],[Item]],supercb[Bairro],mercado8)</f>
        <v>0</v>
      </c>
      <c r="AS216" s="61">
        <f>SUMIFS(super1[Qtde],super1[Item],tab_higiene[[#This Row],[Item]],super1[Bairro],mercado9)+SUMIFS(supercb[Qtde],supercb[Item],tab_higiene[[#This Row],[Item]],supercb[Bairro],mercado9)</f>
        <v>0</v>
      </c>
      <c r="AT216" s="61">
        <f>SUMIFS(super1[Qtde],super1[Item],tab_higiene[[#This Row],[Item]],super1[Bairro],mercado10)+SUMIFS(supercb[Qtde],supercb[Item],tab_higiene[[#This Row],[Item]],supercb[Bairro],mercado10)</f>
        <v>0</v>
      </c>
      <c r="AU216" s="61">
        <f>SUMIFS(super1[Qtde],super1[Item],tab_higiene[[#This Row],[Item]],super1[Bairro],mercado11)+SUMIFS(supercb[Qtde],supercb[Item],tab_higiene[[#This Row],[Item]],supercb[Bairro],mercado11)</f>
        <v>0</v>
      </c>
      <c r="AV216" s="61">
        <f>SUMIFS(super1[Qtde],super1[Item],tab_higiene[[#This Row],[Item]],super1[Bairro],mercado12)+SUMIFS(supercb[Qtde],supercb[Item],tab_higiene[[#This Row],[Item]],supercb[Bairro],mercado12)</f>
        <v>0</v>
      </c>
      <c r="AW216" s="61">
        <f>SUMIFS(super1[Qtde],super1[Item],tab_higiene[[#This Row],[Item]],super1[Bairro],mercado13)+SUMIFS(supercb[Qtde],supercb[Item],tab_higiene[[#This Row],[Item]],supercb[Bairro],mercado13)</f>
        <v>0</v>
      </c>
      <c r="AX216" s="61">
        <f>SUMIFS(super1[Qtde],super1[Item],tab_higiene[[#This Row],[Item]],super1[Bairro],mercado14)+SUMIFS(supercb[Qtde],supercb[Item],tab_higiene[[#This Row],[Item]],supercb[Bairro],mercado14)</f>
        <v>0</v>
      </c>
      <c r="AY216" s="61">
        <f>SUMIFS(super1[Qtde],super1[Item],tab_higiene[[#This Row],[Item]],super1[Bairro],mercado15)+SUMIFS(supercb[Qtde],supercb[Item],tab_higiene[[#This Row],[Item]],supercb[Bairro],mercado15)</f>
        <v>0</v>
      </c>
      <c r="AZ216" s="61">
        <f>SUMIFS(super1[Qtde],super1[Item],tab_higiene[[#This Row],[Item]],super1[Bairro],mercado16)+SUMIFS(supercb[Qtde],supercb[Item],tab_higiene[[#This Row],[Item]],supercb[Bairro],mercado16)</f>
        <v>0</v>
      </c>
      <c r="BA216" s="61">
        <f>SUMIFS(super1[Qtde],super1[Item],tab_higiene[[#This Row],[Item]],super1[Bairro],mercado17)+SUMIFS(supercb[Qtde],supercb[Item],tab_higiene[[#This Row],[Item]],supercb[Bairro],mercado17)</f>
        <v>0</v>
      </c>
      <c r="BB216" s="61">
        <f>SUMIFS(super1[Qtde],super1[Item],tab_higiene[[#This Row],[Item]],super1[Bairro],mercado18)+SUMIFS(supercb[Qtde],supercb[Item],tab_higiene[[#This Row],[Item]],supercb[Bairro],mercado18)</f>
        <v>0</v>
      </c>
      <c r="BC216" s="51">
        <f>SUMIFS(super1[Qtde],super1[Item],tab_higiene[[#This Row],[Item]],super1[Bairro],extras)+SUMIFS(supercb[Qtde],supercb[Item],tab_higiene[[#This Row],[Item]],supercb[Bairro],extras)</f>
        <v>0</v>
      </c>
      <c r="BD216" s="8">
        <f t="shared" ref="BD216:BD279" si="85">SUM(AK216:BB216)</f>
        <v>0</v>
      </c>
      <c r="BE216" s="8">
        <f t="shared" ref="BE216:BE279" si="86">IFERROR(BD216*AJ216,0)</f>
        <v>0</v>
      </c>
      <c r="BF216" s="23">
        <f t="shared" ref="BF216:BF279" si="87">IFERROR(AI216*BD216,0)</f>
        <v>0</v>
      </c>
    </row>
    <row r="217" spans="9:58" ht="15.75" thickBot="1" x14ac:dyDescent="0.3">
      <c r="I217" s="65" t="str">
        <f>alimentos[[#This Row],[Item]]</f>
        <v>Pão de Mel (500g)</v>
      </c>
      <c r="J217" s="61">
        <f>IFERROR(alimentos[[#This Row],[kg/embalagem]],0)</f>
        <v>0.5</v>
      </c>
      <c r="K217" s="64">
        <f>IFERROR(alimentos[[#This Row],[Preço]],0)</f>
        <v>5.49</v>
      </c>
      <c r="L217" s="64">
        <f>SUMIFS(super1[Qtde],super1[Item],tab_alimentos[[#This Row],[Item]],super1[Bairro],mercado1)+SUMIFS(supercb[Qtde],supercb[Item],tab_alimentos[[#This Row],[Item]],supercb[Bairro],mercado1)</f>
        <v>0</v>
      </c>
      <c r="M217" s="64">
        <f>SUMIFS(super1[Qtde],super1[Item],tab_alimentos[[#This Row],[Item]],super1[Bairro],mercado2)+SUMIFS(supercb[Qtde],supercb[Item],tab_alimentos[[#This Row],[Item]],supercb[Bairro],mercado2)</f>
        <v>0</v>
      </c>
      <c r="N217" s="61">
        <f>SUMIFS(super1[Qtde],super1[Item],tab_alimentos[[#This Row],[Item]],super1[Bairro],mercado3)+SUMIFS(supercb[Qtde],supercb[Item],tab_alimentos[[#This Row],[Item]],supercb[Bairro],mercado3)</f>
        <v>0</v>
      </c>
      <c r="O217" s="64">
        <f>SUMIFS(super1[Qtde],super1[Item],tab_alimentos[[#This Row],[Item]],super1[Bairro],mercado4)+SUMIFS(supercb[Qtde],supercb[Item],tab_alimentos[[#This Row],[Item]],supercb[Bairro],mercado4)</f>
        <v>0</v>
      </c>
      <c r="P217" s="64">
        <f>SUMIFS(super1[Qtde],super1[Item],tab_alimentos[[#This Row],[Item]],super1[Bairro],mercado5)+SUMIFS(supercb[Qtde],supercb[Item],tab_alimentos[[#This Row],[Item]],supercb[Bairro],mercado5)</f>
        <v>0</v>
      </c>
      <c r="Q217" s="64">
        <f>SUMIFS(super1[Qtde],super1[Item],tab_alimentos[[#This Row],[Item]],super1[Bairro],mercado6)+SUMIFS(supercb[Qtde],supercb[Item],tab_alimentos[[#This Row],[Item]],supercb[Bairro],mercado6)</f>
        <v>0</v>
      </c>
      <c r="R217" s="64">
        <f>SUMIFS(super1[Qtde],super1[Item],tab_alimentos[[#This Row],[Item]],super1[Bairro],mercado7)+SUMIFS(supercb[Qtde],supercb[Item],tab_alimentos[[#This Row],[Item]],supercb[Bairro],mercado7)</f>
        <v>0</v>
      </c>
      <c r="S217" s="64">
        <f>SUMIFS(super1[Qtde],super1[Item],tab_alimentos[[#This Row],[Item]],super1[Bairro],mercado8)+SUMIFS(supercb[Qtde],supercb[Item],tab_alimentos[[#This Row],[Item]],supercb[Bairro],mercado8)</f>
        <v>0</v>
      </c>
      <c r="T217" s="64">
        <f>SUMIFS(super1[Qtde],super1[Item],tab_alimentos[[#This Row],[Item]],super1[Bairro],mercado9)+SUMIFS(supercb[Qtde],supercb[Item],tab_alimentos[[#This Row],[Item]],supercb[Bairro],mercado9)</f>
        <v>0</v>
      </c>
      <c r="U217" s="64">
        <f>SUMIFS(super1[Qtde],super1[Item],tab_alimentos[[#This Row],[Item]],super1[Bairro],mercado10)+SUMIFS(supercb[Qtde],supercb[Item],tab_alimentos[[#This Row],[Item]],supercb[Bairro],mercado10)</f>
        <v>0</v>
      </c>
      <c r="V217" s="64">
        <f>SUMIFS(super1[Qtde],super1[Item],tab_alimentos[[#This Row],[Item]],super1[Bairro],mercado11)+SUMIFS(supercb[Qtde],supercb[Item],tab_alimentos[[#This Row],[Item]],supercb[Bairro],mercado11)</f>
        <v>0</v>
      </c>
      <c r="W217" s="64">
        <f>SUMIFS(super1[Qtde],super1[Item],tab_alimentos[[#This Row],[Item]],super1[Bairro],mercado12)+SUMIFS(supercb[Qtde],supercb[Item],tab_alimentos[[#This Row],[Item]],supercb[Bairro],mercado12)</f>
        <v>0</v>
      </c>
      <c r="X217" s="64">
        <f>SUMIFS(super1[Qtde],super1[Item],tab_alimentos[[#This Row],[Item]],super1[Bairro],mercado13)+SUMIFS(supercb[Qtde],supercb[Item],tab_alimentos[[#This Row],[Item]],supercb[Bairro],mercado13)</f>
        <v>0</v>
      </c>
      <c r="Y217" s="64">
        <f>SUMIFS(super1[Qtde],super1[Item],tab_alimentos[[#This Row],[Item]],super1[Bairro],mercado14)+SUMIFS(supercb[Qtde],supercb[Item],tab_alimentos[[#This Row],[Item]],supercb[Bairro],mercado14)</f>
        <v>0</v>
      </c>
      <c r="Z217" s="64">
        <f>SUMIFS(super1[Qtde],super1[Item],tab_alimentos[[#This Row],[Item]],super1[Bairro],mercado15)+SUMIFS(supercb[Qtde],supercb[Item],tab_alimentos[[#This Row],[Item]],supercb[Bairro],mercado15)</f>
        <v>0</v>
      </c>
      <c r="AA217" s="64">
        <f>SUMIFS(super1[Qtde],super1[Item],tab_alimentos[[#This Row],[Item]],super1[Bairro],mercado16)+SUMIFS(supercb[Qtde],supercb[Item],tab_alimentos[[#This Row],[Item]],supercb[Bairro],mercado16)</f>
        <v>0</v>
      </c>
      <c r="AB217" s="64">
        <f>SUMIFS(super1[Qtde],super1[Item],tab_alimentos[[#This Row],[Item]],super1[Bairro],mercado17)+SUMIFS(supercb[Qtde],supercb[Item],tab_alimentos[[#This Row],[Item]],supercb[Bairro],mercado17)</f>
        <v>0</v>
      </c>
      <c r="AC217" s="64">
        <f>SUMIFS(super1[Qtde],super1[Item],tab_alimentos[[#This Row],[Item]],super1[Bairro],mercado18)+SUMIFS(supercb[Qtde],supercb[Item],tab_alimentos[[#This Row],[Item]],supercb[Bairro],mercado18)</f>
        <v>0</v>
      </c>
      <c r="AD217" s="64">
        <f>SUMIFS(super1[Qtde],super1[Item],tab_alimentos[[#This Row],[Item]],super1[Bairro],extras)+SUMIFS(supercb[Qtde],supercb[Item],tab_alimentos[[#This Row],[Item]],supercb[Bairro],extras)</f>
        <v>0</v>
      </c>
      <c r="AE217" s="61">
        <f t="shared" si="82"/>
        <v>0</v>
      </c>
      <c r="AF217" s="61">
        <f t="shared" si="83"/>
        <v>0</v>
      </c>
      <c r="AG217" s="62">
        <f t="shared" si="84"/>
        <v>0</v>
      </c>
      <c r="AH217" s="15" t="str">
        <f>higiene[[#This Row],[Item]]</f>
        <v>X</v>
      </c>
      <c r="AI217" s="8">
        <f>IFERROR(higiene[[#This Row],[Kg equivalente]],0)</f>
        <v>0</v>
      </c>
      <c r="AJ217" s="8">
        <f>IFERROR(higiene[[#This Row],[Preço por produto]],0)</f>
        <v>0</v>
      </c>
      <c r="AK217" s="61">
        <f>SUMIFS(super1[Qtde],super1[Item],tab_higiene[[#This Row],[Item]],super1[Bairro],mercado1)+SUMIFS(supercb[Qtde],supercb[Item],tab_higiene[[#This Row],[Item]],supercb[Bairro],mercado1)</f>
        <v>0</v>
      </c>
      <c r="AL217" s="61">
        <f>SUMIFS(super1[Qtde],super1[Item],tab_higiene[[#This Row],[Item]],super1[Bairro],mercado2)+SUMIFS(supercb[Qtde],supercb[Item],tab_higiene[[#This Row],[Item]],supercb[Bairro],mercado2)</f>
        <v>0</v>
      </c>
      <c r="AM217" s="61">
        <f>SUMIFS(super1[Qtde],super1[Item],tab_higiene[[#This Row],[Item]],super1[Bairro],mercado3)+SUMIFS(supercb[Qtde],supercb[Item],tab_higiene[[#This Row],[Item]],supercb[Bairro],mercado3)</f>
        <v>0</v>
      </c>
      <c r="AN217" s="61">
        <f>SUMIFS(super1[Qtde],super1[Item],tab_higiene[[#This Row],[Item]],super1[Bairro],mercado4)+SUMIFS(supercb[Qtde],supercb[Item],tab_higiene[[#This Row],[Item]],supercb[Bairro],mercado4)</f>
        <v>0</v>
      </c>
      <c r="AO217" s="61">
        <f>SUMIFS(super1[Qtde],super1[Item],tab_higiene[[#This Row],[Item]],super1[Bairro],mercado5)+SUMIFS(supercb[Qtde],supercb[Item],tab_higiene[[#This Row],[Item]],supercb[Bairro],mercado5)</f>
        <v>0</v>
      </c>
      <c r="AP217" s="61">
        <f>SUMIFS(super1[Qtde],super1[Item],tab_higiene[[#This Row],[Item]],super1[Bairro],mercado6)+SUMIFS(supercb[Qtde],supercb[Item],tab_higiene[[#This Row],[Item]],supercb[Bairro],mercado6)</f>
        <v>0</v>
      </c>
      <c r="AQ217" s="61">
        <f>SUMIFS(super1[Qtde],super1[Item],tab_higiene[[#This Row],[Item]],super1[Bairro],mercado7)+SUMIFS(supercb[Qtde],supercb[Item],tab_higiene[[#This Row],[Item]],supercb[Bairro],mercado7)</f>
        <v>0</v>
      </c>
      <c r="AR217" s="61">
        <f>SUMIFS(super1[Qtde],super1[Item],tab_higiene[[#This Row],[Item]],super1[Bairro],mercado8)+SUMIFS(supercb[Qtde],supercb[Item],tab_higiene[[#This Row],[Item]],supercb[Bairro],mercado8)</f>
        <v>0</v>
      </c>
      <c r="AS217" s="61">
        <f>SUMIFS(super1[Qtde],super1[Item],tab_higiene[[#This Row],[Item]],super1[Bairro],mercado9)+SUMIFS(supercb[Qtde],supercb[Item],tab_higiene[[#This Row],[Item]],supercb[Bairro],mercado9)</f>
        <v>0</v>
      </c>
      <c r="AT217" s="61">
        <f>SUMIFS(super1[Qtde],super1[Item],tab_higiene[[#This Row],[Item]],super1[Bairro],mercado10)+SUMIFS(supercb[Qtde],supercb[Item],tab_higiene[[#This Row],[Item]],supercb[Bairro],mercado10)</f>
        <v>0</v>
      </c>
      <c r="AU217" s="61">
        <f>SUMIFS(super1[Qtde],super1[Item],tab_higiene[[#This Row],[Item]],super1[Bairro],mercado11)+SUMIFS(supercb[Qtde],supercb[Item],tab_higiene[[#This Row],[Item]],supercb[Bairro],mercado11)</f>
        <v>0</v>
      </c>
      <c r="AV217" s="61">
        <f>SUMIFS(super1[Qtde],super1[Item],tab_higiene[[#This Row],[Item]],super1[Bairro],mercado12)+SUMIFS(supercb[Qtde],supercb[Item],tab_higiene[[#This Row],[Item]],supercb[Bairro],mercado12)</f>
        <v>0</v>
      </c>
      <c r="AW217" s="61">
        <f>SUMIFS(super1[Qtde],super1[Item],tab_higiene[[#This Row],[Item]],super1[Bairro],mercado13)+SUMIFS(supercb[Qtde],supercb[Item],tab_higiene[[#This Row],[Item]],supercb[Bairro],mercado13)</f>
        <v>0</v>
      </c>
      <c r="AX217" s="61">
        <f>SUMIFS(super1[Qtde],super1[Item],tab_higiene[[#This Row],[Item]],super1[Bairro],mercado14)+SUMIFS(supercb[Qtde],supercb[Item],tab_higiene[[#This Row],[Item]],supercb[Bairro],mercado14)</f>
        <v>0</v>
      </c>
      <c r="AY217" s="61">
        <f>SUMIFS(super1[Qtde],super1[Item],tab_higiene[[#This Row],[Item]],super1[Bairro],mercado15)+SUMIFS(supercb[Qtde],supercb[Item],tab_higiene[[#This Row],[Item]],supercb[Bairro],mercado15)</f>
        <v>0</v>
      </c>
      <c r="AZ217" s="61">
        <f>SUMIFS(super1[Qtde],super1[Item],tab_higiene[[#This Row],[Item]],super1[Bairro],mercado16)+SUMIFS(supercb[Qtde],supercb[Item],tab_higiene[[#This Row],[Item]],supercb[Bairro],mercado16)</f>
        <v>0</v>
      </c>
      <c r="BA217" s="61">
        <f>SUMIFS(super1[Qtde],super1[Item],tab_higiene[[#This Row],[Item]],super1[Bairro],mercado17)+SUMIFS(supercb[Qtde],supercb[Item],tab_higiene[[#This Row],[Item]],supercb[Bairro],mercado17)</f>
        <v>0</v>
      </c>
      <c r="BB217" s="61">
        <f>SUMIFS(super1[Qtde],super1[Item],tab_higiene[[#This Row],[Item]],super1[Bairro],mercado18)+SUMIFS(supercb[Qtde],supercb[Item],tab_higiene[[#This Row],[Item]],supercb[Bairro],mercado18)</f>
        <v>0</v>
      </c>
      <c r="BC217" s="51">
        <f>SUMIFS(super1[Qtde],super1[Item],tab_higiene[[#This Row],[Item]],super1[Bairro],extras)+SUMIFS(supercb[Qtde],supercb[Item],tab_higiene[[#This Row],[Item]],supercb[Bairro],extras)</f>
        <v>0</v>
      </c>
      <c r="BD217" s="8">
        <f t="shared" si="85"/>
        <v>0</v>
      </c>
      <c r="BE217" s="8">
        <f t="shared" si="86"/>
        <v>0</v>
      </c>
      <c r="BF217" s="23">
        <f t="shared" si="87"/>
        <v>0</v>
      </c>
    </row>
    <row r="218" spans="9:58" ht="15.75" thickBot="1" x14ac:dyDescent="0.3">
      <c r="I218" s="65" t="str">
        <f>alimentos[[#This Row],[Item]]</f>
        <v>Pate de peru (100g)</v>
      </c>
      <c r="J218" s="61">
        <f>IFERROR(alimentos[[#This Row],[kg/embalagem]],0)</f>
        <v>0.1</v>
      </c>
      <c r="K218" s="64">
        <f>IFERROR(alimentos[[#This Row],[Preço]],0)</f>
        <v>3.45</v>
      </c>
      <c r="L218" s="64">
        <f>SUMIFS(super1[Qtde],super1[Item],tab_alimentos[[#This Row],[Item]],super1[Bairro],mercado1)+SUMIFS(supercb[Qtde],supercb[Item],tab_alimentos[[#This Row],[Item]],supercb[Bairro],mercado1)</f>
        <v>0</v>
      </c>
      <c r="M218" s="64">
        <f>SUMIFS(super1[Qtde],super1[Item],tab_alimentos[[#This Row],[Item]],super1[Bairro],mercado2)+SUMIFS(supercb[Qtde],supercb[Item],tab_alimentos[[#This Row],[Item]],supercb[Bairro],mercado2)</f>
        <v>0</v>
      </c>
      <c r="N218" s="61">
        <f>SUMIFS(super1[Qtde],super1[Item],tab_alimentos[[#This Row],[Item]],super1[Bairro],mercado3)+SUMIFS(supercb[Qtde],supercb[Item],tab_alimentos[[#This Row],[Item]],supercb[Bairro],mercado3)</f>
        <v>0</v>
      </c>
      <c r="O218" s="64">
        <f>SUMIFS(super1[Qtde],super1[Item],tab_alimentos[[#This Row],[Item]],super1[Bairro],mercado4)+SUMIFS(supercb[Qtde],supercb[Item],tab_alimentos[[#This Row],[Item]],supercb[Bairro],mercado4)</f>
        <v>0</v>
      </c>
      <c r="P218" s="64">
        <f>SUMIFS(super1[Qtde],super1[Item],tab_alimentos[[#This Row],[Item]],super1[Bairro],mercado5)+SUMIFS(supercb[Qtde],supercb[Item],tab_alimentos[[#This Row],[Item]],supercb[Bairro],mercado5)</f>
        <v>0</v>
      </c>
      <c r="Q218" s="64">
        <f>SUMIFS(super1[Qtde],super1[Item],tab_alimentos[[#This Row],[Item]],super1[Bairro],mercado6)+SUMIFS(supercb[Qtde],supercb[Item],tab_alimentos[[#This Row],[Item]],supercb[Bairro],mercado6)</f>
        <v>0</v>
      </c>
      <c r="R218" s="64">
        <f>SUMIFS(super1[Qtde],super1[Item],tab_alimentos[[#This Row],[Item]],super1[Bairro],mercado7)+SUMIFS(supercb[Qtde],supercb[Item],tab_alimentos[[#This Row],[Item]],supercb[Bairro],mercado7)</f>
        <v>0</v>
      </c>
      <c r="S218" s="64">
        <f>SUMIFS(super1[Qtde],super1[Item],tab_alimentos[[#This Row],[Item]],super1[Bairro],mercado8)+SUMIFS(supercb[Qtde],supercb[Item],tab_alimentos[[#This Row],[Item]],supercb[Bairro],mercado8)</f>
        <v>0</v>
      </c>
      <c r="T218" s="64">
        <f>SUMIFS(super1[Qtde],super1[Item],tab_alimentos[[#This Row],[Item]],super1[Bairro],mercado9)+SUMIFS(supercb[Qtde],supercb[Item],tab_alimentos[[#This Row],[Item]],supercb[Bairro],mercado9)</f>
        <v>0</v>
      </c>
      <c r="U218" s="64">
        <f>SUMIFS(super1[Qtde],super1[Item],tab_alimentos[[#This Row],[Item]],super1[Bairro],mercado10)+SUMIFS(supercb[Qtde],supercb[Item],tab_alimentos[[#This Row],[Item]],supercb[Bairro],mercado10)</f>
        <v>0</v>
      </c>
      <c r="V218" s="64">
        <f>SUMIFS(super1[Qtde],super1[Item],tab_alimentos[[#This Row],[Item]],super1[Bairro],mercado11)+SUMIFS(supercb[Qtde],supercb[Item],tab_alimentos[[#This Row],[Item]],supercb[Bairro],mercado11)</f>
        <v>0</v>
      </c>
      <c r="W218" s="64">
        <f>SUMIFS(super1[Qtde],super1[Item],tab_alimentos[[#This Row],[Item]],super1[Bairro],mercado12)+SUMIFS(supercb[Qtde],supercb[Item],tab_alimentos[[#This Row],[Item]],supercb[Bairro],mercado12)</f>
        <v>0</v>
      </c>
      <c r="X218" s="64">
        <f>SUMIFS(super1[Qtde],super1[Item],tab_alimentos[[#This Row],[Item]],super1[Bairro],mercado13)+SUMIFS(supercb[Qtde],supercb[Item],tab_alimentos[[#This Row],[Item]],supercb[Bairro],mercado13)</f>
        <v>0</v>
      </c>
      <c r="Y218" s="64">
        <f>SUMIFS(super1[Qtde],super1[Item],tab_alimentos[[#This Row],[Item]],super1[Bairro],mercado14)+SUMIFS(supercb[Qtde],supercb[Item],tab_alimentos[[#This Row],[Item]],supercb[Bairro],mercado14)</f>
        <v>0</v>
      </c>
      <c r="Z218" s="64">
        <f>SUMIFS(super1[Qtde],super1[Item],tab_alimentos[[#This Row],[Item]],super1[Bairro],mercado15)+SUMIFS(supercb[Qtde],supercb[Item],tab_alimentos[[#This Row],[Item]],supercb[Bairro],mercado15)</f>
        <v>0</v>
      </c>
      <c r="AA218" s="64">
        <f>SUMIFS(super1[Qtde],super1[Item],tab_alimentos[[#This Row],[Item]],super1[Bairro],mercado16)+SUMIFS(supercb[Qtde],supercb[Item],tab_alimentos[[#This Row],[Item]],supercb[Bairro],mercado16)</f>
        <v>0</v>
      </c>
      <c r="AB218" s="64">
        <f>SUMIFS(super1[Qtde],super1[Item],tab_alimentos[[#This Row],[Item]],super1[Bairro],mercado17)+SUMIFS(supercb[Qtde],supercb[Item],tab_alimentos[[#This Row],[Item]],supercb[Bairro],mercado17)</f>
        <v>0</v>
      </c>
      <c r="AC218" s="64">
        <f>SUMIFS(super1[Qtde],super1[Item],tab_alimentos[[#This Row],[Item]],super1[Bairro],mercado18)+SUMIFS(supercb[Qtde],supercb[Item],tab_alimentos[[#This Row],[Item]],supercb[Bairro],mercado18)</f>
        <v>0</v>
      </c>
      <c r="AD218" s="64">
        <f>SUMIFS(super1[Qtde],super1[Item],tab_alimentos[[#This Row],[Item]],super1[Bairro],extras)+SUMIFS(supercb[Qtde],supercb[Item],tab_alimentos[[#This Row],[Item]],supercb[Bairro],extras)</f>
        <v>0</v>
      </c>
      <c r="AE218" s="61">
        <f t="shared" si="82"/>
        <v>0</v>
      </c>
      <c r="AF218" s="61">
        <f t="shared" si="83"/>
        <v>0</v>
      </c>
      <c r="AG218" s="62">
        <f t="shared" si="84"/>
        <v>0</v>
      </c>
      <c r="AH218" s="15" t="str">
        <f>higiene[[#This Row],[Item]]</f>
        <v>Y</v>
      </c>
      <c r="AI218" s="8">
        <f>IFERROR(higiene[[#This Row],[Kg equivalente]],0)</f>
        <v>0</v>
      </c>
      <c r="AJ218" s="8">
        <f>IFERROR(higiene[[#This Row],[Preço por produto]],0)</f>
        <v>0</v>
      </c>
      <c r="AK218" s="61">
        <f>SUMIFS(super1[Qtde],super1[Item],tab_higiene[[#This Row],[Item]],super1[Bairro],mercado1)+SUMIFS(supercb[Qtde],supercb[Item],tab_higiene[[#This Row],[Item]],supercb[Bairro],mercado1)</f>
        <v>0</v>
      </c>
      <c r="AL218" s="61">
        <f>SUMIFS(super1[Qtde],super1[Item],tab_higiene[[#This Row],[Item]],super1[Bairro],mercado2)+SUMIFS(supercb[Qtde],supercb[Item],tab_higiene[[#This Row],[Item]],supercb[Bairro],mercado2)</f>
        <v>0</v>
      </c>
      <c r="AM218" s="61">
        <f>SUMIFS(super1[Qtde],super1[Item],tab_higiene[[#This Row],[Item]],super1[Bairro],mercado3)+SUMIFS(supercb[Qtde],supercb[Item],tab_higiene[[#This Row],[Item]],supercb[Bairro],mercado3)</f>
        <v>0</v>
      </c>
      <c r="AN218" s="61">
        <f>SUMIFS(super1[Qtde],super1[Item],tab_higiene[[#This Row],[Item]],super1[Bairro],mercado4)+SUMIFS(supercb[Qtde],supercb[Item],tab_higiene[[#This Row],[Item]],supercb[Bairro],mercado4)</f>
        <v>0</v>
      </c>
      <c r="AO218" s="61">
        <f>SUMIFS(super1[Qtde],super1[Item],tab_higiene[[#This Row],[Item]],super1[Bairro],mercado5)+SUMIFS(supercb[Qtde],supercb[Item],tab_higiene[[#This Row],[Item]],supercb[Bairro],mercado5)</f>
        <v>0</v>
      </c>
      <c r="AP218" s="61">
        <f>SUMIFS(super1[Qtde],super1[Item],tab_higiene[[#This Row],[Item]],super1[Bairro],mercado6)+SUMIFS(supercb[Qtde],supercb[Item],tab_higiene[[#This Row],[Item]],supercb[Bairro],mercado6)</f>
        <v>0</v>
      </c>
      <c r="AQ218" s="61">
        <f>SUMIFS(super1[Qtde],super1[Item],tab_higiene[[#This Row],[Item]],super1[Bairro],mercado7)+SUMIFS(supercb[Qtde],supercb[Item],tab_higiene[[#This Row],[Item]],supercb[Bairro],mercado7)</f>
        <v>0</v>
      </c>
      <c r="AR218" s="61">
        <f>SUMIFS(super1[Qtde],super1[Item],tab_higiene[[#This Row],[Item]],super1[Bairro],mercado8)+SUMIFS(supercb[Qtde],supercb[Item],tab_higiene[[#This Row],[Item]],supercb[Bairro],mercado8)</f>
        <v>0</v>
      </c>
      <c r="AS218" s="61">
        <f>SUMIFS(super1[Qtde],super1[Item],tab_higiene[[#This Row],[Item]],super1[Bairro],mercado9)+SUMIFS(supercb[Qtde],supercb[Item],tab_higiene[[#This Row],[Item]],supercb[Bairro],mercado9)</f>
        <v>0</v>
      </c>
      <c r="AT218" s="61">
        <f>SUMIFS(super1[Qtde],super1[Item],tab_higiene[[#This Row],[Item]],super1[Bairro],mercado10)+SUMIFS(supercb[Qtde],supercb[Item],tab_higiene[[#This Row],[Item]],supercb[Bairro],mercado10)</f>
        <v>0</v>
      </c>
      <c r="AU218" s="61">
        <f>SUMIFS(super1[Qtde],super1[Item],tab_higiene[[#This Row],[Item]],super1[Bairro],mercado11)+SUMIFS(supercb[Qtde],supercb[Item],tab_higiene[[#This Row],[Item]],supercb[Bairro],mercado11)</f>
        <v>0</v>
      </c>
      <c r="AV218" s="61">
        <f>SUMIFS(super1[Qtde],super1[Item],tab_higiene[[#This Row],[Item]],super1[Bairro],mercado12)+SUMIFS(supercb[Qtde],supercb[Item],tab_higiene[[#This Row],[Item]],supercb[Bairro],mercado12)</f>
        <v>0</v>
      </c>
      <c r="AW218" s="61">
        <f>SUMIFS(super1[Qtde],super1[Item],tab_higiene[[#This Row],[Item]],super1[Bairro],mercado13)+SUMIFS(supercb[Qtde],supercb[Item],tab_higiene[[#This Row],[Item]],supercb[Bairro],mercado13)</f>
        <v>0</v>
      </c>
      <c r="AX218" s="61">
        <f>SUMIFS(super1[Qtde],super1[Item],tab_higiene[[#This Row],[Item]],super1[Bairro],mercado14)+SUMIFS(supercb[Qtde],supercb[Item],tab_higiene[[#This Row],[Item]],supercb[Bairro],mercado14)</f>
        <v>0</v>
      </c>
      <c r="AY218" s="61">
        <f>SUMIFS(super1[Qtde],super1[Item],tab_higiene[[#This Row],[Item]],super1[Bairro],mercado15)+SUMIFS(supercb[Qtde],supercb[Item],tab_higiene[[#This Row],[Item]],supercb[Bairro],mercado15)</f>
        <v>0</v>
      </c>
      <c r="AZ218" s="61">
        <f>SUMIFS(super1[Qtde],super1[Item],tab_higiene[[#This Row],[Item]],super1[Bairro],mercado16)+SUMIFS(supercb[Qtde],supercb[Item],tab_higiene[[#This Row],[Item]],supercb[Bairro],mercado16)</f>
        <v>0</v>
      </c>
      <c r="BA218" s="61">
        <f>SUMIFS(super1[Qtde],super1[Item],tab_higiene[[#This Row],[Item]],super1[Bairro],mercado17)+SUMIFS(supercb[Qtde],supercb[Item],tab_higiene[[#This Row],[Item]],supercb[Bairro],mercado17)</f>
        <v>0</v>
      </c>
      <c r="BB218" s="61">
        <f>SUMIFS(super1[Qtde],super1[Item],tab_higiene[[#This Row],[Item]],super1[Bairro],mercado18)+SUMIFS(supercb[Qtde],supercb[Item],tab_higiene[[#This Row],[Item]],supercb[Bairro],mercado18)</f>
        <v>0</v>
      </c>
      <c r="BC218" s="51">
        <f>SUMIFS(super1[Qtde],super1[Item],tab_higiene[[#This Row],[Item]],super1[Bairro],extras)+SUMIFS(supercb[Qtde],supercb[Item],tab_higiene[[#This Row],[Item]],supercb[Bairro],extras)</f>
        <v>0</v>
      </c>
      <c r="BD218" s="8">
        <f t="shared" si="85"/>
        <v>0</v>
      </c>
      <c r="BE218" s="8">
        <f t="shared" si="86"/>
        <v>0</v>
      </c>
      <c r="BF218" s="23">
        <f t="shared" si="87"/>
        <v>0</v>
      </c>
    </row>
    <row r="219" spans="9:58" ht="15.75" thickBot="1" x14ac:dyDescent="0.3">
      <c r="I219" s="65" t="str">
        <f>alimentos[[#This Row],[Item]]</f>
        <v>Patê de sardinha (150g)</v>
      </c>
      <c r="J219" s="61">
        <f>IFERROR(alimentos[[#This Row],[kg/embalagem]],0)</f>
        <v>0.15</v>
      </c>
      <c r="K219" s="64">
        <f>IFERROR(alimentos[[#This Row],[Preço]],0)</f>
        <v>6.5200000000000005</v>
      </c>
      <c r="L219" s="64">
        <f>SUMIFS(super1[Qtde],super1[Item],tab_alimentos[[#This Row],[Item]],super1[Bairro],mercado1)+SUMIFS(supercb[Qtde],supercb[Item],tab_alimentos[[#This Row],[Item]],supercb[Bairro],mercado1)</f>
        <v>0</v>
      </c>
      <c r="M219" s="64">
        <f>SUMIFS(super1[Qtde],super1[Item],tab_alimentos[[#This Row],[Item]],super1[Bairro],mercado2)+SUMIFS(supercb[Qtde],supercb[Item],tab_alimentos[[#This Row],[Item]],supercb[Bairro],mercado2)</f>
        <v>0</v>
      </c>
      <c r="N219" s="61">
        <f>SUMIFS(super1[Qtde],super1[Item],tab_alimentos[[#This Row],[Item]],super1[Bairro],mercado3)+SUMIFS(supercb[Qtde],supercb[Item],tab_alimentos[[#This Row],[Item]],supercb[Bairro],mercado3)</f>
        <v>0</v>
      </c>
      <c r="O219" s="64">
        <f>SUMIFS(super1[Qtde],super1[Item],tab_alimentos[[#This Row],[Item]],super1[Bairro],mercado4)+SUMIFS(supercb[Qtde],supercb[Item],tab_alimentos[[#This Row],[Item]],supercb[Bairro],mercado4)</f>
        <v>0</v>
      </c>
      <c r="P219" s="64">
        <f>SUMIFS(super1[Qtde],super1[Item],tab_alimentos[[#This Row],[Item]],super1[Bairro],mercado5)+SUMIFS(supercb[Qtde],supercb[Item],tab_alimentos[[#This Row],[Item]],supercb[Bairro],mercado5)</f>
        <v>0</v>
      </c>
      <c r="Q219" s="64">
        <f>SUMIFS(super1[Qtde],super1[Item],tab_alimentos[[#This Row],[Item]],super1[Bairro],mercado6)+SUMIFS(supercb[Qtde],supercb[Item],tab_alimentos[[#This Row],[Item]],supercb[Bairro],mercado6)</f>
        <v>0</v>
      </c>
      <c r="R219" s="64">
        <f>SUMIFS(super1[Qtde],super1[Item],tab_alimentos[[#This Row],[Item]],super1[Bairro],mercado7)+SUMIFS(supercb[Qtde],supercb[Item],tab_alimentos[[#This Row],[Item]],supercb[Bairro],mercado7)</f>
        <v>0</v>
      </c>
      <c r="S219" s="64">
        <f>SUMIFS(super1[Qtde],super1[Item],tab_alimentos[[#This Row],[Item]],super1[Bairro],mercado8)+SUMIFS(supercb[Qtde],supercb[Item],tab_alimentos[[#This Row],[Item]],supercb[Bairro],mercado8)</f>
        <v>0</v>
      </c>
      <c r="T219" s="64">
        <f>SUMIFS(super1[Qtde],super1[Item],tab_alimentos[[#This Row],[Item]],super1[Bairro],mercado9)+SUMIFS(supercb[Qtde],supercb[Item],tab_alimentos[[#This Row],[Item]],supercb[Bairro],mercado9)</f>
        <v>0</v>
      </c>
      <c r="U219" s="64">
        <f>SUMIFS(super1[Qtde],super1[Item],tab_alimentos[[#This Row],[Item]],super1[Bairro],mercado10)+SUMIFS(supercb[Qtde],supercb[Item],tab_alimentos[[#This Row],[Item]],supercb[Bairro],mercado10)</f>
        <v>0</v>
      </c>
      <c r="V219" s="64">
        <f>SUMIFS(super1[Qtde],super1[Item],tab_alimentos[[#This Row],[Item]],super1[Bairro],mercado11)+SUMIFS(supercb[Qtde],supercb[Item],tab_alimentos[[#This Row],[Item]],supercb[Bairro],mercado11)</f>
        <v>0</v>
      </c>
      <c r="W219" s="64">
        <f>SUMIFS(super1[Qtde],super1[Item],tab_alimentos[[#This Row],[Item]],super1[Bairro],mercado12)+SUMIFS(supercb[Qtde],supercb[Item],tab_alimentos[[#This Row],[Item]],supercb[Bairro],mercado12)</f>
        <v>0</v>
      </c>
      <c r="X219" s="64">
        <f>SUMIFS(super1[Qtde],super1[Item],tab_alimentos[[#This Row],[Item]],super1[Bairro],mercado13)+SUMIFS(supercb[Qtde],supercb[Item],tab_alimentos[[#This Row],[Item]],supercb[Bairro],mercado13)</f>
        <v>0</v>
      </c>
      <c r="Y219" s="64">
        <f>SUMIFS(super1[Qtde],super1[Item],tab_alimentos[[#This Row],[Item]],super1[Bairro],mercado14)+SUMIFS(supercb[Qtde],supercb[Item],tab_alimentos[[#This Row],[Item]],supercb[Bairro],mercado14)</f>
        <v>0</v>
      </c>
      <c r="Z219" s="64">
        <f>SUMIFS(super1[Qtde],super1[Item],tab_alimentos[[#This Row],[Item]],super1[Bairro],mercado15)+SUMIFS(supercb[Qtde],supercb[Item],tab_alimentos[[#This Row],[Item]],supercb[Bairro],mercado15)</f>
        <v>0</v>
      </c>
      <c r="AA219" s="64">
        <f>SUMIFS(super1[Qtde],super1[Item],tab_alimentos[[#This Row],[Item]],super1[Bairro],mercado16)+SUMIFS(supercb[Qtde],supercb[Item],tab_alimentos[[#This Row],[Item]],supercb[Bairro],mercado16)</f>
        <v>0</v>
      </c>
      <c r="AB219" s="64">
        <f>SUMIFS(super1[Qtde],super1[Item],tab_alimentos[[#This Row],[Item]],super1[Bairro],mercado17)+SUMIFS(supercb[Qtde],supercb[Item],tab_alimentos[[#This Row],[Item]],supercb[Bairro],mercado17)</f>
        <v>0</v>
      </c>
      <c r="AC219" s="64">
        <f>SUMIFS(super1[Qtde],super1[Item],tab_alimentos[[#This Row],[Item]],super1[Bairro],mercado18)+SUMIFS(supercb[Qtde],supercb[Item],tab_alimentos[[#This Row],[Item]],supercb[Bairro],mercado18)</f>
        <v>0</v>
      </c>
      <c r="AD219" s="64">
        <f>SUMIFS(super1[Qtde],super1[Item],tab_alimentos[[#This Row],[Item]],super1[Bairro],extras)+SUMIFS(supercb[Qtde],supercb[Item],tab_alimentos[[#This Row],[Item]],supercb[Bairro],extras)</f>
        <v>0</v>
      </c>
      <c r="AE219" s="61">
        <f t="shared" si="82"/>
        <v>0</v>
      </c>
      <c r="AF219" s="61">
        <f t="shared" si="83"/>
        <v>0</v>
      </c>
      <c r="AG219" s="62">
        <f t="shared" si="84"/>
        <v>0</v>
      </c>
      <c r="AH219" s="15" t="str">
        <f>higiene[[#This Row],[Item]]</f>
        <v>Z</v>
      </c>
      <c r="AI219" s="8">
        <f>IFERROR(higiene[[#This Row],[Kg equivalente]],0)</f>
        <v>0</v>
      </c>
      <c r="AJ219" s="8">
        <f>IFERROR(higiene[[#This Row],[Preço por produto]],0)</f>
        <v>0</v>
      </c>
      <c r="AK219" s="61">
        <f>SUMIFS(super1[Qtde],super1[Item],tab_higiene[[#This Row],[Item]],super1[Bairro],mercado1)+SUMIFS(supercb[Qtde],supercb[Item],tab_higiene[[#This Row],[Item]],supercb[Bairro],mercado1)</f>
        <v>0</v>
      </c>
      <c r="AL219" s="61">
        <f>SUMIFS(super1[Qtde],super1[Item],tab_higiene[[#This Row],[Item]],super1[Bairro],mercado2)+SUMIFS(supercb[Qtde],supercb[Item],tab_higiene[[#This Row],[Item]],supercb[Bairro],mercado2)</f>
        <v>0</v>
      </c>
      <c r="AM219" s="61">
        <f>SUMIFS(super1[Qtde],super1[Item],tab_higiene[[#This Row],[Item]],super1[Bairro],mercado3)+SUMIFS(supercb[Qtde],supercb[Item],tab_higiene[[#This Row],[Item]],supercb[Bairro],mercado3)</f>
        <v>0</v>
      </c>
      <c r="AN219" s="61">
        <f>SUMIFS(super1[Qtde],super1[Item],tab_higiene[[#This Row],[Item]],super1[Bairro],mercado4)+SUMIFS(supercb[Qtde],supercb[Item],tab_higiene[[#This Row],[Item]],supercb[Bairro],mercado4)</f>
        <v>0</v>
      </c>
      <c r="AO219" s="61">
        <f>SUMIFS(super1[Qtde],super1[Item],tab_higiene[[#This Row],[Item]],super1[Bairro],mercado5)+SUMIFS(supercb[Qtde],supercb[Item],tab_higiene[[#This Row],[Item]],supercb[Bairro],mercado5)</f>
        <v>0</v>
      </c>
      <c r="AP219" s="61">
        <f>SUMIFS(super1[Qtde],super1[Item],tab_higiene[[#This Row],[Item]],super1[Bairro],mercado6)+SUMIFS(supercb[Qtde],supercb[Item],tab_higiene[[#This Row],[Item]],supercb[Bairro],mercado6)</f>
        <v>0</v>
      </c>
      <c r="AQ219" s="61">
        <f>SUMIFS(super1[Qtde],super1[Item],tab_higiene[[#This Row],[Item]],super1[Bairro],mercado7)+SUMIFS(supercb[Qtde],supercb[Item],tab_higiene[[#This Row],[Item]],supercb[Bairro],mercado7)</f>
        <v>0</v>
      </c>
      <c r="AR219" s="61">
        <f>SUMIFS(super1[Qtde],super1[Item],tab_higiene[[#This Row],[Item]],super1[Bairro],mercado8)+SUMIFS(supercb[Qtde],supercb[Item],tab_higiene[[#This Row],[Item]],supercb[Bairro],mercado8)</f>
        <v>0</v>
      </c>
      <c r="AS219" s="61">
        <f>SUMIFS(super1[Qtde],super1[Item],tab_higiene[[#This Row],[Item]],super1[Bairro],mercado9)+SUMIFS(supercb[Qtde],supercb[Item],tab_higiene[[#This Row],[Item]],supercb[Bairro],mercado9)</f>
        <v>0</v>
      </c>
      <c r="AT219" s="61">
        <f>SUMIFS(super1[Qtde],super1[Item],tab_higiene[[#This Row],[Item]],super1[Bairro],mercado10)+SUMIFS(supercb[Qtde],supercb[Item],tab_higiene[[#This Row],[Item]],supercb[Bairro],mercado10)</f>
        <v>0</v>
      </c>
      <c r="AU219" s="61">
        <f>SUMIFS(super1[Qtde],super1[Item],tab_higiene[[#This Row],[Item]],super1[Bairro],mercado11)+SUMIFS(supercb[Qtde],supercb[Item],tab_higiene[[#This Row],[Item]],supercb[Bairro],mercado11)</f>
        <v>0</v>
      </c>
      <c r="AV219" s="61">
        <f>SUMIFS(super1[Qtde],super1[Item],tab_higiene[[#This Row],[Item]],super1[Bairro],mercado12)+SUMIFS(supercb[Qtde],supercb[Item],tab_higiene[[#This Row],[Item]],supercb[Bairro],mercado12)</f>
        <v>0</v>
      </c>
      <c r="AW219" s="61">
        <f>SUMIFS(super1[Qtde],super1[Item],tab_higiene[[#This Row],[Item]],super1[Bairro],mercado13)+SUMIFS(supercb[Qtde],supercb[Item],tab_higiene[[#This Row],[Item]],supercb[Bairro],mercado13)</f>
        <v>0</v>
      </c>
      <c r="AX219" s="61">
        <f>SUMIFS(super1[Qtde],super1[Item],tab_higiene[[#This Row],[Item]],super1[Bairro],mercado14)+SUMIFS(supercb[Qtde],supercb[Item],tab_higiene[[#This Row],[Item]],supercb[Bairro],mercado14)</f>
        <v>0</v>
      </c>
      <c r="AY219" s="61">
        <f>SUMIFS(super1[Qtde],super1[Item],tab_higiene[[#This Row],[Item]],super1[Bairro],mercado15)+SUMIFS(supercb[Qtde],supercb[Item],tab_higiene[[#This Row],[Item]],supercb[Bairro],mercado15)</f>
        <v>0</v>
      </c>
      <c r="AZ219" s="61">
        <f>SUMIFS(super1[Qtde],super1[Item],tab_higiene[[#This Row],[Item]],super1[Bairro],mercado16)+SUMIFS(supercb[Qtde],supercb[Item],tab_higiene[[#This Row],[Item]],supercb[Bairro],mercado16)</f>
        <v>0</v>
      </c>
      <c r="BA219" s="61">
        <f>SUMIFS(super1[Qtde],super1[Item],tab_higiene[[#This Row],[Item]],super1[Bairro],mercado17)+SUMIFS(supercb[Qtde],supercb[Item],tab_higiene[[#This Row],[Item]],supercb[Bairro],mercado17)</f>
        <v>0</v>
      </c>
      <c r="BB219" s="61">
        <f>SUMIFS(super1[Qtde],super1[Item],tab_higiene[[#This Row],[Item]],super1[Bairro],mercado18)+SUMIFS(supercb[Qtde],supercb[Item],tab_higiene[[#This Row],[Item]],supercb[Bairro],mercado18)</f>
        <v>0</v>
      </c>
      <c r="BC219" s="51">
        <f>SUMIFS(super1[Qtde],super1[Item],tab_higiene[[#This Row],[Item]],super1[Bairro],extras)+SUMIFS(supercb[Qtde],supercb[Item],tab_higiene[[#This Row],[Item]],supercb[Bairro],extras)</f>
        <v>0</v>
      </c>
      <c r="BD219" s="8">
        <f t="shared" si="85"/>
        <v>0</v>
      </c>
      <c r="BE219" s="8">
        <f t="shared" si="86"/>
        <v>0</v>
      </c>
      <c r="BF219" s="23">
        <f t="shared" si="87"/>
        <v>0</v>
      </c>
    </row>
    <row r="220" spans="9:58" ht="15.75" thickBot="1" x14ac:dyDescent="0.3">
      <c r="I220" s="65" t="str">
        <f>alimentos[[#This Row],[Item]]</f>
        <v>Patê de sardinha (170g)</v>
      </c>
      <c r="J220" s="61">
        <f>IFERROR(alimentos[[#This Row],[kg/embalagem]],0)</f>
        <v>0.17</v>
      </c>
      <c r="K220" s="64">
        <f>IFERROR(alimentos[[#This Row],[Preço]],0)</f>
        <v>5.99</v>
      </c>
      <c r="L220" s="64">
        <f>SUMIFS(super1[Qtde],super1[Item],tab_alimentos[[#This Row],[Item]],super1[Bairro],mercado1)+SUMIFS(supercb[Qtde],supercb[Item],tab_alimentos[[#This Row],[Item]],supercb[Bairro],mercado1)</f>
        <v>0</v>
      </c>
      <c r="M220" s="64">
        <f>SUMIFS(super1[Qtde],super1[Item],tab_alimentos[[#This Row],[Item]],super1[Bairro],mercado2)+SUMIFS(supercb[Qtde],supercb[Item],tab_alimentos[[#This Row],[Item]],supercb[Bairro],mercado2)</f>
        <v>0</v>
      </c>
      <c r="N220" s="61">
        <f>SUMIFS(super1[Qtde],super1[Item],tab_alimentos[[#This Row],[Item]],super1[Bairro],mercado3)+SUMIFS(supercb[Qtde],supercb[Item],tab_alimentos[[#This Row],[Item]],supercb[Bairro],mercado3)</f>
        <v>0</v>
      </c>
      <c r="O220" s="64">
        <f>SUMIFS(super1[Qtde],super1[Item],tab_alimentos[[#This Row],[Item]],super1[Bairro],mercado4)+SUMIFS(supercb[Qtde],supercb[Item],tab_alimentos[[#This Row],[Item]],supercb[Bairro],mercado4)</f>
        <v>0</v>
      </c>
      <c r="P220" s="64">
        <f>SUMIFS(super1[Qtde],super1[Item],tab_alimentos[[#This Row],[Item]],super1[Bairro],mercado5)+SUMIFS(supercb[Qtde],supercb[Item],tab_alimentos[[#This Row],[Item]],supercb[Bairro],mercado5)</f>
        <v>0</v>
      </c>
      <c r="Q220" s="64">
        <f>SUMIFS(super1[Qtde],super1[Item],tab_alimentos[[#This Row],[Item]],super1[Bairro],mercado6)+SUMIFS(supercb[Qtde],supercb[Item],tab_alimentos[[#This Row],[Item]],supercb[Bairro],mercado6)</f>
        <v>0</v>
      </c>
      <c r="R220" s="64">
        <f>SUMIFS(super1[Qtde],super1[Item],tab_alimentos[[#This Row],[Item]],super1[Bairro],mercado7)+SUMIFS(supercb[Qtde],supercb[Item],tab_alimentos[[#This Row],[Item]],supercb[Bairro],mercado7)</f>
        <v>0</v>
      </c>
      <c r="S220" s="64">
        <f>SUMIFS(super1[Qtde],super1[Item],tab_alimentos[[#This Row],[Item]],super1[Bairro],mercado8)+SUMIFS(supercb[Qtde],supercb[Item],tab_alimentos[[#This Row],[Item]],supercb[Bairro],mercado8)</f>
        <v>0</v>
      </c>
      <c r="T220" s="64">
        <f>SUMIFS(super1[Qtde],super1[Item],tab_alimentos[[#This Row],[Item]],super1[Bairro],mercado9)+SUMIFS(supercb[Qtde],supercb[Item],tab_alimentos[[#This Row],[Item]],supercb[Bairro],mercado9)</f>
        <v>0</v>
      </c>
      <c r="U220" s="64">
        <f>SUMIFS(super1[Qtde],super1[Item],tab_alimentos[[#This Row],[Item]],super1[Bairro],mercado10)+SUMIFS(supercb[Qtde],supercb[Item],tab_alimentos[[#This Row],[Item]],supercb[Bairro],mercado10)</f>
        <v>0</v>
      </c>
      <c r="V220" s="64">
        <f>SUMIFS(super1[Qtde],super1[Item],tab_alimentos[[#This Row],[Item]],super1[Bairro],mercado11)+SUMIFS(supercb[Qtde],supercb[Item],tab_alimentos[[#This Row],[Item]],supercb[Bairro],mercado11)</f>
        <v>0</v>
      </c>
      <c r="W220" s="64">
        <f>SUMIFS(super1[Qtde],super1[Item],tab_alimentos[[#This Row],[Item]],super1[Bairro],mercado12)+SUMIFS(supercb[Qtde],supercb[Item],tab_alimentos[[#This Row],[Item]],supercb[Bairro],mercado12)</f>
        <v>0</v>
      </c>
      <c r="X220" s="64">
        <f>SUMIFS(super1[Qtde],super1[Item],tab_alimentos[[#This Row],[Item]],super1[Bairro],mercado13)+SUMIFS(supercb[Qtde],supercb[Item],tab_alimentos[[#This Row],[Item]],supercb[Bairro],mercado13)</f>
        <v>0</v>
      </c>
      <c r="Y220" s="64">
        <f>SUMIFS(super1[Qtde],super1[Item],tab_alimentos[[#This Row],[Item]],super1[Bairro],mercado14)+SUMIFS(supercb[Qtde],supercb[Item],tab_alimentos[[#This Row],[Item]],supercb[Bairro],mercado14)</f>
        <v>0</v>
      </c>
      <c r="Z220" s="64">
        <f>SUMIFS(super1[Qtde],super1[Item],tab_alimentos[[#This Row],[Item]],super1[Bairro],mercado15)+SUMIFS(supercb[Qtde],supercb[Item],tab_alimentos[[#This Row],[Item]],supercb[Bairro],mercado15)</f>
        <v>0</v>
      </c>
      <c r="AA220" s="64">
        <f>SUMIFS(super1[Qtde],super1[Item],tab_alimentos[[#This Row],[Item]],super1[Bairro],mercado16)+SUMIFS(supercb[Qtde],supercb[Item],tab_alimentos[[#This Row],[Item]],supercb[Bairro],mercado16)</f>
        <v>0</v>
      </c>
      <c r="AB220" s="64">
        <f>SUMIFS(super1[Qtde],super1[Item],tab_alimentos[[#This Row],[Item]],super1[Bairro],mercado17)+SUMIFS(supercb[Qtde],supercb[Item],tab_alimentos[[#This Row],[Item]],supercb[Bairro],mercado17)</f>
        <v>0</v>
      </c>
      <c r="AC220" s="64">
        <f>SUMIFS(super1[Qtde],super1[Item],tab_alimentos[[#This Row],[Item]],super1[Bairro],mercado18)+SUMIFS(supercb[Qtde],supercb[Item],tab_alimentos[[#This Row],[Item]],supercb[Bairro],mercado18)</f>
        <v>0</v>
      </c>
      <c r="AD220" s="64">
        <f>SUMIFS(super1[Qtde],super1[Item],tab_alimentos[[#This Row],[Item]],super1[Bairro],extras)+SUMIFS(supercb[Qtde],supercb[Item],tab_alimentos[[#This Row],[Item]],supercb[Bairro],extras)</f>
        <v>0</v>
      </c>
      <c r="AE220" s="61">
        <f t="shared" si="82"/>
        <v>0</v>
      </c>
      <c r="AF220" s="61">
        <f t="shared" si="83"/>
        <v>0</v>
      </c>
      <c r="AG220" s="62">
        <f t="shared" si="84"/>
        <v>0</v>
      </c>
      <c r="AH220" s="15" t="e">
        <f>higiene[[#This Row],[Item]]</f>
        <v>#VALUE!</v>
      </c>
      <c r="AI220" s="8">
        <f>IFERROR(higiene[[#This Row],[Kg equivalente]],0)</f>
        <v>0</v>
      </c>
      <c r="AJ220" s="8">
        <f>IFERROR(higiene[[#This Row],[Preço por produto]],0)</f>
        <v>0</v>
      </c>
      <c r="AK220" s="61">
        <f>SUMIFS(super1[Qtde],super1[Item],tab_higiene[[#This Row],[Item]],super1[Bairro],mercado1)+SUMIFS(supercb[Qtde],supercb[Item],tab_higiene[[#This Row],[Item]],supercb[Bairro],mercado1)</f>
        <v>0</v>
      </c>
      <c r="AL220" s="61">
        <f>SUMIFS(super1[Qtde],super1[Item],tab_higiene[[#This Row],[Item]],super1[Bairro],mercado2)+SUMIFS(supercb[Qtde],supercb[Item],tab_higiene[[#This Row],[Item]],supercb[Bairro],mercado2)</f>
        <v>0</v>
      </c>
      <c r="AM220" s="61">
        <f>SUMIFS(super1[Qtde],super1[Item],tab_higiene[[#This Row],[Item]],super1[Bairro],mercado3)+SUMIFS(supercb[Qtde],supercb[Item],tab_higiene[[#This Row],[Item]],supercb[Bairro],mercado3)</f>
        <v>0</v>
      </c>
      <c r="AN220" s="61">
        <f>SUMIFS(super1[Qtde],super1[Item],tab_higiene[[#This Row],[Item]],super1[Bairro],mercado4)+SUMIFS(supercb[Qtde],supercb[Item],tab_higiene[[#This Row],[Item]],supercb[Bairro],mercado4)</f>
        <v>0</v>
      </c>
      <c r="AO220" s="61">
        <f>SUMIFS(super1[Qtde],super1[Item],tab_higiene[[#This Row],[Item]],super1[Bairro],mercado5)+SUMIFS(supercb[Qtde],supercb[Item],tab_higiene[[#This Row],[Item]],supercb[Bairro],mercado5)</f>
        <v>0</v>
      </c>
      <c r="AP220" s="61">
        <f>SUMIFS(super1[Qtde],super1[Item],tab_higiene[[#This Row],[Item]],super1[Bairro],mercado6)+SUMIFS(supercb[Qtde],supercb[Item],tab_higiene[[#This Row],[Item]],supercb[Bairro],mercado6)</f>
        <v>0</v>
      </c>
      <c r="AQ220" s="61">
        <f>SUMIFS(super1[Qtde],super1[Item],tab_higiene[[#This Row],[Item]],super1[Bairro],mercado7)+SUMIFS(supercb[Qtde],supercb[Item],tab_higiene[[#This Row],[Item]],supercb[Bairro],mercado7)</f>
        <v>0</v>
      </c>
      <c r="AR220" s="61">
        <f>SUMIFS(super1[Qtde],super1[Item],tab_higiene[[#This Row],[Item]],super1[Bairro],mercado8)+SUMIFS(supercb[Qtde],supercb[Item],tab_higiene[[#This Row],[Item]],supercb[Bairro],mercado8)</f>
        <v>0</v>
      </c>
      <c r="AS220" s="61">
        <f>SUMIFS(super1[Qtde],super1[Item],tab_higiene[[#This Row],[Item]],super1[Bairro],mercado9)+SUMIFS(supercb[Qtde],supercb[Item],tab_higiene[[#This Row],[Item]],supercb[Bairro],mercado9)</f>
        <v>0</v>
      </c>
      <c r="AT220" s="61">
        <f>SUMIFS(super1[Qtde],super1[Item],tab_higiene[[#This Row],[Item]],super1[Bairro],mercado10)+SUMIFS(supercb[Qtde],supercb[Item],tab_higiene[[#This Row],[Item]],supercb[Bairro],mercado10)</f>
        <v>0</v>
      </c>
      <c r="AU220" s="61">
        <f>SUMIFS(super1[Qtde],super1[Item],tab_higiene[[#This Row],[Item]],super1[Bairro],mercado11)+SUMIFS(supercb[Qtde],supercb[Item],tab_higiene[[#This Row],[Item]],supercb[Bairro],mercado11)</f>
        <v>0</v>
      </c>
      <c r="AV220" s="61">
        <f>SUMIFS(super1[Qtde],super1[Item],tab_higiene[[#This Row],[Item]],super1[Bairro],mercado12)+SUMIFS(supercb[Qtde],supercb[Item],tab_higiene[[#This Row],[Item]],supercb[Bairro],mercado12)</f>
        <v>0</v>
      </c>
      <c r="AW220" s="61">
        <f>SUMIFS(super1[Qtde],super1[Item],tab_higiene[[#This Row],[Item]],super1[Bairro],mercado13)+SUMIFS(supercb[Qtde],supercb[Item],tab_higiene[[#This Row],[Item]],supercb[Bairro],mercado13)</f>
        <v>0</v>
      </c>
      <c r="AX220" s="61">
        <f>SUMIFS(super1[Qtde],super1[Item],tab_higiene[[#This Row],[Item]],super1[Bairro],mercado14)+SUMIFS(supercb[Qtde],supercb[Item],tab_higiene[[#This Row],[Item]],supercb[Bairro],mercado14)</f>
        <v>0</v>
      </c>
      <c r="AY220" s="61">
        <f>SUMIFS(super1[Qtde],super1[Item],tab_higiene[[#This Row],[Item]],super1[Bairro],mercado15)+SUMIFS(supercb[Qtde],supercb[Item],tab_higiene[[#This Row],[Item]],supercb[Bairro],mercado15)</f>
        <v>0</v>
      </c>
      <c r="AZ220" s="61">
        <f>SUMIFS(super1[Qtde],super1[Item],tab_higiene[[#This Row],[Item]],super1[Bairro],mercado16)+SUMIFS(supercb[Qtde],supercb[Item],tab_higiene[[#This Row],[Item]],supercb[Bairro],mercado16)</f>
        <v>0</v>
      </c>
      <c r="BA220" s="61">
        <f>SUMIFS(super1[Qtde],super1[Item],tab_higiene[[#This Row],[Item]],super1[Bairro],mercado17)+SUMIFS(supercb[Qtde],supercb[Item],tab_higiene[[#This Row],[Item]],supercb[Bairro],mercado17)</f>
        <v>0</v>
      </c>
      <c r="BB220" s="61">
        <f>SUMIFS(super1[Qtde],super1[Item],tab_higiene[[#This Row],[Item]],super1[Bairro],mercado18)+SUMIFS(supercb[Qtde],supercb[Item],tab_higiene[[#This Row],[Item]],supercb[Bairro],mercado18)</f>
        <v>0</v>
      </c>
      <c r="BC220" s="51">
        <f>SUMIFS(super1[Qtde],super1[Item],tab_higiene[[#This Row],[Item]],super1[Bairro],extras)+SUMIFS(supercb[Qtde],supercb[Item],tab_higiene[[#This Row],[Item]],supercb[Bairro],extras)</f>
        <v>0</v>
      </c>
      <c r="BD220" s="8">
        <f t="shared" si="85"/>
        <v>0</v>
      </c>
      <c r="BE220" s="8">
        <f t="shared" si="86"/>
        <v>0</v>
      </c>
      <c r="BF220" s="23">
        <f t="shared" si="87"/>
        <v>0</v>
      </c>
    </row>
    <row r="221" spans="9:58" ht="15.75" thickBot="1" x14ac:dyDescent="0.3">
      <c r="I221" s="65" t="str">
        <f>alimentos[[#This Row],[Item]]</f>
        <v>Pêssego em calda</v>
      </c>
      <c r="J221" s="61">
        <f>IFERROR(alimentos[[#This Row],[kg/embalagem]],0)</f>
        <v>0.5</v>
      </c>
      <c r="K221" s="64">
        <f>IFERROR(alimentos[[#This Row],[Preço]],0)</f>
        <v>7.7350000000000003</v>
      </c>
      <c r="L221" s="64">
        <f>SUMIFS(super1[Qtde],super1[Item],tab_alimentos[[#This Row],[Item]],super1[Bairro],mercado1)+SUMIFS(supercb[Qtde],supercb[Item],tab_alimentos[[#This Row],[Item]],supercb[Bairro],mercado1)</f>
        <v>0</v>
      </c>
      <c r="M221" s="64">
        <f>SUMIFS(super1[Qtde],super1[Item],tab_alimentos[[#This Row],[Item]],super1[Bairro],mercado2)+SUMIFS(supercb[Qtde],supercb[Item],tab_alimentos[[#This Row],[Item]],supercb[Bairro],mercado2)</f>
        <v>0</v>
      </c>
      <c r="N221" s="61">
        <f>SUMIFS(super1[Qtde],super1[Item],tab_alimentos[[#This Row],[Item]],super1[Bairro],mercado3)+SUMIFS(supercb[Qtde],supercb[Item],tab_alimentos[[#This Row],[Item]],supercb[Bairro],mercado3)</f>
        <v>0</v>
      </c>
      <c r="O221" s="64">
        <f>SUMIFS(super1[Qtde],super1[Item],tab_alimentos[[#This Row],[Item]],super1[Bairro],mercado4)+SUMIFS(supercb[Qtde],supercb[Item],tab_alimentos[[#This Row],[Item]],supercb[Bairro],mercado4)</f>
        <v>0</v>
      </c>
      <c r="P221" s="64">
        <f>SUMIFS(super1[Qtde],super1[Item],tab_alimentos[[#This Row],[Item]],super1[Bairro],mercado5)+SUMIFS(supercb[Qtde],supercb[Item],tab_alimentos[[#This Row],[Item]],supercb[Bairro],mercado5)</f>
        <v>0</v>
      </c>
      <c r="Q221" s="64">
        <f>SUMIFS(super1[Qtde],super1[Item],tab_alimentos[[#This Row],[Item]],super1[Bairro],mercado6)+SUMIFS(supercb[Qtde],supercb[Item],tab_alimentos[[#This Row],[Item]],supercb[Bairro],mercado6)</f>
        <v>0</v>
      </c>
      <c r="R221" s="64">
        <f>SUMIFS(super1[Qtde],super1[Item],tab_alimentos[[#This Row],[Item]],super1[Bairro],mercado7)+SUMIFS(supercb[Qtde],supercb[Item],tab_alimentos[[#This Row],[Item]],supercb[Bairro],mercado7)</f>
        <v>0</v>
      </c>
      <c r="S221" s="64">
        <f>SUMIFS(super1[Qtde],super1[Item],tab_alimentos[[#This Row],[Item]],super1[Bairro],mercado8)+SUMIFS(supercb[Qtde],supercb[Item],tab_alimentos[[#This Row],[Item]],supercb[Bairro],mercado8)</f>
        <v>0</v>
      </c>
      <c r="T221" s="64">
        <f>SUMIFS(super1[Qtde],super1[Item],tab_alimentos[[#This Row],[Item]],super1[Bairro],mercado9)+SUMIFS(supercb[Qtde],supercb[Item],tab_alimentos[[#This Row],[Item]],supercb[Bairro],mercado9)</f>
        <v>0</v>
      </c>
      <c r="U221" s="64">
        <f>SUMIFS(super1[Qtde],super1[Item],tab_alimentos[[#This Row],[Item]],super1[Bairro],mercado10)+SUMIFS(supercb[Qtde],supercb[Item],tab_alimentos[[#This Row],[Item]],supercb[Bairro],mercado10)</f>
        <v>0</v>
      </c>
      <c r="V221" s="64">
        <f>SUMIFS(super1[Qtde],super1[Item],tab_alimentos[[#This Row],[Item]],super1[Bairro],mercado11)+SUMIFS(supercb[Qtde],supercb[Item],tab_alimentos[[#This Row],[Item]],supercb[Bairro],mercado11)</f>
        <v>1</v>
      </c>
      <c r="W221" s="64">
        <f>SUMIFS(super1[Qtde],super1[Item],tab_alimentos[[#This Row],[Item]],super1[Bairro],mercado12)+SUMIFS(supercb[Qtde],supercb[Item],tab_alimentos[[#This Row],[Item]],supercb[Bairro],mercado12)</f>
        <v>0</v>
      </c>
      <c r="X221" s="64">
        <f>SUMIFS(super1[Qtde],super1[Item],tab_alimentos[[#This Row],[Item]],super1[Bairro],mercado13)+SUMIFS(supercb[Qtde],supercb[Item],tab_alimentos[[#This Row],[Item]],supercb[Bairro],mercado13)</f>
        <v>0</v>
      </c>
      <c r="Y221" s="64">
        <f>SUMIFS(super1[Qtde],super1[Item],tab_alimentos[[#This Row],[Item]],super1[Bairro],mercado14)+SUMIFS(supercb[Qtde],supercb[Item],tab_alimentos[[#This Row],[Item]],supercb[Bairro],mercado14)</f>
        <v>0</v>
      </c>
      <c r="Z221" s="64">
        <f>SUMIFS(super1[Qtde],super1[Item],tab_alimentos[[#This Row],[Item]],super1[Bairro],mercado15)+SUMIFS(supercb[Qtde],supercb[Item],tab_alimentos[[#This Row],[Item]],supercb[Bairro],mercado15)</f>
        <v>0</v>
      </c>
      <c r="AA221" s="64">
        <f>SUMIFS(super1[Qtde],super1[Item],tab_alimentos[[#This Row],[Item]],super1[Bairro],mercado16)+SUMIFS(supercb[Qtde],supercb[Item],tab_alimentos[[#This Row],[Item]],supercb[Bairro],mercado16)</f>
        <v>0</v>
      </c>
      <c r="AB221" s="64">
        <f>SUMIFS(super1[Qtde],super1[Item],tab_alimentos[[#This Row],[Item]],super1[Bairro],mercado17)+SUMIFS(supercb[Qtde],supercb[Item],tab_alimentos[[#This Row],[Item]],supercb[Bairro],mercado17)</f>
        <v>0</v>
      </c>
      <c r="AC221" s="64">
        <f>SUMIFS(super1[Qtde],super1[Item],tab_alimentos[[#This Row],[Item]],super1[Bairro],mercado18)+SUMIFS(supercb[Qtde],supercb[Item],tab_alimentos[[#This Row],[Item]],supercb[Bairro],mercado18)</f>
        <v>0</v>
      </c>
      <c r="AD221" s="64">
        <f>SUMIFS(super1[Qtde],super1[Item],tab_alimentos[[#This Row],[Item]],super1[Bairro],extras)+SUMIFS(supercb[Qtde],supercb[Item],tab_alimentos[[#This Row],[Item]],supercb[Bairro],extras)</f>
        <v>0</v>
      </c>
      <c r="AE221" s="61">
        <f t="shared" si="82"/>
        <v>1</v>
      </c>
      <c r="AF221" s="61">
        <f t="shared" si="83"/>
        <v>7.7350000000000003</v>
      </c>
      <c r="AG221" s="62">
        <f t="shared" si="84"/>
        <v>0.5</v>
      </c>
      <c r="AH221" s="15" t="e">
        <f>higiene[[#This Row],[Item]]</f>
        <v>#VALUE!</v>
      </c>
      <c r="AI221" s="8">
        <f>IFERROR(higiene[[#This Row],[Kg equivalente]],0)</f>
        <v>0</v>
      </c>
      <c r="AJ221" s="8">
        <f>IFERROR(higiene[[#This Row],[Preço por produto]],0)</f>
        <v>0</v>
      </c>
      <c r="AK221" s="61">
        <f>SUMIFS(super1[Qtde],super1[Item],tab_higiene[[#This Row],[Item]],super1[Bairro],mercado1)+SUMIFS(supercb[Qtde],supercb[Item],tab_higiene[[#This Row],[Item]],supercb[Bairro],mercado1)</f>
        <v>0</v>
      </c>
      <c r="AL221" s="61">
        <f>SUMIFS(super1[Qtde],super1[Item],tab_higiene[[#This Row],[Item]],super1[Bairro],mercado2)+SUMIFS(supercb[Qtde],supercb[Item],tab_higiene[[#This Row],[Item]],supercb[Bairro],mercado2)</f>
        <v>0</v>
      </c>
      <c r="AM221" s="61">
        <f>SUMIFS(super1[Qtde],super1[Item],tab_higiene[[#This Row],[Item]],super1[Bairro],mercado3)+SUMIFS(supercb[Qtde],supercb[Item],tab_higiene[[#This Row],[Item]],supercb[Bairro],mercado3)</f>
        <v>0</v>
      </c>
      <c r="AN221" s="61">
        <f>SUMIFS(super1[Qtde],super1[Item],tab_higiene[[#This Row],[Item]],super1[Bairro],mercado4)+SUMIFS(supercb[Qtde],supercb[Item],tab_higiene[[#This Row],[Item]],supercb[Bairro],mercado4)</f>
        <v>0</v>
      </c>
      <c r="AO221" s="61">
        <f>SUMIFS(super1[Qtde],super1[Item],tab_higiene[[#This Row],[Item]],super1[Bairro],mercado5)+SUMIFS(supercb[Qtde],supercb[Item],tab_higiene[[#This Row],[Item]],supercb[Bairro],mercado5)</f>
        <v>0</v>
      </c>
      <c r="AP221" s="61">
        <f>SUMIFS(super1[Qtde],super1[Item],tab_higiene[[#This Row],[Item]],super1[Bairro],mercado6)+SUMIFS(supercb[Qtde],supercb[Item],tab_higiene[[#This Row],[Item]],supercb[Bairro],mercado6)</f>
        <v>0</v>
      </c>
      <c r="AQ221" s="61">
        <f>SUMIFS(super1[Qtde],super1[Item],tab_higiene[[#This Row],[Item]],super1[Bairro],mercado7)+SUMIFS(supercb[Qtde],supercb[Item],tab_higiene[[#This Row],[Item]],supercb[Bairro],mercado7)</f>
        <v>0</v>
      </c>
      <c r="AR221" s="61">
        <f>SUMIFS(super1[Qtde],super1[Item],tab_higiene[[#This Row],[Item]],super1[Bairro],mercado8)+SUMIFS(supercb[Qtde],supercb[Item],tab_higiene[[#This Row],[Item]],supercb[Bairro],mercado8)</f>
        <v>0</v>
      </c>
      <c r="AS221" s="61">
        <f>SUMIFS(super1[Qtde],super1[Item],tab_higiene[[#This Row],[Item]],super1[Bairro],mercado9)+SUMIFS(supercb[Qtde],supercb[Item],tab_higiene[[#This Row],[Item]],supercb[Bairro],mercado9)</f>
        <v>0</v>
      </c>
      <c r="AT221" s="61">
        <f>SUMIFS(super1[Qtde],super1[Item],tab_higiene[[#This Row],[Item]],super1[Bairro],mercado10)+SUMIFS(supercb[Qtde],supercb[Item],tab_higiene[[#This Row],[Item]],supercb[Bairro],mercado10)</f>
        <v>0</v>
      </c>
      <c r="AU221" s="61">
        <f>SUMIFS(super1[Qtde],super1[Item],tab_higiene[[#This Row],[Item]],super1[Bairro],mercado11)+SUMIFS(supercb[Qtde],supercb[Item],tab_higiene[[#This Row],[Item]],supercb[Bairro],mercado11)</f>
        <v>0</v>
      </c>
      <c r="AV221" s="61">
        <f>SUMIFS(super1[Qtde],super1[Item],tab_higiene[[#This Row],[Item]],super1[Bairro],mercado12)+SUMIFS(supercb[Qtde],supercb[Item],tab_higiene[[#This Row],[Item]],supercb[Bairro],mercado12)</f>
        <v>0</v>
      </c>
      <c r="AW221" s="61">
        <f>SUMIFS(super1[Qtde],super1[Item],tab_higiene[[#This Row],[Item]],super1[Bairro],mercado13)+SUMIFS(supercb[Qtde],supercb[Item],tab_higiene[[#This Row],[Item]],supercb[Bairro],mercado13)</f>
        <v>0</v>
      </c>
      <c r="AX221" s="61">
        <f>SUMIFS(super1[Qtde],super1[Item],tab_higiene[[#This Row],[Item]],super1[Bairro],mercado14)+SUMIFS(supercb[Qtde],supercb[Item],tab_higiene[[#This Row],[Item]],supercb[Bairro],mercado14)</f>
        <v>0</v>
      </c>
      <c r="AY221" s="61">
        <f>SUMIFS(super1[Qtde],super1[Item],tab_higiene[[#This Row],[Item]],super1[Bairro],mercado15)+SUMIFS(supercb[Qtde],supercb[Item],tab_higiene[[#This Row],[Item]],supercb[Bairro],mercado15)</f>
        <v>0</v>
      </c>
      <c r="AZ221" s="61">
        <f>SUMIFS(super1[Qtde],super1[Item],tab_higiene[[#This Row],[Item]],super1[Bairro],mercado16)+SUMIFS(supercb[Qtde],supercb[Item],tab_higiene[[#This Row],[Item]],supercb[Bairro],mercado16)</f>
        <v>0</v>
      </c>
      <c r="BA221" s="61">
        <f>SUMIFS(super1[Qtde],super1[Item],tab_higiene[[#This Row],[Item]],super1[Bairro],mercado17)+SUMIFS(supercb[Qtde],supercb[Item],tab_higiene[[#This Row],[Item]],supercb[Bairro],mercado17)</f>
        <v>0</v>
      </c>
      <c r="BB221" s="61">
        <f>SUMIFS(super1[Qtde],super1[Item],tab_higiene[[#This Row],[Item]],super1[Bairro],mercado18)+SUMIFS(supercb[Qtde],supercb[Item],tab_higiene[[#This Row],[Item]],supercb[Bairro],mercado18)</f>
        <v>0</v>
      </c>
      <c r="BC221" s="51">
        <f>SUMIFS(super1[Qtde],super1[Item],tab_higiene[[#This Row],[Item]],super1[Bairro],extras)+SUMIFS(supercb[Qtde],supercb[Item],tab_higiene[[#This Row],[Item]],supercb[Bairro],extras)</f>
        <v>0</v>
      </c>
      <c r="BD221" s="8">
        <f t="shared" si="85"/>
        <v>0</v>
      </c>
      <c r="BE221" s="8">
        <f t="shared" si="86"/>
        <v>0</v>
      </c>
      <c r="BF221" s="23">
        <f t="shared" si="87"/>
        <v>0</v>
      </c>
    </row>
    <row r="222" spans="9:58" ht="15.75" thickBot="1" x14ac:dyDescent="0.3">
      <c r="I222" s="65" t="str">
        <f>alimentos[[#This Row],[Item]]</f>
        <v>Pipoca doce (100g)</v>
      </c>
      <c r="J222" s="61">
        <f>IFERROR(alimentos[[#This Row],[kg/embalagem]],0)</f>
        <v>0.1</v>
      </c>
      <c r="K222" s="64">
        <f>IFERROR(alimentos[[#This Row],[Preço]],0)</f>
        <v>5.39</v>
      </c>
      <c r="L222" s="64">
        <f>SUMIFS(super1[Qtde],super1[Item],tab_alimentos[[#This Row],[Item]],super1[Bairro],mercado1)+SUMIFS(supercb[Qtde],supercb[Item],tab_alimentos[[#This Row],[Item]],supercb[Bairro],mercado1)</f>
        <v>0</v>
      </c>
      <c r="M222" s="64">
        <f>SUMIFS(super1[Qtde],super1[Item],tab_alimentos[[#This Row],[Item]],super1[Bairro],mercado2)+SUMIFS(supercb[Qtde],supercb[Item],tab_alimentos[[#This Row],[Item]],supercb[Bairro],mercado2)</f>
        <v>0</v>
      </c>
      <c r="N222" s="61">
        <f>SUMIFS(super1[Qtde],super1[Item],tab_alimentos[[#This Row],[Item]],super1[Bairro],mercado3)+SUMIFS(supercb[Qtde],supercb[Item],tab_alimentos[[#This Row],[Item]],supercb[Bairro],mercado3)</f>
        <v>0</v>
      </c>
      <c r="O222" s="64">
        <f>SUMIFS(super1[Qtde],super1[Item],tab_alimentos[[#This Row],[Item]],super1[Bairro],mercado4)+SUMIFS(supercb[Qtde],supercb[Item],tab_alimentos[[#This Row],[Item]],supercb[Bairro],mercado4)</f>
        <v>0</v>
      </c>
      <c r="P222" s="64">
        <f>SUMIFS(super1[Qtde],super1[Item],tab_alimentos[[#This Row],[Item]],super1[Bairro],mercado5)+SUMIFS(supercb[Qtde],supercb[Item],tab_alimentos[[#This Row],[Item]],supercb[Bairro],mercado5)</f>
        <v>0</v>
      </c>
      <c r="Q222" s="64">
        <f>SUMIFS(super1[Qtde],super1[Item],tab_alimentos[[#This Row],[Item]],super1[Bairro],mercado6)+SUMIFS(supercb[Qtde],supercb[Item],tab_alimentos[[#This Row],[Item]],supercb[Bairro],mercado6)</f>
        <v>0</v>
      </c>
      <c r="R222" s="64">
        <f>SUMIFS(super1[Qtde],super1[Item],tab_alimentos[[#This Row],[Item]],super1[Bairro],mercado7)+SUMIFS(supercb[Qtde],supercb[Item],tab_alimentos[[#This Row],[Item]],supercb[Bairro],mercado7)</f>
        <v>1</v>
      </c>
      <c r="S222" s="64">
        <f>SUMIFS(super1[Qtde],super1[Item],tab_alimentos[[#This Row],[Item]],super1[Bairro],mercado8)+SUMIFS(supercb[Qtde],supercb[Item],tab_alimentos[[#This Row],[Item]],supercb[Bairro],mercado8)</f>
        <v>0</v>
      </c>
      <c r="T222" s="64">
        <f>SUMIFS(super1[Qtde],super1[Item],tab_alimentos[[#This Row],[Item]],super1[Bairro],mercado9)+SUMIFS(supercb[Qtde],supercb[Item],tab_alimentos[[#This Row],[Item]],supercb[Bairro],mercado9)</f>
        <v>0</v>
      </c>
      <c r="U222" s="64">
        <f>SUMIFS(super1[Qtde],super1[Item],tab_alimentos[[#This Row],[Item]],super1[Bairro],mercado10)+SUMIFS(supercb[Qtde],supercb[Item],tab_alimentos[[#This Row],[Item]],supercb[Bairro],mercado10)</f>
        <v>0</v>
      </c>
      <c r="V222" s="64">
        <f>SUMIFS(super1[Qtde],super1[Item],tab_alimentos[[#This Row],[Item]],super1[Bairro],mercado11)+SUMIFS(supercb[Qtde],supercb[Item],tab_alimentos[[#This Row],[Item]],supercb[Bairro],mercado11)</f>
        <v>0</v>
      </c>
      <c r="W222" s="64">
        <f>SUMIFS(super1[Qtde],super1[Item],tab_alimentos[[#This Row],[Item]],super1[Bairro],mercado12)+SUMIFS(supercb[Qtde],supercb[Item],tab_alimentos[[#This Row],[Item]],supercb[Bairro],mercado12)</f>
        <v>0</v>
      </c>
      <c r="X222" s="64">
        <f>SUMIFS(super1[Qtde],super1[Item],tab_alimentos[[#This Row],[Item]],super1[Bairro],mercado13)+SUMIFS(supercb[Qtde],supercb[Item],tab_alimentos[[#This Row],[Item]],supercb[Bairro],mercado13)</f>
        <v>0</v>
      </c>
      <c r="Y222" s="64">
        <f>SUMIFS(super1[Qtde],super1[Item],tab_alimentos[[#This Row],[Item]],super1[Bairro],mercado14)+SUMIFS(supercb[Qtde],supercb[Item],tab_alimentos[[#This Row],[Item]],supercb[Bairro],mercado14)</f>
        <v>0</v>
      </c>
      <c r="Z222" s="64">
        <f>SUMIFS(super1[Qtde],super1[Item],tab_alimentos[[#This Row],[Item]],super1[Bairro],mercado15)+SUMIFS(supercb[Qtde],supercb[Item],tab_alimentos[[#This Row],[Item]],supercb[Bairro],mercado15)</f>
        <v>0</v>
      </c>
      <c r="AA222" s="64">
        <f>SUMIFS(super1[Qtde],super1[Item],tab_alimentos[[#This Row],[Item]],super1[Bairro],mercado16)+SUMIFS(supercb[Qtde],supercb[Item],tab_alimentos[[#This Row],[Item]],supercb[Bairro],mercado16)</f>
        <v>0</v>
      </c>
      <c r="AB222" s="64">
        <f>SUMIFS(super1[Qtde],super1[Item],tab_alimentos[[#This Row],[Item]],super1[Bairro],mercado17)+SUMIFS(supercb[Qtde],supercb[Item],tab_alimentos[[#This Row],[Item]],supercb[Bairro],mercado17)</f>
        <v>0</v>
      </c>
      <c r="AC222" s="64">
        <f>SUMIFS(super1[Qtde],super1[Item],tab_alimentos[[#This Row],[Item]],super1[Bairro],mercado18)+SUMIFS(supercb[Qtde],supercb[Item],tab_alimentos[[#This Row],[Item]],supercb[Bairro],mercado18)</f>
        <v>0</v>
      </c>
      <c r="AD222" s="64">
        <f>SUMIFS(super1[Qtde],super1[Item],tab_alimentos[[#This Row],[Item]],super1[Bairro],extras)+SUMIFS(supercb[Qtde],supercb[Item],tab_alimentos[[#This Row],[Item]],supercb[Bairro],extras)</f>
        <v>0</v>
      </c>
      <c r="AE222" s="61">
        <f t="shared" si="82"/>
        <v>1</v>
      </c>
      <c r="AF222" s="61">
        <f t="shared" si="83"/>
        <v>5.39</v>
      </c>
      <c r="AG222" s="62">
        <f t="shared" si="84"/>
        <v>0.1</v>
      </c>
      <c r="AH222" s="15" t="e">
        <f>higiene[[#This Row],[Item]]</f>
        <v>#VALUE!</v>
      </c>
      <c r="AI222" s="8">
        <f>IFERROR(higiene[[#This Row],[Kg equivalente]],0)</f>
        <v>0</v>
      </c>
      <c r="AJ222" s="8">
        <f>IFERROR(higiene[[#This Row],[Preço por produto]],0)</f>
        <v>0</v>
      </c>
      <c r="AK222" s="61">
        <f>SUMIFS(super1[Qtde],super1[Item],tab_higiene[[#This Row],[Item]],super1[Bairro],mercado1)+SUMIFS(supercb[Qtde],supercb[Item],tab_higiene[[#This Row],[Item]],supercb[Bairro],mercado1)</f>
        <v>0</v>
      </c>
      <c r="AL222" s="61">
        <f>SUMIFS(super1[Qtde],super1[Item],tab_higiene[[#This Row],[Item]],super1[Bairro],mercado2)+SUMIFS(supercb[Qtde],supercb[Item],tab_higiene[[#This Row],[Item]],supercb[Bairro],mercado2)</f>
        <v>0</v>
      </c>
      <c r="AM222" s="61">
        <f>SUMIFS(super1[Qtde],super1[Item],tab_higiene[[#This Row],[Item]],super1[Bairro],mercado3)+SUMIFS(supercb[Qtde],supercb[Item],tab_higiene[[#This Row],[Item]],supercb[Bairro],mercado3)</f>
        <v>0</v>
      </c>
      <c r="AN222" s="61">
        <f>SUMIFS(super1[Qtde],super1[Item],tab_higiene[[#This Row],[Item]],super1[Bairro],mercado4)+SUMIFS(supercb[Qtde],supercb[Item],tab_higiene[[#This Row],[Item]],supercb[Bairro],mercado4)</f>
        <v>0</v>
      </c>
      <c r="AO222" s="61">
        <f>SUMIFS(super1[Qtde],super1[Item],tab_higiene[[#This Row],[Item]],super1[Bairro],mercado5)+SUMIFS(supercb[Qtde],supercb[Item],tab_higiene[[#This Row],[Item]],supercb[Bairro],mercado5)</f>
        <v>0</v>
      </c>
      <c r="AP222" s="61">
        <f>SUMIFS(super1[Qtde],super1[Item],tab_higiene[[#This Row],[Item]],super1[Bairro],mercado6)+SUMIFS(supercb[Qtde],supercb[Item],tab_higiene[[#This Row],[Item]],supercb[Bairro],mercado6)</f>
        <v>0</v>
      </c>
      <c r="AQ222" s="61">
        <f>SUMIFS(super1[Qtde],super1[Item],tab_higiene[[#This Row],[Item]],super1[Bairro],mercado7)+SUMIFS(supercb[Qtde],supercb[Item],tab_higiene[[#This Row],[Item]],supercb[Bairro],mercado7)</f>
        <v>0</v>
      </c>
      <c r="AR222" s="61">
        <f>SUMIFS(super1[Qtde],super1[Item],tab_higiene[[#This Row],[Item]],super1[Bairro],mercado8)+SUMIFS(supercb[Qtde],supercb[Item],tab_higiene[[#This Row],[Item]],supercb[Bairro],mercado8)</f>
        <v>0</v>
      </c>
      <c r="AS222" s="61">
        <f>SUMIFS(super1[Qtde],super1[Item],tab_higiene[[#This Row],[Item]],super1[Bairro],mercado9)+SUMIFS(supercb[Qtde],supercb[Item],tab_higiene[[#This Row],[Item]],supercb[Bairro],mercado9)</f>
        <v>0</v>
      </c>
      <c r="AT222" s="61">
        <f>SUMIFS(super1[Qtde],super1[Item],tab_higiene[[#This Row],[Item]],super1[Bairro],mercado10)+SUMIFS(supercb[Qtde],supercb[Item],tab_higiene[[#This Row],[Item]],supercb[Bairro],mercado10)</f>
        <v>0</v>
      </c>
      <c r="AU222" s="61">
        <f>SUMIFS(super1[Qtde],super1[Item],tab_higiene[[#This Row],[Item]],super1[Bairro],mercado11)+SUMIFS(supercb[Qtde],supercb[Item],tab_higiene[[#This Row],[Item]],supercb[Bairro],mercado11)</f>
        <v>0</v>
      </c>
      <c r="AV222" s="61">
        <f>SUMIFS(super1[Qtde],super1[Item],tab_higiene[[#This Row],[Item]],super1[Bairro],mercado12)+SUMIFS(supercb[Qtde],supercb[Item],tab_higiene[[#This Row],[Item]],supercb[Bairro],mercado12)</f>
        <v>0</v>
      </c>
      <c r="AW222" s="61">
        <f>SUMIFS(super1[Qtde],super1[Item],tab_higiene[[#This Row],[Item]],super1[Bairro],mercado13)+SUMIFS(supercb[Qtde],supercb[Item],tab_higiene[[#This Row],[Item]],supercb[Bairro],mercado13)</f>
        <v>0</v>
      </c>
      <c r="AX222" s="61">
        <f>SUMIFS(super1[Qtde],super1[Item],tab_higiene[[#This Row],[Item]],super1[Bairro],mercado14)+SUMIFS(supercb[Qtde],supercb[Item],tab_higiene[[#This Row],[Item]],supercb[Bairro],mercado14)</f>
        <v>0</v>
      </c>
      <c r="AY222" s="61">
        <f>SUMIFS(super1[Qtde],super1[Item],tab_higiene[[#This Row],[Item]],super1[Bairro],mercado15)+SUMIFS(supercb[Qtde],supercb[Item],tab_higiene[[#This Row],[Item]],supercb[Bairro],mercado15)</f>
        <v>0</v>
      </c>
      <c r="AZ222" s="61">
        <f>SUMIFS(super1[Qtde],super1[Item],tab_higiene[[#This Row],[Item]],super1[Bairro],mercado16)+SUMIFS(supercb[Qtde],supercb[Item],tab_higiene[[#This Row],[Item]],supercb[Bairro],mercado16)</f>
        <v>0</v>
      </c>
      <c r="BA222" s="61">
        <f>SUMIFS(super1[Qtde],super1[Item],tab_higiene[[#This Row],[Item]],super1[Bairro],mercado17)+SUMIFS(supercb[Qtde],supercb[Item],tab_higiene[[#This Row],[Item]],supercb[Bairro],mercado17)</f>
        <v>0</v>
      </c>
      <c r="BB222" s="61">
        <f>SUMIFS(super1[Qtde],super1[Item],tab_higiene[[#This Row],[Item]],super1[Bairro],mercado18)+SUMIFS(supercb[Qtde],supercb[Item],tab_higiene[[#This Row],[Item]],supercb[Bairro],mercado18)</f>
        <v>0</v>
      </c>
      <c r="BC222" s="51">
        <f>SUMIFS(super1[Qtde],super1[Item],tab_higiene[[#This Row],[Item]],super1[Bairro],extras)+SUMIFS(supercb[Qtde],supercb[Item],tab_higiene[[#This Row],[Item]],supercb[Bairro],extras)</f>
        <v>0</v>
      </c>
      <c r="BD222" s="8">
        <f t="shared" si="85"/>
        <v>0</v>
      </c>
      <c r="BE222" s="8">
        <f t="shared" si="86"/>
        <v>0</v>
      </c>
      <c r="BF222" s="23">
        <f t="shared" si="87"/>
        <v>0</v>
      </c>
    </row>
    <row r="223" spans="9:58" ht="15.75" thickBot="1" x14ac:dyDescent="0.3">
      <c r="I223" s="65" t="str">
        <f>alimentos[[#This Row],[Item]]</f>
        <v>Polenta (1kg)</v>
      </c>
      <c r="J223" s="61">
        <f>IFERROR(alimentos[[#This Row],[kg/embalagem]],0)</f>
        <v>1</v>
      </c>
      <c r="K223" s="64">
        <f>IFERROR(alimentos[[#This Row],[Preço]],0)</f>
        <v>7.29</v>
      </c>
      <c r="L223" s="64">
        <f>SUMIFS(super1[Qtde],super1[Item],tab_alimentos[[#This Row],[Item]],super1[Bairro],mercado1)+SUMIFS(supercb[Qtde],supercb[Item],tab_alimentos[[#This Row],[Item]],supercb[Bairro],mercado1)</f>
        <v>0</v>
      </c>
      <c r="M223" s="64">
        <f>SUMIFS(super1[Qtde],super1[Item],tab_alimentos[[#This Row],[Item]],super1[Bairro],mercado2)+SUMIFS(supercb[Qtde],supercb[Item],tab_alimentos[[#This Row],[Item]],supercb[Bairro],mercado2)</f>
        <v>0</v>
      </c>
      <c r="N223" s="61">
        <f>SUMIFS(super1[Qtde],super1[Item],tab_alimentos[[#This Row],[Item]],super1[Bairro],mercado3)+SUMIFS(supercb[Qtde],supercb[Item],tab_alimentos[[#This Row],[Item]],supercb[Bairro],mercado3)</f>
        <v>0</v>
      </c>
      <c r="O223" s="64">
        <f>SUMIFS(super1[Qtde],super1[Item],tab_alimentos[[#This Row],[Item]],super1[Bairro],mercado4)+SUMIFS(supercb[Qtde],supercb[Item],tab_alimentos[[#This Row],[Item]],supercb[Bairro],mercado4)</f>
        <v>0</v>
      </c>
      <c r="P223" s="64">
        <f>SUMIFS(super1[Qtde],super1[Item],tab_alimentos[[#This Row],[Item]],super1[Bairro],mercado5)+SUMIFS(supercb[Qtde],supercb[Item],tab_alimentos[[#This Row],[Item]],supercb[Bairro],mercado5)</f>
        <v>0</v>
      </c>
      <c r="Q223" s="64">
        <f>SUMIFS(super1[Qtde],super1[Item],tab_alimentos[[#This Row],[Item]],super1[Bairro],mercado6)+SUMIFS(supercb[Qtde],supercb[Item],tab_alimentos[[#This Row],[Item]],supercb[Bairro],mercado6)</f>
        <v>0</v>
      </c>
      <c r="R223" s="64">
        <f>SUMIFS(super1[Qtde],super1[Item],tab_alimentos[[#This Row],[Item]],super1[Bairro],mercado7)+SUMIFS(supercb[Qtde],supercb[Item],tab_alimentos[[#This Row],[Item]],supercb[Bairro],mercado7)</f>
        <v>0</v>
      </c>
      <c r="S223" s="64">
        <f>SUMIFS(super1[Qtde],super1[Item],tab_alimentos[[#This Row],[Item]],super1[Bairro],mercado8)+SUMIFS(supercb[Qtde],supercb[Item],tab_alimentos[[#This Row],[Item]],supercb[Bairro],mercado8)</f>
        <v>0</v>
      </c>
      <c r="T223" s="64">
        <f>SUMIFS(super1[Qtde],super1[Item],tab_alimentos[[#This Row],[Item]],super1[Bairro],mercado9)+SUMIFS(supercb[Qtde],supercb[Item],tab_alimentos[[#This Row],[Item]],supercb[Bairro],mercado9)</f>
        <v>0</v>
      </c>
      <c r="U223" s="64">
        <f>SUMIFS(super1[Qtde],super1[Item],tab_alimentos[[#This Row],[Item]],super1[Bairro],mercado10)+SUMIFS(supercb[Qtde],supercb[Item],tab_alimentos[[#This Row],[Item]],supercb[Bairro],mercado10)</f>
        <v>0</v>
      </c>
      <c r="V223" s="64">
        <f>SUMIFS(super1[Qtde],super1[Item],tab_alimentos[[#This Row],[Item]],super1[Bairro],mercado11)+SUMIFS(supercb[Qtde],supercb[Item],tab_alimentos[[#This Row],[Item]],supercb[Bairro],mercado11)</f>
        <v>0</v>
      </c>
      <c r="W223" s="64">
        <f>SUMIFS(super1[Qtde],super1[Item],tab_alimentos[[#This Row],[Item]],super1[Bairro],mercado12)+SUMIFS(supercb[Qtde],supercb[Item],tab_alimentos[[#This Row],[Item]],supercb[Bairro],mercado12)</f>
        <v>0</v>
      </c>
      <c r="X223" s="64">
        <f>SUMIFS(super1[Qtde],super1[Item],tab_alimentos[[#This Row],[Item]],super1[Bairro],mercado13)+SUMIFS(supercb[Qtde],supercb[Item],tab_alimentos[[#This Row],[Item]],supercb[Bairro],mercado13)</f>
        <v>0</v>
      </c>
      <c r="Y223" s="64">
        <f>SUMIFS(super1[Qtde],super1[Item],tab_alimentos[[#This Row],[Item]],super1[Bairro],mercado14)+SUMIFS(supercb[Qtde],supercb[Item],tab_alimentos[[#This Row],[Item]],supercb[Bairro],mercado14)</f>
        <v>0</v>
      </c>
      <c r="Z223" s="64">
        <f>SUMIFS(super1[Qtde],super1[Item],tab_alimentos[[#This Row],[Item]],super1[Bairro],mercado15)+SUMIFS(supercb[Qtde],supercb[Item],tab_alimentos[[#This Row],[Item]],supercb[Bairro],mercado15)</f>
        <v>0</v>
      </c>
      <c r="AA223" s="64">
        <f>SUMIFS(super1[Qtde],super1[Item],tab_alimentos[[#This Row],[Item]],super1[Bairro],mercado16)+SUMIFS(supercb[Qtde],supercb[Item],tab_alimentos[[#This Row],[Item]],supercb[Bairro],mercado16)</f>
        <v>0</v>
      </c>
      <c r="AB223" s="64">
        <f>SUMIFS(super1[Qtde],super1[Item],tab_alimentos[[#This Row],[Item]],super1[Bairro],mercado17)+SUMIFS(supercb[Qtde],supercb[Item],tab_alimentos[[#This Row],[Item]],supercb[Bairro],mercado17)</f>
        <v>0</v>
      </c>
      <c r="AC223" s="64">
        <f>SUMIFS(super1[Qtde],super1[Item],tab_alimentos[[#This Row],[Item]],super1[Bairro],mercado18)+SUMIFS(supercb[Qtde],supercb[Item],tab_alimentos[[#This Row],[Item]],supercb[Bairro],mercado18)</f>
        <v>0</v>
      </c>
      <c r="AD223" s="64">
        <f>SUMIFS(super1[Qtde],super1[Item],tab_alimentos[[#This Row],[Item]],super1[Bairro],extras)+SUMIFS(supercb[Qtde],supercb[Item],tab_alimentos[[#This Row],[Item]],supercb[Bairro],extras)</f>
        <v>0</v>
      </c>
      <c r="AE223" s="61">
        <f t="shared" si="82"/>
        <v>0</v>
      </c>
      <c r="AF223" s="61">
        <f t="shared" si="83"/>
        <v>0</v>
      </c>
      <c r="AG223" s="62">
        <f t="shared" si="84"/>
        <v>0</v>
      </c>
      <c r="AH223" s="15" t="e">
        <f>higiene[[#This Row],[Item]]</f>
        <v>#VALUE!</v>
      </c>
      <c r="AI223" s="8">
        <f>IFERROR(higiene[[#This Row],[Kg equivalente]],0)</f>
        <v>0</v>
      </c>
      <c r="AJ223" s="8">
        <f>IFERROR(higiene[[#This Row],[Preço por produto]],0)</f>
        <v>0</v>
      </c>
      <c r="AK223" s="61">
        <f>SUMIFS(super1[Qtde],super1[Item],tab_higiene[[#This Row],[Item]],super1[Bairro],mercado1)+SUMIFS(supercb[Qtde],supercb[Item],tab_higiene[[#This Row],[Item]],supercb[Bairro],mercado1)</f>
        <v>0</v>
      </c>
      <c r="AL223" s="61">
        <f>SUMIFS(super1[Qtde],super1[Item],tab_higiene[[#This Row],[Item]],super1[Bairro],mercado2)+SUMIFS(supercb[Qtde],supercb[Item],tab_higiene[[#This Row],[Item]],supercb[Bairro],mercado2)</f>
        <v>0</v>
      </c>
      <c r="AM223" s="61">
        <f>SUMIFS(super1[Qtde],super1[Item],tab_higiene[[#This Row],[Item]],super1[Bairro],mercado3)+SUMIFS(supercb[Qtde],supercb[Item],tab_higiene[[#This Row],[Item]],supercb[Bairro],mercado3)</f>
        <v>0</v>
      </c>
      <c r="AN223" s="61">
        <f>SUMIFS(super1[Qtde],super1[Item],tab_higiene[[#This Row],[Item]],super1[Bairro],mercado4)+SUMIFS(supercb[Qtde],supercb[Item],tab_higiene[[#This Row],[Item]],supercb[Bairro],mercado4)</f>
        <v>0</v>
      </c>
      <c r="AO223" s="61">
        <f>SUMIFS(super1[Qtde],super1[Item],tab_higiene[[#This Row],[Item]],super1[Bairro],mercado5)+SUMIFS(supercb[Qtde],supercb[Item],tab_higiene[[#This Row],[Item]],supercb[Bairro],mercado5)</f>
        <v>0</v>
      </c>
      <c r="AP223" s="61">
        <f>SUMIFS(super1[Qtde],super1[Item],tab_higiene[[#This Row],[Item]],super1[Bairro],mercado6)+SUMIFS(supercb[Qtde],supercb[Item],tab_higiene[[#This Row],[Item]],supercb[Bairro],mercado6)</f>
        <v>0</v>
      </c>
      <c r="AQ223" s="61">
        <f>SUMIFS(super1[Qtde],super1[Item],tab_higiene[[#This Row],[Item]],super1[Bairro],mercado7)+SUMIFS(supercb[Qtde],supercb[Item],tab_higiene[[#This Row],[Item]],supercb[Bairro],mercado7)</f>
        <v>0</v>
      </c>
      <c r="AR223" s="61">
        <f>SUMIFS(super1[Qtde],super1[Item],tab_higiene[[#This Row],[Item]],super1[Bairro],mercado8)+SUMIFS(supercb[Qtde],supercb[Item],tab_higiene[[#This Row],[Item]],supercb[Bairro],mercado8)</f>
        <v>0</v>
      </c>
      <c r="AS223" s="61">
        <f>SUMIFS(super1[Qtde],super1[Item],tab_higiene[[#This Row],[Item]],super1[Bairro],mercado9)+SUMIFS(supercb[Qtde],supercb[Item],tab_higiene[[#This Row],[Item]],supercb[Bairro],mercado9)</f>
        <v>0</v>
      </c>
      <c r="AT223" s="61">
        <f>SUMIFS(super1[Qtde],super1[Item],tab_higiene[[#This Row],[Item]],super1[Bairro],mercado10)+SUMIFS(supercb[Qtde],supercb[Item],tab_higiene[[#This Row],[Item]],supercb[Bairro],mercado10)</f>
        <v>0</v>
      </c>
      <c r="AU223" s="61">
        <f>SUMIFS(super1[Qtde],super1[Item],tab_higiene[[#This Row],[Item]],super1[Bairro],mercado11)+SUMIFS(supercb[Qtde],supercb[Item],tab_higiene[[#This Row],[Item]],supercb[Bairro],mercado11)</f>
        <v>0</v>
      </c>
      <c r="AV223" s="61">
        <f>SUMIFS(super1[Qtde],super1[Item],tab_higiene[[#This Row],[Item]],super1[Bairro],mercado12)+SUMIFS(supercb[Qtde],supercb[Item],tab_higiene[[#This Row],[Item]],supercb[Bairro],mercado12)</f>
        <v>0</v>
      </c>
      <c r="AW223" s="61">
        <f>SUMIFS(super1[Qtde],super1[Item],tab_higiene[[#This Row],[Item]],super1[Bairro],mercado13)+SUMIFS(supercb[Qtde],supercb[Item],tab_higiene[[#This Row],[Item]],supercb[Bairro],mercado13)</f>
        <v>0</v>
      </c>
      <c r="AX223" s="61">
        <f>SUMIFS(super1[Qtde],super1[Item],tab_higiene[[#This Row],[Item]],super1[Bairro],mercado14)+SUMIFS(supercb[Qtde],supercb[Item],tab_higiene[[#This Row],[Item]],supercb[Bairro],mercado14)</f>
        <v>0</v>
      </c>
      <c r="AY223" s="61">
        <f>SUMIFS(super1[Qtde],super1[Item],tab_higiene[[#This Row],[Item]],super1[Bairro],mercado15)+SUMIFS(supercb[Qtde],supercb[Item],tab_higiene[[#This Row],[Item]],supercb[Bairro],mercado15)</f>
        <v>0</v>
      </c>
      <c r="AZ223" s="61">
        <f>SUMIFS(super1[Qtde],super1[Item],tab_higiene[[#This Row],[Item]],super1[Bairro],mercado16)+SUMIFS(supercb[Qtde],supercb[Item],tab_higiene[[#This Row],[Item]],supercb[Bairro],mercado16)</f>
        <v>0</v>
      </c>
      <c r="BA223" s="61">
        <f>SUMIFS(super1[Qtde],super1[Item],tab_higiene[[#This Row],[Item]],super1[Bairro],mercado17)+SUMIFS(supercb[Qtde],supercb[Item],tab_higiene[[#This Row],[Item]],supercb[Bairro],mercado17)</f>
        <v>0</v>
      </c>
      <c r="BB223" s="61">
        <f>SUMIFS(super1[Qtde],super1[Item],tab_higiene[[#This Row],[Item]],super1[Bairro],mercado18)+SUMIFS(supercb[Qtde],supercb[Item],tab_higiene[[#This Row],[Item]],supercb[Bairro],mercado18)</f>
        <v>0</v>
      </c>
      <c r="BC223" s="51">
        <f>SUMIFS(super1[Qtde],super1[Item],tab_higiene[[#This Row],[Item]],super1[Bairro],extras)+SUMIFS(supercb[Qtde],supercb[Item],tab_higiene[[#This Row],[Item]],supercb[Bairro],extras)</f>
        <v>0</v>
      </c>
      <c r="BD223" s="8">
        <f t="shared" si="85"/>
        <v>0</v>
      </c>
      <c r="BE223" s="8">
        <f t="shared" si="86"/>
        <v>0</v>
      </c>
      <c r="BF223" s="23">
        <f t="shared" si="87"/>
        <v>0</v>
      </c>
    </row>
    <row r="224" spans="9:58" ht="15.75" thickBot="1" x14ac:dyDescent="0.3">
      <c r="I224" s="65" t="str">
        <f>alimentos[[#This Row],[Item]]</f>
        <v>Polenta (500g)</v>
      </c>
      <c r="J224" s="61">
        <f>IFERROR(alimentos[[#This Row],[kg/embalagem]],0)</f>
        <v>0.5</v>
      </c>
      <c r="K224" s="64">
        <f>IFERROR(alimentos[[#This Row],[Preço]],0)</f>
        <v>3.22</v>
      </c>
      <c r="L224" s="64">
        <f>SUMIFS(super1[Qtde],super1[Item],tab_alimentos[[#This Row],[Item]],super1[Bairro],mercado1)+SUMIFS(supercb[Qtde],supercb[Item],tab_alimentos[[#This Row],[Item]],supercb[Bairro],mercado1)</f>
        <v>0</v>
      </c>
      <c r="M224" s="64">
        <f>SUMIFS(super1[Qtde],super1[Item],tab_alimentos[[#This Row],[Item]],super1[Bairro],mercado2)+SUMIFS(supercb[Qtde],supercb[Item],tab_alimentos[[#This Row],[Item]],supercb[Bairro],mercado2)</f>
        <v>0</v>
      </c>
      <c r="N224" s="61">
        <f>SUMIFS(super1[Qtde],super1[Item],tab_alimentos[[#This Row],[Item]],super1[Bairro],mercado3)+SUMIFS(supercb[Qtde],supercb[Item],tab_alimentos[[#This Row],[Item]],supercb[Bairro],mercado3)</f>
        <v>0</v>
      </c>
      <c r="O224" s="64">
        <f>SUMIFS(super1[Qtde],super1[Item],tab_alimentos[[#This Row],[Item]],super1[Bairro],mercado4)+SUMIFS(supercb[Qtde],supercb[Item],tab_alimentos[[#This Row],[Item]],supercb[Bairro],mercado4)</f>
        <v>0</v>
      </c>
      <c r="P224" s="64">
        <f>SUMIFS(super1[Qtde],super1[Item],tab_alimentos[[#This Row],[Item]],super1[Bairro],mercado5)+SUMIFS(supercb[Qtde],supercb[Item],tab_alimentos[[#This Row],[Item]],supercb[Bairro],mercado5)</f>
        <v>0</v>
      </c>
      <c r="Q224" s="64">
        <f>SUMIFS(super1[Qtde],super1[Item],tab_alimentos[[#This Row],[Item]],super1[Bairro],mercado6)+SUMIFS(supercb[Qtde],supercb[Item],tab_alimentos[[#This Row],[Item]],supercb[Bairro],mercado6)</f>
        <v>0</v>
      </c>
      <c r="R224" s="64">
        <f>SUMIFS(super1[Qtde],super1[Item],tab_alimentos[[#This Row],[Item]],super1[Bairro],mercado7)+SUMIFS(supercb[Qtde],supercb[Item],tab_alimentos[[#This Row],[Item]],supercb[Bairro],mercado7)</f>
        <v>0</v>
      </c>
      <c r="S224" s="64">
        <f>SUMIFS(super1[Qtde],super1[Item],tab_alimentos[[#This Row],[Item]],super1[Bairro],mercado8)+SUMIFS(supercb[Qtde],supercb[Item],tab_alimentos[[#This Row],[Item]],supercb[Bairro],mercado8)</f>
        <v>0</v>
      </c>
      <c r="T224" s="64">
        <f>SUMIFS(super1[Qtde],super1[Item],tab_alimentos[[#This Row],[Item]],super1[Bairro],mercado9)+SUMIFS(supercb[Qtde],supercb[Item],tab_alimentos[[#This Row],[Item]],supercb[Bairro],mercado9)</f>
        <v>1</v>
      </c>
      <c r="U224" s="64">
        <f>SUMIFS(super1[Qtde],super1[Item],tab_alimentos[[#This Row],[Item]],super1[Bairro],mercado10)+SUMIFS(supercb[Qtde],supercb[Item],tab_alimentos[[#This Row],[Item]],supercb[Bairro],mercado10)</f>
        <v>0</v>
      </c>
      <c r="V224" s="64">
        <f>SUMIFS(super1[Qtde],super1[Item],tab_alimentos[[#This Row],[Item]],super1[Bairro],mercado11)+SUMIFS(supercb[Qtde],supercb[Item],tab_alimentos[[#This Row],[Item]],supercb[Bairro],mercado11)</f>
        <v>0</v>
      </c>
      <c r="W224" s="64">
        <f>SUMIFS(super1[Qtde],super1[Item],tab_alimentos[[#This Row],[Item]],super1[Bairro],mercado12)+SUMIFS(supercb[Qtde],supercb[Item],tab_alimentos[[#This Row],[Item]],supercb[Bairro],mercado12)</f>
        <v>0</v>
      </c>
      <c r="X224" s="64">
        <f>SUMIFS(super1[Qtde],super1[Item],tab_alimentos[[#This Row],[Item]],super1[Bairro],mercado13)+SUMIFS(supercb[Qtde],supercb[Item],tab_alimentos[[#This Row],[Item]],supercb[Bairro],mercado13)</f>
        <v>0</v>
      </c>
      <c r="Y224" s="64">
        <f>SUMIFS(super1[Qtde],super1[Item],tab_alimentos[[#This Row],[Item]],super1[Bairro],mercado14)+SUMIFS(supercb[Qtde],supercb[Item],tab_alimentos[[#This Row],[Item]],supercb[Bairro],mercado14)</f>
        <v>0</v>
      </c>
      <c r="Z224" s="64">
        <f>SUMIFS(super1[Qtde],super1[Item],tab_alimentos[[#This Row],[Item]],super1[Bairro],mercado15)+SUMIFS(supercb[Qtde],supercb[Item],tab_alimentos[[#This Row],[Item]],supercb[Bairro],mercado15)</f>
        <v>0</v>
      </c>
      <c r="AA224" s="64">
        <f>SUMIFS(super1[Qtde],super1[Item],tab_alimentos[[#This Row],[Item]],super1[Bairro],mercado16)+SUMIFS(supercb[Qtde],supercb[Item],tab_alimentos[[#This Row],[Item]],supercb[Bairro],mercado16)</f>
        <v>0</v>
      </c>
      <c r="AB224" s="64">
        <f>SUMIFS(super1[Qtde],super1[Item],tab_alimentos[[#This Row],[Item]],super1[Bairro],mercado17)+SUMIFS(supercb[Qtde],supercb[Item],tab_alimentos[[#This Row],[Item]],supercb[Bairro],mercado17)</f>
        <v>0</v>
      </c>
      <c r="AC224" s="64">
        <f>SUMIFS(super1[Qtde],super1[Item],tab_alimentos[[#This Row],[Item]],super1[Bairro],mercado18)+SUMIFS(supercb[Qtde],supercb[Item],tab_alimentos[[#This Row],[Item]],supercb[Bairro],mercado18)</f>
        <v>0</v>
      </c>
      <c r="AD224" s="64">
        <f>SUMIFS(super1[Qtde],super1[Item],tab_alimentos[[#This Row],[Item]],super1[Bairro],extras)+SUMIFS(supercb[Qtde],supercb[Item],tab_alimentos[[#This Row],[Item]],supercb[Bairro],extras)</f>
        <v>0</v>
      </c>
      <c r="AE224" s="61">
        <f t="shared" si="82"/>
        <v>1</v>
      </c>
      <c r="AF224" s="61">
        <f t="shared" si="83"/>
        <v>3.22</v>
      </c>
      <c r="AG224" s="62">
        <f t="shared" si="84"/>
        <v>0.5</v>
      </c>
      <c r="AH224" s="15" t="e">
        <f>higiene[[#This Row],[Item]]</f>
        <v>#VALUE!</v>
      </c>
      <c r="AI224" s="8">
        <f>IFERROR(higiene[[#This Row],[Kg equivalente]],0)</f>
        <v>0</v>
      </c>
      <c r="AJ224" s="8">
        <f>IFERROR(higiene[[#This Row],[Preço por produto]],0)</f>
        <v>0</v>
      </c>
      <c r="AK224" s="61">
        <f>SUMIFS(super1[Qtde],super1[Item],tab_higiene[[#This Row],[Item]],super1[Bairro],mercado1)+SUMIFS(supercb[Qtde],supercb[Item],tab_higiene[[#This Row],[Item]],supercb[Bairro],mercado1)</f>
        <v>0</v>
      </c>
      <c r="AL224" s="61">
        <f>SUMIFS(super1[Qtde],super1[Item],tab_higiene[[#This Row],[Item]],super1[Bairro],mercado2)+SUMIFS(supercb[Qtde],supercb[Item],tab_higiene[[#This Row],[Item]],supercb[Bairro],mercado2)</f>
        <v>0</v>
      </c>
      <c r="AM224" s="61">
        <f>SUMIFS(super1[Qtde],super1[Item],tab_higiene[[#This Row],[Item]],super1[Bairro],mercado3)+SUMIFS(supercb[Qtde],supercb[Item],tab_higiene[[#This Row],[Item]],supercb[Bairro],mercado3)</f>
        <v>0</v>
      </c>
      <c r="AN224" s="61">
        <f>SUMIFS(super1[Qtde],super1[Item],tab_higiene[[#This Row],[Item]],super1[Bairro],mercado4)+SUMIFS(supercb[Qtde],supercb[Item],tab_higiene[[#This Row],[Item]],supercb[Bairro],mercado4)</f>
        <v>0</v>
      </c>
      <c r="AO224" s="61">
        <f>SUMIFS(super1[Qtde],super1[Item],tab_higiene[[#This Row],[Item]],super1[Bairro],mercado5)+SUMIFS(supercb[Qtde],supercb[Item],tab_higiene[[#This Row],[Item]],supercb[Bairro],mercado5)</f>
        <v>0</v>
      </c>
      <c r="AP224" s="61">
        <f>SUMIFS(super1[Qtde],super1[Item],tab_higiene[[#This Row],[Item]],super1[Bairro],mercado6)+SUMIFS(supercb[Qtde],supercb[Item],tab_higiene[[#This Row],[Item]],supercb[Bairro],mercado6)</f>
        <v>0</v>
      </c>
      <c r="AQ224" s="61">
        <f>SUMIFS(super1[Qtde],super1[Item],tab_higiene[[#This Row],[Item]],super1[Bairro],mercado7)+SUMIFS(supercb[Qtde],supercb[Item],tab_higiene[[#This Row],[Item]],supercb[Bairro],mercado7)</f>
        <v>0</v>
      </c>
      <c r="AR224" s="61">
        <f>SUMIFS(super1[Qtde],super1[Item],tab_higiene[[#This Row],[Item]],super1[Bairro],mercado8)+SUMIFS(supercb[Qtde],supercb[Item],tab_higiene[[#This Row],[Item]],supercb[Bairro],mercado8)</f>
        <v>0</v>
      </c>
      <c r="AS224" s="61">
        <f>SUMIFS(super1[Qtde],super1[Item],tab_higiene[[#This Row],[Item]],super1[Bairro],mercado9)+SUMIFS(supercb[Qtde],supercb[Item],tab_higiene[[#This Row],[Item]],supercb[Bairro],mercado9)</f>
        <v>0</v>
      </c>
      <c r="AT224" s="61">
        <f>SUMIFS(super1[Qtde],super1[Item],tab_higiene[[#This Row],[Item]],super1[Bairro],mercado10)+SUMIFS(supercb[Qtde],supercb[Item],tab_higiene[[#This Row],[Item]],supercb[Bairro],mercado10)</f>
        <v>0</v>
      </c>
      <c r="AU224" s="61">
        <f>SUMIFS(super1[Qtde],super1[Item],tab_higiene[[#This Row],[Item]],super1[Bairro],mercado11)+SUMIFS(supercb[Qtde],supercb[Item],tab_higiene[[#This Row],[Item]],supercb[Bairro],mercado11)</f>
        <v>0</v>
      </c>
      <c r="AV224" s="61">
        <f>SUMIFS(super1[Qtde],super1[Item],tab_higiene[[#This Row],[Item]],super1[Bairro],mercado12)+SUMIFS(supercb[Qtde],supercb[Item],tab_higiene[[#This Row],[Item]],supercb[Bairro],mercado12)</f>
        <v>0</v>
      </c>
      <c r="AW224" s="61">
        <f>SUMIFS(super1[Qtde],super1[Item],tab_higiene[[#This Row],[Item]],super1[Bairro],mercado13)+SUMIFS(supercb[Qtde],supercb[Item],tab_higiene[[#This Row],[Item]],supercb[Bairro],mercado13)</f>
        <v>0</v>
      </c>
      <c r="AX224" s="61">
        <f>SUMIFS(super1[Qtde],super1[Item],tab_higiene[[#This Row],[Item]],super1[Bairro],mercado14)+SUMIFS(supercb[Qtde],supercb[Item],tab_higiene[[#This Row],[Item]],supercb[Bairro],mercado14)</f>
        <v>0</v>
      </c>
      <c r="AY224" s="61">
        <f>SUMIFS(super1[Qtde],super1[Item],tab_higiene[[#This Row],[Item]],super1[Bairro],mercado15)+SUMIFS(supercb[Qtde],supercb[Item],tab_higiene[[#This Row],[Item]],supercb[Bairro],mercado15)</f>
        <v>0</v>
      </c>
      <c r="AZ224" s="61">
        <f>SUMIFS(super1[Qtde],super1[Item],tab_higiene[[#This Row],[Item]],super1[Bairro],mercado16)+SUMIFS(supercb[Qtde],supercb[Item],tab_higiene[[#This Row],[Item]],supercb[Bairro],mercado16)</f>
        <v>0</v>
      </c>
      <c r="BA224" s="61">
        <f>SUMIFS(super1[Qtde],super1[Item],tab_higiene[[#This Row],[Item]],super1[Bairro],mercado17)+SUMIFS(supercb[Qtde],supercb[Item],tab_higiene[[#This Row],[Item]],supercb[Bairro],mercado17)</f>
        <v>0</v>
      </c>
      <c r="BB224" s="61">
        <f>SUMIFS(super1[Qtde],super1[Item],tab_higiene[[#This Row],[Item]],super1[Bairro],mercado18)+SUMIFS(supercb[Qtde],supercb[Item],tab_higiene[[#This Row],[Item]],supercb[Bairro],mercado18)</f>
        <v>0</v>
      </c>
      <c r="BC224" s="51">
        <f>SUMIFS(super1[Qtde],super1[Item],tab_higiene[[#This Row],[Item]],super1[Bairro],extras)+SUMIFS(supercb[Qtde],supercb[Item],tab_higiene[[#This Row],[Item]],supercb[Bairro],extras)</f>
        <v>0</v>
      </c>
      <c r="BD224" s="8">
        <f t="shared" si="85"/>
        <v>0</v>
      </c>
      <c r="BE224" s="8">
        <f t="shared" si="86"/>
        <v>0</v>
      </c>
      <c r="BF224" s="23">
        <f t="shared" si="87"/>
        <v>0</v>
      </c>
    </row>
    <row r="225" spans="9:58" ht="15.75" thickBot="1" x14ac:dyDescent="0.3">
      <c r="I225" s="65" t="str">
        <f>alimentos[[#This Row],[Item]]</f>
        <v>Polvilho (1kg)</v>
      </c>
      <c r="J225" s="61">
        <f>IFERROR(alimentos[[#This Row],[kg/embalagem]],0)</f>
        <v>1</v>
      </c>
      <c r="K225" s="64">
        <f>IFERROR(alimentos[[#This Row],[Preço]],0)</f>
        <v>16.190000000000001</v>
      </c>
      <c r="L225" s="64">
        <f>SUMIFS(super1[Qtde],super1[Item],tab_alimentos[[#This Row],[Item]],super1[Bairro],mercado1)+SUMIFS(supercb[Qtde],supercb[Item],tab_alimentos[[#This Row],[Item]],supercb[Bairro],mercado1)</f>
        <v>0</v>
      </c>
      <c r="M225" s="64">
        <f>SUMIFS(super1[Qtde],super1[Item],tab_alimentos[[#This Row],[Item]],super1[Bairro],mercado2)+SUMIFS(supercb[Qtde],supercb[Item],tab_alimentos[[#This Row],[Item]],supercb[Bairro],mercado2)</f>
        <v>0</v>
      </c>
      <c r="N225" s="61">
        <f>SUMIFS(super1[Qtde],super1[Item],tab_alimentos[[#This Row],[Item]],super1[Bairro],mercado3)+SUMIFS(supercb[Qtde],supercb[Item],tab_alimentos[[#This Row],[Item]],supercb[Bairro],mercado3)</f>
        <v>0</v>
      </c>
      <c r="O225" s="64">
        <f>SUMIFS(super1[Qtde],super1[Item],tab_alimentos[[#This Row],[Item]],super1[Bairro],mercado4)+SUMIFS(supercb[Qtde],supercb[Item],tab_alimentos[[#This Row],[Item]],supercb[Bairro],mercado4)</f>
        <v>0</v>
      </c>
      <c r="P225" s="64">
        <f>SUMIFS(super1[Qtde],super1[Item],tab_alimentos[[#This Row],[Item]],super1[Bairro],mercado5)+SUMIFS(supercb[Qtde],supercb[Item],tab_alimentos[[#This Row],[Item]],supercb[Bairro],mercado5)</f>
        <v>0</v>
      </c>
      <c r="Q225" s="64">
        <f>SUMIFS(super1[Qtde],super1[Item],tab_alimentos[[#This Row],[Item]],super1[Bairro],mercado6)+SUMIFS(supercb[Qtde],supercb[Item],tab_alimentos[[#This Row],[Item]],supercb[Bairro],mercado6)</f>
        <v>0</v>
      </c>
      <c r="R225" s="64">
        <f>SUMIFS(super1[Qtde],super1[Item],tab_alimentos[[#This Row],[Item]],super1[Bairro],mercado7)+SUMIFS(supercb[Qtde],supercb[Item],tab_alimentos[[#This Row],[Item]],supercb[Bairro],mercado7)</f>
        <v>0</v>
      </c>
      <c r="S225" s="64">
        <f>SUMIFS(super1[Qtde],super1[Item],tab_alimentos[[#This Row],[Item]],super1[Bairro],mercado8)+SUMIFS(supercb[Qtde],supercb[Item],tab_alimentos[[#This Row],[Item]],supercb[Bairro],mercado8)</f>
        <v>0</v>
      </c>
      <c r="T225" s="64">
        <f>SUMIFS(super1[Qtde],super1[Item],tab_alimentos[[#This Row],[Item]],super1[Bairro],mercado9)+SUMIFS(supercb[Qtde],supercb[Item],tab_alimentos[[#This Row],[Item]],supercb[Bairro],mercado9)</f>
        <v>0</v>
      </c>
      <c r="U225" s="64">
        <f>SUMIFS(super1[Qtde],super1[Item],tab_alimentos[[#This Row],[Item]],super1[Bairro],mercado10)+SUMIFS(supercb[Qtde],supercb[Item],tab_alimentos[[#This Row],[Item]],supercb[Bairro],mercado10)</f>
        <v>0</v>
      </c>
      <c r="V225" s="64">
        <f>SUMIFS(super1[Qtde],super1[Item],tab_alimentos[[#This Row],[Item]],super1[Bairro],mercado11)+SUMIFS(supercb[Qtde],supercb[Item],tab_alimentos[[#This Row],[Item]],supercb[Bairro],mercado11)</f>
        <v>0</v>
      </c>
      <c r="W225" s="64">
        <f>SUMIFS(super1[Qtde],super1[Item],tab_alimentos[[#This Row],[Item]],super1[Bairro],mercado12)+SUMIFS(supercb[Qtde],supercb[Item],tab_alimentos[[#This Row],[Item]],supercb[Bairro],mercado12)</f>
        <v>0</v>
      </c>
      <c r="X225" s="64">
        <f>SUMIFS(super1[Qtde],super1[Item],tab_alimentos[[#This Row],[Item]],super1[Bairro],mercado13)+SUMIFS(supercb[Qtde],supercb[Item],tab_alimentos[[#This Row],[Item]],supercb[Bairro],mercado13)</f>
        <v>0</v>
      </c>
      <c r="Y225" s="64">
        <f>SUMIFS(super1[Qtde],super1[Item],tab_alimentos[[#This Row],[Item]],super1[Bairro],mercado14)+SUMIFS(supercb[Qtde],supercb[Item],tab_alimentos[[#This Row],[Item]],supercb[Bairro],mercado14)</f>
        <v>0</v>
      </c>
      <c r="Z225" s="64">
        <f>SUMIFS(super1[Qtde],super1[Item],tab_alimentos[[#This Row],[Item]],super1[Bairro],mercado15)+SUMIFS(supercb[Qtde],supercb[Item],tab_alimentos[[#This Row],[Item]],supercb[Bairro],mercado15)</f>
        <v>0</v>
      </c>
      <c r="AA225" s="64">
        <f>SUMIFS(super1[Qtde],super1[Item],tab_alimentos[[#This Row],[Item]],super1[Bairro],mercado16)+SUMIFS(supercb[Qtde],supercb[Item],tab_alimentos[[#This Row],[Item]],supercb[Bairro],mercado16)</f>
        <v>0</v>
      </c>
      <c r="AB225" s="64">
        <f>SUMIFS(super1[Qtde],super1[Item],tab_alimentos[[#This Row],[Item]],super1[Bairro],mercado17)+SUMIFS(supercb[Qtde],supercb[Item],tab_alimentos[[#This Row],[Item]],supercb[Bairro],mercado17)</f>
        <v>0</v>
      </c>
      <c r="AC225" s="64">
        <f>SUMIFS(super1[Qtde],super1[Item],tab_alimentos[[#This Row],[Item]],super1[Bairro],mercado18)+SUMIFS(supercb[Qtde],supercb[Item],tab_alimentos[[#This Row],[Item]],supercb[Bairro],mercado18)</f>
        <v>0</v>
      </c>
      <c r="AD225" s="64">
        <f>SUMIFS(super1[Qtde],super1[Item],tab_alimentos[[#This Row],[Item]],super1[Bairro],extras)+SUMIFS(supercb[Qtde],supercb[Item],tab_alimentos[[#This Row],[Item]],supercb[Bairro],extras)</f>
        <v>0</v>
      </c>
      <c r="AE225" s="61">
        <f t="shared" si="82"/>
        <v>0</v>
      </c>
      <c r="AF225" s="61">
        <f t="shared" si="83"/>
        <v>0</v>
      </c>
      <c r="AG225" s="62">
        <f t="shared" si="84"/>
        <v>0</v>
      </c>
      <c r="AH225" s="15" t="e">
        <f>higiene[[#This Row],[Item]]</f>
        <v>#VALUE!</v>
      </c>
      <c r="AI225" s="8">
        <f>IFERROR(higiene[[#This Row],[Kg equivalente]],0)</f>
        <v>0</v>
      </c>
      <c r="AJ225" s="8">
        <f>IFERROR(higiene[[#This Row],[Preço por produto]],0)</f>
        <v>0</v>
      </c>
      <c r="AK225" s="61">
        <f>SUMIFS(super1[Qtde],super1[Item],tab_higiene[[#This Row],[Item]],super1[Bairro],mercado1)+SUMIFS(supercb[Qtde],supercb[Item],tab_higiene[[#This Row],[Item]],supercb[Bairro],mercado1)</f>
        <v>0</v>
      </c>
      <c r="AL225" s="61">
        <f>SUMIFS(super1[Qtde],super1[Item],tab_higiene[[#This Row],[Item]],super1[Bairro],mercado2)+SUMIFS(supercb[Qtde],supercb[Item],tab_higiene[[#This Row],[Item]],supercb[Bairro],mercado2)</f>
        <v>0</v>
      </c>
      <c r="AM225" s="61">
        <f>SUMIFS(super1[Qtde],super1[Item],tab_higiene[[#This Row],[Item]],super1[Bairro],mercado3)+SUMIFS(supercb[Qtde],supercb[Item],tab_higiene[[#This Row],[Item]],supercb[Bairro],mercado3)</f>
        <v>0</v>
      </c>
      <c r="AN225" s="61">
        <f>SUMIFS(super1[Qtde],super1[Item],tab_higiene[[#This Row],[Item]],super1[Bairro],mercado4)+SUMIFS(supercb[Qtde],supercb[Item],tab_higiene[[#This Row],[Item]],supercb[Bairro],mercado4)</f>
        <v>0</v>
      </c>
      <c r="AO225" s="61">
        <f>SUMIFS(super1[Qtde],super1[Item],tab_higiene[[#This Row],[Item]],super1[Bairro],mercado5)+SUMIFS(supercb[Qtde],supercb[Item],tab_higiene[[#This Row],[Item]],supercb[Bairro],mercado5)</f>
        <v>0</v>
      </c>
      <c r="AP225" s="61">
        <f>SUMIFS(super1[Qtde],super1[Item],tab_higiene[[#This Row],[Item]],super1[Bairro],mercado6)+SUMIFS(supercb[Qtde],supercb[Item],tab_higiene[[#This Row],[Item]],supercb[Bairro],mercado6)</f>
        <v>0</v>
      </c>
      <c r="AQ225" s="61">
        <f>SUMIFS(super1[Qtde],super1[Item],tab_higiene[[#This Row],[Item]],super1[Bairro],mercado7)+SUMIFS(supercb[Qtde],supercb[Item],tab_higiene[[#This Row],[Item]],supercb[Bairro],mercado7)</f>
        <v>0</v>
      </c>
      <c r="AR225" s="61">
        <f>SUMIFS(super1[Qtde],super1[Item],tab_higiene[[#This Row],[Item]],super1[Bairro],mercado8)+SUMIFS(supercb[Qtde],supercb[Item],tab_higiene[[#This Row],[Item]],supercb[Bairro],mercado8)</f>
        <v>0</v>
      </c>
      <c r="AS225" s="61">
        <f>SUMIFS(super1[Qtde],super1[Item],tab_higiene[[#This Row],[Item]],super1[Bairro],mercado9)+SUMIFS(supercb[Qtde],supercb[Item],tab_higiene[[#This Row],[Item]],supercb[Bairro],mercado9)</f>
        <v>0</v>
      </c>
      <c r="AT225" s="61">
        <f>SUMIFS(super1[Qtde],super1[Item],tab_higiene[[#This Row],[Item]],super1[Bairro],mercado10)+SUMIFS(supercb[Qtde],supercb[Item],tab_higiene[[#This Row],[Item]],supercb[Bairro],mercado10)</f>
        <v>0</v>
      </c>
      <c r="AU225" s="61">
        <f>SUMIFS(super1[Qtde],super1[Item],tab_higiene[[#This Row],[Item]],super1[Bairro],mercado11)+SUMIFS(supercb[Qtde],supercb[Item],tab_higiene[[#This Row],[Item]],supercb[Bairro],mercado11)</f>
        <v>0</v>
      </c>
      <c r="AV225" s="61">
        <f>SUMIFS(super1[Qtde],super1[Item],tab_higiene[[#This Row],[Item]],super1[Bairro],mercado12)+SUMIFS(supercb[Qtde],supercb[Item],tab_higiene[[#This Row],[Item]],supercb[Bairro],mercado12)</f>
        <v>0</v>
      </c>
      <c r="AW225" s="61">
        <f>SUMIFS(super1[Qtde],super1[Item],tab_higiene[[#This Row],[Item]],super1[Bairro],mercado13)+SUMIFS(supercb[Qtde],supercb[Item],tab_higiene[[#This Row],[Item]],supercb[Bairro],mercado13)</f>
        <v>0</v>
      </c>
      <c r="AX225" s="61">
        <f>SUMIFS(super1[Qtde],super1[Item],tab_higiene[[#This Row],[Item]],super1[Bairro],mercado14)+SUMIFS(supercb[Qtde],supercb[Item],tab_higiene[[#This Row],[Item]],supercb[Bairro],mercado14)</f>
        <v>0</v>
      </c>
      <c r="AY225" s="61">
        <f>SUMIFS(super1[Qtde],super1[Item],tab_higiene[[#This Row],[Item]],super1[Bairro],mercado15)+SUMIFS(supercb[Qtde],supercb[Item],tab_higiene[[#This Row],[Item]],supercb[Bairro],mercado15)</f>
        <v>0</v>
      </c>
      <c r="AZ225" s="61">
        <f>SUMIFS(super1[Qtde],super1[Item],tab_higiene[[#This Row],[Item]],super1[Bairro],mercado16)+SUMIFS(supercb[Qtde],supercb[Item],tab_higiene[[#This Row],[Item]],supercb[Bairro],mercado16)</f>
        <v>0</v>
      </c>
      <c r="BA225" s="61">
        <f>SUMIFS(super1[Qtde],super1[Item],tab_higiene[[#This Row],[Item]],super1[Bairro],mercado17)+SUMIFS(supercb[Qtde],supercb[Item],tab_higiene[[#This Row],[Item]],supercb[Bairro],mercado17)</f>
        <v>0</v>
      </c>
      <c r="BB225" s="61">
        <f>SUMIFS(super1[Qtde],super1[Item],tab_higiene[[#This Row],[Item]],super1[Bairro],mercado18)+SUMIFS(supercb[Qtde],supercb[Item],tab_higiene[[#This Row],[Item]],supercb[Bairro],mercado18)</f>
        <v>0</v>
      </c>
      <c r="BC225" s="51">
        <f>SUMIFS(super1[Qtde],super1[Item],tab_higiene[[#This Row],[Item]],super1[Bairro],extras)+SUMIFS(supercb[Qtde],supercb[Item],tab_higiene[[#This Row],[Item]],supercb[Bairro],extras)</f>
        <v>0</v>
      </c>
      <c r="BD225" s="8">
        <f t="shared" si="85"/>
        <v>0</v>
      </c>
      <c r="BE225" s="8">
        <f t="shared" si="86"/>
        <v>0</v>
      </c>
      <c r="BF225" s="23">
        <f t="shared" si="87"/>
        <v>0</v>
      </c>
    </row>
    <row r="226" spans="9:58" ht="15.75" thickBot="1" x14ac:dyDescent="0.3">
      <c r="I226" s="65" t="str">
        <f>alimentos[[#This Row],[Item]]</f>
        <v>Q</v>
      </c>
      <c r="J226" s="61">
        <f>IFERROR(alimentos[[#This Row],[kg/embalagem]],0)</f>
        <v>0</v>
      </c>
      <c r="K226" s="64">
        <f>IFERROR(alimentos[[#This Row],[Preço]],0)</f>
        <v>0</v>
      </c>
      <c r="L226" s="64">
        <f>SUMIFS(super1[Qtde],super1[Item],tab_alimentos[[#This Row],[Item]],super1[Bairro],mercado1)+SUMIFS(supercb[Qtde],supercb[Item],tab_alimentos[[#This Row],[Item]],supercb[Bairro],mercado1)</f>
        <v>0</v>
      </c>
      <c r="M226" s="64">
        <f>SUMIFS(super1[Qtde],super1[Item],tab_alimentos[[#This Row],[Item]],super1[Bairro],mercado2)+SUMIFS(supercb[Qtde],supercb[Item],tab_alimentos[[#This Row],[Item]],supercb[Bairro],mercado2)</f>
        <v>0</v>
      </c>
      <c r="N226" s="61">
        <f>SUMIFS(super1[Qtde],super1[Item],tab_alimentos[[#This Row],[Item]],super1[Bairro],mercado3)+SUMIFS(supercb[Qtde],supercb[Item],tab_alimentos[[#This Row],[Item]],supercb[Bairro],mercado3)</f>
        <v>0</v>
      </c>
      <c r="O226" s="64">
        <f>SUMIFS(super1[Qtde],super1[Item],tab_alimentos[[#This Row],[Item]],super1[Bairro],mercado4)+SUMIFS(supercb[Qtde],supercb[Item],tab_alimentos[[#This Row],[Item]],supercb[Bairro],mercado4)</f>
        <v>0</v>
      </c>
      <c r="P226" s="64">
        <f>SUMIFS(super1[Qtde],super1[Item],tab_alimentos[[#This Row],[Item]],super1[Bairro],mercado5)+SUMIFS(supercb[Qtde],supercb[Item],tab_alimentos[[#This Row],[Item]],supercb[Bairro],mercado5)</f>
        <v>0</v>
      </c>
      <c r="Q226" s="64">
        <f>SUMIFS(super1[Qtde],super1[Item],tab_alimentos[[#This Row],[Item]],super1[Bairro],mercado6)+SUMIFS(supercb[Qtde],supercb[Item],tab_alimentos[[#This Row],[Item]],supercb[Bairro],mercado6)</f>
        <v>0</v>
      </c>
      <c r="R226" s="64">
        <f>SUMIFS(super1[Qtde],super1[Item],tab_alimentos[[#This Row],[Item]],super1[Bairro],mercado7)+SUMIFS(supercb[Qtde],supercb[Item],tab_alimentos[[#This Row],[Item]],supercb[Bairro],mercado7)</f>
        <v>0</v>
      </c>
      <c r="S226" s="64">
        <f>SUMIFS(super1[Qtde],super1[Item],tab_alimentos[[#This Row],[Item]],super1[Bairro],mercado8)+SUMIFS(supercb[Qtde],supercb[Item],tab_alimentos[[#This Row],[Item]],supercb[Bairro],mercado8)</f>
        <v>0</v>
      </c>
      <c r="T226" s="64">
        <f>SUMIFS(super1[Qtde],super1[Item],tab_alimentos[[#This Row],[Item]],super1[Bairro],mercado9)+SUMIFS(supercb[Qtde],supercb[Item],tab_alimentos[[#This Row],[Item]],supercb[Bairro],mercado9)</f>
        <v>0</v>
      </c>
      <c r="U226" s="64">
        <f>SUMIFS(super1[Qtde],super1[Item],tab_alimentos[[#This Row],[Item]],super1[Bairro],mercado10)+SUMIFS(supercb[Qtde],supercb[Item],tab_alimentos[[#This Row],[Item]],supercb[Bairro],mercado10)</f>
        <v>0</v>
      </c>
      <c r="V226" s="64">
        <f>SUMIFS(super1[Qtde],super1[Item],tab_alimentos[[#This Row],[Item]],super1[Bairro],mercado11)+SUMIFS(supercb[Qtde],supercb[Item],tab_alimentos[[#This Row],[Item]],supercb[Bairro],mercado11)</f>
        <v>0</v>
      </c>
      <c r="W226" s="64">
        <f>SUMIFS(super1[Qtde],super1[Item],tab_alimentos[[#This Row],[Item]],super1[Bairro],mercado12)+SUMIFS(supercb[Qtde],supercb[Item],tab_alimentos[[#This Row],[Item]],supercb[Bairro],mercado12)</f>
        <v>0</v>
      </c>
      <c r="X226" s="64">
        <f>SUMIFS(super1[Qtde],super1[Item],tab_alimentos[[#This Row],[Item]],super1[Bairro],mercado13)+SUMIFS(supercb[Qtde],supercb[Item],tab_alimentos[[#This Row],[Item]],supercb[Bairro],mercado13)</f>
        <v>0</v>
      </c>
      <c r="Y226" s="64">
        <f>SUMIFS(super1[Qtde],super1[Item],tab_alimentos[[#This Row],[Item]],super1[Bairro],mercado14)+SUMIFS(supercb[Qtde],supercb[Item],tab_alimentos[[#This Row],[Item]],supercb[Bairro],mercado14)</f>
        <v>0</v>
      </c>
      <c r="Z226" s="64">
        <f>SUMIFS(super1[Qtde],super1[Item],tab_alimentos[[#This Row],[Item]],super1[Bairro],mercado15)+SUMIFS(supercb[Qtde],supercb[Item],tab_alimentos[[#This Row],[Item]],supercb[Bairro],mercado15)</f>
        <v>0</v>
      </c>
      <c r="AA226" s="64">
        <f>SUMIFS(super1[Qtde],super1[Item],tab_alimentos[[#This Row],[Item]],super1[Bairro],mercado16)+SUMIFS(supercb[Qtde],supercb[Item],tab_alimentos[[#This Row],[Item]],supercb[Bairro],mercado16)</f>
        <v>0</v>
      </c>
      <c r="AB226" s="64">
        <f>SUMIFS(super1[Qtde],super1[Item],tab_alimentos[[#This Row],[Item]],super1[Bairro],mercado17)+SUMIFS(supercb[Qtde],supercb[Item],tab_alimentos[[#This Row],[Item]],supercb[Bairro],mercado17)</f>
        <v>0</v>
      </c>
      <c r="AC226" s="64">
        <f>SUMIFS(super1[Qtde],super1[Item],tab_alimentos[[#This Row],[Item]],super1[Bairro],mercado18)+SUMIFS(supercb[Qtde],supercb[Item],tab_alimentos[[#This Row],[Item]],supercb[Bairro],mercado18)</f>
        <v>0</v>
      </c>
      <c r="AD226" s="64">
        <f>SUMIFS(super1[Qtde],super1[Item],tab_alimentos[[#This Row],[Item]],super1[Bairro],extras)+SUMIFS(supercb[Qtde],supercb[Item],tab_alimentos[[#This Row],[Item]],supercb[Bairro],extras)</f>
        <v>0</v>
      </c>
      <c r="AE226" s="61">
        <f t="shared" si="82"/>
        <v>0</v>
      </c>
      <c r="AF226" s="61">
        <f t="shared" si="83"/>
        <v>0</v>
      </c>
      <c r="AG226" s="62">
        <f t="shared" si="84"/>
        <v>0</v>
      </c>
      <c r="AH226" s="15" t="e">
        <f>higiene[[#This Row],[Item]]</f>
        <v>#VALUE!</v>
      </c>
      <c r="AI226" s="8">
        <f>IFERROR(higiene[[#This Row],[Kg equivalente]],0)</f>
        <v>0</v>
      </c>
      <c r="AJ226" s="8">
        <f>IFERROR(higiene[[#This Row],[Preço por produto]],0)</f>
        <v>0</v>
      </c>
      <c r="AK226" s="61">
        <f>SUMIFS(super1[Qtde],super1[Item],tab_higiene[[#This Row],[Item]],super1[Bairro],mercado1)+SUMIFS(supercb[Qtde],supercb[Item],tab_higiene[[#This Row],[Item]],supercb[Bairro],mercado1)</f>
        <v>0</v>
      </c>
      <c r="AL226" s="61">
        <f>SUMIFS(super1[Qtde],super1[Item],tab_higiene[[#This Row],[Item]],super1[Bairro],mercado2)+SUMIFS(supercb[Qtde],supercb[Item],tab_higiene[[#This Row],[Item]],supercb[Bairro],mercado2)</f>
        <v>0</v>
      </c>
      <c r="AM226" s="61">
        <f>SUMIFS(super1[Qtde],super1[Item],tab_higiene[[#This Row],[Item]],super1[Bairro],mercado3)+SUMIFS(supercb[Qtde],supercb[Item],tab_higiene[[#This Row],[Item]],supercb[Bairro],mercado3)</f>
        <v>0</v>
      </c>
      <c r="AN226" s="61">
        <f>SUMIFS(super1[Qtde],super1[Item],tab_higiene[[#This Row],[Item]],super1[Bairro],mercado4)+SUMIFS(supercb[Qtde],supercb[Item],tab_higiene[[#This Row],[Item]],supercb[Bairro],mercado4)</f>
        <v>0</v>
      </c>
      <c r="AO226" s="61">
        <f>SUMIFS(super1[Qtde],super1[Item],tab_higiene[[#This Row],[Item]],super1[Bairro],mercado5)+SUMIFS(supercb[Qtde],supercb[Item],tab_higiene[[#This Row],[Item]],supercb[Bairro],mercado5)</f>
        <v>0</v>
      </c>
      <c r="AP226" s="61">
        <f>SUMIFS(super1[Qtde],super1[Item],tab_higiene[[#This Row],[Item]],super1[Bairro],mercado6)+SUMIFS(supercb[Qtde],supercb[Item],tab_higiene[[#This Row],[Item]],supercb[Bairro],mercado6)</f>
        <v>0</v>
      </c>
      <c r="AQ226" s="61">
        <f>SUMIFS(super1[Qtde],super1[Item],tab_higiene[[#This Row],[Item]],super1[Bairro],mercado7)+SUMIFS(supercb[Qtde],supercb[Item],tab_higiene[[#This Row],[Item]],supercb[Bairro],mercado7)</f>
        <v>0</v>
      </c>
      <c r="AR226" s="61">
        <f>SUMIFS(super1[Qtde],super1[Item],tab_higiene[[#This Row],[Item]],super1[Bairro],mercado8)+SUMIFS(supercb[Qtde],supercb[Item],tab_higiene[[#This Row],[Item]],supercb[Bairro],mercado8)</f>
        <v>0</v>
      </c>
      <c r="AS226" s="61">
        <f>SUMIFS(super1[Qtde],super1[Item],tab_higiene[[#This Row],[Item]],super1[Bairro],mercado9)+SUMIFS(supercb[Qtde],supercb[Item],tab_higiene[[#This Row],[Item]],supercb[Bairro],mercado9)</f>
        <v>0</v>
      </c>
      <c r="AT226" s="61">
        <f>SUMIFS(super1[Qtde],super1[Item],tab_higiene[[#This Row],[Item]],super1[Bairro],mercado10)+SUMIFS(supercb[Qtde],supercb[Item],tab_higiene[[#This Row],[Item]],supercb[Bairro],mercado10)</f>
        <v>0</v>
      </c>
      <c r="AU226" s="61">
        <f>SUMIFS(super1[Qtde],super1[Item],tab_higiene[[#This Row],[Item]],super1[Bairro],mercado11)+SUMIFS(supercb[Qtde],supercb[Item],tab_higiene[[#This Row],[Item]],supercb[Bairro],mercado11)</f>
        <v>0</v>
      </c>
      <c r="AV226" s="61">
        <f>SUMIFS(super1[Qtde],super1[Item],tab_higiene[[#This Row],[Item]],super1[Bairro],mercado12)+SUMIFS(supercb[Qtde],supercb[Item],tab_higiene[[#This Row],[Item]],supercb[Bairro],mercado12)</f>
        <v>0</v>
      </c>
      <c r="AW226" s="61">
        <f>SUMIFS(super1[Qtde],super1[Item],tab_higiene[[#This Row],[Item]],super1[Bairro],mercado13)+SUMIFS(supercb[Qtde],supercb[Item],tab_higiene[[#This Row],[Item]],supercb[Bairro],mercado13)</f>
        <v>0</v>
      </c>
      <c r="AX226" s="61">
        <f>SUMIFS(super1[Qtde],super1[Item],tab_higiene[[#This Row],[Item]],super1[Bairro],mercado14)+SUMIFS(supercb[Qtde],supercb[Item],tab_higiene[[#This Row],[Item]],supercb[Bairro],mercado14)</f>
        <v>0</v>
      </c>
      <c r="AY226" s="61">
        <f>SUMIFS(super1[Qtde],super1[Item],tab_higiene[[#This Row],[Item]],super1[Bairro],mercado15)+SUMIFS(supercb[Qtde],supercb[Item],tab_higiene[[#This Row],[Item]],supercb[Bairro],mercado15)</f>
        <v>0</v>
      </c>
      <c r="AZ226" s="61">
        <f>SUMIFS(super1[Qtde],super1[Item],tab_higiene[[#This Row],[Item]],super1[Bairro],mercado16)+SUMIFS(supercb[Qtde],supercb[Item],tab_higiene[[#This Row],[Item]],supercb[Bairro],mercado16)</f>
        <v>0</v>
      </c>
      <c r="BA226" s="61">
        <f>SUMIFS(super1[Qtde],super1[Item],tab_higiene[[#This Row],[Item]],super1[Bairro],mercado17)+SUMIFS(supercb[Qtde],supercb[Item],tab_higiene[[#This Row],[Item]],supercb[Bairro],mercado17)</f>
        <v>0</v>
      </c>
      <c r="BB226" s="61">
        <f>SUMIFS(super1[Qtde],super1[Item],tab_higiene[[#This Row],[Item]],super1[Bairro],mercado18)+SUMIFS(supercb[Qtde],supercb[Item],tab_higiene[[#This Row],[Item]],supercb[Bairro],mercado18)</f>
        <v>0</v>
      </c>
      <c r="BC226" s="51">
        <f>SUMIFS(super1[Qtde],super1[Item],tab_higiene[[#This Row],[Item]],super1[Bairro],extras)+SUMIFS(supercb[Qtde],supercb[Item],tab_higiene[[#This Row],[Item]],supercb[Bairro],extras)</f>
        <v>0</v>
      </c>
      <c r="BD226" s="8">
        <f t="shared" si="85"/>
        <v>0</v>
      </c>
      <c r="BE226" s="8">
        <f t="shared" si="86"/>
        <v>0</v>
      </c>
      <c r="BF226" s="23">
        <f t="shared" si="87"/>
        <v>0</v>
      </c>
    </row>
    <row r="227" spans="9:58" ht="15.75" thickBot="1" x14ac:dyDescent="0.3">
      <c r="I227" s="65" t="str">
        <f>alimentos[[#This Row],[Item]]</f>
        <v>Queijo ralado (50g)</v>
      </c>
      <c r="J227" s="61">
        <f>IFERROR(alimentos[[#This Row],[kg/embalagem]],0)</f>
        <v>0.05</v>
      </c>
      <c r="K227" s="64">
        <f>IFERROR(alimentos[[#This Row],[Preço]],0)</f>
        <v>3.1220000000000003</v>
      </c>
      <c r="L227" s="64">
        <f>SUMIFS(super1[Qtde],super1[Item],tab_alimentos[[#This Row],[Item]],super1[Bairro],mercado1)+SUMIFS(supercb[Qtde],supercb[Item],tab_alimentos[[#This Row],[Item]],supercb[Bairro],mercado1)</f>
        <v>0</v>
      </c>
      <c r="M227" s="64">
        <f>SUMIFS(super1[Qtde],super1[Item],tab_alimentos[[#This Row],[Item]],super1[Bairro],mercado2)+SUMIFS(supercb[Qtde],supercb[Item],tab_alimentos[[#This Row],[Item]],supercb[Bairro],mercado2)</f>
        <v>0</v>
      </c>
      <c r="N227" s="61">
        <f>SUMIFS(super1[Qtde],super1[Item],tab_alimentos[[#This Row],[Item]],super1[Bairro],mercado3)+SUMIFS(supercb[Qtde],supercb[Item],tab_alimentos[[#This Row],[Item]],supercb[Bairro],mercado3)</f>
        <v>0</v>
      </c>
      <c r="O227" s="64">
        <f>SUMIFS(super1[Qtde],super1[Item],tab_alimentos[[#This Row],[Item]],super1[Bairro],mercado4)+SUMIFS(supercb[Qtde],supercb[Item],tab_alimentos[[#This Row],[Item]],supercb[Bairro],mercado4)</f>
        <v>0</v>
      </c>
      <c r="P227" s="64">
        <f>SUMIFS(super1[Qtde],super1[Item],tab_alimentos[[#This Row],[Item]],super1[Bairro],mercado5)+SUMIFS(supercb[Qtde],supercb[Item],tab_alimentos[[#This Row],[Item]],supercb[Bairro],mercado5)</f>
        <v>0</v>
      </c>
      <c r="Q227" s="64">
        <f>SUMIFS(super1[Qtde],super1[Item],tab_alimentos[[#This Row],[Item]],super1[Bairro],mercado6)+SUMIFS(supercb[Qtde],supercb[Item],tab_alimentos[[#This Row],[Item]],supercb[Bairro],mercado6)</f>
        <v>0</v>
      </c>
      <c r="R227" s="64">
        <f>SUMIFS(super1[Qtde],super1[Item],tab_alimentos[[#This Row],[Item]],super1[Bairro],mercado7)+SUMIFS(supercb[Qtde],supercb[Item],tab_alimentos[[#This Row],[Item]],supercb[Bairro],mercado7)</f>
        <v>0</v>
      </c>
      <c r="S227" s="64">
        <f>SUMIFS(super1[Qtde],super1[Item],tab_alimentos[[#This Row],[Item]],super1[Bairro],mercado8)+SUMIFS(supercb[Qtde],supercb[Item],tab_alimentos[[#This Row],[Item]],supercb[Bairro],mercado8)</f>
        <v>0</v>
      </c>
      <c r="T227" s="64">
        <f>SUMIFS(super1[Qtde],super1[Item],tab_alimentos[[#This Row],[Item]],super1[Bairro],mercado9)+SUMIFS(supercb[Qtde],supercb[Item],tab_alimentos[[#This Row],[Item]],supercb[Bairro],mercado9)</f>
        <v>0</v>
      </c>
      <c r="U227" s="64">
        <f>SUMIFS(super1[Qtde],super1[Item],tab_alimentos[[#This Row],[Item]],super1[Bairro],mercado10)+SUMIFS(supercb[Qtde],supercb[Item],tab_alimentos[[#This Row],[Item]],supercb[Bairro],mercado10)</f>
        <v>0</v>
      </c>
      <c r="V227" s="64">
        <f>SUMIFS(super1[Qtde],super1[Item],tab_alimentos[[#This Row],[Item]],super1[Bairro],mercado11)+SUMIFS(supercb[Qtde],supercb[Item],tab_alimentos[[#This Row],[Item]],supercb[Bairro],mercado11)</f>
        <v>0</v>
      </c>
      <c r="W227" s="64">
        <f>SUMIFS(super1[Qtde],super1[Item],tab_alimentos[[#This Row],[Item]],super1[Bairro],mercado12)+SUMIFS(supercb[Qtde],supercb[Item],tab_alimentos[[#This Row],[Item]],supercb[Bairro],mercado12)</f>
        <v>0</v>
      </c>
      <c r="X227" s="64">
        <f>SUMIFS(super1[Qtde],super1[Item],tab_alimentos[[#This Row],[Item]],super1[Bairro],mercado13)+SUMIFS(supercb[Qtde],supercb[Item],tab_alimentos[[#This Row],[Item]],supercb[Bairro],mercado13)</f>
        <v>0</v>
      </c>
      <c r="Y227" s="64">
        <f>SUMIFS(super1[Qtde],super1[Item],tab_alimentos[[#This Row],[Item]],super1[Bairro],mercado14)+SUMIFS(supercb[Qtde],supercb[Item],tab_alimentos[[#This Row],[Item]],supercb[Bairro],mercado14)</f>
        <v>0</v>
      </c>
      <c r="Z227" s="64">
        <f>SUMIFS(super1[Qtde],super1[Item],tab_alimentos[[#This Row],[Item]],super1[Bairro],mercado15)+SUMIFS(supercb[Qtde],supercb[Item],tab_alimentos[[#This Row],[Item]],supercb[Bairro],mercado15)</f>
        <v>0</v>
      </c>
      <c r="AA227" s="64">
        <f>SUMIFS(super1[Qtde],super1[Item],tab_alimentos[[#This Row],[Item]],super1[Bairro],mercado16)+SUMIFS(supercb[Qtde],supercb[Item],tab_alimentos[[#This Row],[Item]],supercb[Bairro],mercado16)</f>
        <v>0</v>
      </c>
      <c r="AB227" s="64">
        <f>SUMIFS(super1[Qtde],super1[Item],tab_alimentos[[#This Row],[Item]],super1[Bairro],mercado17)+SUMIFS(supercb[Qtde],supercb[Item],tab_alimentos[[#This Row],[Item]],supercb[Bairro],mercado17)</f>
        <v>0</v>
      </c>
      <c r="AC227" s="64">
        <f>SUMIFS(super1[Qtde],super1[Item],tab_alimentos[[#This Row],[Item]],super1[Bairro],mercado18)+SUMIFS(supercb[Qtde],supercb[Item],tab_alimentos[[#This Row],[Item]],supercb[Bairro],mercado18)</f>
        <v>0</v>
      </c>
      <c r="AD227" s="64">
        <f>SUMIFS(super1[Qtde],super1[Item],tab_alimentos[[#This Row],[Item]],super1[Bairro],extras)+SUMIFS(supercb[Qtde],supercb[Item],tab_alimentos[[#This Row],[Item]],supercb[Bairro],extras)</f>
        <v>0</v>
      </c>
      <c r="AE227" s="61">
        <f t="shared" si="82"/>
        <v>0</v>
      </c>
      <c r="AF227" s="61">
        <f t="shared" si="83"/>
        <v>0</v>
      </c>
      <c r="AG227" s="62">
        <f t="shared" si="84"/>
        <v>0</v>
      </c>
      <c r="AH227" s="15" t="e">
        <f>higiene[[#This Row],[Item]]</f>
        <v>#VALUE!</v>
      </c>
      <c r="AI227" s="8">
        <f>IFERROR(higiene[[#This Row],[Kg equivalente]],0)</f>
        <v>0</v>
      </c>
      <c r="AJ227" s="8">
        <f>IFERROR(higiene[[#This Row],[Preço por produto]],0)</f>
        <v>0</v>
      </c>
      <c r="AK227" s="61">
        <f>SUMIFS(super1[Qtde],super1[Item],tab_higiene[[#This Row],[Item]],super1[Bairro],mercado1)+SUMIFS(supercb[Qtde],supercb[Item],tab_higiene[[#This Row],[Item]],supercb[Bairro],mercado1)</f>
        <v>0</v>
      </c>
      <c r="AL227" s="61">
        <f>SUMIFS(super1[Qtde],super1[Item],tab_higiene[[#This Row],[Item]],super1[Bairro],mercado2)+SUMIFS(supercb[Qtde],supercb[Item],tab_higiene[[#This Row],[Item]],supercb[Bairro],mercado2)</f>
        <v>0</v>
      </c>
      <c r="AM227" s="61">
        <f>SUMIFS(super1[Qtde],super1[Item],tab_higiene[[#This Row],[Item]],super1[Bairro],mercado3)+SUMIFS(supercb[Qtde],supercb[Item],tab_higiene[[#This Row],[Item]],supercb[Bairro],mercado3)</f>
        <v>0</v>
      </c>
      <c r="AN227" s="61">
        <f>SUMIFS(super1[Qtde],super1[Item],tab_higiene[[#This Row],[Item]],super1[Bairro],mercado4)+SUMIFS(supercb[Qtde],supercb[Item],tab_higiene[[#This Row],[Item]],supercb[Bairro],mercado4)</f>
        <v>0</v>
      </c>
      <c r="AO227" s="61">
        <f>SUMIFS(super1[Qtde],super1[Item],tab_higiene[[#This Row],[Item]],super1[Bairro],mercado5)+SUMIFS(supercb[Qtde],supercb[Item],tab_higiene[[#This Row],[Item]],supercb[Bairro],mercado5)</f>
        <v>0</v>
      </c>
      <c r="AP227" s="61">
        <f>SUMIFS(super1[Qtde],super1[Item],tab_higiene[[#This Row],[Item]],super1[Bairro],mercado6)+SUMIFS(supercb[Qtde],supercb[Item],tab_higiene[[#This Row],[Item]],supercb[Bairro],mercado6)</f>
        <v>0</v>
      </c>
      <c r="AQ227" s="61">
        <f>SUMIFS(super1[Qtde],super1[Item],tab_higiene[[#This Row],[Item]],super1[Bairro],mercado7)+SUMIFS(supercb[Qtde],supercb[Item],tab_higiene[[#This Row],[Item]],supercb[Bairro],mercado7)</f>
        <v>0</v>
      </c>
      <c r="AR227" s="61">
        <f>SUMIFS(super1[Qtde],super1[Item],tab_higiene[[#This Row],[Item]],super1[Bairro],mercado8)+SUMIFS(supercb[Qtde],supercb[Item],tab_higiene[[#This Row],[Item]],supercb[Bairro],mercado8)</f>
        <v>0</v>
      </c>
      <c r="AS227" s="61">
        <f>SUMIFS(super1[Qtde],super1[Item],tab_higiene[[#This Row],[Item]],super1[Bairro],mercado9)+SUMIFS(supercb[Qtde],supercb[Item],tab_higiene[[#This Row],[Item]],supercb[Bairro],mercado9)</f>
        <v>0</v>
      </c>
      <c r="AT227" s="61">
        <f>SUMIFS(super1[Qtde],super1[Item],tab_higiene[[#This Row],[Item]],super1[Bairro],mercado10)+SUMIFS(supercb[Qtde],supercb[Item],tab_higiene[[#This Row],[Item]],supercb[Bairro],mercado10)</f>
        <v>0</v>
      </c>
      <c r="AU227" s="61">
        <f>SUMIFS(super1[Qtde],super1[Item],tab_higiene[[#This Row],[Item]],super1[Bairro],mercado11)+SUMIFS(supercb[Qtde],supercb[Item],tab_higiene[[#This Row],[Item]],supercb[Bairro],mercado11)</f>
        <v>0</v>
      </c>
      <c r="AV227" s="61">
        <f>SUMIFS(super1[Qtde],super1[Item],tab_higiene[[#This Row],[Item]],super1[Bairro],mercado12)+SUMIFS(supercb[Qtde],supercb[Item],tab_higiene[[#This Row],[Item]],supercb[Bairro],mercado12)</f>
        <v>0</v>
      </c>
      <c r="AW227" s="61">
        <f>SUMIFS(super1[Qtde],super1[Item],tab_higiene[[#This Row],[Item]],super1[Bairro],mercado13)+SUMIFS(supercb[Qtde],supercb[Item],tab_higiene[[#This Row],[Item]],supercb[Bairro],mercado13)</f>
        <v>0</v>
      </c>
      <c r="AX227" s="61">
        <f>SUMIFS(super1[Qtde],super1[Item],tab_higiene[[#This Row],[Item]],super1[Bairro],mercado14)+SUMIFS(supercb[Qtde],supercb[Item],tab_higiene[[#This Row],[Item]],supercb[Bairro],mercado14)</f>
        <v>0</v>
      </c>
      <c r="AY227" s="61">
        <f>SUMIFS(super1[Qtde],super1[Item],tab_higiene[[#This Row],[Item]],super1[Bairro],mercado15)+SUMIFS(supercb[Qtde],supercb[Item],tab_higiene[[#This Row],[Item]],supercb[Bairro],mercado15)</f>
        <v>0</v>
      </c>
      <c r="AZ227" s="61">
        <f>SUMIFS(super1[Qtde],super1[Item],tab_higiene[[#This Row],[Item]],super1[Bairro],mercado16)+SUMIFS(supercb[Qtde],supercb[Item],tab_higiene[[#This Row],[Item]],supercb[Bairro],mercado16)</f>
        <v>0</v>
      </c>
      <c r="BA227" s="61">
        <f>SUMIFS(super1[Qtde],super1[Item],tab_higiene[[#This Row],[Item]],super1[Bairro],mercado17)+SUMIFS(supercb[Qtde],supercb[Item],tab_higiene[[#This Row],[Item]],supercb[Bairro],mercado17)</f>
        <v>0</v>
      </c>
      <c r="BB227" s="61">
        <f>SUMIFS(super1[Qtde],super1[Item],tab_higiene[[#This Row],[Item]],super1[Bairro],mercado18)+SUMIFS(supercb[Qtde],supercb[Item],tab_higiene[[#This Row],[Item]],supercb[Bairro],mercado18)</f>
        <v>0</v>
      </c>
      <c r="BC227" s="51">
        <f>SUMIFS(super1[Qtde],super1[Item],tab_higiene[[#This Row],[Item]],super1[Bairro],extras)+SUMIFS(supercb[Qtde],supercb[Item],tab_higiene[[#This Row],[Item]],supercb[Bairro],extras)</f>
        <v>0</v>
      </c>
      <c r="BD227" s="8">
        <f t="shared" si="85"/>
        <v>0</v>
      </c>
      <c r="BE227" s="8">
        <f t="shared" si="86"/>
        <v>0</v>
      </c>
      <c r="BF227" s="23">
        <f t="shared" si="87"/>
        <v>0</v>
      </c>
    </row>
    <row r="228" spans="9:58" ht="15.75" thickBot="1" x14ac:dyDescent="0.3">
      <c r="I228" s="65" t="str">
        <f>alimentos[[#This Row],[Item]]</f>
        <v>R</v>
      </c>
      <c r="J228" s="61">
        <f>IFERROR(alimentos[[#This Row],[kg/embalagem]],0)</f>
        <v>0</v>
      </c>
      <c r="K228" s="64">
        <f>IFERROR(alimentos[[#This Row],[Preço]],0)</f>
        <v>0</v>
      </c>
      <c r="L228" s="64">
        <f>SUMIFS(super1[Qtde],super1[Item],tab_alimentos[[#This Row],[Item]],super1[Bairro],mercado1)+SUMIFS(supercb[Qtde],supercb[Item],tab_alimentos[[#This Row],[Item]],supercb[Bairro],mercado1)</f>
        <v>0</v>
      </c>
      <c r="M228" s="64">
        <f>SUMIFS(super1[Qtde],super1[Item],tab_alimentos[[#This Row],[Item]],super1[Bairro],mercado2)+SUMIFS(supercb[Qtde],supercb[Item],tab_alimentos[[#This Row],[Item]],supercb[Bairro],mercado2)</f>
        <v>0</v>
      </c>
      <c r="N228" s="61">
        <f>SUMIFS(super1[Qtde],super1[Item],tab_alimentos[[#This Row],[Item]],super1[Bairro],mercado3)+SUMIFS(supercb[Qtde],supercb[Item],tab_alimentos[[#This Row],[Item]],supercb[Bairro],mercado3)</f>
        <v>0</v>
      </c>
      <c r="O228" s="64">
        <f>SUMIFS(super1[Qtde],super1[Item],tab_alimentos[[#This Row],[Item]],super1[Bairro],mercado4)+SUMIFS(supercb[Qtde],supercb[Item],tab_alimentos[[#This Row],[Item]],supercb[Bairro],mercado4)</f>
        <v>0</v>
      </c>
      <c r="P228" s="64">
        <f>SUMIFS(super1[Qtde],super1[Item],tab_alimentos[[#This Row],[Item]],super1[Bairro],mercado5)+SUMIFS(supercb[Qtde],supercb[Item],tab_alimentos[[#This Row],[Item]],supercb[Bairro],mercado5)</f>
        <v>0</v>
      </c>
      <c r="Q228" s="64">
        <f>SUMIFS(super1[Qtde],super1[Item],tab_alimentos[[#This Row],[Item]],super1[Bairro],mercado6)+SUMIFS(supercb[Qtde],supercb[Item],tab_alimentos[[#This Row],[Item]],supercb[Bairro],mercado6)</f>
        <v>0</v>
      </c>
      <c r="R228" s="64">
        <f>SUMIFS(super1[Qtde],super1[Item],tab_alimentos[[#This Row],[Item]],super1[Bairro],mercado7)+SUMIFS(supercb[Qtde],supercb[Item],tab_alimentos[[#This Row],[Item]],supercb[Bairro],mercado7)</f>
        <v>0</v>
      </c>
      <c r="S228" s="64">
        <f>SUMIFS(super1[Qtde],super1[Item],tab_alimentos[[#This Row],[Item]],super1[Bairro],mercado8)+SUMIFS(supercb[Qtde],supercb[Item],tab_alimentos[[#This Row],[Item]],supercb[Bairro],mercado8)</f>
        <v>0</v>
      </c>
      <c r="T228" s="64">
        <f>SUMIFS(super1[Qtde],super1[Item],tab_alimentos[[#This Row],[Item]],super1[Bairro],mercado9)+SUMIFS(supercb[Qtde],supercb[Item],tab_alimentos[[#This Row],[Item]],supercb[Bairro],mercado9)</f>
        <v>0</v>
      </c>
      <c r="U228" s="64">
        <f>SUMIFS(super1[Qtde],super1[Item],tab_alimentos[[#This Row],[Item]],super1[Bairro],mercado10)+SUMIFS(supercb[Qtde],supercb[Item],tab_alimentos[[#This Row],[Item]],supercb[Bairro],mercado10)</f>
        <v>0</v>
      </c>
      <c r="V228" s="64">
        <f>SUMIFS(super1[Qtde],super1[Item],tab_alimentos[[#This Row],[Item]],super1[Bairro],mercado11)+SUMIFS(supercb[Qtde],supercb[Item],tab_alimentos[[#This Row],[Item]],supercb[Bairro],mercado11)</f>
        <v>0</v>
      </c>
      <c r="W228" s="64">
        <f>SUMIFS(super1[Qtde],super1[Item],tab_alimentos[[#This Row],[Item]],super1[Bairro],mercado12)+SUMIFS(supercb[Qtde],supercb[Item],tab_alimentos[[#This Row],[Item]],supercb[Bairro],mercado12)</f>
        <v>0</v>
      </c>
      <c r="X228" s="64">
        <f>SUMIFS(super1[Qtde],super1[Item],tab_alimentos[[#This Row],[Item]],super1[Bairro],mercado13)+SUMIFS(supercb[Qtde],supercb[Item],tab_alimentos[[#This Row],[Item]],supercb[Bairro],mercado13)</f>
        <v>0</v>
      </c>
      <c r="Y228" s="64">
        <f>SUMIFS(super1[Qtde],super1[Item],tab_alimentos[[#This Row],[Item]],super1[Bairro],mercado14)+SUMIFS(supercb[Qtde],supercb[Item],tab_alimentos[[#This Row],[Item]],supercb[Bairro],mercado14)</f>
        <v>0</v>
      </c>
      <c r="Z228" s="64">
        <f>SUMIFS(super1[Qtde],super1[Item],tab_alimentos[[#This Row],[Item]],super1[Bairro],mercado15)+SUMIFS(supercb[Qtde],supercb[Item],tab_alimentos[[#This Row],[Item]],supercb[Bairro],mercado15)</f>
        <v>0</v>
      </c>
      <c r="AA228" s="64">
        <f>SUMIFS(super1[Qtde],super1[Item],tab_alimentos[[#This Row],[Item]],super1[Bairro],mercado16)+SUMIFS(supercb[Qtde],supercb[Item],tab_alimentos[[#This Row],[Item]],supercb[Bairro],mercado16)</f>
        <v>0</v>
      </c>
      <c r="AB228" s="64">
        <f>SUMIFS(super1[Qtde],super1[Item],tab_alimentos[[#This Row],[Item]],super1[Bairro],mercado17)+SUMIFS(supercb[Qtde],supercb[Item],tab_alimentos[[#This Row],[Item]],supercb[Bairro],mercado17)</f>
        <v>0</v>
      </c>
      <c r="AC228" s="64">
        <f>SUMIFS(super1[Qtde],super1[Item],tab_alimentos[[#This Row],[Item]],super1[Bairro],mercado18)+SUMIFS(supercb[Qtde],supercb[Item],tab_alimentos[[#This Row],[Item]],supercb[Bairro],mercado18)</f>
        <v>0</v>
      </c>
      <c r="AD228" s="64">
        <f>SUMIFS(super1[Qtde],super1[Item],tab_alimentos[[#This Row],[Item]],super1[Bairro],extras)+SUMIFS(supercb[Qtde],supercb[Item],tab_alimentos[[#This Row],[Item]],supercb[Bairro],extras)</f>
        <v>0</v>
      </c>
      <c r="AE228" s="61">
        <f t="shared" si="82"/>
        <v>0</v>
      </c>
      <c r="AF228" s="61">
        <f t="shared" si="83"/>
        <v>0</v>
      </c>
      <c r="AG228" s="62">
        <f t="shared" si="84"/>
        <v>0</v>
      </c>
      <c r="AH228" s="15" t="e">
        <f>higiene[[#This Row],[Item]]</f>
        <v>#VALUE!</v>
      </c>
      <c r="AI228" s="8">
        <f>IFERROR(higiene[[#This Row],[Kg equivalente]],0)</f>
        <v>0</v>
      </c>
      <c r="AJ228" s="8">
        <f>IFERROR(higiene[[#This Row],[Preço por produto]],0)</f>
        <v>0</v>
      </c>
      <c r="AK228" s="61">
        <f>SUMIFS(super1[Qtde],super1[Item],tab_higiene[[#This Row],[Item]],super1[Bairro],mercado1)+SUMIFS(supercb[Qtde],supercb[Item],tab_higiene[[#This Row],[Item]],supercb[Bairro],mercado1)</f>
        <v>0</v>
      </c>
      <c r="AL228" s="61">
        <f>SUMIFS(super1[Qtde],super1[Item],tab_higiene[[#This Row],[Item]],super1[Bairro],mercado2)+SUMIFS(supercb[Qtde],supercb[Item],tab_higiene[[#This Row],[Item]],supercb[Bairro],mercado2)</f>
        <v>0</v>
      </c>
      <c r="AM228" s="61">
        <f>SUMIFS(super1[Qtde],super1[Item],tab_higiene[[#This Row],[Item]],super1[Bairro],mercado3)+SUMIFS(supercb[Qtde],supercb[Item],tab_higiene[[#This Row],[Item]],supercb[Bairro],mercado3)</f>
        <v>0</v>
      </c>
      <c r="AN228" s="61">
        <f>SUMIFS(super1[Qtde],super1[Item],tab_higiene[[#This Row],[Item]],super1[Bairro],mercado4)+SUMIFS(supercb[Qtde],supercb[Item],tab_higiene[[#This Row],[Item]],supercb[Bairro],mercado4)</f>
        <v>0</v>
      </c>
      <c r="AO228" s="61">
        <f>SUMIFS(super1[Qtde],super1[Item],tab_higiene[[#This Row],[Item]],super1[Bairro],mercado5)+SUMIFS(supercb[Qtde],supercb[Item],tab_higiene[[#This Row],[Item]],supercb[Bairro],mercado5)</f>
        <v>0</v>
      </c>
      <c r="AP228" s="61">
        <f>SUMIFS(super1[Qtde],super1[Item],tab_higiene[[#This Row],[Item]],super1[Bairro],mercado6)+SUMIFS(supercb[Qtde],supercb[Item],tab_higiene[[#This Row],[Item]],supercb[Bairro],mercado6)</f>
        <v>0</v>
      </c>
      <c r="AQ228" s="61">
        <f>SUMIFS(super1[Qtde],super1[Item],tab_higiene[[#This Row],[Item]],super1[Bairro],mercado7)+SUMIFS(supercb[Qtde],supercb[Item],tab_higiene[[#This Row],[Item]],supercb[Bairro],mercado7)</f>
        <v>0</v>
      </c>
      <c r="AR228" s="61">
        <f>SUMIFS(super1[Qtde],super1[Item],tab_higiene[[#This Row],[Item]],super1[Bairro],mercado8)+SUMIFS(supercb[Qtde],supercb[Item],tab_higiene[[#This Row],[Item]],supercb[Bairro],mercado8)</f>
        <v>0</v>
      </c>
      <c r="AS228" s="61">
        <f>SUMIFS(super1[Qtde],super1[Item],tab_higiene[[#This Row],[Item]],super1[Bairro],mercado9)+SUMIFS(supercb[Qtde],supercb[Item],tab_higiene[[#This Row],[Item]],supercb[Bairro],mercado9)</f>
        <v>0</v>
      </c>
      <c r="AT228" s="61">
        <f>SUMIFS(super1[Qtde],super1[Item],tab_higiene[[#This Row],[Item]],super1[Bairro],mercado10)+SUMIFS(supercb[Qtde],supercb[Item],tab_higiene[[#This Row],[Item]],supercb[Bairro],mercado10)</f>
        <v>0</v>
      </c>
      <c r="AU228" s="61">
        <f>SUMIFS(super1[Qtde],super1[Item],tab_higiene[[#This Row],[Item]],super1[Bairro],mercado11)+SUMIFS(supercb[Qtde],supercb[Item],tab_higiene[[#This Row],[Item]],supercb[Bairro],mercado11)</f>
        <v>0</v>
      </c>
      <c r="AV228" s="61">
        <f>SUMIFS(super1[Qtde],super1[Item],tab_higiene[[#This Row],[Item]],super1[Bairro],mercado12)+SUMIFS(supercb[Qtde],supercb[Item],tab_higiene[[#This Row],[Item]],supercb[Bairro],mercado12)</f>
        <v>0</v>
      </c>
      <c r="AW228" s="61">
        <f>SUMIFS(super1[Qtde],super1[Item],tab_higiene[[#This Row],[Item]],super1[Bairro],mercado13)+SUMIFS(supercb[Qtde],supercb[Item],tab_higiene[[#This Row],[Item]],supercb[Bairro],mercado13)</f>
        <v>0</v>
      </c>
      <c r="AX228" s="61">
        <f>SUMIFS(super1[Qtde],super1[Item],tab_higiene[[#This Row],[Item]],super1[Bairro],mercado14)+SUMIFS(supercb[Qtde],supercb[Item],tab_higiene[[#This Row],[Item]],supercb[Bairro],mercado14)</f>
        <v>0</v>
      </c>
      <c r="AY228" s="61">
        <f>SUMIFS(super1[Qtde],super1[Item],tab_higiene[[#This Row],[Item]],super1[Bairro],mercado15)+SUMIFS(supercb[Qtde],supercb[Item],tab_higiene[[#This Row],[Item]],supercb[Bairro],mercado15)</f>
        <v>0</v>
      </c>
      <c r="AZ228" s="61">
        <f>SUMIFS(super1[Qtde],super1[Item],tab_higiene[[#This Row],[Item]],super1[Bairro],mercado16)+SUMIFS(supercb[Qtde],supercb[Item],tab_higiene[[#This Row],[Item]],supercb[Bairro],mercado16)</f>
        <v>0</v>
      </c>
      <c r="BA228" s="61">
        <f>SUMIFS(super1[Qtde],super1[Item],tab_higiene[[#This Row],[Item]],super1[Bairro],mercado17)+SUMIFS(supercb[Qtde],supercb[Item],tab_higiene[[#This Row],[Item]],supercb[Bairro],mercado17)</f>
        <v>0</v>
      </c>
      <c r="BB228" s="61">
        <f>SUMIFS(super1[Qtde],super1[Item],tab_higiene[[#This Row],[Item]],super1[Bairro],mercado18)+SUMIFS(supercb[Qtde],supercb[Item],tab_higiene[[#This Row],[Item]],supercb[Bairro],mercado18)</f>
        <v>0</v>
      </c>
      <c r="BC228" s="51">
        <f>SUMIFS(super1[Qtde],super1[Item],tab_higiene[[#This Row],[Item]],super1[Bairro],extras)+SUMIFS(supercb[Qtde],supercb[Item],tab_higiene[[#This Row],[Item]],supercb[Bairro],extras)</f>
        <v>0</v>
      </c>
      <c r="BD228" s="8">
        <f t="shared" si="85"/>
        <v>0</v>
      </c>
      <c r="BE228" s="8">
        <f t="shared" si="86"/>
        <v>0</v>
      </c>
      <c r="BF228" s="23">
        <f t="shared" si="87"/>
        <v>0</v>
      </c>
    </row>
    <row r="229" spans="9:58" ht="15.75" thickBot="1" x14ac:dyDescent="0.3">
      <c r="I229" s="65" t="str">
        <f>alimentos[[#This Row],[Item]]</f>
        <v>Refrigerante (1L)</v>
      </c>
      <c r="J229" s="61">
        <f>IFERROR(alimentos[[#This Row],[kg/embalagem]],0)</f>
        <v>1</v>
      </c>
      <c r="K229" s="64">
        <f>IFERROR(alimentos[[#This Row],[Preço]],0)</f>
        <v>2.4900000000000002</v>
      </c>
      <c r="L229" s="64">
        <f>SUMIFS(super1[Qtde],super1[Item],tab_alimentos[[#This Row],[Item]],super1[Bairro],mercado1)+SUMIFS(supercb[Qtde],supercb[Item],tab_alimentos[[#This Row],[Item]],supercb[Bairro],mercado1)</f>
        <v>0</v>
      </c>
      <c r="M229" s="64">
        <f>SUMIFS(super1[Qtde],super1[Item],tab_alimentos[[#This Row],[Item]],super1[Bairro],mercado2)+SUMIFS(supercb[Qtde],supercb[Item],tab_alimentos[[#This Row],[Item]],supercb[Bairro],mercado2)</f>
        <v>0</v>
      </c>
      <c r="N229" s="61">
        <f>SUMIFS(super1[Qtde],super1[Item],tab_alimentos[[#This Row],[Item]],super1[Bairro],mercado3)+SUMIFS(supercb[Qtde],supercb[Item],tab_alimentos[[#This Row],[Item]],supercb[Bairro],mercado3)</f>
        <v>0</v>
      </c>
      <c r="O229" s="64">
        <f>SUMIFS(super1[Qtde],super1[Item],tab_alimentos[[#This Row],[Item]],super1[Bairro],mercado4)+SUMIFS(supercb[Qtde],supercb[Item],tab_alimentos[[#This Row],[Item]],supercb[Bairro],mercado4)</f>
        <v>0</v>
      </c>
      <c r="P229" s="64">
        <f>SUMIFS(super1[Qtde],super1[Item],tab_alimentos[[#This Row],[Item]],super1[Bairro],mercado5)+SUMIFS(supercb[Qtde],supercb[Item],tab_alimentos[[#This Row],[Item]],supercb[Bairro],mercado5)</f>
        <v>0</v>
      </c>
      <c r="Q229" s="64">
        <f>SUMIFS(super1[Qtde],super1[Item],tab_alimentos[[#This Row],[Item]],super1[Bairro],mercado6)+SUMIFS(supercb[Qtde],supercb[Item],tab_alimentos[[#This Row],[Item]],supercb[Bairro],mercado6)</f>
        <v>0</v>
      </c>
      <c r="R229" s="64">
        <f>SUMIFS(super1[Qtde],super1[Item],tab_alimentos[[#This Row],[Item]],super1[Bairro],mercado7)+SUMIFS(supercb[Qtde],supercb[Item],tab_alimentos[[#This Row],[Item]],supercb[Bairro],mercado7)</f>
        <v>0</v>
      </c>
      <c r="S229" s="64">
        <f>SUMIFS(super1[Qtde],super1[Item],tab_alimentos[[#This Row],[Item]],super1[Bairro],mercado8)+SUMIFS(supercb[Qtde],supercb[Item],tab_alimentos[[#This Row],[Item]],supercb[Bairro],mercado8)</f>
        <v>0</v>
      </c>
      <c r="T229" s="64">
        <f>SUMIFS(super1[Qtde],super1[Item],tab_alimentos[[#This Row],[Item]],super1[Bairro],mercado9)+SUMIFS(supercb[Qtde],supercb[Item],tab_alimentos[[#This Row],[Item]],supercb[Bairro],mercado9)</f>
        <v>0</v>
      </c>
      <c r="U229" s="64">
        <f>SUMIFS(super1[Qtde],super1[Item],tab_alimentos[[#This Row],[Item]],super1[Bairro],mercado10)+SUMIFS(supercb[Qtde],supercb[Item],tab_alimentos[[#This Row],[Item]],supercb[Bairro],mercado10)</f>
        <v>0</v>
      </c>
      <c r="V229" s="64">
        <f>SUMIFS(super1[Qtde],super1[Item],tab_alimentos[[#This Row],[Item]],super1[Bairro],mercado11)+SUMIFS(supercb[Qtde],supercb[Item],tab_alimentos[[#This Row],[Item]],supercb[Bairro],mercado11)</f>
        <v>0</v>
      </c>
      <c r="W229" s="64">
        <f>SUMIFS(super1[Qtde],super1[Item],tab_alimentos[[#This Row],[Item]],super1[Bairro],mercado12)+SUMIFS(supercb[Qtde],supercb[Item],tab_alimentos[[#This Row],[Item]],supercb[Bairro],mercado12)</f>
        <v>0</v>
      </c>
      <c r="X229" s="64">
        <f>SUMIFS(super1[Qtde],super1[Item],tab_alimentos[[#This Row],[Item]],super1[Bairro],mercado13)+SUMIFS(supercb[Qtde],supercb[Item],tab_alimentos[[#This Row],[Item]],supercb[Bairro],mercado13)</f>
        <v>0</v>
      </c>
      <c r="Y229" s="64">
        <f>SUMIFS(super1[Qtde],super1[Item],tab_alimentos[[#This Row],[Item]],super1[Bairro],mercado14)+SUMIFS(supercb[Qtde],supercb[Item],tab_alimentos[[#This Row],[Item]],supercb[Bairro],mercado14)</f>
        <v>0</v>
      </c>
      <c r="Z229" s="64">
        <f>SUMIFS(super1[Qtde],super1[Item],tab_alimentos[[#This Row],[Item]],super1[Bairro],mercado15)+SUMIFS(supercb[Qtde],supercb[Item],tab_alimentos[[#This Row],[Item]],supercb[Bairro],mercado15)</f>
        <v>0</v>
      </c>
      <c r="AA229" s="64">
        <f>SUMIFS(super1[Qtde],super1[Item],tab_alimentos[[#This Row],[Item]],super1[Bairro],mercado16)+SUMIFS(supercb[Qtde],supercb[Item],tab_alimentos[[#This Row],[Item]],supercb[Bairro],mercado16)</f>
        <v>0</v>
      </c>
      <c r="AB229" s="64">
        <f>SUMIFS(super1[Qtde],super1[Item],tab_alimentos[[#This Row],[Item]],super1[Bairro],mercado17)+SUMIFS(supercb[Qtde],supercb[Item],tab_alimentos[[#This Row],[Item]],supercb[Bairro],mercado17)</f>
        <v>0</v>
      </c>
      <c r="AC229" s="64">
        <f>SUMIFS(super1[Qtde],super1[Item],tab_alimentos[[#This Row],[Item]],super1[Bairro],mercado18)+SUMIFS(supercb[Qtde],supercb[Item],tab_alimentos[[#This Row],[Item]],supercb[Bairro],mercado18)</f>
        <v>0</v>
      </c>
      <c r="AD229" s="64">
        <f>SUMIFS(super1[Qtde],super1[Item],tab_alimentos[[#This Row],[Item]],super1[Bairro],extras)+SUMIFS(supercb[Qtde],supercb[Item],tab_alimentos[[#This Row],[Item]],supercb[Bairro],extras)</f>
        <v>0</v>
      </c>
      <c r="AE229" s="61">
        <f t="shared" si="82"/>
        <v>0</v>
      </c>
      <c r="AF229" s="61">
        <f t="shared" si="83"/>
        <v>0</v>
      </c>
      <c r="AG229" s="62">
        <f t="shared" si="84"/>
        <v>0</v>
      </c>
      <c r="AH229" s="15" t="e">
        <f>higiene[[#This Row],[Item]]</f>
        <v>#VALUE!</v>
      </c>
      <c r="AI229" s="8">
        <f>IFERROR(higiene[[#This Row],[Kg equivalente]],0)</f>
        <v>0</v>
      </c>
      <c r="AJ229" s="8">
        <f>IFERROR(higiene[[#This Row],[Preço por produto]],0)</f>
        <v>0</v>
      </c>
      <c r="AK229" s="61">
        <f>SUMIFS(super1[Qtde],super1[Item],tab_higiene[[#This Row],[Item]],super1[Bairro],mercado1)+SUMIFS(supercb[Qtde],supercb[Item],tab_higiene[[#This Row],[Item]],supercb[Bairro],mercado1)</f>
        <v>0</v>
      </c>
      <c r="AL229" s="61">
        <f>SUMIFS(super1[Qtde],super1[Item],tab_higiene[[#This Row],[Item]],super1[Bairro],mercado2)+SUMIFS(supercb[Qtde],supercb[Item],tab_higiene[[#This Row],[Item]],supercb[Bairro],mercado2)</f>
        <v>0</v>
      </c>
      <c r="AM229" s="61">
        <f>SUMIFS(super1[Qtde],super1[Item],tab_higiene[[#This Row],[Item]],super1[Bairro],mercado3)+SUMIFS(supercb[Qtde],supercb[Item],tab_higiene[[#This Row],[Item]],supercb[Bairro],mercado3)</f>
        <v>0</v>
      </c>
      <c r="AN229" s="61">
        <f>SUMIFS(super1[Qtde],super1[Item],tab_higiene[[#This Row],[Item]],super1[Bairro],mercado4)+SUMIFS(supercb[Qtde],supercb[Item],tab_higiene[[#This Row],[Item]],supercb[Bairro],mercado4)</f>
        <v>0</v>
      </c>
      <c r="AO229" s="61">
        <f>SUMIFS(super1[Qtde],super1[Item],tab_higiene[[#This Row],[Item]],super1[Bairro],mercado5)+SUMIFS(supercb[Qtde],supercb[Item],tab_higiene[[#This Row],[Item]],supercb[Bairro],mercado5)</f>
        <v>0</v>
      </c>
      <c r="AP229" s="61">
        <f>SUMIFS(super1[Qtde],super1[Item],tab_higiene[[#This Row],[Item]],super1[Bairro],mercado6)+SUMIFS(supercb[Qtde],supercb[Item],tab_higiene[[#This Row],[Item]],supercb[Bairro],mercado6)</f>
        <v>0</v>
      </c>
      <c r="AQ229" s="61">
        <f>SUMIFS(super1[Qtde],super1[Item],tab_higiene[[#This Row],[Item]],super1[Bairro],mercado7)+SUMIFS(supercb[Qtde],supercb[Item],tab_higiene[[#This Row],[Item]],supercb[Bairro],mercado7)</f>
        <v>0</v>
      </c>
      <c r="AR229" s="61">
        <f>SUMIFS(super1[Qtde],super1[Item],tab_higiene[[#This Row],[Item]],super1[Bairro],mercado8)+SUMIFS(supercb[Qtde],supercb[Item],tab_higiene[[#This Row],[Item]],supercb[Bairro],mercado8)</f>
        <v>0</v>
      </c>
      <c r="AS229" s="61">
        <f>SUMIFS(super1[Qtde],super1[Item],tab_higiene[[#This Row],[Item]],super1[Bairro],mercado9)+SUMIFS(supercb[Qtde],supercb[Item],tab_higiene[[#This Row],[Item]],supercb[Bairro],mercado9)</f>
        <v>0</v>
      </c>
      <c r="AT229" s="61">
        <f>SUMIFS(super1[Qtde],super1[Item],tab_higiene[[#This Row],[Item]],super1[Bairro],mercado10)+SUMIFS(supercb[Qtde],supercb[Item],tab_higiene[[#This Row],[Item]],supercb[Bairro],mercado10)</f>
        <v>0</v>
      </c>
      <c r="AU229" s="61">
        <f>SUMIFS(super1[Qtde],super1[Item],tab_higiene[[#This Row],[Item]],super1[Bairro],mercado11)+SUMIFS(supercb[Qtde],supercb[Item],tab_higiene[[#This Row],[Item]],supercb[Bairro],mercado11)</f>
        <v>0</v>
      </c>
      <c r="AV229" s="61">
        <f>SUMIFS(super1[Qtde],super1[Item],tab_higiene[[#This Row],[Item]],super1[Bairro],mercado12)+SUMIFS(supercb[Qtde],supercb[Item],tab_higiene[[#This Row],[Item]],supercb[Bairro],mercado12)</f>
        <v>0</v>
      </c>
      <c r="AW229" s="61">
        <f>SUMIFS(super1[Qtde],super1[Item],tab_higiene[[#This Row],[Item]],super1[Bairro],mercado13)+SUMIFS(supercb[Qtde],supercb[Item],tab_higiene[[#This Row],[Item]],supercb[Bairro],mercado13)</f>
        <v>0</v>
      </c>
      <c r="AX229" s="61">
        <f>SUMIFS(super1[Qtde],super1[Item],tab_higiene[[#This Row],[Item]],super1[Bairro],mercado14)+SUMIFS(supercb[Qtde],supercb[Item],tab_higiene[[#This Row],[Item]],supercb[Bairro],mercado14)</f>
        <v>0</v>
      </c>
      <c r="AY229" s="61">
        <f>SUMIFS(super1[Qtde],super1[Item],tab_higiene[[#This Row],[Item]],super1[Bairro],mercado15)+SUMIFS(supercb[Qtde],supercb[Item],tab_higiene[[#This Row],[Item]],supercb[Bairro],mercado15)</f>
        <v>0</v>
      </c>
      <c r="AZ229" s="61">
        <f>SUMIFS(super1[Qtde],super1[Item],tab_higiene[[#This Row],[Item]],super1[Bairro],mercado16)+SUMIFS(supercb[Qtde],supercb[Item],tab_higiene[[#This Row],[Item]],supercb[Bairro],mercado16)</f>
        <v>0</v>
      </c>
      <c r="BA229" s="61">
        <f>SUMIFS(super1[Qtde],super1[Item],tab_higiene[[#This Row],[Item]],super1[Bairro],mercado17)+SUMIFS(supercb[Qtde],supercb[Item],tab_higiene[[#This Row],[Item]],supercb[Bairro],mercado17)</f>
        <v>0</v>
      </c>
      <c r="BB229" s="61">
        <f>SUMIFS(super1[Qtde],super1[Item],tab_higiene[[#This Row],[Item]],super1[Bairro],mercado18)+SUMIFS(supercb[Qtde],supercb[Item],tab_higiene[[#This Row],[Item]],supercb[Bairro],mercado18)</f>
        <v>0</v>
      </c>
      <c r="BC229" s="51">
        <f>SUMIFS(super1[Qtde],super1[Item],tab_higiene[[#This Row],[Item]],super1[Bairro],extras)+SUMIFS(supercb[Qtde],supercb[Item],tab_higiene[[#This Row],[Item]],supercb[Bairro],extras)</f>
        <v>0</v>
      </c>
      <c r="BD229" s="8">
        <f t="shared" si="85"/>
        <v>0</v>
      </c>
      <c r="BE229" s="8">
        <f t="shared" si="86"/>
        <v>0</v>
      </c>
      <c r="BF229" s="23">
        <f t="shared" si="87"/>
        <v>0</v>
      </c>
    </row>
    <row r="230" spans="9:58" ht="15.75" thickBot="1" x14ac:dyDescent="0.3">
      <c r="I230" s="65" t="str">
        <f>alimentos[[#This Row],[Item]]</f>
        <v>Refrigerante (2L)</v>
      </c>
      <c r="J230" s="61">
        <f>IFERROR(alimentos[[#This Row],[kg/embalagem]],0)</f>
        <v>2</v>
      </c>
      <c r="K230" s="64">
        <f>IFERROR(alimentos[[#This Row],[Preço]],0)</f>
        <v>3.1999999999999997</v>
      </c>
      <c r="L230" s="64">
        <f>SUMIFS(super1[Qtde],super1[Item],tab_alimentos[[#This Row],[Item]],super1[Bairro],mercado1)+SUMIFS(supercb[Qtde],supercb[Item],tab_alimentos[[#This Row],[Item]],supercb[Bairro],mercado1)</f>
        <v>0</v>
      </c>
      <c r="M230" s="64">
        <f>SUMIFS(super1[Qtde],super1[Item],tab_alimentos[[#This Row],[Item]],super1[Bairro],mercado2)+SUMIFS(supercb[Qtde],supercb[Item],tab_alimentos[[#This Row],[Item]],supercb[Bairro],mercado2)</f>
        <v>0</v>
      </c>
      <c r="N230" s="61">
        <f>SUMIFS(super1[Qtde],super1[Item],tab_alimentos[[#This Row],[Item]],super1[Bairro],mercado3)+SUMIFS(supercb[Qtde],supercb[Item],tab_alimentos[[#This Row],[Item]],supercb[Bairro],mercado3)</f>
        <v>0</v>
      </c>
      <c r="O230" s="64">
        <f>SUMIFS(super1[Qtde],super1[Item],tab_alimentos[[#This Row],[Item]],super1[Bairro],mercado4)+SUMIFS(supercb[Qtde],supercb[Item],tab_alimentos[[#This Row],[Item]],supercb[Bairro],mercado4)</f>
        <v>0</v>
      </c>
      <c r="P230" s="64">
        <f>SUMIFS(super1[Qtde],super1[Item],tab_alimentos[[#This Row],[Item]],super1[Bairro],mercado5)+SUMIFS(supercb[Qtde],supercb[Item],tab_alimentos[[#This Row],[Item]],supercb[Bairro],mercado5)</f>
        <v>0</v>
      </c>
      <c r="Q230" s="64">
        <f>SUMIFS(super1[Qtde],super1[Item],tab_alimentos[[#This Row],[Item]],super1[Bairro],mercado6)+SUMIFS(supercb[Qtde],supercb[Item],tab_alimentos[[#This Row],[Item]],supercb[Bairro],mercado6)</f>
        <v>0</v>
      </c>
      <c r="R230" s="64">
        <f>SUMIFS(super1[Qtde],super1[Item],tab_alimentos[[#This Row],[Item]],super1[Bairro],mercado7)+SUMIFS(supercb[Qtde],supercb[Item],tab_alimentos[[#This Row],[Item]],supercb[Bairro],mercado7)</f>
        <v>0</v>
      </c>
      <c r="S230" s="64">
        <f>SUMIFS(super1[Qtde],super1[Item],tab_alimentos[[#This Row],[Item]],super1[Bairro],mercado8)+SUMIFS(supercb[Qtde],supercb[Item],tab_alimentos[[#This Row],[Item]],supercb[Bairro],mercado8)</f>
        <v>0</v>
      </c>
      <c r="T230" s="64">
        <f>SUMIFS(super1[Qtde],super1[Item],tab_alimentos[[#This Row],[Item]],super1[Bairro],mercado9)+SUMIFS(supercb[Qtde],supercb[Item],tab_alimentos[[#This Row],[Item]],supercb[Bairro],mercado9)</f>
        <v>0</v>
      </c>
      <c r="U230" s="64">
        <f>SUMIFS(super1[Qtde],super1[Item],tab_alimentos[[#This Row],[Item]],super1[Bairro],mercado10)+SUMIFS(supercb[Qtde],supercb[Item],tab_alimentos[[#This Row],[Item]],supercb[Bairro],mercado10)</f>
        <v>0</v>
      </c>
      <c r="V230" s="64">
        <f>SUMIFS(super1[Qtde],super1[Item],tab_alimentos[[#This Row],[Item]],super1[Bairro],mercado11)+SUMIFS(supercb[Qtde],supercb[Item],tab_alimentos[[#This Row],[Item]],supercb[Bairro],mercado11)</f>
        <v>0</v>
      </c>
      <c r="W230" s="64">
        <f>SUMIFS(super1[Qtde],super1[Item],tab_alimentos[[#This Row],[Item]],super1[Bairro],mercado12)+SUMIFS(supercb[Qtde],supercb[Item],tab_alimentos[[#This Row],[Item]],supercb[Bairro],mercado12)</f>
        <v>0</v>
      </c>
      <c r="X230" s="64">
        <f>SUMIFS(super1[Qtde],super1[Item],tab_alimentos[[#This Row],[Item]],super1[Bairro],mercado13)+SUMIFS(supercb[Qtde],supercb[Item],tab_alimentos[[#This Row],[Item]],supercb[Bairro],mercado13)</f>
        <v>0</v>
      </c>
      <c r="Y230" s="64">
        <f>SUMIFS(super1[Qtde],super1[Item],tab_alimentos[[#This Row],[Item]],super1[Bairro],mercado14)+SUMIFS(supercb[Qtde],supercb[Item],tab_alimentos[[#This Row],[Item]],supercb[Bairro],mercado14)</f>
        <v>0</v>
      </c>
      <c r="Z230" s="64">
        <f>SUMIFS(super1[Qtde],super1[Item],tab_alimentos[[#This Row],[Item]],super1[Bairro],mercado15)+SUMIFS(supercb[Qtde],supercb[Item],tab_alimentos[[#This Row],[Item]],supercb[Bairro],mercado15)</f>
        <v>0</v>
      </c>
      <c r="AA230" s="64">
        <f>SUMIFS(super1[Qtde],super1[Item],tab_alimentos[[#This Row],[Item]],super1[Bairro],mercado16)+SUMIFS(supercb[Qtde],supercb[Item],tab_alimentos[[#This Row],[Item]],supercb[Bairro],mercado16)</f>
        <v>0</v>
      </c>
      <c r="AB230" s="64">
        <f>SUMIFS(super1[Qtde],super1[Item],tab_alimentos[[#This Row],[Item]],super1[Bairro],mercado17)+SUMIFS(supercb[Qtde],supercb[Item],tab_alimentos[[#This Row],[Item]],supercb[Bairro],mercado17)</f>
        <v>0</v>
      </c>
      <c r="AC230" s="64">
        <f>SUMIFS(super1[Qtde],super1[Item],tab_alimentos[[#This Row],[Item]],super1[Bairro],mercado18)+SUMIFS(supercb[Qtde],supercb[Item],tab_alimentos[[#This Row],[Item]],supercb[Bairro],mercado18)</f>
        <v>0</v>
      </c>
      <c r="AD230" s="64">
        <f>SUMIFS(super1[Qtde],super1[Item],tab_alimentos[[#This Row],[Item]],super1[Bairro],extras)+SUMIFS(supercb[Qtde],supercb[Item],tab_alimentos[[#This Row],[Item]],supercb[Bairro],extras)</f>
        <v>0</v>
      </c>
      <c r="AE230" s="61">
        <f t="shared" si="82"/>
        <v>0</v>
      </c>
      <c r="AF230" s="61">
        <f t="shared" si="83"/>
        <v>0</v>
      </c>
      <c r="AG230" s="62">
        <f t="shared" si="84"/>
        <v>0</v>
      </c>
      <c r="AH230" s="15" t="e">
        <f>higiene[[#This Row],[Item]]</f>
        <v>#VALUE!</v>
      </c>
      <c r="AI230" s="8">
        <f>IFERROR(higiene[[#This Row],[Kg equivalente]],0)</f>
        <v>0</v>
      </c>
      <c r="AJ230" s="8">
        <f>IFERROR(higiene[[#This Row],[Preço por produto]],0)</f>
        <v>0</v>
      </c>
      <c r="AK230" s="61">
        <f>SUMIFS(super1[Qtde],super1[Item],tab_higiene[[#This Row],[Item]],super1[Bairro],mercado1)+SUMIFS(supercb[Qtde],supercb[Item],tab_higiene[[#This Row],[Item]],supercb[Bairro],mercado1)</f>
        <v>0</v>
      </c>
      <c r="AL230" s="61">
        <f>SUMIFS(super1[Qtde],super1[Item],tab_higiene[[#This Row],[Item]],super1[Bairro],mercado2)+SUMIFS(supercb[Qtde],supercb[Item],tab_higiene[[#This Row],[Item]],supercb[Bairro],mercado2)</f>
        <v>0</v>
      </c>
      <c r="AM230" s="61">
        <f>SUMIFS(super1[Qtde],super1[Item],tab_higiene[[#This Row],[Item]],super1[Bairro],mercado3)+SUMIFS(supercb[Qtde],supercb[Item],tab_higiene[[#This Row],[Item]],supercb[Bairro],mercado3)</f>
        <v>0</v>
      </c>
      <c r="AN230" s="61">
        <f>SUMIFS(super1[Qtde],super1[Item],tab_higiene[[#This Row],[Item]],super1[Bairro],mercado4)+SUMIFS(supercb[Qtde],supercb[Item],tab_higiene[[#This Row],[Item]],supercb[Bairro],mercado4)</f>
        <v>0</v>
      </c>
      <c r="AO230" s="61">
        <f>SUMIFS(super1[Qtde],super1[Item],tab_higiene[[#This Row],[Item]],super1[Bairro],mercado5)+SUMIFS(supercb[Qtde],supercb[Item],tab_higiene[[#This Row],[Item]],supercb[Bairro],mercado5)</f>
        <v>0</v>
      </c>
      <c r="AP230" s="61">
        <f>SUMIFS(super1[Qtde],super1[Item],tab_higiene[[#This Row],[Item]],super1[Bairro],mercado6)+SUMIFS(supercb[Qtde],supercb[Item],tab_higiene[[#This Row],[Item]],supercb[Bairro],mercado6)</f>
        <v>0</v>
      </c>
      <c r="AQ230" s="61">
        <f>SUMIFS(super1[Qtde],super1[Item],tab_higiene[[#This Row],[Item]],super1[Bairro],mercado7)+SUMIFS(supercb[Qtde],supercb[Item],tab_higiene[[#This Row],[Item]],supercb[Bairro],mercado7)</f>
        <v>0</v>
      </c>
      <c r="AR230" s="61">
        <f>SUMIFS(super1[Qtde],super1[Item],tab_higiene[[#This Row],[Item]],super1[Bairro],mercado8)+SUMIFS(supercb[Qtde],supercb[Item],tab_higiene[[#This Row],[Item]],supercb[Bairro],mercado8)</f>
        <v>0</v>
      </c>
      <c r="AS230" s="61">
        <f>SUMIFS(super1[Qtde],super1[Item],tab_higiene[[#This Row],[Item]],super1[Bairro],mercado9)+SUMIFS(supercb[Qtde],supercb[Item],tab_higiene[[#This Row],[Item]],supercb[Bairro],mercado9)</f>
        <v>0</v>
      </c>
      <c r="AT230" s="61">
        <f>SUMIFS(super1[Qtde],super1[Item],tab_higiene[[#This Row],[Item]],super1[Bairro],mercado10)+SUMIFS(supercb[Qtde],supercb[Item],tab_higiene[[#This Row],[Item]],supercb[Bairro],mercado10)</f>
        <v>0</v>
      </c>
      <c r="AU230" s="61">
        <f>SUMIFS(super1[Qtde],super1[Item],tab_higiene[[#This Row],[Item]],super1[Bairro],mercado11)+SUMIFS(supercb[Qtde],supercb[Item],tab_higiene[[#This Row],[Item]],supercb[Bairro],mercado11)</f>
        <v>0</v>
      </c>
      <c r="AV230" s="61">
        <f>SUMIFS(super1[Qtde],super1[Item],tab_higiene[[#This Row],[Item]],super1[Bairro],mercado12)+SUMIFS(supercb[Qtde],supercb[Item],tab_higiene[[#This Row],[Item]],supercb[Bairro],mercado12)</f>
        <v>0</v>
      </c>
      <c r="AW230" s="61">
        <f>SUMIFS(super1[Qtde],super1[Item],tab_higiene[[#This Row],[Item]],super1[Bairro],mercado13)+SUMIFS(supercb[Qtde],supercb[Item],tab_higiene[[#This Row],[Item]],supercb[Bairro],mercado13)</f>
        <v>0</v>
      </c>
      <c r="AX230" s="61">
        <f>SUMIFS(super1[Qtde],super1[Item],tab_higiene[[#This Row],[Item]],super1[Bairro],mercado14)+SUMIFS(supercb[Qtde],supercb[Item],tab_higiene[[#This Row],[Item]],supercb[Bairro],mercado14)</f>
        <v>0</v>
      </c>
      <c r="AY230" s="61">
        <f>SUMIFS(super1[Qtde],super1[Item],tab_higiene[[#This Row],[Item]],super1[Bairro],mercado15)+SUMIFS(supercb[Qtde],supercb[Item],tab_higiene[[#This Row],[Item]],supercb[Bairro],mercado15)</f>
        <v>0</v>
      </c>
      <c r="AZ230" s="61">
        <f>SUMIFS(super1[Qtde],super1[Item],tab_higiene[[#This Row],[Item]],super1[Bairro],mercado16)+SUMIFS(supercb[Qtde],supercb[Item],tab_higiene[[#This Row],[Item]],supercb[Bairro],mercado16)</f>
        <v>0</v>
      </c>
      <c r="BA230" s="61">
        <f>SUMIFS(super1[Qtde],super1[Item],tab_higiene[[#This Row],[Item]],super1[Bairro],mercado17)+SUMIFS(supercb[Qtde],supercb[Item],tab_higiene[[#This Row],[Item]],supercb[Bairro],mercado17)</f>
        <v>0</v>
      </c>
      <c r="BB230" s="61">
        <f>SUMIFS(super1[Qtde],super1[Item],tab_higiene[[#This Row],[Item]],super1[Bairro],mercado18)+SUMIFS(supercb[Qtde],supercb[Item],tab_higiene[[#This Row],[Item]],supercb[Bairro],mercado18)</f>
        <v>0</v>
      </c>
      <c r="BC230" s="51">
        <f>SUMIFS(super1[Qtde],super1[Item],tab_higiene[[#This Row],[Item]],super1[Bairro],extras)+SUMIFS(supercb[Qtde],supercb[Item],tab_higiene[[#This Row],[Item]],supercb[Bairro],extras)</f>
        <v>0</v>
      </c>
      <c r="BD230" s="8">
        <f t="shared" si="85"/>
        <v>0</v>
      </c>
      <c r="BE230" s="8">
        <f t="shared" si="86"/>
        <v>0</v>
      </c>
      <c r="BF230" s="23">
        <f t="shared" si="87"/>
        <v>0</v>
      </c>
    </row>
    <row r="231" spans="9:58" ht="15.75" thickBot="1" x14ac:dyDescent="0.3">
      <c r="I231" s="65" t="str">
        <f>alimentos[[#This Row],[Item]]</f>
        <v>Refrigerante lata</v>
      </c>
      <c r="J231" s="61">
        <f>IFERROR(alimentos[[#This Row],[kg/embalagem]],0)</f>
        <v>0.35</v>
      </c>
      <c r="K231" s="64">
        <f>IFERROR(alimentos[[#This Row],[Preço]],0)</f>
        <v>1.99</v>
      </c>
      <c r="L231" s="64">
        <f>SUMIFS(super1[Qtde],super1[Item],tab_alimentos[[#This Row],[Item]],super1[Bairro],mercado1)+SUMIFS(supercb[Qtde],supercb[Item],tab_alimentos[[#This Row],[Item]],supercb[Bairro],mercado1)</f>
        <v>0</v>
      </c>
      <c r="M231" s="64">
        <f>SUMIFS(super1[Qtde],super1[Item],tab_alimentos[[#This Row],[Item]],super1[Bairro],mercado2)+SUMIFS(supercb[Qtde],supercb[Item],tab_alimentos[[#This Row],[Item]],supercb[Bairro],mercado2)</f>
        <v>0</v>
      </c>
      <c r="N231" s="61">
        <f>SUMIFS(super1[Qtde],super1[Item],tab_alimentos[[#This Row],[Item]],super1[Bairro],mercado3)+SUMIFS(supercb[Qtde],supercb[Item],tab_alimentos[[#This Row],[Item]],supercb[Bairro],mercado3)</f>
        <v>0</v>
      </c>
      <c r="O231" s="64">
        <f>SUMIFS(super1[Qtde],super1[Item],tab_alimentos[[#This Row],[Item]],super1[Bairro],mercado4)+SUMIFS(supercb[Qtde],supercb[Item],tab_alimentos[[#This Row],[Item]],supercb[Bairro],mercado4)</f>
        <v>0</v>
      </c>
      <c r="P231" s="64">
        <f>SUMIFS(super1[Qtde],super1[Item],tab_alimentos[[#This Row],[Item]],super1[Bairro],mercado5)+SUMIFS(supercb[Qtde],supercb[Item],tab_alimentos[[#This Row],[Item]],supercb[Bairro],mercado5)</f>
        <v>0</v>
      </c>
      <c r="Q231" s="64">
        <f>SUMIFS(super1[Qtde],super1[Item],tab_alimentos[[#This Row],[Item]],super1[Bairro],mercado6)+SUMIFS(supercb[Qtde],supercb[Item],tab_alimentos[[#This Row],[Item]],supercb[Bairro],mercado6)</f>
        <v>0</v>
      </c>
      <c r="R231" s="64">
        <f>SUMIFS(super1[Qtde],super1[Item],tab_alimentos[[#This Row],[Item]],super1[Bairro],mercado7)+SUMIFS(supercb[Qtde],supercb[Item],tab_alimentos[[#This Row],[Item]],supercb[Bairro],mercado7)</f>
        <v>0</v>
      </c>
      <c r="S231" s="64">
        <f>SUMIFS(super1[Qtde],super1[Item],tab_alimentos[[#This Row],[Item]],super1[Bairro],mercado8)+SUMIFS(supercb[Qtde],supercb[Item],tab_alimentos[[#This Row],[Item]],supercb[Bairro],mercado8)</f>
        <v>0</v>
      </c>
      <c r="T231" s="64">
        <f>SUMIFS(super1[Qtde],super1[Item],tab_alimentos[[#This Row],[Item]],super1[Bairro],mercado9)+SUMIFS(supercb[Qtde],supercb[Item],tab_alimentos[[#This Row],[Item]],supercb[Bairro],mercado9)</f>
        <v>0</v>
      </c>
      <c r="U231" s="64">
        <f>SUMIFS(super1[Qtde],super1[Item],tab_alimentos[[#This Row],[Item]],super1[Bairro],mercado10)+SUMIFS(supercb[Qtde],supercb[Item],tab_alimentos[[#This Row],[Item]],supercb[Bairro],mercado10)</f>
        <v>0</v>
      </c>
      <c r="V231" s="64">
        <f>SUMIFS(super1[Qtde],super1[Item],tab_alimentos[[#This Row],[Item]],super1[Bairro],mercado11)+SUMIFS(supercb[Qtde],supercb[Item],tab_alimentos[[#This Row],[Item]],supercb[Bairro],mercado11)</f>
        <v>0</v>
      </c>
      <c r="W231" s="64">
        <f>SUMIFS(super1[Qtde],super1[Item],tab_alimentos[[#This Row],[Item]],super1[Bairro],mercado12)+SUMIFS(supercb[Qtde],supercb[Item],tab_alimentos[[#This Row],[Item]],supercb[Bairro],mercado12)</f>
        <v>0</v>
      </c>
      <c r="X231" s="64">
        <f>SUMIFS(super1[Qtde],super1[Item],tab_alimentos[[#This Row],[Item]],super1[Bairro],mercado13)+SUMIFS(supercb[Qtde],supercb[Item],tab_alimentos[[#This Row],[Item]],supercb[Bairro],mercado13)</f>
        <v>0</v>
      </c>
      <c r="Y231" s="64">
        <f>SUMIFS(super1[Qtde],super1[Item],tab_alimentos[[#This Row],[Item]],super1[Bairro],mercado14)+SUMIFS(supercb[Qtde],supercb[Item],tab_alimentos[[#This Row],[Item]],supercb[Bairro],mercado14)</f>
        <v>0</v>
      </c>
      <c r="Z231" s="64">
        <f>SUMIFS(super1[Qtde],super1[Item],tab_alimentos[[#This Row],[Item]],super1[Bairro],mercado15)+SUMIFS(supercb[Qtde],supercb[Item],tab_alimentos[[#This Row],[Item]],supercb[Bairro],mercado15)</f>
        <v>0</v>
      </c>
      <c r="AA231" s="64">
        <f>SUMIFS(super1[Qtde],super1[Item],tab_alimentos[[#This Row],[Item]],super1[Bairro],mercado16)+SUMIFS(supercb[Qtde],supercb[Item],tab_alimentos[[#This Row],[Item]],supercb[Bairro],mercado16)</f>
        <v>0</v>
      </c>
      <c r="AB231" s="64">
        <f>SUMIFS(super1[Qtde],super1[Item],tab_alimentos[[#This Row],[Item]],super1[Bairro],mercado17)+SUMIFS(supercb[Qtde],supercb[Item],tab_alimentos[[#This Row],[Item]],supercb[Bairro],mercado17)</f>
        <v>0</v>
      </c>
      <c r="AC231" s="64">
        <f>SUMIFS(super1[Qtde],super1[Item],tab_alimentos[[#This Row],[Item]],super1[Bairro],mercado18)+SUMIFS(supercb[Qtde],supercb[Item],tab_alimentos[[#This Row],[Item]],supercb[Bairro],mercado18)</f>
        <v>0</v>
      </c>
      <c r="AD231" s="64">
        <f>SUMIFS(super1[Qtde],super1[Item],tab_alimentos[[#This Row],[Item]],super1[Bairro],extras)+SUMIFS(supercb[Qtde],supercb[Item],tab_alimentos[[#This Row],[Item]],supercb[Bairro],extras)</f>
        <v>0</v>
      </c>
      <c r="AE231" s="61">
        <f t="shared" si="82"/>
        <v>0</v>
      </c>
      <c r="AF231" s="61">
        <f t="shared" si="83"/>
        <v>0</v>
      </c>
      <c r="AG231" s="62">
        <f t="shared" si="84"/>
        <v>0</v>
      </c>
      <c r="AH231" s="15" t="e">
        <f>higiene[[#This Row],[Item]]</f>
        <v>#VALUE!</v>
      </c>
      <c r="AI231" s="8">
        <f>IFERROR(higiene[[#This Row],[Kg equivalente]],0)</f>
        <v>0</v>
      </c>
      <c r="AJ231" s="8">
        <f>IFERROR(higiene[[#This Row],[Preço por produto]],0)</f>
        <v>0</v>
      </c>
      <c r="AK231" s="61">
        <f>SUMIFS(super1[Qtde],super1[Item],tab_higiene[[#This Row],[Item]],super1[Bairro],mercado1)+SUMIFS(supercb[Qtde],supercb[Item],tab_higiene[[#This Row],[Item]],supercb[Bairro],mercado1)</f>
        <v>0</v>
      </c>
      <c r="AL231" s="61">
        <f>SUMIFS(super1[Qtde],super1[Item],tab_higiene[[#This Row],[Item]],super1[Bairro],mercado2)+SUMIFS(supercb[Qtde],supercb[Item],tab_higiene[[#This Row],[Item]],supercb[Bairro],mercado2)</f>
        <v>0</v>
      </c>
      <c r="AM231" s="61">
        <f>SUMIFS(super1[Qtde],super1[Item],tab_higiene[[#This Row],[Item]],super1[Bairro],mercado3)+SUMIFS(supercb[Qtde],supercb[Item],tab_higiene[[#This Row],[Item]],supercb[Bairro],mercado3)</f>
        <v>0</v>
      </c>
      <c r="AN231" s="61">
        <f>SUMIFS(super1[Qtde],super1[Item],tab_higiene[[#This Row],[Item]],super1[Bairro],mercado4)+SUMIFS(supercb[Qtde],supercb[Item],tab_higiene[[#This Row],[Item]],supercb[Bairro],mercado4)</f>
        <v>0</v>
      </c>
      <c r="AO231" s="61">
        <f>SUMIFS(super1[Qtde],super1[Item],tab_higiene[[#This Row],[Item]],super1[Bairro],mercado5)+SUMIFS(supercb[Qtde],supercb[Item],tab_higiene[[#This Row],[Item]],supercb[Bairro],mercado5)</f>
        <v>0</v>
      </c>
      <c r="AP231" s="61">
        <f>SUMIFS(super1[Qtde],super1[Item],tab_higiene[[#This Row],[Item]],super1[Bairro],mercado6)+SUMIFS(supercb[Qtde],supercb[Item],tab_higiene[[#This Row],[Item]],supercb[Bairro],mercado6)</f>
        <v>0</v>
      </c>
      <c r="AQ231" s="61">
        <f>SUMIFS(super1[Qtde],super1[Item],tab_higiene[[#This Row],[Item]],super1[Bairro],mercado7)+SUMIFS(supercb[Qtde],supercb[Item],tab_higiene[[#This Row],[Item]],supercb[Bairro],mercado7)</f>
        <v>0</v>
      </c>
      <c r="AR231" s="61">
        <f>SUMIFS(super1[Qtde],super1[Item],tab_higiene[[#This Row],[Item]],super1[Bairro],mercado8)+SUMIFS(supercb[Qtde],supercb[Item],tab_higiene[[#This Row],[Item]],supercb[Bairro],mercado8)</f>
        <v>0</v>
      </c>
      <c r="AS231" s="61">
        <f>SUMIFS(super1[Qtde],super1[Item],tab_higiene[[#This Row],[Item]],super1[Bairro],mercado9)+SUMIFS(supercb[Qtde],supercb[Item],tab_higiene[[#This Row],[Item]],supercb[Bairro],mercado9)</f>
        <v>0</v>
      </c>
      <c r="AT231" s="61">
        <f>SUMIFS(super1[Qtde],super1[Item],tab_higiene[[#This Row],[Item]],super1[Bairro],mercado10)+SUMIFS(supercb[Qtde],supercb[Item],tab_higiene[[#This Row],[Item]],supercb[Bairro],mercado10)</f>
        <v>0</v>
      </c>
      <c r="AU231" s="61">
        <f>SUMIFS(super1[Qtde],super1[Item],tab_higiene[[#This Row],[Item]],super1[Bairro],mercado11)+SUMIFS(supercb[Qtde],supercb[Item],tab_higiene[[#This Row],[Item]],supercb[Bairro],mercado11)</f>
        <v>0</v>
      </c>
      <c r="AV231" s="61">
        <f>SUMIFS(super1[Qtde],super1[Item],tab_higiene[[#This Row],[Item]],super1[Bairro],mercado12)+SUMIFS(supercb[Qtde],supercb[Item],tab_higiene[[#This Row],[Item]],supercb[Bairro],mercado12)</f>
        <v>0</v>
      </c>
      <c r="AW231" s="61">
        <f>SUMIFS(super1[Qtde],super1[Item],tab_higiene[[#This Row],[Item]],super1[Bairro],mercado13)+SUMIFS(supercb[Qtde],supercb[Item],tab_higiene[[#This Row],[Item]],supercb[Bairro],mercado13)</f>
        <v>0</v>
      </c>
      <c r="AX231" s="61">
        <f>SUMIFS(super1[Qtde],super1[Item],tab_higiene[[#This Row],[Item]],super1[Bairro],mercado14)+SUMIFS(supercb[Qtde],supercb[Item],tab_higiene[[#This Row],[Item]],supercb[Bairro],mercado14)</f>
        <v>0</v>
      </c>
      <c r="AY231" s="61">
        <f>SUMIFS(super1[Qtde],super1[Item],tab_higiene[[#This Row],[Item]],super1[Bairro],mercado15)+SUMIFS(supercb[Qtde],supercb[Item],tab_higiene[[#This Row],[Item]],supercb[Bairro],mercado15)</f>
        <v>0</v>
      </c>
      <c r="AZ231" s="61">
        <f>SUMIFS(super1[Qtde],super1[Item],tab_higiene[[#This Row],[Item]],super1[Bairro],mercado16)+SUMIFS(supercb[Qtde],supercb[Item],tab_higiene[[#This Row],[Item]],supercb[Bairro],mercado16)</f>
        <v>0</v>
      </c>
      <c r="BA231" s="61">
        <f>SUMIFS(super1[Qtde],super1[Item],tab_higiene[[#This Row],[Item]],super1[Bairro],mercado17)+SUMIFS(supercb[Qtde],supercb[Item],tab_higiene[[#This Row],[Item]],supercb[Bairro],mercado17)</f>
        <v>0</v>
      </c>
      <c r="BB231" s="61">
        <f>SUMIFS(super1[Qtde],super1[Item],tab_higiene[[#This Row],[Item]],super1[Bairro],mercado18)+SUMIFS(supercb[Qtde],supercb[Item],tab_higiene[[#This Row],[Item]],supercb[Bairro],mercado18)</f>
        <v>0</v>
      </c>
      <c r="BC231" s="51">
        <f>SUMIFS(super1[Qtde],super1[Item],tab_higiene[[#This Row],[Item]],super1[Bairro],extras)+SUMIFS(supercb[Qtde],supercb[Item],tab_higiene[[#This Row],[Item]],supercb[Bairro],extras)</f>
        <v>0</v>
      </c>
      <c r="BD231" s="8">
        <f t="shared" si="85"/>
        <v>0</v>
      </c>
      <c r="BE231" s="8">
        <f t="shared" si="86"/>
        <v>0</v>
      </c>
      <c r="BF231" s="23">
        <f t="shared" si="87"/>
        <v>0</v>
      </c>
    </row>
    <row r="232" spans="9:58" ht="15.75" thickBot="1" x14ac:dyDescent="0.3">
      <c r="I232" s="65" t="str">
        <f>alimentos[[#This Row],[Item]]</f>
        <v>S</v>
      </c>
      <c r="J232" s="61">
        <f>IFERROR(alimentos[[#This Row],[kg/embalagem]],0)</f>
        <v>0</v>
      </c>
      <c r="K232" s="64">
        <f>IFERROR(alimentos[[#This Row],[Preço]],0)</f>
        <v>0</v>
      </c>
      <c r="L232" s="64">
        <f>SUMIFS(super1[Qtde],super1[Item],tab_alimentos[[#This Row],[Item]],super1[Bairro],mercado1)+SUMIFS(supercb[Qtde],supercb[Item],tab_alimentos[[#This Row],[Item]],supercb[Bairro],mercado1)</f>
        <v>0</v>
      </c>
      <c r="M232" s="64">
        <f>SUMIFS(super1[Qtde],super1[Item],tab_alimentos[[#This Row],[Item]],super1[Bairro],mercado2)+SUMIFS(supercb[Qtde],supercb[Item],tab_alimentos[[#This Row],[Item]],supercb[Bairro],mercado2)</f>
        <v>0</v>
      </c>
      <c r="N232" s="61">
        <f>SUMIFS(super1[Qtde],super1[Item],tab_alimentos[[#This Row],[Item]],super1[Bairro],mercado3)+SUMIFS(supercb[Qtde],supercb[Item],tab_alimentos[[#This Row],[Item]],supercb[Bairro],mercado3)</f>
        <v>0</v>
      </c>
      <c r="O232" s="64">
        <f>SUMIFS(super1[Qtde],super1[Item],tab_alimentos[[#This Row],[Item]],super1[Bairro],mercado4)+SUMIFS(supercb[Qtde],supercb[Item],tab_alimentos[[#This Row],[Item]],supercb[Bairro],mercado4)</f>
        <v>0</v>
      </c>
      <c r="P232" s="64">
        <f>SUMIFS(super1[Qtde],super1[Item],tab_alimentos[[#This Row],[Item]],super1[Bairro],mercado5)+SUMIFS(supercb[Qtde],supercb[Item],tab_alimentos[[#This Row],[Item]],supercb[Bairro],mercado5)</f>
        <v>0</v>
      </c>
      <c r="Q232" s="64">
        <f>SUMIFS(super1[Qtde],super1[Item],tab_alimentos[[#This Row],[Item]],super1[Bairro],mercado6)+SUMIFS(supercb[Qtde],supercb[Item],tab_alimentos[[#This Row],[Item]],supercb[Bairro],mercado6)</f>
        <v>0</v>
      </c>
      <c r="R232" s="64">
        <f>SUMIFS(super1[Qtde],super1[Item],tab_alimentos[[#This Row],[Item]],super1[Bairro],mercado7)+SUMIFS(supercb[Qtde],supercb[Item],tab_alimentos[[#This Row],[Item]],supercb[Bairro],mercado7)</f>
        <v>0</v>
      </c>
      <c r="S232" s="64">
        <f>SUMIFS(super1[Qtde],super1[Item],tab_alimentos[[#This Row],[Item]],super1[Bairro],mercado8)+SUMIFS(supercb[Qtde],supercb[Item],tab_alimentos[[#This Row],[Item]],supercb[Bairro],mercado8)</f>
        <v>0</v>
      </c>
      <c r="T232" s="64">
        <f>SUMIFS(super1[Qtde],super1[Item],tab_alimentos[[#This Row],[Item]],super1[Bairro],mercado9)+SUMIFS(supercb[Qtde],supercb[Item],tab_alimentos[[#This Row],[Item]],supercb[Bairro],mercado9)</f>
        <v>0</v>
      </c>
      <c r="U232" s="64">
        <f>SUMIFS(super1[Qtde],super1[Item],tab_alimentos[[#This Row],[Item]],super1[Bairro],mercado10)+SUMIFS(supercb[Qtde],supercb[Item],tab_alimentos[[#This Row],[Item]],supercb[Bairro],mercado10)</f>
        <v>0</v>
      </c>
      <c r="V232" s="64">
        <f>SUMIFS(super1[Qtde],super1[Item],tab_alimentos[[#This Row],[Item]],super1[Bairro],mercado11)+SUMIFS(supercb[Qtde],supercb[Item],tab_alimentos[[#This Row],[Item]],supercb[Bairro],mercado11)</f>
        <v>0</v>
      </c>
      <c r="W232" s="64">
        <f>SUMIFS(super1[Qtde],super1[Item],tab_alimentos[[#This Row],[Item]],super1[Bairro],mercado12)+SUMIFS(supercb[Qtde],supercb[Item],tab_alimentos[[#This Row],[Item]],supercb[Bairro],mercado12)</f>
        <v>0</v>
      </c>
      <c r="X232" s="64">
        <f>SUMIFS(super1[Qtde],super1[Item],tab_alimentos[[#This Row],[Item]],super1[Bairro],mercado13)+SUMIFS(supercb[Qtde],supercb[Item],tab_alimentos[[#This Row],[Item]],supercb[Bairro],mercado13)</f>
        <v>0</v>
      </c>
      <c r="Y232" s="64">
        <f>SUMIFS(super1[Qtde],super1[Item],tab_alimentos[[#This Row],[Item]],super1[Bairro],mercado14)+SUMIFS(supercb[Qtde],supercb[Item],tab_alimentos[[#This Row],[Item]],supercb[Bairro],mercado14)</f>
        <v>0</v>
      </c>
      <c r="Z232" s="64">
        <f>SUMIFS(super1[Qtde],super1[Item],tab_alimentos[[#This Row],[Item]],super1[Bairro],mercado15)+SUMIFS(supercb[Qtde],supercb[Item],tab_alimentos[[#This Row],[Item]],supercb[Bairro],mercado15)</f>
        <v>0</v>
      </c>
      <c r="AA232" s="64">
        <f>SUMIFS(super1[Qtde],super1[Item],tab_alimentos[[#This Row],[Item]],super1[Bairro],mercado16)+SUMIFS(supercb[Qtde],supercb[Item],tab_alimentos[[#This Row],[Item]],supercb[Bairro],mercado16)</f>
        <v>0</v>
      </c>
      <c r="AB232" s="64">
        <f>SUMIFS(super1[Qtde],super1[Item],tab_alimentos[[#This Row],[Item]],super1[Bairro],mercado17)+SUMIFS(supercb[Qtde],supercb[Item],tab_alimentos[[#This Row],[Item]],supercb[Bairro],mercado17)</f>
        <v>0</v>
      </c>
      <c r="AC232" s="64">
        <f>SUMIFS(super1[Qtde],super1[Item],tab_alimentos[[#This Row],[Item]],super1[Bairro],mercado18)+SUMIFS(supercb[Qtde],supercb[Item],tab_alimentos[[#This Row],[Item]],supercb[Bairro],mercado18)</f>
        <v>0</v>
      </c>
      <c r="AD232" s="64">
        <f>SUMIFS(super1[Qtde],super1[Item],tab_alimentos[[#This Row],[Item]],super1[Bairro],extras)+SUMIFS(supercb[Qtde],supercb[Item],tab_alimentos[[#This Row],[Item]],supercb[Bairro],extras)</f>
        <v>0</v>
      </c>
      <c r="AE232" s="61">
        <f t="shared" si="82"/>
        <v>0</v>
      </c>
      <c r="AF232" s="61">
        <f t="shared" si="83"/>
        <v>0</v>
      </c>
      <c r="AG232" s="62">
        <f t="shared" si="84"/>
        <v>0</v>
      </c>
      <c r="AH232" s="15" t="e">
        <f>higiene[[#This Row],[Item]]</f>
        <v>#VALUE!</v>
      </c>
      <c r="AI232" s="8">
        <f>IFERROR(higiene[[#This Row],[Kg equivalente]],0)</f>
        <v>0</v>
      </c>
      <c r="AJ232" s="8">
        <f>IFERROR(higiene[[#This Row],[Preço por produto]],0)</f>
        <v>0</v>
      </c>
      <c r="AK232" s="61">
        <f>SUMIFS(super1[Qtde],super1[Item],tab_higiene[[#This Row],[Item]],super1[Bairro],mercado1)+SUMIFS(supercb[Qtde],supercb[Item],tab_higiene[[#This Row],[Item]],supercb[Bairro],mercado1)</f>
        <v>0</v>
      </c>
      <c r="AL232" s="61">
        <f>SUMIFS(super1[Qtde],super1[Item],tab_higiene[[#This Row],[Item]],super1[Bairro],mercado2)+SUMIFS(supercb[Qtde],supercb[Item],tab_higiene[[#This Row],[Item]],supercb[Bairro],mercado2)</f>
        <v>0</v>
      </c>
      <c r="AM232" s="61">
        <f>SUMIFS(super1[Qtde],super1[Item],tab_higiene[[#This Row],[Item]],super1[Bairro],mercado3)+SUMIFS(supercb[Qtde],supercb[Item],tab_higiene[[#This Row],[Item]],supercb[Bairro],mercado3)</f>
        <v>0</v>
      </c>
      <c r="AN232" s="61">
        <f>SUMIFS(super1[Qtde],super1[Item],tab_higiene[[#This Row],[Item]],super1[Bairro],mercado4)+SUMIFS(supercb[Qtde],supercb[Item],tab_higiene[[#This Row],[Item]],supercb[Bairro],mercado4)</f>
        <v>0</v>
      </c>
      <c r="AO232" s="61">
        <f>SUMIFS(super1[Qtde],super1[Item],tab_higiene[[#This Row],[Item]],super1[Bairro],mercado5)+SUMIFS(supercb[Qtde],supercb[Item],tab_higiene[[#This Row],[Item]],supercb[Bairro],mercado5)</f>
        <v>0</v>
      </c>
      <c r="AP232" s="61">
        <f>SUMIFS(super1[Qtde],super1[Item],tab_higiene[[#This Row],[Item]],super1[Bairro],mercado6)+SUMIFS(supercb[Qtde],supercb[Item],tab_higiene[[#This Row],[Item]],supercb[Bairro],mercado6)</f>
        <v>0</v>
      </c>
      <c r="AQ232" s="61">
        <f>SUMIFS(super1[Qtde],super1[Item],tab_higiene[[#This Row],[Item]],super1[Bairro],mercado7)+SUMIFS(supercb[Qtde],supercb[Item],tab_higiene[[#This Row],[Item]],supercb[Bairro],mercado7)</f>
        <v>0</v>
      </c>
      <c r="AR232" s="61">
        <f>SUMIFS(super1[Qtde],super1[Item],tab_higiene[[#This Row],[Item]],super1[Bairro],mercado8)+SUMIFS(supercb[Qtde],supercb[Item],tab_higiene[[#This Row],[Item]],supercb[Bairro],mercado8)</f>
        <v>0</v>
      </c>
      <c r="AS232" s="61">
        <f>SUMIFS(super1[Qtde],super1[Item],tab_higiene[[#This Row],[Item]],super1[Bairro],mercado9)+SUMIFS(supercb[Qtde],supercb[Item],tab_higiene[[#This Row],[Item]],supercb[Bairro],mercado9)</f>
        <v>0</v>
      </c>
      <c r="AT232" s="61">
        <f>SUMIFS(super1[Qtde],super1[Item],tab_higiene[[#This Row],[Item]],super1[Bairro],mercado10)+SUMIFS(supercb[Qtde],supercb[Item],tab_higiene[[#This Row],[Item]],supercb[Bairro],mercado10)</f>
        <v>0</v>
      </c>
      <c r="AU232" s="61">
        <f>SUMIFS(super1[Qtde],super1[Item],tab_higiene[[#This Row],[Item]],super1[Bairro],mercado11)+SUMIFS(supercb[Qtde],supercb[Item],tab_higiene[[#This Row],[Item]],supercb[Bairro],mercado11)</f>
        <v>0</v>
      </c>
      <c r="AV232" s="61">
        <f>SUMIFS(super1[Qtde],super1[Item],tab_higiene[[#This Row],[Item]],super1[Bairro],mercado12)+SUMIFS(supercb[Qtde],supercb[Item],tab_higiene[[#This Row],[Item]],supercb[Bairro],mercado12)</f>
        <v>0</v>
      </c>
      <c r="AW232" s="61">
        <f>SUMIFS(super1[Qtde],super1[Item],tab_higiene[[#This Row],[Item]],super1[Bairro],mercado13)+SUMIFS(supercb[Qtde],supercb[Item],tab_higiene[[#This Row],[Item]],supercb[Bairro],mercado13)</f>
        <v>0</v>
      </c>
      <c r="AX232" s="61">
        <f>SUMIFS(super1[Qtde],super1[Item],tab_higiene[[#This Row],[Item]],super1[Bairro],mercado14)+SUMIFS(supercb[Qtde],supercb[Item],tab_higiene[[#This Row],[Item]],supercb[Bairro],mercado14)</f>
        <v>0</v>
      </c>
      <c r="AY232" s="61">
        <f>SUMIFS(super1[Qtde],super1[Item],tab_higiene[[#This Row],[Item]],super1[Bairro],mercado15)+SUMIFS(supercb[Qtde],supercb[Item],tab_higiene[[#This Row],[Item]],supercb[Bairro],mercado15)</f>
        <v>0</v>
      </c>
      <c r="AZ232" s="61">
        <f>SUMIFS(super1[Qtde],super1[Item],tab_higiene[[#This Row],[Item]],super1[Bairro],mercado16)+SUMIFS(supercb[Qtde],supercb[Item],tab_higiene[[#This Row],[Item]],supercb[Bairro],mercado16)</f>
        <v>0</v>
      </c>
      <c r="BA232" s="61">
        <f>SUMIFS(super1[Qtde],super1[Item],tab_higiene[[#This Row],[Item]],super1[Bairro],mercado17)+SUMIFS(supercb[Qtde],supercb[Item],tab_higiene[[#This Row],[Item]],supercb[Bairro],mercado17)</f>
        <v>0</v>
      </c>
      <c r="BB232" s="61">
        <f>SUMIFS(super1[Qtde],super1[Item],tab_higiene[[#This Row],[Item]],super1[Bairro],mercado18)+SUMIFS(supercb[Qtde],supercb[Item],tab_higiene[[#This Row],[Item]],supercb[Bairro],mercado18)</f>
        <v>0</v>
      </c>
      <c r="BC232" s="51">
        <f>SUMIFS(super1[Qtde],super1[Item],tab_higiene[[#This Row],[Item]],super1[Bairro],extras)+SUMIFS(supercb[Qtde],supercb[Item],tab_higiene[[#This Row],[Item]],supercb[Bairro],extras)</f>
        <v>0</v>
      </c>
      <c r="BD232" s="8">
        <f t="shared" si="85"/>
        <v>0</v>
      </c>
      <c r="BE232" s="8">
        <f t="shared" si="86"/>
        <v>0</v>
      </c>
      <c r="BF232" s="23">
        <f t="shared" si="87"/>
        <v>0</v>
      </c>
    </row>
    <row r="233" spans="9:58" ht="15.75" thickBot="1" x14ac:dyDescent="0.3">
      <c r="I233" s="65" t="str">
        <f>alimentos[[#This Row],[Item]]</f>
        <v>Sagu (150g)</v>
      </c>
      <c r="J233" s="61">
        <f>IFERROR(alimentos[[#This Row],[kg/embalagem]],0)</f>
        <v>0.15</v>
      </c>
      <c r="K233" s="64">
        <f>IFERROR(alimentos[[#This Row],[Preço]],0)</f>
        <v>6.99</v>
      </c>
      <c r="L233" s="64">
        <f>SUMIFS(super1[Qtde],super1[Item],tab_alimentos[[#This Row],[Item]],super1[Bairro],mercado1)+SUMIFS(supercb[Qtde],supercb[Item],tab_alimentos[[#This Row],[Item]],supercb[Bairro],mercado1)</f>
        <v>0</v>
      </c>
      <c r="M233" s="64">
        <f>SUMIFS(super1[Qtde],super1[Item],tab_alimentos[[#This Row],[Item]],super1[Bairro],mercado2)+SUMIFS(supercb[Qtde],supercb[Item],tab_alimentos[[#This Row],[Item]],supercb[Bairro],mercado2)</f>
        <v>0</v>
      </c>
      <c r="N233" s="61">
        <f>SUMIFS(super1[Qtde],super1[Item],tab_alimentos[[#This Row],[Item]],super1[Bairro],mercado3)+SUMIFS(supercb[Qtde],supercb[Item],tab_alimentos[[#This Row],[Item]],supercb[Bairro],mercado3)</f>
        <v>0</v>
      </c>
      <c r="O233" s="64">
        <f>SUMIFS(super1[Qtde],super1[Item],tab_alimentos[[#This Row],[Item]],super1[Bairro],mercado4)+SUMIFS(supercb[Qtde],supercb[Item],tab_alimentos[[#This Row],[Item]],supercb[Bairro],mercado4)</f>
        <v>0</v>
      </c>
      <c r="P233" s="64">
        <f>SUMIFS(super1[Qtde],super1[Item],tab_alimentos[[#This Row],[Item]],super1[Bairro],mercado5)+SUMIFS(supercb[Qtde],supercb[Item],tab_alimentos[[#This Row],[Item]],supercb[Bairro],mercado5)</f>
        <v>0</v>
      </c>
      <c r="Q233" s="64">
        <f>SUMIFS(super1[Qtde],super1[Item],tab_alimentos[[#This Row],[Item]],super1[Bairro],mercado6)+SUMIFS(supercb[Qtde],supercb[Item],tab_alimentos[[#This Row],[Item]],supercb[Bairro],mercado6)</f>
        <v>0</v>
      </c>
      <c r="R233" s="64">
        <f>SUMIFS(super1[Qtde],super1[Item],tab_alimentos[[#This Row],[Item]],super1[Bairro],mercado7)+SUMIFS(supercb[Qtde],supercb[Item],tab_alimentos[[#This Row],[Item]],supercb[Bairro],mercado7)</f>
        <v>0</v>
      </c>
      <c r="S233" s="64">
        <f>SUMIFS(super1[Qtde],super1[Item],tab_alimentos[[#This Row],[Item]],super1[Bairro],mercado8)+SUMIFS(supercb[Qtde],supercb[Item],tab_alimentos[[#This Row],[Item]],supercb[Bairro],mercado8)</f>
        <v>0</v>
      </c>
      <c r="T233" s="64">
        <f>SUMIFS(super1[Qtde],super1[Item],tab_alimentos[[#This Row],[Item]],super1[Bairro],mercado9)+SUMIFS(supercb[Qtde],supercb[Item],tab_alimentos[[#This Row],[Item]],supercb[Bairro],mercado9)</f>
        <v>0</v>
      </c>
      <c r="U233" s="64">
        <f>SUMIFS(super1[Qtde],super1[Item],tab_alimentos[[#This Row],[Item]],super1[Bairro],mercado10)+SUMIFS(supercb[Qtde],supercb[Item],tab_alimentos[[#This Row],[Item]],supercb[Bairro],mercado10)</f>
        <v>0</v>
      </c>
      <c r="V233" s="64">
        <f>SUMIFS(super1[Qtde],super1[Item],tab_alimentos[[#This Row],[Item]],super1[Bairro],mercado11)+SUMIFS(supercb[Qtde],supercb[Item],tab_alimentos[[#This Row],[Item]],supercb[Bairro],mercado11)</f>
        <v>0</v>
      </c>
      <c r="W233" s="64">
        <f>SUMIFS(super1[Qtde],super1[Item],tab_alimentos[[#This Row],[Item]],super1[Bairro],mercado12)+SUMIFS(supercb[Qtde],supercb[Item],tab_alimentos[[#This Row],[Item]],supercb[Bairro],mercado12)</f>
        <v>0</v>
      </c>
      <c r="X233" s="64">
        <f>SUMIFS(super1[Qtde],super1[Item],tab_alimentos[[#This Row],[Item]],super1[Bairro],mercado13)+SUMIFS(supercb[Qtde],supercb[Item],tab_alimentos[[#This Row],[Item]],supercb[Bairro],mercado13)</f>
        <v>0</v>
      </c>
      <c r="Y233" s="64">
        <f>SUMIFS(super1[Qtde],super1[Item],tab_alimentos[[#This Row],[Item]],super1[Bairro],mercado14)+SUMIFS(supercb[Qtde],supercb[Item],tab_alimentos[[#This Row],[Item]],supercb[Bairro],mercado14)</f>
        <v>0</v>
      </c>
      <c r="Z233" s="64">
        <f>SUMIFS(super1[Qtde],super1[Item],tab_alimentos[[#This Row],[Item]],super1[Bairro],mercado15)+SUMIFS(supercb[Qtde],supercb[Item],tab_alimentos[[#This Row],[Item]],supercb[Bairro],mercado15)</f>
        <v>0</v>
      </c>
      <c r="AA233" s="64">
        <f>SUMIFS(super1[Qtde],super1[Item],tab_alimentos[[#This Row],[Item]],super1[Bairro],mercado16)+SUMIFS(supercb[Qtde],supercb[Item],tab_alimentos[[#This Row],[Item]],supercb[Bairro],mercado16)</f>
        <v>0</v>
      </c>
      <c r="AB233" s="64">
        <f>SUMIFS(super1[Qtde],super1[Item],tab_alimentos[[#This Row],[Item]],super1[Bairro],mercado17)+SUMIFS(supercb[Qtde],supercb[Item],tab_alimentos[[#This Row],[Item]],supercb[Bairro],mercado17)</f>
        <v>0</v>
      </c>
      <c r="AC233" s="64">
        <f>SUMIFS(super1[Qtde],super1[Item],tab_alimentos[[#This Row],[Item]],super1[Bairro],mercado18)+SUMIFS(supercb[Qtde],supercb[Item],tab_alimentos[[#This Row],[Item]],supercb[Bairro],mercado18)</f>
        <v>0</v>
      </c>
      <c r="AD233" s="64">
        <f>SUMIFS(super1[Qtde],super1[Item],tab_alimentos[[#This Row],[Item]],super1[Bairro],extras)+SUMIFS(supercb[Qtde],supercb[Item],tab_alimentos[[#This Row],[Item]],supercb[Bairro],extras)</f>
        <v>0</v>
      </c>
      <c r="AE233" s="61">
        <f t="shared" si="82"/>
        <v>0</v>
      </c>
      <c r="AF233" s="61">
        <f t="shared" si="83"/>
        <v>0</v>
      </c>
      <c r="AG233" s="62">
        <f t="shared" si="84"/>
        <v>0</v>
      </c>
      <c r="AH233" s="15" t="e">
        <f>higiene[[#This Row],[Item]]</f>
        <v>#VALUE!</v>
      </c>
      <c r="AI233" s="8">
        <f>IFERROR(higiene[[#This Row],[Kg equivalente]],0)</f>
        <v>0</v>
      </c>
      <c r="AJ233" s="8">
        <f>IFERROR(higiene[[#This Row],[Preço por produto]],0)</f>
        <v>0</v>
      </c>
      <c r="AK233" s="61">
        <f>SUMIFS(super1[Qtde],super1[Item],tab_higiene[[#This Row],[Item]],super1[Bairro],mercado1)+SUMIFS(supercb[Qtde],supercb[Item],tab_higiene[[#This Row],[Item]],supercb[Bairro],mercado1)</f>
        <v>0</v>
      </c>
      <c r="AL233" s="61">
        <f>SUMIFS(super1[Qtde],super1[Item],tab_higiene[[#This Row],[Item]],super1[Bairro],mercado2)+SUMIFS(supercb[Qtde],supercb[Item],tab_higiene[[#This Row],[Item]],supercb[Bairro],mercado2)</f>
        <v>0</v>
      </c>
      <c r="AM233" s="61">
        <f>SUMIFS(super1[Qtde],super1[Item],tab_higiene[[#This Row],[Item]],super1[Bairro],mercado3)+SUMIFS(supercb[Qtde],supercb[Item],tab_higiene[[#This Row],[Item]],supercb[Bairro],mercado3)</f>
        <v>0</v>
      </c>
      <c r="AN233" s="61">
        <f>SUMIFS(super1[Qtde],super1[Item],tab_higiene[[#This Row],[Item]],super1[Bairro],mercado4)+SUMIFS(supercb[Qtde],supercb[Item],tab_higiene[[#This Row],[Item]],supercb[Bairro],mercado4)</f>
        <v>0</v>
      </c>
      <c r="AO233" s="61">
        <f>SUMIFS(super1[Qtde],super1[Item],tab_higiene[[#This Row],[Item]],super1[Bairro],mercado5)+SUMIFS(supercb[Qtde],supercb[Item],tab_higiene[[#This Row],[Item]],supercb[Bairro],mercado5)</f>
        <v>0</v>
      </c>
      <c r="AP233" s="61">
        <f>SUMIFS(super1[Qtde],super1[Item],tab_higiene[[#This Row],[Item]],super1[Bairro],mercado6)+SUMIFS(supercb[Qtde],supercb[Item],tab_higiene[[#This Row],[Item]],supercb[Bairro],mercado6)</f>
        <v>0</v>
      </c>
      <c r="AQ233" s="61">
        <f>SUMIFS(super1[Qtde],super1[Item],tab_higiene[[#This Row],[Item]],super1[Bairro],mercado7)+SUMIFS(supercb[Qtde],supercb[Item],tab_higiene[[#This Row],[Item]],supercb[Bairro],mercado7)</f>
        <v>0</v>
      </c>
      <c r="AR233" s="61">
        <f>SUMIFS(super1[Qtde],super1[Item],tab_higiene[[#This Row],[Item]],super1[Bairro],mercado8)+SUMIFS(supercb[Qtde],supercb[Item],tab_higiene[[#This Row],[Item]],supercb[Bairro],mercado8)</f>
        <v>0</v>
      </c>
      <c r="AS233" s="61">
        <f>SUMIFS(super1[Qtde],super1[Item],tab_higiene[[#This Row],[Item]],super1[Bairro],mercado9)+SUMIFS(supercb[Qtde],supercb[Item],tab_higiene[[#This Row],[Item]],supercb[Bairro],mercado9)</f>
        <v>0</v>
      </c>
      <c r="AT233" s="61">
        <f>SUMIFS(super1[Qtde],super1[Item],tab_higiene[[#This Row],[Item]],super1[Bairro],mercado10)+SUMIFS(supercb[Qtde],supercb[Item],tab_higiene[[#This Row],[Item]],supercb[Bairro],mercado10)</f>
        <v>0</v>
      </c>
      <c r="AU233" s="61">
        <f>SUMIFS(super1[Qtde],super1[Item],tab_higiene[[#This Row],[Item]],super1[Bairro],mercado11)+SUMIFS(supercb[Qtde],supercb[Item],tab_higiene[[#This Row],[Item]],supercb[Bairro],mercado11)</f>
        <v>0</v>
      </c>
      <c r="AV233" s="61">
        <f>SUMIFS(super1[Qtde],super1[Item],tab_higiene[[#This Row],[Item]],super1[Bairro],mercado12)+SUMIFS(supercb[Qtde],supercb[Item],tab_higiene[[#This Row],[Item]],supercb[Bairro],mercado12)</f>
        <v>0</v>
      </c>
      <c r="AW233" s="61">
        <f>SUMIFS(super1[Qtde],super1[Item],tab_higiene[[#This Row],[Item]],super1[Bairro],mercado13)+SUMIFS(supercb[Qtde],supercb[Item],tab_higiene[[#This Row],[Item]],supercb[Bairro],mercado13)</f>
        <v>0</v>
      </c>
      <c r="AX233" s="61">
        <f>SUMIFS(super1[Qtde],super1[Item],tab_higiene[[#This Row],[Item]],super1[Bairro],mercado14)+SUMIFS(supercb[Qtde],supercb[Item],tab_higiene[[#This Row],[Item]],supercb[Bairro],mercado14)</f>
        <v>0</v>
      </c>
      <c r="AY233" s="61">
        <f>SUMIFS(super1[Qtde],super1[Item],tab_higiene[[#This Row],[Item]],super1[Bairro],mercado15)+SUMIFS(supercb[Qtde],supercb[Item],tab_higiene[[#This Row],[Item]],supercb[Bairro],mercado15)</f>
        <v>0</v>
      </c>
      <c r="AZ233" s="61">
        <f>SUMIFS(super1[Qtde],super1[Item],tab_higiene[[#This Row],[Item]],super1[Bairro],mercado16)+SUMIFS(supercb[Qtde],supercb[Item],tab_higiene[[#This Row],[Item]],supercb[Bairro],mercado16)</f>
        <v>0</v>
      </c>
      <c r="BA233" s="61">
        <f>SUMIFS(super1[Qtde],super1[Item],tab_higiene[[#This Row],[Item]],super1[Bairro],mercado17)+SUMIFS(supercb[Qtde],supercb[Item],tab_higiene[[#This Row],[Item]],supercb[Bairro],mercado17)</f>
        <v>0</v>
      </c>
      <c r="BB233" s="61">
        <f>SUMIFS(super1[Qtde],super1[Item],tab_higiene[[#This Row],[Item]],super1[Bairro],mercado18)+SUMIFS(supercb[Qtde],supercb[Item],tab_higiene[[#This Row],[Item]],supercb[Bairro],mercado18)</f>
        <v>0</v>
      </c>
      <c r="BC233" s="51">
        <f>SUMIFS(super1[Qtde],super1[Item],tab_higiene[[#This Row],[Item]],super1[Bairro],extras)+SUMIFS(supercb[Qtde],supercb[Item],tab_higiene[[#This Row],[Item]],supercb[Bairro],extras)</f>
        <v>0</v>
      </c>
      <c r="BD233" s="8">
        <f t="shared" si="85"/>
        <v>0</v>
      </c>
      <c r="BE233" s="8">
        <f t="shared" si="86"/>
        <v>0</v>
      </c>
      <c r="BF233" s="23">
        <f t="shared" si="87"/>
        <v>0</v>
      </c>
    </row>
    <row r="234" spans="9:58" ht="15.75" thickBot="1" x14ac:dyDescent="0.3">
      <c r="I234" s="65" t="str">
        <f>alimentos[[#This Row],[Item]]</f>
        <v>Sagu (250g)</v>
      </c>
      <c r="J234" s="61">
        <f>IFERROR(alimentos[[#This Row],[kg/embalagem]],0)</f>
        <v>0.25</v>
      </c>
      <c r="K234" s="64">
        <f>IFERROR(alimentos[[#This Row],[Preço]],0)</f>
        <v>8.89</v>
      </c>
      <c r="L234" s="64">
        <f>SUMIFS(super1[Qtde],super1[Item],tab_alimentos[[#This Row],[Item]],super1[Bairro],mercado1)+SUMIFS(supercb[Qtde],supercb[Item],tab_alimentos[[#This Row],[Item]],supercb[Bairro],mercado1)</f>
        <v>0</v>
      </c>
      <c r="M234" s="64">
        <f>SUMIFS(super1[Qtde],super1[Item],tab_alimentos[[#This Row],[Item]],super1[Bairro],mercado2)+SUMIFS(supercb[Qtde],supercb[Item],tab_alimentos[[#This Row],[Item]],supercb[Bairro],mercado2)</f>
        <v>0</v>
      </c>
      <c r="N234" s="61">
        <f>SUMIFS(super1[Qtde],super1[Item],tab_alimentos[[#This Row],[Item]],super1[Bairro],mercado3)+SUMIFS(supercb[Qtde],supercb[Item],tab_alimentos[[#This Row],[Item]],supercb[Bairro],mercado3)</f>
        <v>0</v>
      </c>
      <c r="O234" s="64">
        <f>SUMIFS(super1[Qtde],super1[Item],tab_alimentos[[#This Row],[Item]],super1[Bairro],mercado4)+SUMIFS(supercb[Qtde],supercb[Item],tab_alimentos[[#This Row],[Item]],supercb[Bairro],mercado4)</f>
        <v>0</v>
      </c>
      <c r="P234" s="64">
        <f>SUMIFS(super1[Qtde],super1[Item],tab_alimentos[[#This Row],[Item]],super1[Bairro],mercado5)+SUMIFS(supercb[Qtde],supercb[Item],tab_alimentos[[#This Row],[Item]],supercb[Bairro],mercado5)</f>
        <v>0</v>
      </c>
      <c r="Q234" s="64">
        <f>SUMIFS(super1[Qtde],super1[Item],tab_alimentos[[#This Row],[Item]],super1[Bairro],mercado6)+SUMIFS(supercb[Qtde],supercb[Item],tab_alimentos[[#This Row],[Item]],supercb[Bairro],mercado6)</f>
        <v>0</v>
      </c>
      <c r="R234" s="64">
        <f>SUMIFS(super1[Qtde],super1[Item],tab_alimentos[[#This Row],[Item]],super1[Bairro],mercado7)+SUMIFS(supercb[Qtde],supercb[Item],tab_alimentos[[#This Row],[Item]],supercb[Bairro],mercado7)</f>
        <v>0</v>
      </c>
      <c r="S234" s="64">
        <f>SUMIFS(super1[Qtde],super1[Item],tab_alimentos[[#This Row],[Item]],super1[Bairro],mercado8)+SUMIFS(supercb[Qtde],supercb[Item],tab_alimentos[[#This Row],[Item]],supercb[Bairro],mercado8)</f>
        <v>0</v>
      </c>
      <c r="T234" s="64">
        <f>SUMIFS(super1[Qtde],super1[Item],tab_alimentos[[#This Row],[Item]],super1[Bairro],mercado9)+SUMIFS(supercb[Qtde],supercb[Item],tab_alimentos[[#This Row],[Item]],supercb[Bairro],mercado9)</f>
        <v>0</v>
      </c>
      <c r="U234" s="64">
        <f>SUMIFS(super1[Qtde],super1[Item],tab_alimentos[[#This Row],[Item]],super1[Bairro],mercado10)+SUMIFS(supercb[Qtde],supercb[Item],tab_alimentos[[#This Row],[Item]],supercb[Bairro],mercado10)</f>
        <v>0</v>
      </c>
      <c r="V234" s="64">
        <f>SUMIFS(super1[Qtde],super1[Item],tab_alimentos[[#This Row],[Item]],super1[Bairro],mercado11)+SUMIFS(supercb[Qtde],supercb[Item],tab_alimentos[[#This Row],[Item]],supercb[Bairro],mercado11)</f>
        <v>0</v>
      </c>
      <c r="W234" s="64">
        <f>SUMIFS(super1[Qtde],super1[Item],tab_alimentos[[#This Row],[Item]],super1[Bairro],mercado12)+SUMIFS(supercb[Qtde],supercb[Item],tab_alimentos[[#This Row],[Item]],supercb[Bairro],mercado12)</f>
        <v>0</v>
      </c>
      <c r="X234" s="64">
        <f>SUMIFS(super1[Qtde],super1[Item],tab_alimentos[[#This Row],[Item]],super1[Bairro],mercado13)+SUMIFS(supercb[Qtde],supercb[Item],tab_alimentos[[#This Row],[Item]],supercb[Bairro],mercado13)</f>
        <v>0</v>
      </c>
      <c r="Y234" s="64">
        <f>SUMIFS(super1[Qtde],super1[Item],tab_alimentos[[#This Row],[Item]],super1[Bairro],mercado14)+SUMIFS(supercb[Qtde],supercb[Item],tab_alimentos[[#This Row],[Item]],supercb[Bairro],mercado14)</f>
        <v>0</v>
      </c>
      <c r="Z234" s="64">
        <f>SUMIFS(super1[Qtde],super1[Item],tab_alimentos[[#This Row],[Item]],super1[Bairro],mercado15)+SUMIFS(supercb[Qtde],supercb[Item],tab_alimentos[[#This Row],[Item]],supercb[Bairro],mercado15)</f>
        <v>0</v>
      </c>
      <c r="AA234" s="64">
        <f>SUMIFS(super1[Qtde],super1[Item],tab_alimentos[[#This Row],[Item]],super1[Bairro],mercado16)+SUMIFS(supercb[Qtde],supercb[Item],tab_alimentos[[#This Row],[Item]],supercb[Bairro],mercado16)</f>
        <v>0</v>
      </c>
      <c r="AB234" s="64">
        <f>SUMIFS(super1[Qtde],super1[Item],tab_alimentos[[#This Row],[Item]],super1[Bairro],mercado17)+SUMIFS(supercb[Qtde],supercb[Item],tab_alimentos[[#This Row],[Item]],supercb[Bairro],mercado17)</f>
        <v>0</v>
      </c>
      <c r="AC234" s="64">
        <f>SUMIFS(super1[Qtde],super1[Item],tab_alimentos[[#This Row],[Item]],super1[Bairro],mercado18)+SUMIFS(supercb[Qtde],supercb[Item],tab_alimentos[[#This Row],[Item]],supercb[Bairro],mercado18)</f>
        <v>0</v>
      </c>
      <c r="AD234" s="64">
        <f>SUMIFS(super1[Qtde],super1[Item],tab_alimentos[[#This Row],[Item]],super1[Bairro],extras)+SUMIFS(supercb[Qtde],supercb[Item],tab_alimentos[[#This Row],[Item]],supercb[Bairro],extras)</f>
        <v>0</v>
      </c>
      <c r="AE234" s="61">
        <f t="shared" si="82"/>
        <v>0</v>
      </c>
      <c r="AF234" s="61">
        <f t="shared" si="83"/>
        <v>0</v>
      </c>
      <c r="AG234" s="62">
        <f t="shared" si="84"/>
        <v>0</v>
      </c>
      <c r="AH234" s="15" t="e">
        <f>higiene[[#This Row],[Item]]</f>
        <v>#VALUE!</v>
      </c>
      <c r="AI234" s="8">
        <f>IFERROR(higiene[[#This Row],[Kg equivalente]],0)</f>
        <v>0</v>
      </c>
      <c r="AJ234" s="8">
        <f>IFERROR(higiene[[#This Row],[Preço por produto]],0)</f>
        <v>0</v>
      </c>
      <c r="AK234" s="61">
        <f>SUMIFS(super1[Qtde],super1[Item],tab_higiene[[#This Row],[Item]],super1[Bairro],mercado1)+SUMIFS(supercb[Qtde],supercb[Item],tab_higiene[[#This Row],[Item]],supercb[Bairro],mercado1)</f>
        <v>0</v>
      </c>
      <c r="AL234" s="61">
        <f>SUMIFS(super1[Qtde],super1[Item],tab_higiene[[#This Row],[Item]],super1[Bairro],mercado2)+SUMIFS(supercb[Qtde],supercb[Item],tab_higiene[[#This Row],[Item]],supercb[Bairro],mercado2)</f>
        <v>0</v>
      </c>
      <c r="AM234" s="61">
        <f>SUMIFS(super1[Qtde],super1[Item],tab_higiene[[#This Row],[Item]],super1[Bairro],mercado3)+SUMIFS(supercb[Qtde],supercb[Item],tab_higiene[[#This Row],[Item]],supercb[Bairro],mercado3)</f>
        <v>0</v>
      </c>
      <c r="AN234" s="61">
        <f>SUMIFS(super1[Qtde],super1[Item],tab_higiene[[#This Row],[Item]],super1[Bairro],mercado4)+SUMIFS(supercb[Qtde],supercb[Item],tab_higiene[[#This Row],[Item]],supercb[Bairro],mercado4)</f>
        <v>0</v>
      </c>
      <c r="AO234" s="61">
        <f>SUMIFS(super1[Qtde],super1[Item],tab_higiene[[#This Row],[Item]],super1[Bairro],mercado5)+SUMIFS(supercb[Qtde],supercb[Item],tab_higiene[[#This Row],[Item]],supercb[Bairro],mercado5)</f>
        <v>0</v>
      </c>
      <c r="AP234" s="61">
        <f>SUMIFS(super1[Qtde],super1[Item],tab_higiene[[#This Row],[Item]],super1[Bairro],mercado6)+SUMIFS(supercb[Qtde],supercb[Item],tab_higiene[[#This Row],[Item]],supercb[Bairro],mercado6)</f>
        <v>0</v>
      </c>
      <c r="AQ234" s="61">
        <f>SUMIFS(super1[Qtde],super1[Item],tab_higiene[[#This Row],[Item]],super1[Bairro],mercado7)+SUMIFS(supercb[Qtde],supercb[Item],tab_higiene[[#This Row],[Item]],supercb[Bairro],mercado7)</f>
        <v>0</v>
      </c>
      <c r="AR234" s="61">
        <f>SUMIFS(super1[Qtde],super1[Item],tab_higiene[[#This Row],[Item]],super1[Bairro],mercado8)+SUMIFS(supercb[Qtde],supercb[Item],tab_higiene[[#This Row],[Item]],supercb[Bairro],mercado8)</f>
        <v>0</v>
      </c>
      <c r="AS234" s="61">
        <f>SUMIFS(super1[Qtde],super1[Item],tab_higiene[[#This Row],[Item]],super1[Bairro],mercado9)+SUMIFS(supercb[Qtde],supercb[Item],tab_higiene[[#This Row],[Item]],supercb[Bairro],mercado9)</f>
        <v>0</v>
      </c>
      <c r="AT234" s="61">
        <f>SUMIFS(super1[Qtde],super1[Item],tab_higiene[[#This Row],[Item]],super1[Bairro],mercado10)+SUMIFS(supercb[Qtde],supercb[Item],tab_higiene[[#This Row],[Item]],supercb[Bairro],mercado10)</f>
        <v>0</v>
      </c>
      <c r="AU234" s="61">
        <f>SUMIFS(super1[Qtde],super1[Item],tab_higiene[[#This Row],[Item]],super1[Bairro],mercado11)+SUMIFS(supercb[Qtde],supercb[Item],tab_higiene[[#This Row],[Item]],supercb[Bairro],mercado11)</f>
        <v>0</v>
      </c>
      <c r="AV234" s="61">
        <f>SUMIFS(super1[Qtde],super1[Item],tab_higiene[[#This Row],[Item]],super1[Bairro],mercado12)+SUMIFS(supercb[Qtde],supercb[Item],tab_higiene[[#This Row],[Item]],supercb[Bairro],mercado12)</f>
        <v>0</v>
      </c>
      <c r="AW234" s="61">
        <f>SUMIFS(super1[Qtde],super1[Item],tab_higiene[[#This Row],[Item]],super1[Bairro],mercado13)+SUMIFS(supercb[Qtde],supercb[Item],tab_higiene[[#This Row],[Item]],supercb[Bairro],mercado13)</f>
        <v>0</v>
      </c>
      <c r="AX234" s="61">
        <f>SUMIFS(super1[Qtde],super1[Item],tab_higiene[[#This Row],[Item]],super1[Bairro],mercado14)+SUMIFS(supercb[Qtde],supercb[Item],tab_higiene[[#This Row],[Item]],supercb[Bairro],mercado14)</f>
        <v>0</v>
      </c>
      <c r="AY234" s="61">
        <f>SUMIFS(super1[Qtde],super1[Item],tab_higiene[[#This Row],[Item]],super1[Bairro],mercado15)+SUMIFS(supercb[Qtde],supercb[Item],tab_higiene[[#This Row],[Item]],supercb[Bairro],mercado15)</f>
        <v>0</v>
      </c>
      <c r="AZ234" s="61">
        <f>SUMIFS(super1[Qtde],super1[Item],tab_higiene[[#This Row],[Item]],super1[Bairro],mercado16)+SUMIFS(supercb[Qtde],supercb[Item],tab_higiene[[#This Row],[Item]],supercb[Bairro],mercado16)</f>
        <v>0</v>
      </c>
      <c r="BA234" s="61">
        <f>SUMIFS(super1[Qtde],super1[Item],tab_higiene[[#This Row],[Item]],super1[Bairro],mercado17)+SUMIFS(supercb[Qtde],supercb[Item],tab_higiene[[#This Row],[Item]],supercb[Bairro],mercado17)</f>
        <v>0</v>
      </c>
      <c r="BB234" s="61">
        <f>SUMIFS(super1[Qtde],super1[Item],tab_higiene[[#This Row],[Item]],super1[Bairro],mercado18)+SUMIFS(supercb[Qtde],supercb[Item],tab_higiene[[#This Row],[Item]],supercb[Bairro],mercado18)</f>
        <v>0</v>
      </c>
      <c r="BC234" s="51">
        <f>SUMIFS(super1[Qtde],super1[Item],tab_higiene[[#This Row],[Item]],super1[Bairro],extras)+SUMIFS(supercb[Qtde],supercb[Item],tab_higiene[[#This Row],[Item]],supercb[Bairro],extras)</f>
        <v>0</v>
      </c>
      <c r="BD234" s="8">
        <f t="shared" si="85"/>
        <v>0</v>
      </c>
      <c r="BE234" s="8">
        <f t="shared" si="86"/>
        <v>0</v>
      </c>
      <c r="BF234" s="23">
        <f t="shared" si="87"/>
        <v>0</v>
      </c>
    </row>
    <row r="235" spans="9:58" ht="15.75" thickBot="1" x14ac:dyDescent="0.3">
      <c r="I235" s="65" t="str">
        <f>alimentos[[#This Row],[Item]]</f>
        <v>Sagu (500g)</v>
      </c>
      <c r="J235" s="61">
        <f>IFERROR(alimentos[[#This Row],[kg/embalagem]],0)</f>
        <v>0.5</v>
      </c>
      <c r="K235" s="64">
        <f>IFERROR(alimentos[[#This Row],[Preço]],0)</f>
        <v>6.99</v>
      </c>
      <c r="L235" s="64">
        <f>SUMIFS(super1[Qtde],super1[Item],tab_alimentos[[#This Row],[Item]],super1[Bairro],mercado1)+SUMIFS(supercb[Qtde],supercb[Item],tab_alimentos[[#This Row],[Item]],supercb[Bairro],mercado1)</f>
        <v>0</v>
      </c>
      <c r="M235" s="64">
        <f>SUMIFS(super1[Qtde],super1[Item],tab_alimentos[[#This Row],[Item]],super1[Bairro],mercado2)+SUMIFS(supercb[Qtde],supercb[Item],tab_alimentos[[#This Row],[Item]],supercb[Bairro],mercado2)</f>
        <v>0</v>
      </c>
      <c r="N235" s="61">
        <f>SUMIFS(super1[Qtde],super1[Item],tab_alimentos[[#This Row],[Item]],super1[Bairro],mercado3)+SUMIFS(supercb[Qtde],supercb[Item],tab_alimentos[[#This Row],[Item]],supercb[Bairro],mercado3)</f>
        <v>0</v>
      </c>
      <c r="O235" s="64">
        <f>SUMIFS(super1[Qtde],super1[Item],tab_alimentos[[#This Row],[Item]],super1[Bairro],mercado4)+SUMIFS(supercb[Qtde],supercb[Item],tab_alimentos[[#This Row],[Item]],supercb[Bairro],mercado4)</f>
        <v>0</v>
      </c>
      <c r="P235" s="64">
        <f>SUMIFS(super1[Qtde],super1[Item],tab_alimentos[[#This Row],[Item]],super1[Bairro],mercado5)+SUMIFS(supercb[Qtde],supercb[Item],tab_alimentos[[#This Row],[Item]],supercb[Bairro],mercado5)</f>
        <v>0</v>
      </c>
      <c r="Q235" s="64">
        <f>SUMIFS(super1[Qtde],super1[Item],tab_alimentos[[#This Row],[Item]],super1[Bairro],mercado6)+SUMIFS(supercb[Qtde],supercb[Item],tab_alimentos[[#This Row],[Item]],supercb[Bairro],mercado6)</f>
        <v>0</v>
      </c>
      <c r="R235" s="64">
        <f>SUMIFS(super1[Qtde],super1[Item],tab_alimentos[[#This Row],[Item]],super1[Bairro],mercado7)+SUMIFS(supercb[Qtde],supercb[Item],tab_alimentos[[#This Row],[Item]],supercb[Bairro],mercado7)</f>
        <v>0</v>
      </c>
      <c r="S235" s="64">
        <f>SUMIFS(super1[Qtde],super1[Item],tab_alimentos[[#This Row],[Item]],super1[Bairro],mercado8)+SUMIFS(supercb[Qtde],supercb[Item],tab_alimentos[[#This Row],[Item]],supercb[Bairro],mercado8)</f>
        <v>0</v>
      </c>
      <c r="T235" s="64">
        <f>SUMIFS(super1[Qtde],super1[Item],tab_alimentos[[#This Row],[Item]],super1[Bairro],mercado9)+SUMIFS(supercb[Qtde],supercb[Item],tab_alimentos[[#This Row],[Item]],supercb[Bairro],mercado9)</f>
        <v>0</v>
      </c>
      <c r="U235" s="64">
        <f>SUMIFS(super1[Qtde],super1[Item],tab_alimentos[[#This Row],[Item]],super1[Bairro],mercado10)+SUMIFS(supercb[Qtde],supercb[Item],tab_alimentos[[#This Row],[Item]],supercb[Bairro],mercado10)</f>
        <v>0</v>
      </c>
      <c r="V235" s="64">
        <f>SUMIFS(super1[Qtde],super1[Item],tab_alimentos[[#This Row],[Item]],super1[Bairro],mercado11)+SUMIFS(supercb[Qtde],supercb[Item],tab_alimentos[[#This Row],[Item]],supercb[Bairro],mercado11)</f>
        <v>0</v>
      </c>
      <c r="W235" s="64">
        <f>SUMIFS(super1[Qtde],super1[Item],tab_alimentos[[#This Row],[Item]],super1[Bairro],mercado12)+SUMIFS(supercb[Qtde],supercb[Item],tab_alimentos[[#This Row],[Item]],supercb[Bairro],mercado12)</f>
        <v>0</v>
      </c>
      <c r="X235" s="64">
        <f>SUMIFS(super1[Qtde],super1[Item],tab_alimentos[[#This Row],[Item]],super1[Bairro],mercado13)+SUMIFS(supercb[Qtde],supercb[Item],tab_alimentos[[#This Row],[Item]],supercb[Bairro],mercado13)</f>
        <v>0</v>
      </c>
      <c r="Y235" s="64">
        <f>SUMIFS(super1[Qtde],super1[Item],tab_alimentos[[#This Row],[Item]],super1[Bairro],mercado14)+SUMIFS(supercb[Qtde],supercb[Item],tab_alimentos[[#This Row],[Item]],supercb[Bairro],mercado14)</f>
        <v>0</v>
      </c>
      <c r="Z235" s="64">
        <f>SUMIFS(super1[Qtde],super1[Item],tab_alimentos[[#This Row],[Item]],super1[Bairro],mercado15)+SUMIFS(supercb[Qtde],supercb[Item],tab_alimentos[[#This Row],[Item]],supercb[Bairro],mercado15)</f>
        <v>0</v>
      </c>
      <c r="AA235" s="64">
        <f>SUMIFS(super1[Qtde],super1[Item],tab_alimentos[[#This Row],[Item]],super1[Bairro],mercado16)+SUMIFS(supercb[Qtde],supercb[Item],tab_alimentos[[#This Row],[Item]],supercb[Bairro],mercado16)</f>
        <v>0</v>
      </c>
      <c r="AB235" s="64">
        <f>SUMIFS(super1[Qtde],super1[Item],tab_alimentos[[#This Row],[Item]],super1[Bairro],mercado17)+SUMIFS(supercb[Qtde],supercb[Item],tab_alimentos[[#This Row],[Item]],supercb[Bairro],mercado17)</f>
        <v>0</v>
      </c>
      <c r="AC235" s="64">
        <f>SUMIFS(super1[Qtde],super1[Item],tab_alimentos[[#This Row],[Item]],super1[Bairro],mercado18)+SUMIFS(supercb[Qtde],supercb[Item],tab_alimentos[[#This Row],[Item]],supercb[Bairro],mercado18)</f>
        <v>0</v>
      </c>
      <c r="AD235" s="64">
        <f>SUMIFS(super1[Qtde],super1[Item],tab_alimentos[[#This Row],[Item]],super1[Bairro],extras)+SUMIFS(supercb[Qtde],supercb[Item],tab_alimentos[[#This Row],[Item]],supercb[Bairro],extras)</f>
        <v>0</v>
      </c>
      <c r="AE235" s="61">
        <f t="shared" si="82"/>
        <v>0</v>
      </c>
      <c r="AF235" s="61">
        <f t="shared" si="83"/>
        <v>0</v>
      </c>
      <c r="AG235" s="62">
        <f t="shared" si="84"/>
        <v>0</v>
      </c>
      <c r="AH235" s="15" t="e">
        <f>higiene[[#This Row],[Item]]</f>
        <v>#VALUE!</v>
      </c>
      <c r="AI235" s="8">
        <f>IFERROR(higiene[[#This Row],[Kg equivalente]],0)</f>
        <v>0</v>
      </c>
      <c r="AJ235" s="8">
        <f>IFERROR(higiene[[#This Row],[Preço por produto]],0)</f>
        <v>0</v>
      </c>
      <c r="AK235" s="61">
        <f>SUMIFS(super1[Qtde],super1[Item],tab_higiene[[#This Row],[Item]],super1[Bairro],mercado1)+SUMIFS(supercb[Qtde],supercb[Item],tab_higiene[[#This Row],[Item]],supercb[Bairro],mercado1)</f>
        <v>0</v>
      </c>
      <c r="AL235" s="61">
        <f>SUMIFS(super1[Qtde],super1[Item],tab_higiene[[#This Row],[Item]],super1[Bairro],mercado2)+SUMIFS(supercb[Qtde],supercb[Item],tab_higiene[[#This Row],[Item]],supercb[Bairro],mercado2)</f>
        <v>0</v>
      </c>
      <c r="AM235" s="61">
        <f>SUMIFS(super1[Qtde],super1[Item],tab_higiene[[#This Row],[Item]],super1[Bairro],mercado3)+SUMIFS(supercb[Qtde],supercb[Item],tab_higiene[[#This Row],[Item]],supercb[Bairro],mercado3)</f>
        <v>0</v>
      </c>
      <c r="AN235" s="61">
        <f>SUMIFS(super1[Qtde],super1[Item],tab_higiene[[#This Row],[Item]],super1[Bairro],mercado4)+SUMIFS(supercb[Qtde],supercb[Item],tab_higiene[[#This Row],[Item]],supercb[Bairro],mercado4)</f>
        <v>0</v>
      </c>
      <c r="AO235" s="61">
        <f>SUMIFS(super1[Qtde],super1[Item],tab_higiene[[#This Row],[Item]],super1[Bairro],mercado5)+SUMIFS(supercb[Qtde],supercb[Item],tab_higiene[[#This Row],[Item]],supercb[Bairro],mercado5)</f>
        <v>0</v>
      </c>
      <c r="AP235" s="61">
        <f>SUMIFS(super1[Qtde],super1[Item],tab_higiene[[#This Row],[Item]],super1[Bairro],mercado6)+SUMIFS(supercb[Qtde],supercb[Item],tab_higiene[[#This Row],[Item]],supercb[Bairro],mercado6)</f>
        <v>0</v>
      </c>
      <c r="AQ235" s="61">
        <f>SUMIFS(super1[Qtde],super1[Item],tab_higiene[[#This Row],[Item]],super1[Bairro],mercado7)+SUMIFS(supercb[Qtde],supercb[Item],tab_higiene[[#This Row],[Item]],supercb[Bairro],mercado7)</f>
        <v>0</v>
      </c>
      <c r="AR235" s="61">
        <f>SUMIFS(super1[Qtde],super1[Item],tab_higiene[[#This Row],[Item]],super1[Bairro],mercado8)+SUMIFS(supercb[Qtde],supercb[Item],tab_higiene[[#This Row],[Item]],supercb[Bairro],mercado8)</f>
        <v>0</v>
      </c>
      <c r="AS235" s="61">
        <f>SUMIFS(super1[Qtde],super1[Item],tab_higiene[[#This Row],[Item]],super1[Bairro],mercado9)+SUMIFS(supercb[Qtde],supercb[Item],tab_higiene[[#This Row],[Item]],supercb[Bairro],mercado9)</f>
        <v>0</v>
      </c>
      <c r="AT235" s="61">
        <f>SUMIFS(super1[Qtde],super1[Item],tab_higiene[[#This Row],[Item]],super1[Bairro],mercado10)+SUMIFS(supercb[Qtde],supercb[Item],tab_higiene[[#This Row],[Item]],supercb[Bairro],mercado10)</f>
        <v>0</v>
      </c>
      <c r="AU235" s="61">
        <f>SUMIFS(super1[Qtde],super1[Item],tab_higiene[[#This Row],[Item]],super1[Bairro],mercado11)+SUMIFS(supercb[Qtde],supercb[Item],tab_higiene[[#This Row],[Item]],supercb[Bairro],mercado11)</f>
        <v>0</v>
      </c>
      <c r="AV235" s="61">
        <f>SUMIFS(super1[Qtde],super1[Item],tab_higiene[[#This Row],[Item]],super1[Bairro],mercado12)+SUMIFS(supercb[Qtde],supercb[Item],tab_higiene[[#This Row],[Item]],supercb[Bairro],mercado12)</f>
        <v>0</v>
      </c>
      <c r="AW235" s="61">
        <f>SUMIFS(super1[Qtde],super1[Item],tab_higiene[[#This Row],[Item]],super1[Bairro],mercado13)+SUMIFS(supercb[Qtde],supercb[Item],tab_higiene[[#This Row],[Item]],supercb[Bairro],mercado13)</f>
        <v>0</v>
      </c>
      <c r="AX235" s="61">
        <f>SUMIFS(super1[Qtde],super1[Item],tab_higiene[[#This Row],[Item]],super1[Bairro],mercado14)+SUMIFS(supercb[Qtde],supercb[Item],tab_higiene[[#This Row],[Item]],supercb[Bairro],mercado14)</f>
        <v>0</v>
      </c>
      <c r="AY235" s="61">
        <f>SUMIFS(super1[Qtde],super1[Item],tab_higiene[[#This Row],[Item]],super1[Bairro],mercado15)+SUMIFS(supercb[Qtde],supercb[Item],tab_higiene[[#This Row],[Item]],supercb[Bairro],mercado15)</f>
        <v>0</v>
      </c>
      <c r="AZ235" s="61">
        <f>SUMIFS(super1[Qtde],super1[Item],tab_higiene[[#This Row],[Item]],super1[Bairro],mercado16)+SUMIFS(supercb[Qtde],supercb[Item],tab_higiene[[#This Row],[Item]],supercb[Bairro],mercado16)</f>
        <v>0</v>
      </c>
      <c r="BA235" s="61">
        <f>SUMIFS(super1[Qtde],super1[Item],tab_higiene[[#This Row],[Item]],super1[Bairro],mercado17)+SUMIFS(supercb[Qtde],supercb[Item],tab_higiene[[#This Row],[Item]],supercb[Bairro],mercado17)</f>
        <v>0</v>
      </c>
      <c r="BB235" s="61">
        <f>SUMIFS(super1[Qtde],super1[Item],tab_higiene[[#This Row],[Item]],super1[Bairro],mercado18)+SUMIFS(supercb[Qtde],supercb[Item],tab_higiene[[#This Row],[Item]],supercb[Bairro],mercado18)</f>
        <v>0</v>
      </c>
      <c r="BC235" s="51">
        <f>SUMIFS(super1[Qtde],super1[Item],tab_higiene[[#This Row],[Item]],super1[Bairro],extras)+SUMIFS(supercb[Qtde],supercb[Item],tab_higiene[[#This Row],[Item]],supercb[Bairro],extras)</f>
        <v>0</v>
      </c>
      <c r="BD235" s="8">
        <f t="shared" si="85"/>
        <v>0</v>
      </c>
      <c r="BE235" s="8">
        <f t="shared" si="86"/>
        <v>0</v>
      </c>
      <c r="BF235" s="23">
        <f t="shared" si="87"/>
        <v>0</v>
      </c>
    </row>
    <row r="236" spans="9:58" ht="15.75" thickBot="1" x14ac:dyDescent="0.3">
      <c r="I236" s="65" t="str">
        <f>alimentos[[#This Row],[Item]]</f>
        <v>Sal (1kg)</v>
      </c>
      <c r="J236" s="61">
        <f>IFERROR(alimentos[[#This Row],[kg/embalagem]],0)</f>
        <v>1</v>
      </c>
      <c r="K236" s="64">
        <f>IFERROR(alimentos[[#This Row],[Preço]],0)</f>
        <v>1.6866666666666665</v>
      </c>
      <c r="L236" s="64">
        <f>SUMIFS(super1[Qtde],super1[Item],tab_alimentos[[#This Row],[Item]],super1[Bairro],mercado1)+SUMIFS(supercb[Qtde],supercb[Item],tab_alimentos[[#This Row],[Item]],supercb[Bairro],mercado1)</f>
        <v>0</v>
      </c>
      <c r="M236" s="64">
        <f>SUMIFS(super1[Qtde],super1[Item],tab_alimentos[[#This Row],[Item]],super1[Bairro],mercado2)+SUMIFS(supercb[Qtde],supercb[Item],tab_alimentos[[#This Row],[Item]],supercb[Bairro],mercado2)</f>
        <v>2</v>
      </c>
      <c r="N236" s="61">
        <f>SUMIFS(super1[Qtde],super1[Item],tab_alimentos[[#This Row],[Item]],super1[Bairro],mercado3)+SUMIFS(supercb[Qtde],supercb[Item],tab_alimentos[[#This Row],[Item]],supercb[Bairro],mercado3)</f>
        <v>1</v>
      </c>
      <c r="O236" s="64">
        <f>SUMIFS(super1[Qtde],super1[Item],tab_alimentos[[#This Row],[Item]],super1[Bairro],mercado4)+SUMIFS(supercb[Qtde],supercb[Item],tab_alimentos[[#This Row],[Item]],supercb[Bairro],mercado4)</f>
        <v>1</v>
      </c>
      <c r="P236" s="64">
        <f>SUMIFS(super1[Qtde],super1[Item],tab_alimentos[[#This Row],[Item]],super1[Bairro],mercado5)+SUMIFS(supercb[Qtde],supercb[Item],tab_alimentos[[#This Row],[Item]],supercb[Bairro],mercado5)</f>
        <v>1</v>
      </c>
      <c r="Q236" s="64">
        <f>SUMIFS(super1[Qtde],super1[Item],tab_alimentos[[#This Row],[Item]],super1[Bairro],mercado6)+SUMIFS(supercb[Qtde],supercb[Item],tab_alimentos[[#This Row],[Item]],supercb[Bairro],mercado6)</f>
        <v>2</v>
      </c>
      <c r="R236" s="64">
        <f>SUMIFS(super1[Qtde],super1[Item],tab_alimentos[[#This Row],[Item]],super1[Bairro],mercado7)+SUMIFS(supercb[Qtde],supercb[Item],tab_alimentos[[#This Row],[Item]],supercb[Bairro],mercado7)</f>
        <v>1</v>
      </c>
      <c r="S236" s="64">
        <f>SUMIFS(super1[Qtde],super1[Item],tab_alimentos[[#This Row],[Item]],super1[Bairro],mercado8)+SUMIFS(supercb[Qtde],supercb[Item],tab_alimentos[[#This Row],[Item]],supercb[Bairro],mercado8)</f>
        <v>3</v>
      </c>
      <c r="T236" s="64">
        <f>SUMIFS(super1[Qtde],super1[Item],tab_alimentos[[#This Row],[Item]],super1[Bairro],mercado9)+SUMIFS(supercb[Qtde],supercb[Item],tab_alimentos[[#This Row],[Item]],supercb[Bairro],mercado9)</f>
        <v>4</v>
      </c>
      <c r="U236" s="64">
        <f>SUMIFS(super1[Qtde],super1[Item],tab_alimentos[[#This Row],[Item]],super1[Bairro],mercado10)+SUMIFS(supercb[Qtde],supercb[Item],tab_alimentos[[#This Row],[Item]],supercb[Bairro],mercado10)</f>
        <v>2</v>
      </c>
      <c r="V236" s="64">
        <f>SUMIFS(super1[Qtde],super1[Item],tab_alimentos[[#This Row],[Item]],super1[Bairro],mercado11)+SUMIFS(supercb[Qtde],supercb[Item],tab_alimentos[[#This Row],[Item]],supercb[Bairro],mercado11)</f>
        <v>5</v>
      </c>
      <c r="W236" s="64">
        <f>SUMIFS(super1[Qtde],super1[Item],tab_alimentos[[#This Row],[Item]],super1[Bairro],mercado12)+SUMIFS(supercb[Qtde],supercb[Item],tab_alimentos[[#This Row],[Item]],supercb[Bairro],mercado12)</f>
        <v>0</v>
      </c>
      <c r="X236" s="64">
        <f>SUMIFS(super1[Qtde],super1[Item],tab_alimentos[[#This Row],[Item]],super1[Bairro],mercado13)+SUMIFS(supercb[Qtde],supercb[Item],tab_alimentos[[#This Row],[Item]],supercb[Bairro],mercado13)</f>
        <v>6</v>
      </c>
      <c r="Y236" s="64">
        <f>SUMIFS(super1[Qtde],super1[Item],tab_alimentos[[#This Row],[Item]],super1[Bairro],mercado14)+SUMIFS(supercb[Qtde],supercb[Item],tab_alimentos[[#This Row],[Item]],supercb[Bairro],mercado14)</f>
        <v>0</v>
      </c>
      <c r="Z236" s="64">
        <f>SUMIFS(super1[Qtde],super1[Item],tab_alimentos[[#This Row],[Item]],super1[Bairro],mercado15)+SUMIFS(supercb[Qtde],supercb[Item],tab_alimentos[[#This Row],[Item]],supercb[Bairro],mercado15)</f>
        <v>0</v>
      </c>
      <c r="AA236" s="64">
        <f>SUMIFS(super1[Qtde],super1[Item],tab_alimentos[[#This Row],[Item]],super1[Bairro],mercado16)+SUMIFS(supercb[Qtde],supercb[Item],tab_alimentos[[#This Row],[Item]],supercb[Bairro],mercado16)</f>
        <v>0</v>
      </c>
      <c r="AB236" s="64">
        <f>SUMIFS(super1[Qtde],super1[Item],tab_alimentos[[#This Row],[Item]],super1[Bairro],mercado17)+SUMIFS(supercb[Qtde],supercb[Item],tab_alimentos[[#This Row],[Item]],supercb[Bairro],mercado17)</f>
        <v>0</v>
      </c>
      <c r="AC236" s="64">
        <f>SUMIFS(super1[Qtde],super1[Item],tab_alimentos[[#This Row],[Item]],super1[Bairro],mercado18)+SUMIFS(supercb[Qtde],supercb[Item],tab_alimentos[[#This Row],[Item]],supercb[Bairro],mercado18)</f>
        <v>0</v>
      </c>
      <c r="AD236" s="64">
        <f>SUMIFS(super1[Qtde],super1[Item],tab_alimentos[[#This Row],[Item]],super1[Bairro],extras)+SUMIFS(supercb[Qtde],supercb[Item],tab_alimentos[[#This Row],[Item]],supercb[Bairro],extras)</f>
        <v>0</v>
      </c>
      <c r="AE236" s="61">
        <f t="shared" si="82"/>
        <v>28</v>
      </c>
      <c r="AF236" s="61">
        <f t="shared" si="83"/>
        <v>47.226666666666659</v>
      </c>
      <c r="AG236" s="62">
        <f t="shared" si="84"/>
        <v>28</v>
      </c>
      <c r="AH236" s="15" t="e">
        <f>higiene[[#This Row],[Item]]</f>
        <v>#VALUE!</v>
      </c>
      <c r="AI236" s="8">
        <f>IFERROR(higiene[[#This Row],[Kg equivalente]],0)</f>
        <v>0</v>
      </c>
      <c r="AJ236" s="8">
        <f>IFERROR(higiene[[#This Row],[Preço por produto]],0)</f>
        <v>0</v>
      </c>
      <c r="AK236" s="61">
        <f>SUMIFS(super1[Qtde],super1[Item],tab_higiene[[#This Row],[Item]],super1[Bairro],mercado1)+SUMIFS(supercb[Qtde],supercb[Item],tab_higiene[[#This Row],[Item]],supercb[Bairro],mercado1)</f>
        <v>0</v>
      </c>
      <c r="AL236" s="61">
        <f>SUMIFS(super1[Qtde],super1[Item],tab_higiene[[#This Row],[Item]],super1[Bairro],mercado2)+SUMIFS(supercb[Qtde],supercb[Item],tab_higiene[[#This Row],[Item]],supercb[Bairro],mercado2)</f>
        <v>0</v>
      </c>
      <c r="AM236" s="61">
        <f>SUMIFS(super1[Qtde],super1[Item],tab_higiene[[#This Row],[Item]],super1[Bairro],mercado3)+SUMIFS(supercb[Qtde],supercb[Item],tab_higiene[[#This Row],[Item]],supercb[Bairro],mercado3)</f>
        <v>0</v>
      </c>
      <c r="AN236" s="61">
        <f>SUMIFS(super1[Qtde],super1[Item],tab_higiene[[#This Row],[Item]],super1[Bairro],mercado4)+SUMIFS(supercb[Qtde],supercb[Item],tab_higiene[[#This Row],[Item]],supercb[Bairro],mercado4)</f>
        <v>0</v>
      </c>
      <c r="AO236" s="61">
        <f>SUMIFS(super1[Qtde],super1[Item],tab_higiene[[#This Row],[Item]],super1[Bairro],mercado5)+SUMIFS(supercb[Qtde],supercb[Item],tab_higiene[[#This Row],[Item]],supercb[Bairro],mercado5)</f>
        <v>0</v>
      </c>
      <c r="AP236" s="61">
        <f>SUMIFS(super1[Qtde],super1[Item],tab_higiene[[#This Row],[Item]],super1[Bairro],mercado6)+SUMIFS(supercb[Qtde],supercb[Item],tab_higiene[[#This Row],[Item]],supercb[Bairro],mercado6)</f>
        <v>0</v>
      </c>
      <c r="AQ236" s="61">
        <f>SUMIFS(super1[Qtde],super1[Item],tab_higiene[[#This Row],[Item]],super1[Bairro],mercado7)+SUMIFS(supercb[Qtde],supercb[Item],tab_higiene[[#This Row],[Item]],supercb[Bairro],mercado7)</f>
        <v>0</v>
      </c>
      <c r="AR236" s="61">
        <f>SUMIFS(super1[Qtde],super1[Item],tab_higiene[[#This Row],[Item]],super1[Bairro],mercado8)+SUMIFS(supercb[Qtde],supercb[Item],tab_higiene[[#This Row],[Item]],supercb[Bairro],mercado8)</f>
        <v>0</v>
      </c>
      <c r="AS236" s="61">
        <f>SUMIFS(super1[Qtde],super1[Item],tab_higiene[[#This Row],[Item]],super1[Bairro],mercado9)+SUMIFS(supercb[Qtde],supercb[Item],tab_higiene[[#This Row],[Item]],supercb[Bairro],mercado9)</f>
        <v>0</v>
      </c>
      <c r="AT236" s="61">
        <f>SUMIFS(super1[Qtde],super1[Item],tab_higiene[[#This Row],[Item]],super1[Bairro],mercado10)+SUMIFS(supercb[Qtde],supercb[Item],tab_higiene[[#This Row],[Item]],supercb[Bairro],mercado10)</f>
        <v>0</v>
      </c>
      <c r="AU236" s="61">
        <f>SUMIFS(super1[Qtde],super1[Item],tab_higiene[[#This Row],[Item]],super1[Bairro],mercado11)+SUMIFS(supercb[Qtde],supercb[Item],tab_higiene[[#This Row],[Item]],supercb[Bairro],mercado11)</f>
        <v>0</v>
      </c>
      <c r="AV236" s="61">
        <f>SUMIFS(super1[Qtde],super1[Item],tab_higiene[[#This Row],[Item]],super1[Bairro],mercado12)+SUMIFS(supercb[Qtde],supercb[Item],tab_higiene[[#This Row],[Item]],supercb[Bairro],mercado12)</f>
        <v>0</v>
      </c>
      <c r="AW236" s="61">
        <f>SUMIFS(super1[Qtde],super1[Item],tab_higiene[[#This Row],[Item]],super1[Bairro],mercado13)+SUMIFS(supercb[Qtde],supercb[Item],tab_higiene[[#This Row],[Item]],supercb[Bairro],mercado13)</f>
        <v>0</v>
      </c>
      <c r="AX236" s="61">
        <f>SUMIFS(super1[Qtde],super1[Item],tab_higiene[[#This Row],[Item]],super1[Bairro],mercado14)+SUMIFS(supercb[Qtde],supercb[Item],tab_higiene[[#This Row],[Item]],supercb[Bairro],mercado14)</f>
        <v>0</v>
      </c>
      <c r="AY236" s="61">
        <f>SUMIFS(super1[Qtde],super1[Item],tab_higiene[[#This Row],[Item]],super1[Bairro],mercado15)+SUMIFS(supercb[Qtde],supercb[Item],tab_higiene[[#This Row],[Item]],supercb[Bairro],mercado15)</f>
        <v>0</v>
      </c>
      <c r="AZ236" s="61">
        <f>SUMIFS(super1[Qtde],super1[Item],tab_higiene[[#This Row],[Item]],super1[Bairro],mercado16)+SUMIFS(supercb[Qtde],supercb[Item],tab_higiene[[#This Row],[Item]],supercb[Bairro],mercado16)</f>
        <v>0</v>
      </c>
      <c r="BA236" s="61">
        <f>SUMIFS(super1[Qtde],super1[Item],tab_higiene[[#This Row],[Item]],super1[Bairro],mercado17)+SUMIFS(supercb[Qtde],supercb[Item],tab_higiene[[#This Row],[Item]],supercb[Bairro],mercado17)</f>
        <v>0</v>
      </c>
      <c r="BB236" s="61">
        <f>SUMIFS(super1[Qtde],super1[Item],tab_higiene[[#This Row],[Item]],super1[Bairro],mercado18)+SUMIFS(supercb[Qtde],supercb[Item],tab_higiene[[#This Row],[Item]],supercb[Bairro],mercado18)</f>
        <v>0</v>
      </c>
      <c r="BC236" s="51">
        <f>SUMIFS(super1[Qtde],super1[Item],tab_higiene[[#This Row],[Item]],super1[Bairro],extras)+SUMIFS(supercb[Qtde],supercb[Item],tab_higiene[[#This Row],[Item]],supercb[Bairro],extras)</f>
        <v>0</v>
      </c>
      <c r="BD236" s="8">
        <f t="shared" si="85"/>
        <v>0</v>
      </c>
      <c r="BE236" s="8">
        <f t="shared" si="86"/>
        <v>0</v>
      </c>
      <c r="BF236" s="23">
        <f t="shared" si="87"/>
        <v>0</v>
      </c>
    </row>
    <row r="237" spans="9:58" ht="15.75" thickBot="1" x14ac:dyDescent="0.3">
      <c r="I237" s="65" t="str">
        <f>alimentos[[#This Row],[Item]]</f>
        <v>Sal (500g)</v>
      </c>
      <c r="J237" s="61">
        <f>IFERROR(alimentos[[#This Row],[kg/embalagem]],0)</f>
        <v>0.5</v>
      </c>
      <c r="K237" s="64">
        <f>IFERROR(alimentos[[#This Row],[Preço]],0)</f>
        <v>6.9200000000000008</v>
      </c>
      <c r="L237" s="64">
        <f>SUMIFS(super1[Qtde],super1[Item],tab_alimentos[[#This Row],[Item]],super1[Bairro],mercado1)+SUMIFS(supercb[Qtde],supercb[Item],tab_alimentos[[#This Row],[Item]],supercb[Bairro],mercado1)</f>
        <v>0</v>
      </c>
      <c r="M237" s="64">
        <f>SUMIFS(super1[Qtde],super1[Item],tab_alimentos[[#This Row],[Item]],super1[Bairro],mercado2)+SUMIFS(supercb[Qtde],supercb[Item],tab_alimentos[[#This Row],[Item]],supercb[Bairro],mercado2)</f>
        <v>0</v>
      </c>
      <c r="N237" s="61">
        <f>SUMIFS(super1[Qtde],super1[Item],tab_alimentos[[#This Row],[Item]],super1[Bairro],mercado3)+SUMIFS(supercb[Qtde],supercb[Item],tab_alimentos[[#This Row],[Item]],supercb[Bairro],mercado3)</f>
        <v>0</v>
      </c>
      <c r="O237" s="64">
        <f>SUMIFS(super1[Qtde],super1[Item],tab_alimentos[[#This Row],[Item]],super1[Bairro],mercado4)+SUMIFS(supercb[Qtde],supercb[Item],tab_alimentos[[#This Row],[Item]],supercb[Bairro],mercado4)</f>
        <v>0</v>
      </c>
      <c r="P237" s="64">
        <f>SUMIFS(super1[Qtde],super1[Item],tab_alimentos[[#This Row],[Item]],super1[Bairro],mercado5)+SUMIFS(supercb[Qtde],supercb[Item],tab_alimentos[[#This Row],[Item]],supercb[Bairro],mercado5)</f>
        <v>0</v>
      </c>
      <c r="Q237" s="64">
        <f>SUMIFS(super1[Qtde],super1[Item],tab_alimentos[[#This Row],[Item]],super1[Bairro],mercado6)+SUMIFS(supercb[Qtde],supercb[Item],tab_alimentos[[#This Row],[Item]],supercb[Bairro],mercado6)</f>
        <v>0</v>
      </c>
      <c r="R237" s="64">
        <f>SUMIFS(super1[Qtde],super1[Item],tab_alimentos[[#This Row],[Item]],super1[Bairro],mercado7)+SUMIFS(supercb[Qtde],supercb[Item],tab_alimentos[[#This Row],[Item]],supercb[Bairro],mercado7)</f>
        <v>0</v>
      </c>
      <c r="S237" s="64">
        <f>SUMIFS(super1[Qtde],super1[Item],tab_alimentos[[#This Row],[Item]],super1[Bairro],mercado8)+SUMIFS(supercb[Qtde],supercb[Item],tab_alimentos[[#This Row],[Item]],supercb[Bairro],mercado8)</f>
        <v>0</v>
      </c>
      <c r="T237" s="64">
        <f>SUMIFS(super1[Qtde],super1[Item],tab_alimentos[[#This Row],[Item]],super1[Bairro],mercado9)+SUMIFS(supercb[Qtde],supercb[Item],tab_alimentos[[#This Row],[Item]],supercb[Bairro],mercado9)</f>
        <v>0</v>
      </c>
      <c r="U237" s="64">
        <f>SUMIFS(super1[Qtde],super1[Item],tab_alimentos[[#This Row],[Item]],super1[Bairro],mercado10)+SUMIFS(supercb[Qtde],supercb[Item],tab_alimentos[[#This Row],[Item]],supercb[Bairro],mercado10)</f>
        <v>0</v>
      </c>
      <c r="V237" s="64">
        <f>SUMIFS(super1[Qtde],super1[Item],tab_alimentos[[#This Row],[Item]],super1[Bairro],mercado11)+SUMIFS(supercb[Qtde],supercb[Item],tab_alimentos[[#This Row],[Item]],supercb[Bairro],mercado11)</f>
        <v>0</v>
      </c>
      <c r="W237" s="64">
        <f>SUMIFS(super1[Qtde],super1[Item],tab_alimentos[[#This Row],[Item]],super1[Bairro],mercado12)+SUMIFS(supercb[Qtde],supercb[Item],tab_alimentos[[#This Row],[Item]],supercb[Bairro],mercado12)</f>
        <v>0</v>
      </c>
      <c r="X237" s="64">
        <f>SUMIFS(super1[Qtde],super1[Item],tab_alimentos[[#This Row],[Item]],super1[Bairro],mercado13)+SUMIFS(supercb[Qtde],supercb[Item],tab_alimentos[[#This Row],[Item]],supercb[Bairro],mercado13)</f>
        <v>0</v>
      </c>
      <c r="Y237" s="64">
        <f>SUMIFS(super1[Qtde],super1[Item],tab_alimentos[[#This Row],[Item]],super1[Bairro],mercado14)+SUMIFS(supercb[Qtde],supercb[Item],tab_alimentos[[#This Row],[Item]],supercb[Bairro],mercado14)</f>
        <v>0</v>
      </c>
      <c r="Z237" s="64">
        <f>SUMIFS(super1[Qtde],super1[Item],tab_alimentos[[#This Row],[Item]],super1[Bairro],mercado15)+SUMIFS(supercb[Qtde],supercb[Item],tab_alimentos[[#This Row],[Item]],supercb[Bairro],mercado15)</f>
        <v>0</v>
      </c>
      <c r="AA237" s="64">
        <f>SUMIFS(super1[Qtde],super1[Item],tab_alimentos[[#This Row],[Item]],super1[Bairro],mercado16)+SUMIFS(supercb[Qtde],supercb[Item],tab_alimentos[[#This Row],[Item]],supercb[Bairro],mercado16)</f>
        <v>0</v>
      </c>
      <c r="AB237" s="64">
        <f>SUMIFS(super1[Qtde],super1[Item],tab_alimentos[[#This Row],[Item]],super1[Bairro],mercado17)+SUMIFS(supercb[Qtde],supercb[Item],tab_alimentos[[#This Row],[Item]],supercb[Bairro],mercado17)</f>
        <v>0</v>
      </c>
      <c r="AC237" s="64">
        <f>SUMIFS(super1[Qtde],super1[Item],tab_alimentos[[#This Row],[Item]],super1[Bairro],mercado18)+SUMIFS(supercb[Qtde],supercb[Item],tab_alimentos[[#This Row],[Item]],supercb[Bairro],mercado18)</f>
        <v>0</v>
      </c>
      <c r="AD237" s="64">
        <f>SUMIFS(super1[Qtde],super1[Item],tab_alimentos[[#This Row],[Item]],super1[Bairro],extras)+SUMIFS(supercb[Qtde],supercb[Item],tab_alimentos[[#This Row],[Item]],supercb[Bairro],extras)</f>
        <v>0</v>
      </c>
      <c r="AE237" s="61">
        <f t="shared" si="82"/>
        <v>0</v>
      </c>
      <c r="AF237" s="61">
        <f t="shared" si="83"/>
        <v>0</v>
      </c>
      <c r="AG237" s="62">
        <f t="shared" si="84"/>
        <v>0</v>
      </c>
      <c r="AH237" s="15" t="e">
        <f>higiene[[#This Row],[Item]]</f>
        <v>#VALUE!</v>
      </c>
      <c r="AI237" s="8">
        <f>IFERROR(higiene[[#This Row],[Kg equivalente]],0)</f>
        <v>0</v>
      </c>
      <c r="AJ237" s="8">
        <f>IFERROR(higiene[[#This Row],[Preço por produto]],0)</f>
        <v>0</v>
      </c>
      <c r="AK237" s="61">
        <f>SUMIFS(super1[Qtde],super1[Item],tab_higiene[[#This Row],[Item]],super1[Bairro],mercado1)+SUMIFS(supercb[Qtde],supercb[Item],tab_higiene[[#This Row],[Item]],supercb[Bairro],mercado1)</f>
        <v>0</v>
      </c>
      <c r="AL237" s="61">
        <f>SUMIFS(super1[Qtde],super1[Item],tab_higiene[[#This Row],[Item]],super1[Bairro],mercado2)+SUMIFS(supercb[Qtde],supercb[Item],tab_higiene[[#This Row],[Item]],supercb[Bairro],mercado2)</f>
        <v>0</v>
      </c>
      <c r="AM237" s="61">
        <f>SUMIFS(super1[Qtde],super1[Item],tab_higiene[[#This Row],[Item]],super1[Bairro],mercado3)+SUMIFS(supercb[Qtde],supercb[Item],tab_higiene[[#This Row],[Item]],supercb[Bairro],mercado3)</f>
        <v>0</v>
      </c>
      <c r="AN237" s="61">
        <f>SUMIFS(super1[Qtde],super1[Item],tab_higiene[[#This Row],[Item]],super1[Bairro],mercado4)+SUMIFS(supercb[Qtde],supercb[Item],tab_higiene[[#This Row],[Item]],supercb[Bairro],mercado4)</f>
        <v>0</v>
      </c>
      <c r="AO237" s="61">
        <f>SUMIFS(super1[Qtde],super1[Item],tab_higiene[[#This Row],[Item]],super1[Bairro],mercado5)+SUMIFS(supercb[Qtde],supercb[Item],tab_higiene[[#This Row],[Item]],supercb[Bairro],mercado5)</f>
        <v>0</v>
      </c>
      <c r="AP237" s="61">
        <f>SUMIFS(super1[Qtde],super1[Item],tab_higiene[[#This Row],[Item]],super1[Bairro],mercado6)+SUMIFS(supercb[Qtde],supercb[Item],tab_higiene[[#This Row],[Item]],supercb[Bairro],mercado6)</f>
        <v>0</v>
      </c>
      <c r="AQ237" s="61">
        <f>SUMIFS(super1[Qtde],super1[Item],tab_higiene[[#This Row],[Item]],super1[Bairro],mercado7)+SUMIFS(supercb[Qtde],supercb[Item],tab_higiene[[#This Row],[Item]],supercb[Bairro],mercado7)</f>
        <v>0</v>
      </c>
      <c r="AR237" s="61">
        <f>SUMIFS(super1[Qtde],super1[Item],tab_higiene[[#This Row],[Item]],super1[Bairro],mercado8)+SUMIFS(supercb[Qtde],supercb[Item],tab_higiene[[#This Row],[Item]],supercb[Bairro],mercado8)</f>
        <v>0</v>
      </c>
      <c r="AS237" s="61">
        <f>SUMIFS(super1[Qtde],super1[Item],tab_higiene[[#This Row],[Item]],super1[Bairro],mercado9)+SUMIFS(supercb[Qtde],supercb[Item],tab_higiene[[#This Row],[Item]],supercb[Bairro],mercado9)</f>
        <v>0</v>
      </c>
      <c r="AT237" s="61">
        <f>SUMIFS(super1[Qtde],super1[Item],tab_higiene[[#This Row],[Item]],super1[Bairro],mercado10)+SUMIFS(supercb[Qtde],supercb[Item],tab_higiene[[#This Row],[Item]],supercb[Bairro],mercado10)</f>
        <v>0</v>
      </c>
      <c r="AU237" s="61">
        <f>SUMIFS(super1[Qtde],super1[Item],tab_higiene[[#This Row],[Item]],super1[Bairro],mercado11)+SUMIFS(supercb[Qtde],supercb[Item],tab_higiene[[#This Row],[Item]],supercb[Bairro],mercado11)</f>
        <v>0</v>
      </c>
      <c r="AV237" s="61">
        <f>SUMIFS(super1[Qtde],super1[Item],tab_higiene[[#This Row],[Item]],super1[Bairro],mercado12)+SUMIFS(supercb[Qtde],supercb[Item],tab_higiene[[#This Row],[Item]],supercb[Bairro],mercado12)</f>
        <v>0</v>
      </c>
      <c r="AW237" s="61">
        <f>SUMIFS(super1[Qtde],super1[Item],tab_higiene[[#This Row],[Item]],super1[Bairro],mercado13)+SUMIFS(supercb[Qtde],supercb[Item],tab_higiene[[#This Row],[Item]],supercb[Bairro],mercado13)</f>
        <v>0</v>
      </c>
      <c r="AX237" s="61">
        <f>SUMIFS(super1[Qtde],super1[Item],tab_higiene[[#This Row],[Item]],super1[Bairro],mercado14)+SUMIFS(supercb[Qtde],supercb[Item],tab_higiene[[#This Row],[Item]],supercb[Bairro],mercado14)</f>
        <v>0</v>
      </c>
      <c r="AY237" s="61">
        <f>SUMIFS(super1[Qtde],super1[Item],tab_higiene[[#This Row],[Item]],super1[Bairro],mercado15)+SUMIFS(supercb[Qtde],supercb[Item],tab_higiene[[#This Row],[Item]],supercb[Bairro],mercado15)</f>
        <v>0</v>
      </c>
      <c r="AZ237" s="61">
        <f>SUMIFS(super1[Qtde],super1[Item],tab_higiene[[#This Row],[Item]],super1[Bairro],mercado16)+SUMIFS(supercb[Qtde],supercb[Item],tab_higiene[[#This Row],[Item]],supercb[Bairro],mercado16)</f>
        <v>0</v>
      </c>
      <c r="BA237" s="61">
        <f>SUMIFS(super1[Qtde],super1[Item],tab_higiene[[#This Row],[Item]],super1[Bairro],mercado17)+SUMIFS(supercb[Qtde],supercb[Item],tab_higiene[[#This Row],[Item]],supercb[Bairro],mercado17)</f>
        <v>0</v>
      </c>
      <c r="BB237" s="61">
        <f>SUMIFS(super1[Qtde],super1[Item],tab_higiene[[#This Row],[Item]],super1[Bairro],mercado18)+SUMIFS(supercb[Qtde],supercb[Item],tab_higiene[[#This Row],[Item]],supercb[Bairro],mercado18)</f>
        <v>0</v>
      </c>
      <c r="BC237" s="51">
        <f>SUMIFS(super1[Qtde],super1[Item],tab_higiene[[#This Row],[Item]],super1[Bairro],extras)+SUMIFS(supercb[Qtde],supercb[Item],tab_higiene[[#This Row],[Item]],supercb[Bairro],extras)</f>
        <v>0</v>
      </c>
      <c r="BD237" s="8">
        <f t="shared" si="85"/>
        <v>0</v>
      </c>
      <c r="BE237" s="8">
        <f t="shared" si="86"/>
        <v>0</v>
      </c>
      <c r="BF237" s="23">
        <f t="shared" si="87"/>
        <v>0</v>
      </c>
    </row>
    <row r="238" spans="9:58" ht="15.75" thickBot="1" x14ac:dyDescent="0.3">
      <c r="I238" s="65" t="str">
        <f>alimentos[[#This Row],[Item]]</f>
        <v>Sal Grosso (1kg)</v>
      </c>
      <c r="J238" s="61">
        <f>IFERROR(alimentos[[#This Row],[kg/embalagem]],0)</f>
        <v>1</v>
      </c>
      <c r="K238" s="64">
        <f>IFERROR(alimentos[[#This Row],[Preço]],0)</f>
        <v>3.6233333333333335</v>
      </c>
      <c r="L238" s="64">
        <f>SUMIFS(super1[Qtde],super1[Item],tab_alimentos[[#This Row],[Item]],super1[Bairro],mercado1)+SUMIFS(supercb[Qtde],supercb[Item],tab_alimentos[[#This Row],[Item]],supercb[Bairro],mercado1)</f>
        <v>0</v>
      </c>
      <c r="M238" s="64">
        <f>SUMIFS(super1[Qtde],super1[Item],tab_alimentos[[#This Row],[Item]],super1[Bairro],mercado2)+SUMIFS(supercb[Qtde],supercb[Item],tab_alimentos[[#This Row],[Item]],supercb[Bairro],mercado2)</f>
        <v>0</v>
      </c>
      <c r="N238" s="61">
        <f>SUMIFS(super1[Qtde],super1[Item],tab_alimentos[[#This Row],[Item]],super1[Bairro],mercado3)+SUMIFS(supercb[Qtde],supercb[Item],tab_alimentos[[#This Row],[Item]],supercb[Bairro],mercado3)</f>
        <v>0</v>
      </c>
      <c r="O238" s="64">
        <f>SUMIFS(super1[Qtde],super1[Item],tab_alimentos[[#This Row],[Item]],super1[Bairro],mercado4)+SUMIFS(supercb[Qtde],supercb[Item],tab_alimentos[[#This Row],[Item]],supercb[Bairro],mercado4)</f>
        <v>0</v>
      </c>
      <c r="P238" s="64">
        <f>SUMIFS(super1[Qtde],super1[Item],tab_alimentos[[#This Row],[Item]],super1[Bairro],mercado5)+SUMIFS(supercb[Qtde],supercb[Item],tab_alimentos[[#This Row],[Item]],supercb[Bairro],mercado5)</f>
        <v>0</v>
      </c>
      <c r="Q238" s="64">
        <f>SUMIFS(super1[Qtde],super1[Item],tab_alimentos[[#This Row],[Item]],super1[Bairro],mercado6)+SUMIFS(supercb[Qtde],supercb[Item],tab_alimentos[[#This Row],[Item]],supercb[Bairro],mercado6)</f>
        <v>0</v>
      </c>
      <c r="R238" s="64">
        <f>SUMIFS(super1[Qtde],super1[Item],tab_alimentos[[#This Row],[Item]],super1[Bairro],mercado7)+SUMIFS(supercb[Qtde],supercb[Item],tab_alimentos[[#This Row],[Item]],supercb[Bairro],mercado7)</f>
        <v>0</v>
      </c>
      <c r="S238" s="64">
        <f>SUMIFS(super1[Qtde],super1[Item],tab_alimentos[[#This Row],[Item]],super1[Bairro],mercado8)+SUMIFS(supercb[Qtde],supercb[Item],tab_alimentos[[#This Row],[Item]],supercb[Bairro],mercado8)</f>
        <v>0</v>
      </c>
      <c r="T238" s="64">
        <f>SUMIFS(super1[Qtde],super1[Item],tab_alimentos[[#This Row],[Item]],super1[Bairro],mercado9)+SUMIFS(supercb[Qtde],supercb[Item],tab_alimentos[[#This Row],[Item]],supercb[Bairro],mercado9)</f>
        <v>0</v>
      </c>
      <c r="U238" s="64">
        <f>SUMIFS(super1[Qtde],super1[Item],tab_alimentos[[#This Row],[Item]],super1[Bairro],mercado10)+SUMIFS(supercb[Qtde],supercb[Item],tab_alimentos[[#This Row],[Item]],supercb[Bairro],mercado10)</f>
        <v>0</v>
      </c>
      <c r="V238" s="64">
        <f>SUMIFS(super1[Qtde],super1[Item],tab_alimentos[[#This Row],[Item]],super1[Bairro],mercado11)+SUMIFS(supercb[Qtde],supercb[Item],tab_alimentos[[#This Row],[Item]],supercb[Bairro],mercado11)</f>
        <v>0</v>
      </c>
      <c r="W238" s="64">
        <f>SUMIFS(super1[Qtde],super1[Item],tab_alimentos[[#This Row],[Item]],super1[Bairro],mercado12)+SUMIFS(supercb[Qtde],supercb[Item],tab_alimentos[[#This Row],[Item]],supercb[Bairro],mercado12)</f>
        <v>0</v>
      </c>
      <c r="X238" s="64">
        <f>SUMIFS(super1[Qtde],super1[Item],tab_alimentos[[#This Row],[Item]],super1[Bairro],mercado13)+SUMIFS(supercb[Qtde],supercb[Item],tab_alimentos[[#This Row],[Item]],supercb[Bairro],mercado13)</f>
        <v>0</v>
      </c>
      <c r="Y238" s="64">
        <f>SUMIFS(super1[Qtde],super1[Item],tab_alimentos[[#This Row],[Item]],super1[Bairro],mercado14)+SUMIFS(supercb[Qtde],supercb[Item],tab_alimentos[[#This Row],[Item]],supercb[Bairro],mercado14)</f>
        <v>0</v>
      </c>
      <c r="Z238" s="64">
        <f>SUMIFS(super1[Qtde],super1[Item],tab_alimentos[[#This Row],[Item]],super1[Bairro],mercado15)+SUMIFS(supercb[Qtde],supercb[Item],tab_alimentos[[#This Row],[Item]],supercb[Bairro],mercado15)</f>
        <v>0</v>
      </c>
      <c r="AA238" s="64">
        <f>SUMIFS(super1[Qtde],super1[Item],tab_alimentos[[#This Row],[Item]],super1[Bairro],mercado16)+SUMIFS(supercb[Qtde],supercb[Item],tab_alimentos[[#This Row],[Item]],supercb[Bairro],mercado16)</f>
        <v>0</v>
      </c>
      <c r="AB238" s="64">
        <f>SUMIFS(super1[Qtde],super1[Item],tab_alimentos[[#This Row],[Item]],super1[Bairro],mercado17)+SUMIFS(supercb[Qtde],supercb[Item],tab_alimentos[[#This Row],[Item]],supercb[Bairro],mercado17)</f>
        <v>0</v>
      </c>
      <c r="AC238" s="64">
        <f>SUMIFS(super1[Qtde],super1[Item],tab_alimentos[[#This Row],[Item]],super1[Bairro],mercado18)+SUMIFS(supercb[Qtde],supercb[Item],tab_alimentos[[#This Row],[Item]],supercb[Bairro],mercado18)</f>
        <v>0</v>
      </c>
      <c r="AD238" s="64">
        <f>SUMIFS(super1[Qtde],super1[Item],tab_alimentos[[#This Row],[Item]],super1[Bairro],extras)+SUMIFS(supercb[Qtde],supercb[Item],tab_alimentos[[#This Row],[Item]],supercb[Bairro],extras)</f>
        <v>0</v>
      </c>
      <c r="AE238" s="61">
        <f t="shared" si="82"/>
        <v>0</v>
      </c>
      <c r="AF238" s="61">
        <f t="shared" si="83"/>
        <v>0</v>
      </c>
      <c r="AG238" s="62">
        <f t="shared" si="84"/>
        <v>0</v>
      </c>
      <c r="AH238" s="15" t="e">
        <f>higiene[[#This Row],[Item]]</f>
        <v>#VALUE!</v>
      </c>
      <c r="AI238" s="8">
        <f>IFERROR(higiene[[#This Row],[Kg equivalente]],0)</f>
        <v>0</v>
      </c>
      <c r="AJ238" s="8">
        <f>IFERROR(higiene[[#This Row],[Preço por produto]],0)</f>
        <v>0</v>
      </c>
      <c r="AK238" s="61">
        <f>SUMIFS(super1[Qtde],super1[Item],tab_higiene[[#This Row],[Item]],super1[Bairro],mercado1)+SUMIFS(supercb[Qtde],supercb[Item],tab_higiene[[#This Row],[Item]],supercb[Bairro],mercado1)</f>
        <v>0</v>
      </c>
      <c r="AL238" s="61">
        <f>SUMIFS(super1[Qtde],super1[Item],tab_higiene[[#This Row],[Item]],super1[Bairro],mercado2)+SUMIFS(supercb[Qtde],supercb[Item],tab_higiene[[#This Row],[Item]],supercb[Bairro],mercado2)</f>
        <v>0</v>
      </c>
      <c r="AM238" s="61">
        <f>SUMIFS(super1[Qtde],super1[Item],tab_higiene[[#This Row],[Item]],super1[Bairro],mercado3)+SUMIFS(supercb[Qtde],supercb[Item],tab_higiene[[#This Row],[Item]],supercb[Bairro],mercado3)</f>
        <v>0</v>
      </c>
      <c r="AN238" s="61">
        <f>SUMIFS(super1[Qtde],super1[Item],tab_higiene[[#This Row],[Item]],super1[Bairro],mercado4)+SUMIFS(supercb[Qtde],supercb[Item],tab_higiene[[#This Row],[Item]],supercb[Bairro],mercado4)</f>
        <v>0</v>
      </c>
      <c r="AO238" s="61">
        <f>SUMIFS(super1[Qtde],super1[Item],tab_higiene[[#This Row],[Item]],super1[Bairro],mercado5)+SUMIFS(supercb[Qtde],supercb[Item],tab_higiene[[#This Row],[Item]],supercb[Bairro],mercado5)</f>
        <v>0</v>
      </c>
      <c r="AP238" s="61">
        <f>SUMIFS(super1[Qtde],super1[Item],tab_higiene[[#This Row],[Item]],super1[Bairro],mercado6)+SUMIFS(supercb[Qtde],supercb[Item],tab_higiene[[#This Row],[Item]],supercb[Bairro],mercado6)</f>
        <v>0</v>
      </c>
      <c r="AQ238" s="61">
        <f>SUMIFS(super1[Qtde],super1[Item],tab_higiene[[#This Row],[Item]],super1[Bairro],mercado7)+SUMIFS(supercb[Qtde],supercb[Item],tab_higiene[[#This Row],[Item]],supercb[Bairro],mercado7)</f>
        <v>0</v>
      </c>
      <c r="AR238" s="61">
        <f>SUMIFS(super1[Qtde],super1[Item],tab_higiene[[#This Row],[Item]],super1[Bairro],mercado8)+SUMIFS(supercb[Qtde],supercb[Item],tab_higiene[[#This Row],[Item]],supercb[Bairro],mercado8)</f>
        <v>0</v>
      </c>
      <c r="AS238" s="61">
        <f>SUMIFS(super1[Qtde],super1[Item],tab_higiene[[#This Row],[Item]],super1[Bairro],mercado9)+SUMIFS(supercb[Qtde],supercb[Item],tab_higiene[[#This Row],[Item]],supercb[Bairro],mercado9)</f>
        <v>0</v>
      </c>
      <c r="AT238" s="61">
        <f>SUMIFS(super1[Qtde],super1[Item],tab_higiene[[#This Row],[Item]],super1[Bairro],mercado10)+SUMIFS(supercb[Qtde],supercb[Item],tab_higiene[[#This Row],[Item]],supercb[Bairro],mercado10)</f>
        <v>0</v>
      </c>
      <c r="AU238" s="61">
        <f>SUMIFS(super1[Qtde],super1[Item],tab_higiene[[#This Row],[Item]],super1[Bairro],mercado11)+SUMIFS(supercb[Qtde],supercb[Item],tab_higiene[[#This Row],[Item]],supercb[Bairro],mercado11)</f>
        <v>0</v>
      </c>
      <c r="AV238" s="61">
        <f>SUMIFS(super1[Qtde],super1[Item],tab_higiene[[#This Row],[Item]],super1[Bairro],mercado12)+SUMIFS(supercb[Qtde],supercb[Item],tab_higiene[[#This Row],[Item]],supercb[Bairro],mercado12)</f>
        <v>0</v>
      </c>
      <c r="AW238" s="61">
        <f>SUMIFS(super1[Qtde],super1[Item],tab_higiene[[#This Row],[Item]],super1[Bairro],mercado13)+SUMIFS(supercb[Qtde],supercb[Item],tab_higiene[[#This Row],[Item]],supercb[Bairro],mercado13)</f>
        <v>0</v>
      </c>
      <c r="AX238" s="61">
        <f>SUMIFS(super1[Qtde],super1[Item],tab_higiene[[#This Row],[Item]],super1[Bairro],mercado14)+SUMIFS(supercb[Qtde],supercb[Item],tab_higiene[[#This Row],[Item]],supercb[Bairro],mercado14)</f>
        <v>0</v>
      </c>
      <c r="AY238" s="61">
        <f>SUMIFS(super1[Qtde],super1[Item],tab_higiene[[#This Row],[Item]],super1[Bairro],mercado15)+SUMIFS(supercb[Qtde],supercb[Item],tab_higiene[[#This Row],[Item]],supercb[Bairro],mercado15)</f>
        <v>0</v>
      </c>
      <c r="AZ238" s="61">
        <f>SUMIFS(super1[Qtde],super1[Item],tab_higiene[[#This Row],[Item]],super1[Bairro],mercado16)+SUMIFS(supercb[Qtde],supercb[Item],tab_higiene[[#This Row],[Item]],supercb[Bairro],mercado16)</f>
        <v>0</v>
      </c>
      <c r="BA238" s="61">
        <f>SUMIFS(super1[Qtde],super1[Item],tab_higiene[[#This Row],[Item]],super1[Bairro],mercado17)+SUMIFS(supercb[Qtde],supercb[Item],tab_higiene[[#This Row],[Item]],supercb[Bairro],mercado17)</f>
        <v>0</v>
      </c>
      <c r="BB238" s="61">
        <f>SUMIFS(super1[Qtde],super1[Item],tab_higiene[[#This Row],[Item]],super1[Bairro],mercado18)+SUMIFS(supercb[Qtde],supercb[Item],tab_higiene[[#This Row],[Item]],supercb[Bairro],mercado18)</f>
        <v>0</v>
      </c>
      <c r="BC238" s="51">
        <f>SUMIFS(super1[Qtde],super1[Item],tab_higiene[[#This Row],[Item]],super1[Bairro],extras)+SUMIFS(supercb[Qtde],supercb[Item],tab_higiene[[#This Row],[Item]],supercb[Bairro],extras)</f>
        <v>0</v>
      </c>
      <c r="BD238" s="8">
        <f t="shared" si="85"/>
        <v>0</v>
      </c>
      <c r="BE238" s="8">
        <f t="shared" si="86"/>
        <v>0</v>
      </c>
      <c r="BF238" s="23">
        <f t="shared" si="87"/>
        <v>0</v>
      </c>
    </row>
    <row r="239" spans="9:58" ht="15.75" thickBot="1" x14ac:dyDescent="0.3">
      <c r="I239" s="65" t="str">
        <f>alimentos[[#This Row],[Item]]</f>
        <v>Salgadinho (50g)</v>
      </c>
      <c r="J239" s="61">
        <f>IFERROR(alimentos[[#This Row],[kg/embalagem]],0)</f>
        <v>0.05</v>
      </c>
      <c r="K239" s="64">
        <f>IFERROR(alimentos[[#This Row],[Preço]],0)</f>
        <v>2.7216666666666671</v>
      </c>
      <c r="L239" s="64">
        <f>SUMIFS(super1[Qtde],super1[Item],tab_alimentos[[#This Row],[Item]],super1[Bairro],mercado1)+SUMIFS(supercb[Qtde],supercb[Item],tab_alimentos[[#This Row],[Item]],supercb[Bairro],mercado1)</f>
        <v>0</v>
      </c>
      <c r="M239" s="64">
        <f>SUMIFS(super1[Qtde],super1[Item],tab_alimentos[[#This Row],[Item]],super1[Bairro],mercado2)+SUMIFS(supercb[Qtde],supercb[Item],tab_alimentos[[#This Row],[Item]],supercb[Bairro],mercado2)</f>
        <v>0</v>
      </c>
      <c r="N239" s="61">
        <f>SUMIFS(super1[Qtde],super1[Item],tab_alimentos[[#This Row],[Item]],super1[Bairro],mercado3)+SUMIFS(supercb[Qtde],supercb[Item],tab_alimentos[[#This Row],[Item]],supercb[Bairro],mercado3)</f>
        <v>0</v>
      </c>
      <c r="O239" s="64">
        <f>SUMIFS(super1[Qtde],super1[Item],tab_alimentos[[#This Row],[Item]],super1[Bairro],mercado4)+SUMIFS(supercb[Qtde],supercb[Item],tab_alimentos[[#This Row],[Item]],supercb[Bairro],mercado4)</f>
        <v>0</v>
      </c>
      <c r="P239" s="64">
        <f>SUMIFS(super1[Qtde],super1[Item],tab_alimentos[[#This Row],[Item]],super1[Bairro],mercado5)+SUMIFS(supercb[Qtde],supercb[Item],tab_alimentos[[#This Row],[Item]],supercb[Bairro],mercado5)</f>
        <v>0</v>
      </c>
      <c r="Q239" s="64">
        <f>SUMIFS(super1[Qtde],super1[Item],tab_alimentos[[#This Row],[Item]],super1[Bairro],mercado6)+SUMIFS(supercb[Qtde],supercb[Item],tab_alimentos[[#This Row],[Item]],supercb[Bairro],mercado6)</f>
        <v>0</v>
      </c>
      <c r="R239" s="64">
        <f>SUMIFS(super1[Qtde],super1[Item],tab_alimentos[[#This Row],[Item]],super1[Bairro],mercado7)+SUMIFS(supercb[Qtde],supercb[Item],tab_alimentos[[#This Row],[Item]],supercb[Bairro],mercado7)</f>
        <v>0</v>
      </c>
      <c r="S239" s="64">
        <f>SUMIFS(super1[Qtde],super1[Item],tab_alimentos[[#This Row],[Item]],super1[Bairro],mercado8)+SUMIFS(supercb[Qtde],supercb[Item],tab_alimentos[[#This Row],[Item]],supercb[Bairro],mercado8)</f>
        <v>0</v>
      </c>
      <c r="T239" s="64">
        <f>SUMIFS(super1[Qtde],super1[Item],tab_alimentos[[#This Row],[Item]],super1[Bairro],mercado9)+SUMIFS(supercb[Qtde],supercb[Item],tab_alimentos[[#This Row],[Item]],supercb[Bairro],mercado9)</f>
        <v>0</v>
      </c>
      <c r="U239" s="64">
        <f>SUMIFS(super1[Qtde],super1[Item],tab_alimentos[[#This Row],[Item]],super1[Bairro],mercado10)+SUMIFS(supercb[Qtde],supercb[Item],tab_alimentos[[#This Row],[Item]],supercb[Bairro],mercado10)</f>
        <v>0</v>
      </c>
      <c r="V239" s="64">
        <f>SUMIFS(super1[Qtde],super1[Item],tab_alimentos[[#This Row],[Item]],super1[Bairro],mercado11)+SUMIFS(supercb[Qtde],supercb[Item],tab_alimentos[[#This Row],[Item]],supercb[Bairro],mercado11)</f>
        <v>0</v>
      </c>
      <c r="W239" s="64">
        <f>SUMIFS(super1[Qtde],super1[Item],tab_alimentos[[#This Row],[Item]],super1[Bairro],mercado12)+SUMIFS(supercb[Qtde],supercb[Item],tab_alimentos[[#This Row],[Item]],supercb[Bairro],mercado12)</f>
        <v>0</v>
      </c>
      <c r="X239" s="64">
        <f>SUMIFS(super1[Qtde],super1[Item],tab_alimentos[[#This Row],[Item]],super1[Bairro],mercado13)+SUMIFS(supercb[Qtde],supercb[Item],tab_alimentos[[#This Row],[Item]],supercb[Bairro],mercado13)</f>
        <v>0</v>
      </c>
      <c r="Y239" s="64">
        <f>SUMIFS(super1[Qtde],super1[Item],tab_alimentos[[#This Row],[Item]],super1[Bairro],mercado14)+SUMIFS(supercb[Qtde],supercb[Item],tab_alimentos[[#This Row],[Item]],supercb[Bairro],mercado14)</f>
        <v>0</v>
      </c>
      <c r="Z239" s="64">
        <f>SUMIFS(super1[Qtde],super1[Item],tab_alimentos[[#This Row],[Item]],super1[Bairro],mercado15)+SUMIFS(supercb[Qtde],supercb[Item],tab_alimentos[[#This Row],[Item]],supercb[Bairro],mercado15)</f>
        <v>0</v>
      </c>
      <c r="AA239" s="64">
        <f>SUMIFS(super1[Qtde],super1[Item],tab_alimentos[[#This Row],[Item]],super1[Bairro],mercado16)+SUMIFS(supercb[Qtde],supercb[Item],tab_alimentos[[#This Row],[Item]],supercb[Bairro],mercado16)</f>
        <v>0</v>
      </c>
      <c r="AB239" s="64">
        <f>SUMIFS(super1[Qtde],super1[Item],tab_alimentos[[#This Row],[Item]],super1[Bairro],mercado17)+SUMIFS(supercb[Qtde],supercb[Item],tab_alimentos[[#This Row],[Item]],supercb[Bairro],mercado17)</f>
        <v>0</v>
      </c>
      <c r="AC239" s="64">
        <f>SUMIFS(super1[Qtde],super1[Item],tab_alimentos[[#This Row],[Item]],super1[Bairro],mercado18)+SUMIFS(supercb[Qtde],supercb[Item],tab_alimentos[[#This Row],[Item]],supercb[Bairro],mercado18)</f>
        <v>0</v>
      </c>
      <c r="AD239" s="64">
        <f>SUMIFS(super1[Qtde],super1[Item],tab_alimentos[[#This Row],[Item]],super1[Bairro],extras)+SUMIFS(supercb[Qtde],supercb[Item],tab_alimentos[[#This Row],[Item]],supercb[Bairro],extras)</f>
        <v>0</v>
      </c>
      <c r="AE239" s="61">
        <f t="shared" si="82"/>
        <v>0</v>
      </c>
      <c r="AF239" s="61">
        <f t="shared" si="83"/>
        <v>0</v>
      </c>
      <c r="AG239" s="62">
        <f t="shared" si="84"/>
        <v>0</v>
      </c>
      <c r="AH239" s="15" t="e">
        <f>higiene[[#This Row],[Item]]</f>
        <v>#VALUE!</v>
      </c>
      <c r="AI239" s="8">
        <f>IFERROR(higiene[[#This Row],[Kg equivalente]],0)</f>
        <v>0</v>
      </c>
      <c r="AJ239" s="8">
        <f>IFERROR(higiene[[#This Row],[Preço por produto]],0)</f>
        <v>0</v>
      </c>
      <c r="AK239" s="61">
        <f>SUMIFS(super1[Qtde],super1[Item],tab_higiene[[#This Row],[Item]],super1[Bairro],mercado1)+SUMIFS(supercb[Qtde],supercb[Item],tab_higiene[[#This Row],[Item]],supercb[Bairro],mercado1)</f>
        <v>0</v>
      </c>
      <c r="AL239" s="61">
        <f>SUMIFS(super1[Qtde],super1[Item],tab_higiene[[#This Row],[Item]],super1[Bairro],mercado2)+SUMIFS(supercb[Qtde],supercb[Item],tab_higiene[[#This Row],[Item]],supercb[Bairro],mercado2)</f>
        <v>0</v>
      </c>
      <c r="AM239" s="61">
        <f>SUMIFS(super1[Qtde],super1[Item],tab_higiene[[#This Row],[Item]],super1[Bairro],mercado3)+SUMIFS(supercb[Qtde],supercb[Item],tab_higiene[[#This Row],[Item]],supercb[Bairro],mercado3)</f>
        <v>0</v>
      </c>
      <c r="AN239" s="61">
        <f>SUMIFS(super1[Qtde],super1[Item],tab_higiene[[#This Row],[Item]],super1[Bairro],mercado4)+SUMIFS(supercb[Qtde],supercb[Item],tab_higiene[[#This Row],[Item]],supercb[Bairro],mercado4)</f>
        <v>0</v>
      </c>
      <c r="AO239" s="61">
        <f>SUMIFS(super1[Qtde],super1[Item],tab_higiene[[#This Row],[Item]],super1[Bairro],mercado5)+SUMIFS(supercb[Qtde],supercb[Item],tab_higiene[[#This Row],[Item]],supercb[Bairro],mercado5)</f>
        <v>0</v>
      </c>
      <c r="AP239" s="61">
        <f>SUMIFS(super1[Qtde],super1[Item],tab_higiene[[#This Row],[Item]],super1[Bairro],mercado6)+SUMIFS(supercb[Qtde],supercb[Item],tab_higiene[[#This Row],[Item]],supercb[Bairro],mercado6)</f>
        <v>0</v>
      </c>
      <c r="AQ239" s="61">
        <f>SUMIFS(super1[Qtde],super1[Item],tab_higiene[[#This Row],[Item]],super1[Bairro],mercado7)+SUMIFS(supercb[Qtde],supercb[Item],tab_higiene[[#This Row],[Item]],supercb[Bairro],mercado7)</f>
        <v>0</v>
      </c>
      <c r="AR239" s="61">
        <f>SUMIFS(super1[Qtde],super1[Item],tab_higiene[[#This Row],[Item]],super1[Bairro],mercado8)+SUMIFS(supercb[Qtde],supercb[Item],tab_higiene[[#This Row],[Item]],supercb[Bairro],mercado8)</f>
        <v>0</v>
      </c>
      <c r="AS239" s="61">
        <f>SUMIFS(super1[Qtde],super1[Item],tab_higiene[[#This Row],[Item]],super1[Bairro],mercado9)+SUMIFS(supercb[Qtde],supercb[Item],tab_higiene[[#This Row],[Item]],supercb[Bairro],mercado9)</f>
        <v>0</v>
      </c>
      <c r="AT239" s="61">
        <f>SUMIFS(super1[Qtde],super1[Item],tab_higiene[[#This Row],[Item]],super1[Bairro],mercado10)+SUMIFS(supercb[Qtde],supercb[Item],tab_higiene[[#This Row],[Item]],supercb[Bairro],mercado10)</f>
        <v>0</v>
      </c>
      <c r="AU239" s="61">
        <f>SUMIFS(super1[Qtde],super1[Item],tab_higiene[[#This Row],[Item]],super1[Bairro],mercado11)+SUMIFS(supercb[Qtde],supercb[Item],tab_higiene[[#This Row],[Item]],supercb[Bairro],mercado11)</f>
        <v>0</v>
      </c>
      <c r="AV239" s="61">
        <f>SUMIFS(super1[Qtde],super1[Item],tab_higiene[[#This Row],[Item]],super1[Bairro],mercado12)+SUMIFS(supercb[Qtde],supercb[Item],tab_higiene[[#This Row],[Item]],supercb[Bairro],mercado12)</f>
        <v>0</v>
      </c>
      <c r="AW239" s="61">
        <f>SUMIFS(super1[Qtde],super1[Item],tab_higiene[[#This Row],[Item]],super1[Bairro],mercado13)+SUMIFS(supercb[Qtde],supercb[Item],tab_higiene[[#This Row],[Item]],supercb[Bairro],mercado13)</f>
        <v>0</v>
      </c>
      <c r="AX239" s="61">
        <f>SUMIFS(super1[Qtde],super1[Item],tab_higiene[[#This Row],[Item]],super1[Bairro],mercado14)+SUMIFS(supercb[Qtde],supercb[Item],tab_higiene[[#This Row],[Item]],supercb[Bairro],mercado14)</f>
        <v>0</v>
      </c>
      <c r="AY239" s="61">
        <f>SUMIFS(super1[Qtde],super1[Item],tab_higiene[[#This Row],[Item]],super1[Bairro],mercado15)+SUMIFS(supercb[Qtde],supercb[Item],tab_higiene[[#This Row],[Item]],supercb[Bairro],mercado15)</f>
        <v>0</v>
      </c>
      <c r="AZ239" s="61">
        <f>SUMIFS(super1[Qtde],super1[Item],tab_higiene[[#This Row],[Item]],super1[Bairro],mercado16)+SUMIFS(supercb[Qtde],supercb[Item],tab_higiene[[#This Row],[Item]],supercb[Bairro],mercado16)</f>
        <v>0</v>
      </c>
      <c r="BA239" s="61">
        <f>SUMIFS(super1[Qtde],super1[Item],tab_higiene[[#This Row],[Item]],super1[Bairro],mercado17)+SUMIFS(supercb[Qtde],supercb[Item],tab_higiene[[#This Row],[Item]],supercb[Bairro],mercado17)</f>
        <v>0</v>
      </c>
      <c r="BB239" s="61">
        <f>SUMIFS(super1[Qtde],super1[Item],tab_higiene[[#This Row],[Item]],super1[Bairro],mercado18)+SUMIFS(supercb[Qtde],supercb[Item],tab_higiene[[#This Row],[Item]],supercb[Bairro],mercado18)</f>
        <v>0</v>
      </c>
      <c r="BC239" s="51">
        <f>SUMIFS(super1[Qtde],super1[Item],tab_higiene[[#This Row],[Item]],super1[Bairro],extras)+SUMIFS(supercb[Qtde],supercb[Item],tab_higiene[[#This Row],[Item]],supercb[Bairro],extras)</f>
        <v>0</v>
      </c>
      <c r="BD239" s="8">
        <f t="shared" si="85"/>
        <v>0</v>
      </c>
      <c r="BE239" s="8">
        <f t="shared" si="86"/>
        <v>0</v>
      </c>
      <c r="BF239" s="23">
        <f t="shared" si="87"/>
        <v>0</v>
      </c>
    </row>
    <row r="240" spans="9:58" ht="15.75" thickBot="1" x14ac:dyDescent="0.3">
      <c r="I240" s="65" t="str">
        <f>alimentos[[#This Row],[Item]]</f>
        <v>Salsicha (lata)</v>
      </c>
      <c r="J240" s="61">
        <f>IFERROR(alimentos[[#This Row],[kg/embalagem]],0)</f>
        <v>0.2</v>
      </c>
      <c r="K240" s="64">
        <f>IFERROR(alimentos[[#This Row],[Preço]],0)</f>
        <v>2.8519999999999999</v>
      </c>
      <c r="L240" s="64">
        <f>SUMIFS(super1[Qtde],super1[Item],tab_alimentos[[#This Row],[Item]],super1[Bairro],mercado1)+SUMIFS(supercb[Qtde],supercb[Item],tab_alimentos[[#This Row],[Item]],supercb[Bairro],mercado1)</f>
        <v>0</v>
      </c>
      <c r="M240" s="64">
        <f>SUMIFS(super1[Qtde],super1[Item],tab_alimentos[[#This Row],[Item]],super1[Bairro],mercado2)+SUMIFS(supercb[Qtde],supercb[Item],tab_alimentos[[#This Row],[Item]],supercb[Bairro],mercado2)</f>
        <v>0</v>
      </c>
      <c r="N240" s="61">
        <f>SUMIFS(super1[Qtde],super1[Item],tab_alimentos[[#This Row],[Item]],super1[Bairro],mercado3)+SUMIFS(supercb[Qtde],supercb[Item],tab_alimentos[[#This Row],[Item]],supercb[Bairro],mercado3)</f>
        <v>1</v>
      </c>
      <c r="O240" s="64">
        <f>SUMIFS(super1[Qtde],super1[Item],tab_alimentos[[#This Row],[Item]],super1[Bairro],mercado4)+SUMIFS(supercb[Qtde],supercb[Item],tab_alimentos[[#This Row],[Item]],supercb[Bairro],mercado4)</f>
        <v>0</v>
      </c>
      <c r="P240" s="64">
        <f>SUMIFS(super1[Qtde],super1[Item],tab_alimentos[[#This Row],[Item]],super1[Bairro],mercado5)+SUMIFS(supercb[Qtde],supercb[Item],tab_alimentos[[#This Row],[Item]],supercb[Bairro],mercado5)</f>
        <v>0</v>
      </c>
      <c r="Q240" s="64">
        <f>SUMIFS(super1[Qtde],super1[Item],tab_alimentos[[#This Row],[Item]],super1[Bairro],mercado6)+SUMIFS(supercb[Qtde],supercb[Item],tab_alimentos[[#This Row],[Item]],supercb[Bairro],mercado6)</f>
        <v>0</v>
      </c>
      <c r="R240" s="64">
        <f>SUMIFS(super1[Qtde],super1[Item],tab_alimentos[[#This Row],[Item]],super1[Bairro],mercado7)+SUMIFS(supercb[Qtde],supercb[Item],tab_alimentos[[#This Row],[Item]],supercb[Bairro],mercado7)</f>
        <v>0</v>
      </c>
      <c r="S240" s="64">
        <f>SUMIFS(super1[Qtde],super1[Item],tab_alimentos[[#This Row],[Item]],super1[Bairro],mercado8)+SUMIFS(supercb[Qtde],supercb[Item],tab_alimentos[[#This Row],[Item]],supercb[Bairro],mercado8)</f>
        <v>0</v>
      </c>
      <c r="T240" s="64">
        <f>SUMIFS(super1[Qtde],super1[Item],tab_alimentos[[#This Row],[Item]],super1[Bairro],mercado9)+SUMIFS(supercb[Qtde],supercb[Item],tab_alimentos[[#This Row],[Item]],supercb[Bairro],mercado9)</f>
        <v>1</v>
      </c>
      <c r="U240" s="64">
        <f>SUMIFS(super1[Qtde],super1[Item],tab_alimentos[[#This Row],[Item]],super1[Bairro],mercado10)+SUMIFS(supercb[Qtde],supercb[Item],tab_alimentos[[#This Row],[Item]],supercb[Bairro],mercado10)</f>
        <v>0</v>
      </c>
      <c r="V240" s="64">
        <f>SUMIFS(super1[Qtde],super1[Item],tab_alimentos[[#This Row],[Item]],super1[Bairro],mercado11)+SUMIFS(supercb[Qtde],supercb[Item],tab_alimentos[[#This Row],[Item]],supercb[Bairro],mercado11)</f>
        <v>0</v>
      </c>
      <c r="W240" s="64">
        <f>SUMIFS(super1[Qtde],super1[Item],tab_alimentos[[#This Row],[Item]],super1[Bairro],mercado12)+SUMIFS(supercb[Qtde],supercb[Item],tab_alimentos[[#This Row],[Item]],supercb[Bairro],mercado12)</f>
        <v>0</v>
      </c>
      <c r="X240" s="64">
        <f>SUMIFS(super1[Qtde],super1[Item],tab_alimentos[[#This Row],[Item]],super1[Bairro],mercado13)+SUMIFS(supercb[Qtde],supercb[Item],tab_alimentos[[#This Row],[Item]],supercb[Bairro],mercado13)</f>
        <v>1</v>
      </c>
      <c r="Y240" s="64">
        <f>SUMIFS(super1[Qtde],super1[Item],tab_alimentos[[#This Row],[Item]],super1[Bairro],mercado14)+SUMIFS(supercb[Qtde],supercb[Item],tab_alimentos[[#This Row],[Item]],supercb[Bairro],mercado14)</f>
        <v>0</v>
      </c>
      <c r="Z240" s="64">
        <f>SUMIFS(super1[Qtde],super1[Item],tab_alimentos[[#This Row],[Item]],super1[Bairro],mercado15)+SUMIFS(supercb[Qtde],supercb[Item],tab_alimentos[[#This Row],[Item]],supercb[Bairro],mercado15)</f>
        <v>0</v>
      </c>
      <c r="AA240" s="64">
        <f>SUMIFS(super1[Qtde],super1[Item],tab_alimentos[[#This Row],[Item]],super1[Bairro],mercado16)+SUMIFS(supercb[Qtde],supercb[Item],tab_alimentos[[#This Row],[Item]],supercb[Bairro],mercado16)</f>
        <v>0</v>
      </c>
      <c r="AB240" s="64">
        <f>SUMIFS(super1[Qtde],super1[Item],tab_alimentos[[#This Row],[Item]],super1[Bairro],mercado17)+SUMIFS(supercb[Qtde],supercb[Item],tab_alimentos[[#This Row],[Item]],supercb[Bairro],mercado17)</f>
        <v>0</v>
      </c>
      <c r="AC240" s="64">
        <f>SUMIFS(super1[Qtde],super1[Item],tab_alimentos[[#This Row],[Item]],super1[Bairro],mercado18)+SUMIFS(supercb[Qtde],supercb[Item],tab_alimentos[[#This Row],[Item]],supercb[Bairro],mercado18)</f>
        <v>0</v>
      </c>
      <c r="AD240" s="64">
        <f>SUMIFS(super1[Qtde],super1[Item],tab_alimentos[[#This Row],[Item]],super1[Bairro],extras)+SUMIFS(supercb[Qtde],supercb[Item],tab_alimentos[[#This Row],[Item]],supercb[Bairro],extras)</f>
        <v>0</v>
      </c>
      <c r="AE240" s="61">
        <f t="shared" si="82"/>
        <v>3</v>
      </c>
      <c r="AF240" s="61">
        <f t="shared" si="83"/>
        <v>8.5559999999999992</v>
      </c>
      <c r="AG240" s="62">
        <f t="shared" si="84"/>
        <v>0.60000000000000009</v>
      </c>
      <c r="AH240" s="15" t="e">
        <f>higiene[[#This Row],[Item]]</f>
        <v>#VALUE!</v>
      </c>
      <c r="AI240" s="8">
        <f>IFERROR(higiene[[#This Row],[Kg equivalente]],0)</f>
        <v>0</v>
      </c>
      <c r="AJ240" s="8">
        <f>IFERROR(higiene[[#This Row],[Preço por produto]],0)</f>
        <v>0</v>
      </c>
      <c r="AK240" s="61">
        <f>SUMIFS(super1[Qtde],super1[Item],tab_higiene[[#This Row],[Item]],super1[Bairro],mercado1)+SUMIFS(supercb[Qtde],supercb[Item],tab_higiene[[#This Row],[Item]],supercb[Bairro],mercado1)</f>
        <v>0</v>
      </c>
      <c r="AL240" s="61">
        <f>SUMIFS(super1[Qtde],super1[Item],tab_higiene[[#This Row],[Item]],super1[Bairro],mercado2)+SUMIFS(supercb[Qtde],supercb[Item],tab_higiene[[#This Row],[Item]],supercb[Bairro],mercado2)</f>
        <v>0</v>
      </c>
      <c r="AM240" s="61">
        <f>SUMIFS(super1[Qtde],super1[Item],tab_higiene[[#This Row],[Item]],super1[Bairro],mercado3)+SUMIFS(supercb[Qtde],supercb[Item],tab_higiene[[#This Row],[Item]],supercb[Bairro],mercado3)</f>
        <v>0</v>
      </c>
      <c r="AN240" s="61">
        <f>SUMIFS(super1[Qtde],super1[Item],tab_higiene[[#This Row],[Item]],super1[Bairro],mercado4)+SUMIFS(supercb[Qtde],supercb[Item],tab_higiene[[#This Row],[Item]],supercb[Bairro],mercado4)</f>
        <v>0</v>
      </c>
      <c r="AO240" s="61">
        <f>SUMIFS(super1[Qtde],super1[Item],tab_higiene[[#This Row],[Item]],super1[Bairro],mercado5)+SUMIFS(supercb[Qtde],supercb[Item],tab_higiene[[#This Row],[Item]],supercb[Bairro],mercado5)</f>
        <v>0</v>
      </c>
      <c r="AP240" s="61">
        <f>SUMIFS(super1[Qtde],super1[Item],tab_higiene[[#This Row],[Item]],super1[Bairro],mercado6)+SUMIFS(supercb[Qtde],supercb[Item],tab_higiene[[#This Row],[Item]],supercb[Bairro],mercado6)</f>
        <v>0</v>
      </c>
      <c r="AQ240" s="61">
        <f>SUMIFS(super1[Qtde],super1[Item],tab_higiene[[#This Row],[Item]],super1[Bairro],mercado7)+SUMIFS(supercb[Qtde],supercb[Item],tab_higiene[[#This Row],[Item]],supercb[Bairro],mercado7)</f>
        <v>0</v>
      </c>
      <c r="AR240" s="61">
        <f>SUMIFS(super1[Qtde],super1[Item],tab_higiene[[#This Row],[Item]],super1[Bairro],mercado8)+SUMIFS(supercb[Qtde],supercb[Item],tab_higiene[[#This Row],[Item]],supercb[Bairro],mercado8)</f>
        <v>0</v>
      </c>
      <c r="AS240" s="61">
        <f>SUMIFS(super1[Qtde],super1[Item],tab_higiene[[#This Row],[Item]],super1[Bairro],mercado9)+SUMIFS(supercb[Qtde],supercb[Item],tab_higiene[[#This Row],[Item]],supercb[Bairro],mercado9)</f>
        <v>0</v>
      </c>
      <c r="AT240" s="61">
        <f>SUMIFS(super1[Qtde],super1[Item],tab_higiene[[#This Row],[Item]],super1[Bairro],mercado10)+SUMIFS(supercb[Qtde],supercb[Item],tab_higiene[[#This Row],[Item]],supercb[Bairro],mercado10)</f>
        <v>0</v>
      </c>
      <c r="AU240" s="61">
        <f>SUMIFS(super1[Qtde],super1[Item],tab_higiene[[#This Row],[Item]],super1[Bairro],mercado11)+SUMIFS(supercb[Qtde],supercb[Item],tab_higiene[[#This Row],[Item]],supercb[Bairro],mercado11)</f>
        <v>0</v>
      </c>
      <c r="AV240" s="61">
        <f>SUMIFS(super1[Qtde],super1[Item],tab_higiene[[#This Row],[Item]],super1[Bairro],mercado12)+SUMIFS(supercb[Qtde],supercb[Item],tab_higiene[[#This Row],[Item]],supercb[Bairro],mercado12)</f>
        <v>0</v>
      </c>
      <c r="AW240" s="61">
        <f>SUMIFS(super1[Qtde],super1[Item],tab_higiene[[#This Row],[Item]],super1[Bairro],mercado13)+SUMIFS(supercb[Qtde],supercb[Item],tab_higiene[[#This Row],[Item]],supercb[Bairro],mercado13)</f>
        <v>0</v>
      </c>
      <c r="AX240" s="61">
        <f>SUMIFS(super1[Qtde],super1[Item],tab_higiene[[#This Row],[Item]],super1[Bairro],mercado14)+SUMIFS(supercb[Qtde],supercb[Item],tab_higiene[[#This Row],[Item]],supercb[Bairro],mercado14)</f>
        <v>0</v>
      </c>
      <c r="AY240" s="61">
        <f>SUMIFS(super1[Qtde],super1[Item],tab_higiene[[#This Row],[Item]],super1[Bairro],mercado15)+SUMIFS(supercb[Qtde],supercb[Item],tab_higiene[[#This Row],[Item]],supercb[Bairro],mercado15)</f>
        <v>0</v>
      </c>
      <c r="AZ240" s="61">
        <f>SUMIFS(super1[Qtde],super1[Item],tab_higiene[[#This Row],[Item]],super1[Bairro],mercado16)+SUMIFS(supercb[Qtde],supercb[Item],tab_higiene[[#This Row],[Item]],supercb[Bairro],mercado16)</f>
        <v>0</v>
      </c>
      <c r="BA240" s="61">
        <f>SUMIFS(super1[Qtde],super1[Item],tab_higiene[[#This Row],[Item]],super1[Bairro],mercado17)+SUMIFS(supercb[Qtde],supercb[Item],tab_higiene[[#This Row],[Item]],supercb[Bairro],mercado17)</f>
        <v>0</v>
      </c>
      <c r="BB240" s="61">
        <f>SUMIFS(super1[Qtde],super1[Item],tab_higiene[[#This Row],[Item]],super1[Bairro],mercado18)+SUMIFS(supercb[Qtde],supercb[Item],tab_higiene[[#This Row],[Item]],supercb[Bairro],mercado18)</f>
        <v>0</v>
      </c>
      <c r="BC240" s="51">
        <f>SUMIFS(super1[Qtde],super1[Item],tab_higiene[[#This Row],[Item]],super1[Bairro],extras)+SUMIFS(supercb[Qtde],supercb[Item],tab_higiene[[#This Row],[Item]],supercb[Bairro],extras)</f>
        <v>0</v>
      </c>
      <c r="BD240" s="8">
        <f t="shared" si="85"/>
        <v>0</v>
      </c>
      <c r="BE240" s="8">
        <f t="shared" si="86"/>
        <v>0</v>
      </c>
      <c r="BF240" s="23">
        <f t="shared" si="87"/>
        <v>0</v>
      </c>
    </row>
    <row r="241" spans="9:58" ht="15.75" thickBot="1" x14ac:dyDescent="0.3">
      <c r="I241" s="65" t="str">
        <f>alimentos[[#This Row],[Item]]</f>
        <v>Salsicha tipo Viena</v>
      </c>
      <c r="J241" s="61">
        <f>IFERROR(alimentos[[#This Row],[kg/embalagem]],0)</f>
        <v>0.2</v>
      </c>
      <c r="K241" s="64">
        <f>IFERROR(alimentos[[#This Row],[Preço]],0)</f>
        <v>4.496666666666667</v>
      </c>
      <c r="L241" s="64">
        <f>SUMIFS(super1[Qtde],super1[Item],tab_alimentos[[#This Row],[Item]],super1[Bairro],mercado1)+SUMIFS(supercb[Qtde],supercb[Item],tab_alimentos[[#This Row],[Item]],supercb[Bairro],mercado1)</f>
        <v>0</v>
      </c>
      <c r="M241" s="64">
        <f>SUMIFS(super1[Qtde],super1[Item],tab_alimentos[[#This Row],[Item]],super1[Bairro],mercado2)+SUMIFS(supercb[Qtde],supercb[Item],tab_alimentos[[#This Row],[Item]],supercb[Bairro],mercado2)</f>
        <v>0</v>
      </c>
      <c r="N241" s="61">
        <f>SUMIFS(super1[Qtde],super1[Item],tab_alimentos[[#This Row],[Item]],super1[Bairro],mercado3)+SUMIFS(supercb[Qtde],supercb[Item],tab_alimentos[[#This Row],[Item]],supercb[Bairro],mercado3)</f>
        <v>0</v>
      </c>
      <c r="O241" s="64">
        <f>SUMIFS(super1[Qtde],super1[Item],tab_alimentos[[#This Row],[Item]],super1[Bairro],mercado4)+SUMIFS(supercb[Qtde],supercb[Item],tab_alimentos[[#This Row],[Item]],supercb[Bairro],mercado4)</f>
        <v>0</v>
      </c>
      <c r="P241" s="64">
        <f>SUMIFS(super1[Qtde],super1[Item],tab_alimentos[[#This Row],[Item]],super1[Bairro],mercado5)+SUMIFS(supercb[Qtde],supercb[Item],tab_alimentos[[#This Row],[Item]],supercb[Bairro],mercado5)</f>
        <v>0</v>
      </c>
      <c r="Q241" s="64">
        <f>SUMIFS(super1[Qtde],super1[Item],tab_alimentos[[#This Row],[Item]],super1[Bairro],mercado6)+SUMIFS(supercb[Qtde],supercb[Item],tab_alimentos[[#This Row],[Item]],supercb[Bairro],mercado6)</f>
        <v>0</v>
      </c>
      <c r="R241" s="64">
        <f>SUMIFS(super1[Qtde],super1[Item],tab_alimentos[[#This Row],[Item]],super1[Bairro],mercado7)+SUMIFS(supercb[Qtde],supercb[Item],tab_alimentos[[#This Row],[Item]],supercb[Bairro],mercado7)</f>
        <v>0</v>
      </c>
      <c r="S241" s="64">
        <f>SUMIFS(super1[Qtde],super1[Item],tab_alimentos[[#This Row],[Item]],super1[Bairro],mercado8)+SUMIFS(supercb[Qtde],supercb[Item],tab_alimentos[[#This Row],[Item]],supercb[Bairro],mercado8)</f>
        <v>0</v>
      </c>
      <c r="T241" s="64">
        <f>SUMIFS(super1[Qtde],super1[Item],tab_alimentos[[#This Row],[Item]],super1[Bairro],mercado9)+SUMIFS(supercb[Qtde],supercb[Item],tab_alimentos[[#This Row],[Item]],supercb[Bairro],mercado9)</f>
        <v>0</v>
      </c>
      <c r="U241" s="64">
        <f>SUMIFS(super1[Qtde],super1[Item],tab_alimentos[[#This Row],[Item]],super1[Bairro],mercado10)+SUMIFS(supercb[Qtde],supercb[Item],tab_alimentos[[#This Row],[Item]],supercb[Bairro],mercado10)</f>
        <v>0</v>
      </c>
      <c r="V241" s="64">
        <f>SUMIFS(super1[Qtde],super1[Item],tab_alimentos[[#This Row],[Item]],super1[Bairro],mercado11)+SUMIFS(supercb[Qtde],supercb[Item],tab_alimentos[[#This Row],[Item]],supercb[Bairro],mercado11)</f>
        <v>0</v>
      </c>
      <c r="W241" s="64">
        <f>SUMIFS(super1[Qtde],super1[Item],tab_alimentos[[#This Row],[Item]],super1[Bairro],mercado12)+SUMIFS(supercb[Qtde],supercb[Item],tab_alimentos[[#This Row],[Item]],supercb[Bairro],mercado12)</f>
        <v>0</v>
      </c>
      <c r="X241" s="64">
        <f>SUMIFS(super1[Qtde],super1[Item],tab_alimentos[[#This Row],[Item]],super1[Bairro],mercado13)+SUMIFS(supercb[Qtde],supercb[Item],tab_alimentos[[#This Row],[Item]],supercb[Bairro],mercado13)</f>
        <v>0</v>
      </c>
      <c r="Y241" s="64">
        <f>SUMIFS(super1[Qtde],super1[Item],tab_alimentos[[#This Row],[Item]],super1[Bairro],mercado14)+SUMIFS(supercb[Qtde],supercb[Item],tab_alimentos[[#This Row],[Item]],supercb[Bairro],mercado14)</f>
        <v>0</v>
      </c>
      <c r="Z241" s="64">
        <f>SUMIFS(super1[Qtde],super1[Item],tab_alimentos[[#This Row],[Item]],super1[Bairro],mercado15)+SUMIFS(supercb[Qtde],supercb[Item],tab_alimentos[[#This Row],[Item]],supercb[Bairro],mercado15)</f>
        <v>0</v>
      </c>
      <c r="AA241" s="64">
        <f>SUMIFS(super1[Qtde],super1[Item],tab_alimentos[[#This Row],[Item]],super1[Bairro],mercado16)+SUMIFS(supercb[Qtde],supercb[Item],tab_alimentos[[#This Row],[Item]],supercb[Bairro],mercado16)</f>
        <v>0</v>
      </c>
      <c r="AB241" s="64">
        <f>SUMIFS(super1[Qtde],super1[Item],tab_alimentos[[#This Row],[Item]],super1[Bairro],mercado17)+SUMIFS(supercb[Qtde],supercb[Item],tab_alimentos[[#This Row],[Item]],supercb[Bairro],mercado17)</f>
        <v>0</v>
      </c>
      <c r="AC241" s="64">
        <f>SUMIFS(super1[Qtde],super1[Item],tab_alimentos[[#This Row],[Item]],super1[Bairro],mercado18)+SUMIFS(supercb[Qtde],supercb[Item],tab_alimentos[[#This Row],[Item]],supercb[Bairro],mercado18)</f>
        <v>0</v>
      </c>
      <c r="AD241" s="64">
        <f>SUMIFS(super1[Qtde],super1[Item],tab_alimentos[[#This Row],[Item]],super1[Bairro],extras)+SUMIFS(supercb[Qtde],supercb[Item],tab_alimentos[[#This Row],[Item]],supercb[Bairro],extras)</f>
        <v>0</v>
      </c>
      <c r="AE241" s="61">
        <f t="shared" si="82"/>
        <v>0</v>
      </c>
      <c r="AF241" s="61">
        <f t="shared" si="83"/>
        <v>0</v>
      </c>
      <c r="AG241" s="62">
        <f t="shared" si="84"/>
        <v>0</v>
      </c>
      <c r="AH241" s="15" t="e">
        <f>higiene[[#This Row],[Item]]</f>
        <v>#VALUE!</v>
      </c>
      <c r="AI241" s="8">
        <f>IFERROR(higiene[[#This Row],[Kg equivalente]],0)</f>
        <v>0</v>
      </c>
      <c r="AJ241" s="8">
        <f>IFERROR(higiene[[#This Row],[Preço por produto]],0)</f>
        <v>0</v>
      </c>
      <c r="AK241" s="61">
        <f>SUMIFS(super1[Qtde],super1[Item],tab_higiene[[#This Row],[Item]],super1[Bairro],mercado1)+SUMIFS(supercb[Qtde],supercb[Item],tab_higiene[[#This Row],[Item]],supercb[Bairro],mercado1)</f>
        <v>0</v>
      </c>
      <c r="AL241" s="61">
        <f>SUMIFS(super1[Qtde],super1[Item],tab_higiene[[#This Row],[Item]],super1[Bairro],mercado2)+SUMIFS(supercb[Qtde],supercb[Item],tab_higiene[[#This Row],[Item]],supercb[Bairro],mercado2)</f>
        <v>0</v>
      </c>
      <c r="AM241" s="61">
        <f>SUMIFS(super1[Qtde],super1[Item],tab_higiene[[#This Row],[Item]],super1[Bairro],mercado3)+SUMIFS(supercb[Qtde],supercb[Item],tab_higiene[[#This Row],[Item]],supercb[Bairro],mercado3)</f>
        <v>0</v>
      </c>
      <c r="AN241" s="61">
        <f>SUMIFS(super1[Qtde],super1[Item],tab_higiene[[#This Row],[Item]],super1[Bairro],mercado4)+SUMIFS(supercb[Qtde],supercb[Item],tab_higiene[[#This Row],[Item]],supercb[Bairro],mercado4)</f>
        <v>0</v>
      </c>
      <c r="AO241" s="61">
        <f>SUMIFS(super1[Qtde],super1[Item],tab_higiene[[#This Row],[Item]],super1[Bairro],mercado5)+SUMIFS(supercb[Qtde],supercb[Item],tab_higiene[[#This Row],[Item]],supercb[Bairro],mercado5)</f>
        <v>0</v>
      </c>
      <c r="AP241" s="61">
        <f>SUMIFS(super1[Qtde],super1[Item],tab_higiene[[#This Row],[Item]],super1[Bairro],mercado6)+SUMIFS(supercb[Qtde],supercb[Item],tab_higiene[[#This Row],[Item]],supercb[Bairro],mercado6)</f>
        <v>0</v>
      </c>
      <c r="AQ241" s="61">
        <f>SUMIFS(super1[Qtde],super1[Item],tab_higiene[[#This Row],[Item]],super1[Bairro],mercado7)+SUMIFS(supercb[Qtde],supercb[Item],tab_higiene[[#This Row],[Item]],supercb[Bairro],mercado7)</f>
        <v>0</v>
      </c>
      <c r="AR241" s="61">
        <f>SUMIFS(super1[Qtde],super1[Item],tab_higiene[[#This Row],[Item]],super1[Bairro],mercado8)+SUMIFS(supercb[Qtde],supercb[Item],tab_higiene[[#This Row],[Item]],supercb[Bairro],mercado8)</f>
        <v>0</v>
      </c>
      <c r="AS241" s="61">
        <f>SUMIFS(super1[Qtde],super1[Item],tab_higiene[[#This Row],[Item]],super1[Bairro],mercado9)+SUMIFS(supercb[Qtde],supercb[Item],tab_higiene[[#This Row],[Item]],supercb[Bairro],mercado9)</f>
        <v>0</v>
      </c>
      <c r="AT241" s="61">
        <f>SUMIFS(super1[Qtde],super1[Item],tab_higiene[[#This Row],[Item]],super1[Bairro],mercado10)+SUMIFS(supercb[Qtde],supercb[Item],tab_higiene[[#This Row],[Item]],supercb[Bairro],mercado10)</f>
        <v>0</v>
      </c>
      <c r="AU241" s="61">
        <f>SUMIFS(super1[Qtde],super1[Item],tab_higiene[[#This Row],[Item]],super1[Bairro],mercado11)+SUMIFS(supercb[Qtde],supercb[Item],tab_higiene[[#This Row],[Item]],supercb[Bairro],mercado11)</f>
        <v>0</v>
      </c>
      <c r="AV241" s="61">
        <f>SUMIFS(super1[Qtde],super1[Item],tab_higiene[[#This Row],[Item]],super1[Bairro],mercado12)+SUMIFS(supercb[Qtde],supercb[Item],tab_higiene[[#This Row],[Item]],supercb[Bairro],mercado12)</f>
        <v>0</v>
      </c>
      <c r="AW241" s="61">
        <f>SUMIFS(super1[Qtde],super1[Item],tab_higiene[[#This Row],[Item]],super1[Bairro],mercado13)+SUMIFS(supercb[Qtde],supercb[Item],tab_higiene[[#This Row],[Item]],supercb[Bairro],mercado13)</f>
        <v>0</v>
      </c>
      <c r="AX241" s="61">
        <f>SUMIFS(super1[Qtde],super1[Item],tab_higiene[[#This Row],[Item]],super1[Bairro],mercado14)+SUMIFS(supercb[Qtde],supercb[Item],tab_higiene[[#This Row],[Item]],supercb[Bairro],mercado14)</f>
        <v>0</v>
      </c>
      <c r="AY241" s="61">
        <f>SUMIFS(super1[Qtde],super1[Item],tab_higiene[[#This Row],[Item]],super1[Bairro],mercado15)+SUMIFS(supercb[Qtde],supercb[Item],tab_higiene[[#This Row],[Item]],supercb[Bairro],mercado15)</f>
        <v>0</v>
      </c>
      <c r="AZ241" s="61">
        <f>SUMIFS(super1[Qtde],super1[Item],tab_higiene[[#This Row],[Item]],super1[Bairro],mercado16)+SUMIFS(supercb[Qtde],supercb[Item],tab_higiene[[#This Row],[Item]],supercb[Bairro],mercado16)</f>
        <v>0</v>
      </c>
      <c r="BA241" s="61">
        <f>SUMIFS(super1[Qtde],super1[Item],tab_higiene[[#This Row],[Item]],super1[Bairro],mercado17)+SUMIFS(supercb[Qtde],supercb[Item],tab_higiene[[#This Row],[Item]],supercb[Bairro],mercado17)</f>
        <v>0</v>
      </c>
      <c r="BB241" s="61">
        <f>SUMIFS(super1[Qtde],super1[Item],tab_higiene[[#This Row],[Item]],super1[Bairro],mercado18)+SUMIFS(supercb[Qtde],supercb[Item],tab_higiene[[#This Row],[Item]],supercb[Bairro],mercado18)</f>
        <v>0</v>
      </c>
      <c r="BC241" s="51">
        <f>SUMIFS(super1[Qtde],super1[Item],tab_higiene[[#This Row],[Item]],super1[Bairro],extras)+SUMIFS(supercb[Qtde],supercb[Item],tab_higiene[[#This Row],[Item]],supercb[Bairro],extras)</f>
        <v>0</v>
      </c>
      <c r="BD241" s="8">
        <f t="shared" si="85"/>
        <v>0</v>
      </c>
      <c r="BE241" s="8">
        <f t="shared" si="86"/>
        <v>0</v>
      </c>
      <c r="BF241" s="23">
        <f t="shared" si="87"/>
        <v>0</v>
      </c>
    </row>
    <row r="242" spans="9:58" ht="15.75" thickBot="1" x14ac:dyDescent="0.3">
      <c r="I242" s="65" t="str">
        <f>alimentos[[#This Row],[Item]]</f>
        <v>Sardinha (125g)</v>
      </c>
      <c r="J242" s="61">
        <f>IFERROR(alimentos[[#This Row],[kg/embalagem]],0)</f>
        <v>0.125</v>
      </c>
      <c r="K242" s="64">
        <f>IFERROR(alimentos[[#This Row],[Preço]],0)</f>
        <v>2.99</v>
      </c>
      <c r="L242" s="64">
        <f>SUMIFS(super1[Qtde],super1[Item],tab_alimentos[[#This Row],[Item]],super1[Bairro],mercado1)+SUMIFS(supercb[Qtde],supercb[Item],tab_alimentos[[#This Row],[Item]],supercb[Bairro],mercado1)</f>
        <v>0</v>
      </c>
      <c r="M242" s="64">
        <f>SUMIFS(super1[Qtde],super1[Item],tab_alimentos[[#This Row],[Item]],super1[Bairro],mercado2)+SUMIFS(supercb[Qtde],supercb[Item],tab_alimentos[[#This Row],[Item]],supercb[Bairro],mercado2)</f>
        <v>0</v>
      </c>
      <c r="N242" s="61">
        <f>SUMIFS(super1[Qtde],super1[Item],tab_alimentos[[#This Row],[Item]],super1[Bairro],mercado3)+SUMIFS(supercb[Qtde],supercb[Item],tab_alimentos[[#This Row],[Item]],supercb[Bairro],mercado3)</f>
        <v>2</v>
      </c>
      <c r="O242" s="64">
        <f>SUMIFS(super1[Qtde],super1[Item],tab_alimentos[[#This Row],[Item]],super1[Bairro],mercado4)+SUMIFS(supercb[Qtde],supercb[Item],tab_alimentos[[#This Row],[Item]],supercb[Bairro],mercado4)</f>
        <v>3</v>
      </c>
      <c r="P242" s="64">
        <f>SUMIFS(super1[Qtde],super1[Item],tab_alimentos[[#This Row],[Item]],super1[Bairro],mercado5)+SUMIFS(supercb[Qtde],supercb[Item],tab_alimentos[[#This Row],[Item]],supercb[Bairro],mercado5)</f>
        <v>0</v>
      </c>
      <c r="Q242" s="64">
        <f>SUMIFS(super1[Qtde],super1[Item],tab_alimentos[[#This Row],[Item]],super1[Bairro],mercado6)+SUMIFS(supercb[Qtde],supercb[Item],tab_alimentos[[#This Row],[Item]],supercb[Bairro],mercado6)</f>
        <v>3</v>
      </c>
      <c r="R242" s="64">
        <f>SUMIFS(super1[Qtde],super1[Item],tab_alimentos[[#This Row],[Item]],super1[Bairro],mercado7)+SUMIFS(supercb[Qtde],supercb[Item],tab_alimentos[[#This Row],[Item]],supercb[Bairro],mercado7)</f>
        <v>2</v>
      </c>
      <c r="S242" s="64">
        <f>SUMIFS(super1[Qtde],super1[Item],tab_alimentos[[#This Row],[Item]],super1[Bairro],mercado8)+SUMIFS(supercb[Qtde],supercb[Item],tab_alimentos[[#This Row],[Item]],supercb[Bairro],mercado8)</f>
        <v>0</v>
      </c>
      <c r="T242" s="64">
        <f>SUMIFS(super1[Qtde],super1[Item],tab_alimentos[[#This Row],[Item]],super1[Bairro],mercado9)+SUMIFS(supercb[Qtde],supercb[Item],tab_alimentos[[#This Row],[Item]],supercb[Bairro],mercado9)</f>
        <v>0</v>
      </c>
      <c r="U242" s="64">
        <f>SUMIFS(super1[Qtde],super1[Item],tab_alimentos[[#This Row],[Item]],super1[Bairro],mercado10)+SUMIFS(supercb[Qtde],supercb[Item],tab_alimentos[[#This Row],[Item]],supercb[Bairro],mercado10)</f>
        <v>2</v>
      </c>
      <c r="V242" s="64">
        <f>SUMIFS(super1[Qtde],super1[Item],tab_alimentos[[#This Row],[Item]],super1[Bairro],mercado11)+SUMIFS(supercb[Qtde],supercb[Item],tab_alimentos[[#This Row],[Item]],supercb[Bairro],mercado11)</f>
        <v>0</v>
      </c>
      <c r="W242" s="64">
        <f>SUMIFS(super1[Qtde],super1[Item],tab_alimentos[[#This Row],[Item]],super1[Bairro],mercado12)+SUMIFS(supercb[Qtde],supercb[Item],tab_alimentos[[#This Row],[Item]],supercb[Bairro],mercado12)</f>
        <v>0</v>
      </c>
      <c r="X242" s="64">
        <f>SUMIFS(super1[Qtde],super1[Item],tab_alimentos[[#This Row],[Item]],super1[Bairro],mercado13)+SUMIFS(supercb[Qtde],supercb[Item],tab_alimentos[[#This Row],[Item]],supercb[Bairro],mercado13)</f>
        <v>0</v>
      </c>
      <c r="Y242" s="64">
        <f>SUMIFS(super1[Qtde],super1[Item],tab_alimentos[[#This Row],[Item]],super1[Bairro],mercado14)+SUMIFS(supercb[Qtde],supercb[Item],tab_alimentos[[#This Row],[Item]],supercb[Bairro],mercado14)</f>
        <v>0</v>
      </c>
      <c r="Z242" s="64">
        <f>SUMIFS(super1[Qtde],super1[Item],tab_alimentos[[#This Row],[Item]],super1[Bairro],mercado15)+SUMIFS(supercb[Qtde],supercb[Item],tab_alimentos[[#This Row],[Item]],supercb[Bairro],mercado15)</f>
        <v>0</v>
      </c>
      <c r="AA242" s="64">
        <f>SUMIFS(super1[Qtde],super1[Item],tab_alimentos[[#This Row],[Item]],super1[Bairro],mercado16)+SUMIFS(supercb[Qtde],supercb[Item],tab_alimentos[[#This Row],[Item]],supercb[Bairro],mercado16)</f>
        <v>0</v>
      </c>
      <c r="AB242" s="64">
        <f>SUMIFS(super1[Qtde],super1[Item],tab_alimentos[[#This Row],[Item]],super1[Bairro],mercado17)+SUMIFS(supercb[Qtde],supercb[Item],tab_alimentos[[#This Row],[Item]],supercb[Bairro],mercado17)</f>
        <v>0</v>
      </c>
      <c r="AC242" s="64">
        <f>SUMIFS(super1[Qtde],super1[Item],tab_alimentos[[#This Row],[Item]],super1[Bairro],mercado18)+SUMIFS(supercb[Qtde],supercb[Item],tab_alimentos[[#This Row],[Item]],supercb[Bairro],mercado18)</f>
        <v>0</v>
      </c>
      <c r="AD242" s="64">
        <f>SUMIFS(super1[Qtde],super1[Item],tab_alimentos[[#This Row],[Item]],super1[Bairro],extras)+SUMIFS(supercb[Qtde],supercb[Item],tab_alimentos[[#This Row],[Item]],supercb[Bairro],extras)</f>
        <v>0</v>
      </c>
      <c r="AE242" s="61">
        <f t="shared" si="82"/>
        <v>12</v>
      </c>
      <c r="AF242" s="61">
        <f t="shared" si="83"/>
        <v>35.880000000000003</v>
      </c>
      <c r="AG242" s="62">
        <f t="shared" si="84"/>
        <v>1.5</v>
      </c>
      <c r="AH242" s="15" t="e">
        <f>higiene[[#This Row],[Item]]</f>
        <v>#VALUE!</v>
      </c>
      <c r="AI242" s="8">
        <f>IFERROR(higiene[[#This Row],[Kg equivalente]],0)</f>
        <v>0</v>
      </c>
      <c r="AJ242" s="8">
        <f>IFERROR(higiene[[#This Row],[Preço por produto]],0)</f>
        <v>0</v>
      </c>
      <c r="AK242" s="61">
        <f>SUMIFS(super1[Qtde],super1[Item],tab_higiene[[#This Row],[Item]],super1[Bairro],mercado1)+SUMIFS(supercb[Qtde],supercb[Item],tab_higiene[[#This Row],[Item]],supercb[Bairro],mercado1)</f>
        <v>0</v>
      </c>
      <c r="AL242" s="61">
        <f>SUMIFS(super1[Qtde],super1[Item],tab_higiene[[#This Row],[Item]],super1[Bairro],mercado2)+SUMIFS(supercb[Qtde],supercb[Item],tab_higiene[[#This Row],[Item]],supercb[Bairro],mercado2)</f>
        <v>0</v>
      </c>
      <c r="AM242" s="61">
        <f>SUMIFS(super1[Qtde],super1[Item],tab_higiene[[#This Row],[Item]],super1[Bairro],mercado3)+SUMIFS(supercb[Qtde],supercb[Item],tab_higiene[[#This Row],[Item]],supercb[Bairro],mercado3)</f>
        <v>0</v>
      </c>
      <c r="AN242" s="61">
        <f>SUMIFS(super1[Qtde],super1[Item],tab_higiene[[#This Row],[Item]],super1[Bairro],mercado4)+SUMIFS(supercb[Qtde],supercb[Item],tab_higiene[[#This Row],[Item]],supercb[Bairro],mercado4)</f>
        <v>0</v>
      </c>
      <c r="AO242" s="61">
        <f>SUMIFS(super1[Qtde],super1[Item],tab_higiene[[#This Row],[Item]],super1[Bairro],mercado5)+SUMIFS(supercb[Qtde],supercb[Item],tab_higiene[[#This Row],[Item]],supercb[Bairro],mercado5)</f>
        <v>0</v>
      </c>
      <c r="AP242" s="61">
        <f>SUMIFS(super1[Qtde],super1[Item],tab_higiene[[#This Row],[Item]],super1[Bairro],mercado6)+SUMIFS(supercb[Qtde],supercb[Item],tab_higiene[[#This Row],[Item]],supercb[Bairro],mercado6)</f>
        <v>0</v>
      </c>
      <c r="AQ242" s="61">
        <f>SUMIFS(super1[Qtde],super1[Item],tab_higiene[[#This Row],[Item]],super1[Bairro],mercado7)+SUMIFS(supercb[Qtde],supercb[Item],tab_higiene[[#This Row],[Item]],supercb[Bairro],mercado7)</f>
        <v>0</v>
      </c>
      <c r="AR242" s="61">
        <f>SUMIFS(super1[Qtde],super1[Item],tab_higiene[[#This Row],[Item]],super1[Bairro],mercado8)+SUMIFS(supercb[Qtde],supercb[Item],tab_higiene[[#This Row],[Item]],supercb[Bairro],mercado8)</f>
        <v>0</v>
      </c>
      <c r="AS242" s="61">
        <f>SUMIFS(super1[Qtde],super1[Item],tab_higiene[[#This Row],[Item]],super1[Bairro],mercado9)+SUMIFS(supercb[Qtde],supercb[Item],tab_higiene[[#This Row],[Item]],supercb[Bairro],mercado9)</f>
        <v>0</v>
      </c>
      <c r="AT242" s="61">
        <f>SUMIFS(super1[Qtde],super1[Item],tab_higiene[[#This Row],[Item]],super1[Bairro],mercado10)+SUMIFS(supercb[Qtde],supercb[Item],tab_higiene[[#This Row],[Item]],supercb[Bairro],mercado10)</f>
        <v>0</v>
      </c>
      <c r="AU242" s="61">
        <f>SUMIFS(super1[Qtde],super1[Item],tab_higiene[[#This Row],[Item]],super1[Bairro],mercado11)+SUMIFS(supercb[Qtde],supercb[Item],tab_higiene[[#This Row],[Item]],supercb[Bairro],mercado11)</f>
        <v>0</v>
      </c>
      <c r="AV242" s="61">
        <f>SUMIFS(super1[Qtde],super1[Item],tab_higiene[[#This Row],[Item]],super1[Bairro],mercado12)+SUMIFS(supercb[Qtde],supercb[Item],tab_higiene[[#This Row],[Item]],supercb[Bairro],mercado12)</f>
        <v>0</v>
      </c>
      <c r="AW242" s="61">
        <f>SUMIFS(super1[Qtde],super1[Item],tab_higiene[[#This Row],[Item]],super1[Bairro],mercado13)+SUMIFS(supercb[Qtde],supercb[Item],tab_higiene[[#This Row],[Item]],supercb[Bairro],mercado13)</f>
        <v>0</v>
      </c>
      <c r="AX242" s="61">
        <f>SUMIFS(super1[Qtde],super1[Item],tab_higiene[[#This Row],[Item]],super1[Bairro],mercado14)+SUMIFS(supercb[Qtde],supercb[Item],tab_higiene[[#This Row],[Item]],supercb[Bairro],mercado14)</f>
        <v>0</v>
      </c>
      <c r="AY242" s="61">
        <f>SUMIFS(super1[Qtde],super1[Item],tab_higiene[[#This Row],[Item]],super1[Bairro],mercado15)+SUMIFS(supercb[Qtde],supercb[Item],tab_higiene[[#This Row],[Item]],supercb[Bairro],mercado15)</f>
        <v>0</v>
      </c>
      <c r="AZ242" s="61">
        <f>SUMIFS(super1[Qtde],super1[Item],tab_higiene[[#This Row],[Item]],super1[Bairro],mercado16)+SUMIFS(supercb[Qtde],supercb[Item],tab_higiene[[#This Row],[Item]],supercb[Bairro],mercado16)</f>
        <v>0</v>
      </c>
      <c r="BA242" s="61">
        <f>SUMIFS(super1[Qtde],super1[Item],tab_higiene[[#This Row],[Item]],super1[Bairro],mercado17)+SUMIFS(supercb[Qtde],supercb[Item],tab_higiene[[#This Row],[Item]],supercb[Bairro],mercado17)</f>
        <v>0</v>
      </c>
      <c r="BB242" s="61">
        <f>SUMIFS(super1[Qtde],super1[Item],tab_higiene[[#This Row],[Item]],super1[Bairro],mercado18)+SUMIFS(supercb[Qtde],supercb[Item],tab_higiene[[#This Row],[Item]],supercb[Bairro],mercado18)</f>
        <v>0</v>
      </c>
      <c r="BC242" s="51">
        <f>SUMIFS(super1[Qtde],super1[Item],tab_higiene[[#This Row],[Item]],super1[Bairro],extras)+SUMIFS(supercb[Qtde],supercb[Item],tab_higiene[[#This Row],[Item]],supercb[Bairro],extras)</f>
        <v>0</v>
      </c>
      <c r="BD242" s="8">
        <f t="shared" si="85"/>
        <v>0</v>
      </c>
      <c r="BE242" s="8">
        <f t="shared" si="86"/>
        <v>0</v>
      </c>
      <c r="BF242" s="23">
        <f t="shared" si="87"/>
        <v>0</v>
      </c>
    </row>
    <row r="243" spans="9:58" ht="15.75" thickBot="1" x14ac:dyDescent="0.3">
      <c r="I243" s="65" t="str">
        <f>alimentos[[#This Row],[Item]]</f>
        <v>Sazon (60g)</v>
      </c>
      <c r="J243" s="61">
        <f>IFERROR(alimentos[[#This Row],[kg/embalagem]],0)</f>
        <v>0.06</v>
      </c>
      <c r="K243" s="64">
        <f>IFERROR(alimentos[[#This Row],[Preço]],0)</f>
        <v>3.67</v>
      </c>
      <c r="L243" s="64">
        <f>SUMIFS(super1[Qtde],super1[Item],tab_alimentos[[#This Row],[Item]],super1[Bairro],mercado1)+SUMIFS(supercb[Qtde],supercb[Item],tab_alimentos[[#This Row],[Item]],supercb[Bairro],mercado1)</f>
        <v>0</v>
      </c>
      <c r="M243" s="64">
        <f>SUMIFS(super1[Qtde],super1[Item],tab_alimentos[[#This Row],[Item]],super1[Bairro],mercado2)+SUMIFS(supercb[Qtde],supercb[Item],tab_alimentos[[#This Row],[Item]],supercb[Bairro],mercado2)</f>
        <v>0</v>
      </c>
      <c r="N243" s="61">
        <f>SUMIFS(super1[Qtde],super1[Item],tab_alimentos[[#This Row],[Item]],super1[Bairro],mercado3)+SUMIFS(supercb[Qtde],supercb[Item],tab_alimentos[[#This Row],[Item]],supercb[Bairro],mercado3)</f>
        <v>0</v>
      </c>
      <c r="O243" s="64">
        <f>SUMIFS(super1[Qtde],super1[Item],tab_alimentos[[#This Row],[Item]],super1[Bairro],mercado4)+SUMIFS(supercb[Qtde],supercb[Item],tab_alimentos[[#This Row],[Item]],supercb[Bairro],mercado4)</f>
        <v>0</v>
      </c>
      <c r="P243" s="64">
        <f>SUMIFS(super1[Qtde],super1[Item],tab_alimentos[[#This Row],[Item]],super1[Bairro],mercado5)+SUMIFS(supercb[Qtde],supercb[Item],tab_alimentos[[#This Row],[Item]],supercb[Bairro],mercado5)</f>
        <v>0</v>
      </c>
      <c r="Q243" s="64">
        <f>SUMIFS(super1[Qtde],super1[Item],tab_alimentos[[#This Row],[Item]],super1[Bairro],mercado6)+SUMIFS(supercb[Qtde],supercb[Item],tab_alimentos[[#This Row],[Item]],supercb[Bairro],mercado6)</f>
        <v>0</v>
      </c>
      <c r="R243" s="64">
        <f>SUMIFS(super1[Qtde],super1[Item],tab_alimentos[[#This Row],[Item]],super1[Bairro],mercado7)+SUMIFS(supercb[Qtde],supercb[Item],tab_alimentos[[#This Row],[Item]],supercb[Bairro],mercado7)</f>
        <v>0</v>
      </c>
      <c r="S243" s="64">
        <f>SUMIFS(super1[Qtde],super1[Item],tab_alimentos[[#This Row],[Item]],super1[Bairro],mercado8)+SUMIFS(supercb[Qtde],supercb[Item],tab_alimentos[[#This Row],[Item]],supercb[Bairro],mercado8)</f>
        <v>0</v>
      </c>
      <c r="T243" s="64">
        <f>SUMIFS(super1[Qtde],super1[Item],tab_alimentos[[#This Row],[Item]],super1[Bairro],mercado9)+SUMIFS(supercb[Qtde],supercb[Item],tab_alimentos[[#This Row],[Item]],supercb[Bairro],mercado9)</f>
        <v>0</v>
      </c>
      <c r="U243" s="64">
        <f>SUMIFS(super1[Qtde],super1[Item],tab_alimentos[[#This Row],[Item]],super1[Bairro],mercado10)+SUMIFS(supercb[Qtde],supercb[Item],tab_alimentos[[#This Row],[Item]],supercb[Bairro],mercado10)</f>
        <v>0</v>
      </c>
      <c r="V243" s="64">
        <f>SUMIFS(super1[Qtde],super1[Item],tab_alimentos[[#This Row],[Item]],super1[Bairro],mercado11)+SUMIFS(supercb[Qtde],supercb[Item],tab_alimentos[[#This Row],[Item]],supercb[Bairro],mercado11)</f>
        <v>0</v>
      </c>
      <c r="W243" s="64">
        <f>SUMIFS(super1[Qtde],super1[Item],tab_alimentos[[#This Row],[Item]],super1[Bairro],mercado12)+SUMIFS(supercb[Qtde],supercb[Item],tab_alimentos[[#This Row],[Item]],supercb[Bairro],mercado12)</f>
        <v>0</v>
      </c>
      <c r="X243" s="64">
        <f>SUMIFS(super1[Qtde],super1[Item],tab_alimentos[[#This Row],[Item]],super1[Bairro],mercado13)+SUMIFS(supercb[Qtde],supercb[Item],tab_alimentos[[#This Row],[Item]],supercb[Bairro],mercado13)</f>
        <v>0</v>
      </c>
      <c r="Y243" s="64">
        <f>SUMIFS(super1[Qtde],super1[Item],tab_alimentos[[#This Row],[Item]],super1[Bairro],mercado14)+SUMIFS(supercb[Qtde],supercb[Item],tab_alimentos[[#This Row],[Item]],supercb[Bairro],mercado14)</f>
        <v>0</v>
      </c>
      <c r="Z243" s="64">
        <f>SUMIFS(super1[Qtde],super1[Item],tab_alimentos[[#This Row],[Item]],super1[Bairro],mercado15)+SUMIFS(supercb[Qtde],supercb[Item],tab_alimentos[[#This Row],[Item]],supercb[Bairro],mercado15)</f>
        <v>0</v>
      </c>
      <c r="AA243" s="64">
        <f>SUMIFS(super1[Qtde],super1[Item],tab_alimentos[[#This Row],[Item]],super1[Bairro],mercado16)+SUMIFS(supercb[Qtde],supercb[Item],tab_alimentos[[#This Row],[Item]],supercb[Bairro],mercado16)</f>
        <v>0</v>
      </c>
      <c r="AB243" s="64">
        <f>SUMIFS(super1[Qtde],super1[Item],tab_alimentos[[#This Row],[Item]],super1[Bairro],mercado17)+SUMIFS(supercb[Qtde],supercb[Item],tab_alimentos[[#This Row],[Item]],supercb[Bairro],mercado17)</f>
        <v>0</v>
      </c>
      <c r="AC243" s="64">
        <f>SUMIFS(super1[Qtde],super1[Item],tab_alimentos[[#This Row],[Item]],super1[Bairro],mercado18)+SUMIFS(supercb[Qtde],supercb[Item],tab_alimentos[[#This Row],[Item]],supercb[Bairro],mercado18)</f>
        <v>0</v>
      </c>
      <c r="AD243" s="64">
        <f>SUMIFS(super1[Qtde],super1[Item],tab_alimentos[[#This Row],[Item]],super1[Bairro],extras)+SUMIFS(supercb[Qtde],supercb[Item],tab_alimentos[[#This Row],[Item]],supercb[Bairro],extras)</f>
        <v>0</v>
      </c>
      <c r="AE243" s="61">
        <f t="shared" si="82"/>
        <v>0</v>
      </c>
      <c r="AF243" s="61">
        <f t="shared" si="83"/>
        <v>0</v>
      </c>
      <c r="AG243" s="62">
        <f t="shared" si="84"/>
        <v>0</v>
      </c>
      <c r="AH243" s="15" t="e">
        <f>higiene[[#This Row],[Item]]</f>
        <v>#VALUE!</v>
      </c>
      <c r="AI243" s="8">
        <f>IFERROR(higiene[[#This Row],[Kg equivalente]],0)</f>
        <v>0</v>
      </c>
      <c r="AJ243" s="8">
        <f>IFERROR(higiene[[#This Row],[Preço por produto]],0)</f>
        <v>0</v>
      </c>
      <c r="AK243" s="61">
        <f>SUMIFS(super1[Qtde],super1[Item],tab_higiene[[#This Row],[Item]],super1[Bairro],mercado1)+SUMIFS(supercb[Qtde],supercb[Item],tab_higiene[[#This Row],[Item]],supercb[Bairro],mercado1)</f>
        <v>0</v>
      </c>
      <c r="AL243" s="61">
        <f>SUMIFS(super1[Qtde],super1[Item],tab_higiene[[#This Row],[Item]],super1[Bairro],mercado2)+SUMIFS(supercb[Qtde],supercb[Item],tab_higiene[[#This Row],[Item]],supercb[Bairro],mercado2)</f>
        <v>0</v>
      </c>
      <c r="AM243" s="61">
        <f>SUMIFS(super1[Qtde],super1[Item],tab_higiene[[#This Row],[Item]],super1[Bairro],mercado3)+SUMIFS(supercb[Qtde],supercb[Item],tab_higiene[[#This Row],[Item]],supercb[Bairro],mercado3)</f>
        <v>0</v>
      </c>
      <c r="AN243" s="61">
        <f>SUMIFS(super1[Qtde],super1[Item],tab_higiene[[#This Row],[Item]],super1[Bairro],mercado4)+SUMIFS(supercb[Qtde],supercb[Item],tab_higiene[[#This Row],[Item]],supercb[Bairro],mercado4)</f>
        <v>0</v>
      </c>
      <c r="AO243" s="61">
        <f>SUMIFS(super1[Qtde],super1[Item],tab_higiene[[#This Row],[Item]],super1[Bairro],mercado5)+SUMIFS(supercb[Qtde],supercb[Item],tab_higiene[[#This Row],[Item]],supercb[Bairro],mercado5)</f>
        <v>0</v>
      </c>
      <c r="AP243" s="61">
        <f>SUMIFS(super1[Qtde],super1[Item],tab_higiene[[#This Row],[Item]],super1[Bairro],mercado6)+SUMIFS(supercb[Qtde],supercb[Item],tab_higiene[[#This Row],[Item]],supercb[Bairro],mercado6)</f>
        <v>0</v>
      </c>
      <c r="AQ243" s="61">
        <f>SUMIFS(super1[Qtde],super1[Item],tab_higiene[[#This Row],[Item]],super1[Bairro],mercado7)+SUMIFS(supercb[Qtde],supercb[Item],tab_higiene[[#This Row],[Item]],supercb[Bairro],mercado7)</f>
        <v>0</v>
      </c>
      <c r="AR243" s="61">
        <f>SUMIFS(super1[Qtde],super1[Item],tab_higiene[[#This Row],[Item]],super1[Bairro],mercado8)+SUMIFS(supercb[Qtde],supercb[Item],tab_higiene[[#This Row],[Item]],supercb[Bairro],mercado8)</f>
        <v>0</v>
      </c>
      <c r="AS243" s="61">
        <f>SUMIFS(super1[Qtde],super1[Item],tab_higiene[[#This Row],[Item]],super1[Bairro],mercado9)+SUMIFS(supercb[Qtde],supercb[Item],tab_higiene[[#This Row],[Item]],supercb[Bairro],mercado9)</f>
        <v>0</v>
      </c>
      <c r="AT243" s="61">
        <f>SUMIFS(super1[Qtde],super1[Item],tab_higiene[[#This Row],[Item]],super1[Bairro],mercado10)+SUMIFS(supercb[Qtde],supercb[Item],tab_higiene[[#This Row],[Item]],supercb[Bairro],mercado10)</f>
        <v>0</v>
      </c>
      <c r="AU243" s="61">
        <f>SUMIFS(super1[Qtde],super1[Item],tab_higiene[[#This Row],[Item]],super1[Bairro],mercado11)+SUMIFS(supercb[Qtde],supercb[Item],tab_higiene[[#This Row],[Item]],supercb[Bairro],mercado11)</f>
        <v>0</v>
      </c>
      <c r="AV243" s="61">
        <f>SUMIFS(super1[Qtde],super1[Item],tab_higiene[[#This Row],[Item]],super1[Bairro],mercado12)+SUMIFS(supercb[Qtde],supercb[Item],tab_higiene[[#This Row],[Item]],supercb[Bairro],mercado12)</f>
        <v>0</v>
      </c>
      <c r="AW243" s="61">
        <f>SUMIFS(super1[Qtde],super1[Item],tab_higiene[[#This Row],[Item]],super1[Bairro],mercado13)+SUMIFS(supercb[Qtde],supercb[Item],tab_higiene[[#This Row],[Item]],supercb[Bairro],mercado13)</f>
        <v>0</v>
      </c>
      <c r="AX243" s="61">
        <f>SUMIFS(super1[Qtde],super1[Item],tab_higiene[[#This Row],[Item]],super1[Bairro],mercado14)+SUMIFS(supercb[Qtde],supercb[Item],tab_higiene[[#This Row],[Item]],supercb[Bairro],mercado14)</f>
        <v>0</v>
      </c>
      <c r="AY243" s="61">
        <f>SUMIFS(super1[Qtde],super1[Item],tab_higiene[[#This Row],[Item]],super1[Bairro],mercado15)+SUMIFS(supercb[Qtde],supercb[Item],tab_higiene[[#This Row],[Item]],supercb[Bairro],mercado15)</f>
        <v>0</v>
      </c>
      <c r="AZ243" s="61">
        <f>SUMIFS(super1[Qtde],super1[Item],tab_higiene[[#This Row],[Item]],super1[Bairro],mercado16)+SUMIFS(supercb[Qtde],supercb[Item],tab_higiene[[#This Row],[Item]],supercb[Bairro],mercado16)</f>
        <v>0</v>
      </c>
      <c r="BA243" s="61">
        <f>SUMIFS(super1[Qtde],super1[Item],tab_higiene[[#This Row],[Item]],super1[Bairro],mercado17)+SUMIFS(supercb[Qtde],supercb[Item],tab_higiene[[#This Row],[Item]],supercb[Bairro],mercado17)</f>
        <v>0</v>
      </c>
      <c r="BB243" s="61">
        <f>SUMIFS(super1[Qtde],super1[Item],tab_higiene[[#This Row],[Item]],super1[Bairro],mercado18)+SUMIFS(supercb[Qtde],supercb[Item],tab_higiene[[#This Row],[Item]],supercb[Bairro],mercado18)</f>
        <v>0</v>
      </c>
      <c r="BC243" s="51">
        <f>SUMIFS(super1[Qtde],super1[Item],tab_higiene[[#This Row],[Item]],super1[Bairro],extras)+SUMIFS(supercb[Qtde],supercb[Item],tab_higiene[[#This Row],[Item]],supercb[Bairro],extras)</f>
        <v>0</v>
      </c>
      <c r="BD243" s="8">
        <f t="shared" si="85"/>
        <v>0</v>
      </c>
      <c r="BE243" s="8">
        <f t="shared" si="86"/>
        <v>0</v>
      </c>
      <c r="BF243" s="23">
        <f t="shared" si="87"/>
        <v>0</v>
      </c>
    </row>
    <row r="244" spans="9:58" ht="15.75" thickBot="1" x14ac:dyDescent="0.3">
      <c r="I244" s="65" t="str">
        <f>alimentos[[#This Row],[Item]]</f>
        <v>Seleta de legumes (200g)</v>
      </c>
      <c r="J244" s="61">
        <f>IFERROR(alimentos[[#This Row],[kg/embalagem]],0)</f>
        <v>0.2</v>
      </c>
      <c r="K244" s="64">
        <f>IFERROR(alimentos[[#This Row],[Preço]],0)</f>
        <v>2.75</v>
      </c>
      <c r="L244" s="64">
        <f>SUMIFS(super1[Qtde],super1[Item],tab_alimentos[[#This Row],[Item]],super1[Bairro],mercado1)+SUMIFS(supercb[Qtde],supercb[Item],tab_alimentos[[#This Row],[Item]],supercb[Bairro],mercado1)</f>
        <v>0</v>
      </c>
      <c r="M244" s="64">
        <f>SUMIFS(super1[Qtde],super1[Item],tab_alimentos[[#This Row],[Item]],super1[Bairro],mercado2)+SUMIFS(supercb[Qtde],supercb[Item],tab_alimentos[[#This Row],[Item]],supercb[Bairro],mercado2)</f>
        <v>0</v>
      </c>
      <c r="N244" s="61">
        <f>SUMIFS(super1[Qtde],super1[Item],tab_alimentos[[#This Row],[Item]],super1[Bairro],mercado3)+SUMIFS(supercb[Qtde],supercb[Item],tab_alimentos[[#This Row],[Item]],supercb[Bairro],mercado3)</f>
        <v>0</v>
      </c>
      <c r="O244" s="64">
        <f>SUMIFS(super1[Qtde],super1[Item],tab_alimentos[[#This Row],[Item]],super1[Bairro],mercado4)+SUMIFS(supercb[Qtde],supercb[Item],tab_alimentos[[#This Row],[Item]],supercb[Bairro],mercado4)</f>
        <v>0</v>
      </c>
      <c r="P244" s="64">
        <f>SUMIFS(super1[Qtde],super1[Item],tab_alimentos[[#This Row],[Item]],super1[Bairro],mercado5)+SUMIFS(supercb[Qtde],supercb[Item],tab_alimentos[[#This Row],[Item]],supercb[Bairro],mercado5)</f>
        <v>0</v>
      </c>
      <c r="Q244" s="64">
        <f>SUMIFS(super1[Qtde],super1[Item],tab_alimentos[[#This Row],[Item]],super1[Bairro],mercado6)+SUMIFS(supercb[Qtde],supercb[Item],tab_alimentos[[#This Row],[Item]],supercb[Bairro],mercado6)</f>
        <v>0</v>
      </c>
      <c r="R244" s="64">
        <f>SUMIFS(super1[Qtde],super1[Item],tab_alimentos[[#This Row],[Item]],super1[Bairro],mercado7)+SUMIFS(supercb[Qtde],supercb[Item],tab_alimentos[[#This Row],[Item]],supercb[Bairro],mercado7)</f>
        <v>0</v>
      </c>
      <c r="S244" s="64">
        <f>SUMIFS(super1[Qtde],super1[Item],tab_alimentos[[#This Row],[Item]],super1[Bairro],mercado8)+SUMIFS(supercb[Qtde],supercb[Item],tab_alimentos[[#This Row],[Item]],supercb[Bairro],mercado8)</f>
        <v>0</v>
      </c>
      <c r="T244" s="64">
        <f>SUMIFS(super1[Qtde],super1[Item],tab_alimentos[[#This Row],[Item]],super1[Bairro],mercado9)+SUMIFS(supercb[Qtde],supercb[Item],tab_alimentos[[#This Row],[Item]],supercb[Bairro],mercado9)</f>
        <v>0</v>
      </c>
      <c r="U244" s="64">
        <f>SUMIFS(super1[Qtde],super1[Item],tab_alimentos[[#This Row],[Item]],super1[Bairro],mercado10)+SUMIFS(supercb[Qtde],supercb[Item],tab_alimentos[[#This Row],[Item]],supercb[Bairro],mercado10)</f>
        <v>0</v>
      </c>
      <c r="V244" s="64">
        <f>SUMIFS(super1[Qtde],super1[Item],tab_alimentos[[#This Row],[Item]],super1[Bairro],mercado11)+SUMIFS(supercb[Qtde],supercb[Item],tab_alimentos[[#This Row],[Item]],supercb[Bairro],mercado11)</f>
        <v>0</v>
      </c>
      <c r="W244" s="64">
        <f>SUMIFS(super1[Qtde],super1[Item],tab_alimentos[[#This Row],[Item]],super1[Bairro],mercado12)+SUMIFS(supercb[Qtde],supercb[Item],tab_alimentos[[#This Row],[Item]],supercb[Bairro],mercado12)</f>
        <v>0</v>
      </c>
      <c r="X244" s="64">
        <f>SUMIFS(super1[Qtde],super1[Item],tab_alimentos[[#This Row],[Item]],super1[Bairro],mercado13)+SUMIFS(supercb[Qtde],supercb[Item],tab_alimentos[[#This Row],[Item]],supercb[Bairro],mercado13)</f>
        <v>0</v>
      </c>
      <c r="Y244" s="64">
        <f>SUMIFS(super1[Qtde],super1[Item],tab_alimentos[[#This Row],[Item]],super1[Bairro],mercado14)+SUMIFS(supercb[Qtde],supercb[Item],tab_alimentos[[#This Row],[Item]],supercb[Bairro],mercado14)</f>
        <v>0</v>
      </c>
      <c r="Z244" s="64">
        <f>SUMIFS(super1[Qtde],super1[Item],tab_alimentos[[#This Row],[Item]],super1[Bairro],mercado15)+SUMIFS(supercb[Qtde],supercb[Item],tab_alimentos[[#This Row],[Item]],supercb[Bairro],mercado15)</f>
        <v>0</v>
      </c>
      <c r="AA244" s="64">
        <f>SUMIFS(super1[Qtde],super1[Item],tab_alimentos[[#This Row],[Item]],super1[Bairro],mercado16)+SUMIFS(supercb[Qtde],supercb[Item],tab_alimentos[[#This Row],[Item]],supercb[Bairro],mercado16)</f>
        <v>0</v>
      </c>
      <c r="AB244" s="64">
        <f>SUMIFS(super1[Qtde],super1[Item],tab_alimentos[[#This Row],[Item]],super1[Bairro],mercado17)+SUMIFS(supercb[Qtde],supercb[Item],tab_alimentos[[#This Row],[Item]],supercb[Bairro],mercado17)</f>
        <v>0</v>
      </c>
      <c r="AC244" s="64">
        <f>SUMIFS(super1[Qtde],super1[Item],tab_alimentos[[#This Row],[Item]],super1[Bairro],mercado18)+SUMIFS(supercb[Qtde],supercb[Item],tab_alimentos[[#This Row],[Item]],supercb[Bairro],mercado18)</f>
        <v>0</v>
      </c>
      <c r="AD244" s="64">
        <f>SUMIFS(super1[Qtde],super1[Item],tab_alimentos[[#This Row],[Item]],super1[Bairro],extras)+SUMIFS(supercb[Qtde],supercb[Item],tab_alimentos[[#This Row],[Item]],supercb[Bairro],extras)</f>
        <v>0</v>
      </c>
      <c r="AE244" s="61">
        <f t="shared" si="82"/>
        <v>0</v>
      </c>
      <c r="AF244" s="61">
        <f t="shared" si="83"/>
        <v>0</v>
      </c>
      <c r="AG244" s="62">
        <f t="shared" si="84"/>
        <v>0</v>
      </c>
      <c r="AH244" s="15" t="e">
        <f>higiene[[#This Row],[Item]]</f>
        <v>#VALUE!</v>
      </c>
      <c r="AI244" s="8">
        <f>IFERROR(higiene[[#This Row],[Kg equivalente]],0)</f>
        <v>0</v>
      </c>
      <c r="AJ244" s="8">
        <f>IFERROR(higiene[[#This Row],[Preço por produto]],0)</f>
        <v>0</v>
      </c>
      <c r="AK244" s="61">
        <f>SUMIFS(super1[Qtde],super1[Item],tab_higiene[[#This Row],[Item]],super1[Bairro],mercado1)+SUMIFS(supercb[Qtde],supercb[Item],tab_higiene[[#This Row],[Item]],supercb[Bairro],mercado1)</f>
        <v>0</v>
      </c>
      <c r="AL244" s="61">
        <f>SUMIFS(super1[Qtde],super1[Item],tab_higiene[[#This Row],[Item]],super1[Bairro],mercado2)+SUMIFS(supercb[Qtde],supercb[Item],tab_higiene[[#This Row],[Item]],supercb[Bairro],mercado2)</f>
        <v>0</v>
      </c>
      <c r="AM244" s="61">
        <f>SUMIFS(super1[Qtde],super1[Item],tab_higiene[[#This Row],[Item]],super1[Bairro],mercado3)+SUMIFS(supercb[Qtde],supercb[Item],tab_higiene[[#This Row],[Item]],supercb[Bairro],mercado3)</f>
        <v>0</v>
      </c>
      <c r="AN244" s="61">
        <f>SUMIFS(super1[Qtde],super1[Item],tab_higiene[[#This Row],[Item]],super1[Bairro],mercado4)+SUMIFS(supercb[Qtde],supercb[Item],tab_higiene[[#This Row],[Item]],supercb[Bairro],mercado4)</f>
        <v>0</v>
      </c>
      <c r="AO244" s="61">
        <f>SUMIFS(super1[Qtde],super1[Item],tab_higiene[[#This Row],[Item]],super1[Bairro],mercado5)+SUMIFS(supercb[Qtde],supercb[Item],tab_higiene[[#This Row],[Item]],supercb[Bairro],mercado5)</f>
        <v>0</v>
      </c>
      <c r="AP244" s="61">
        <f>SUMIFS(super1[Qtde],super1[Item],tab_higiene[[#This Row],[Item]],super1[Bairro],mercado6)+SUMIFS(supercb[Qtde],supercb[Item],tab_higiene[[#This Row],[Item]],supercb[Bairro],mercado6)</f>
        <v>0</v>
      </c>
      <c r="AQ244" s="61">
        <f>SUMIFS(super1[Qtde],super1[Item],tab_higiene[[#This Row],[Item]],super1[Bairro],mercado7)+SUMIFS(supercb[Qtde],supercb[Item],tab_higiene[[#This Row],[Item]],supercb[Bairro],mercado7)</f>
        <v>0</v>
      </c>
      <c r="AR244" s="61">
        <f>SUMIFS(super1[Qtde],super1[Item],tab_higiene[[#This Row],[Item]],super1[Bairro],mercado8)+SUMIFS(supercb[Qtde],supercb[Item],tab_higiene[[#This Row],[Item]],supercb[Bairro],mercado8)</f>
        <v>0</v>
      </c>
      <c r="AS244" s="61">
        <f>SUMIFS(super1[Qtde],super1[Item],tab_higiene[[#This Row],[Item]],super1[Bairro],mercado9)+SUMIFS(supercb[Qtde],supercb[Item],tab_higiene[[#This Row],[Item]],supercb[Bairro],mercado9)</f>
        <v>0</v>
      </c>
      <c r="AT244" s="61">
        <f>SUMIFS(super1[Qtde],super1[Item],tab_higiene[[#This Row],[Item]],super1[Bairro],mercado10)+SUMIFS(supercb[Qtde],supercb[Item],tab_higiene[[#This Row],[Item]],supercb[Bairro],mercado10)</f>
        <v>0</v>
      </c>
      <c r="AU244" s="61">
        <f>SUMIFS(super1[Qtde],super1[Item],tab_higiene[[#This Row],[Item]],super1[Bairro],mercado11)+SUMIFS(supercb[Qtde],supercb[Item],tab_higiene[[#This Row],[Item]],supercb[Bairro],mercado11)</f>
        <v>0</v>
      </c>
      <c r="AV244" s="61">
        <f>SUMIFS(super1[Qtde],super1[Item],tab_higiene[[#This Row],[Item]],super1[Bairro],mercado12)+SUMIFS(supercb[Qtde],supercb[Item],tab_higiene[[#This Row],[Item]],supercb[Bairro],mercado12)</f>
        <v>0</v>
      </c>
      <c r="AW244" s="61">
        <f>SUMIFS(super1[Qtde],super1[Item],tab_higiene[[#This Row],[Item]],super1[Bairro],mercado13)+SUMIFS(supercb[Qtde],supercb[Item],tab_higiene[[#This Row],[Item]],supercb[Bairro],mercado13)</f>
        <v>0</v>
      </c>
      <c r="AX244" s="61">
        <f>SUMIFS(super1[Qtde],super1[Item],tab_higiene[[#This Row],[Item]],super1[Bairro],mercado14)+SUMIFS(supercb[Qtde],supercb[Item],tab_higiene[[#This Row],[Item]],supercb[Bairro],mercado14)</f>
        <v>0</v>
      </c>
      <c r="AY244" s="61">
        <f>SUMIFS(super1[Qtde],super1[Item],tab_higiene[[#This Row],[Item]],super1[Bairro],mercado15)+SUMIFS(supercb[Qtde],supercb[Item],tab_higiene[[#This Row],[Item]],supercb[Bairro],mercado15)</f>
        <v>0</v>
      </c>
      <c r="AZ244" s="61">
        <f>SUMIFS(super1[Qtde],super1[Item],tab_higiene[[#This Row],[Item]],super1[Bairro],mercado16)+SUMIFS(supercb[Qtde],supercb[Item],tab_higiene[[#This Row],[Item]],supercb[Bairro],mercado16)</f>
        <v>0</v>
      </c>
      <c r="BA244" s="61">
        <f>SUMIFS(super1[Qtde],super1[Item],tab_higiene[[#This Row],[Item]],super1[Bairro],mercado17)+SUMIFS(supercb[Qtde],supercb[Item],tab_higiene[[#This Row],[Item]],supercb[Bairro],mercado17)</f>
        <v>0</v>
      </c>
      <c r="BB244" s="61">
        <f>SUMIFS(super1[Qtde],super1[Item],tab_higiene[[#This Row],[Item]],super1[Bairro],mercado18)+SUMIFS(supercb[Qtde],supercb[Item],tab_higiene[[#This Row],[Item]],supercb[Bairro],mercado18)</f>
        <v>0</v>
      </c>
      <c r="BC244" s="51">
        <f>SUMIFS(super1[Qtde],super1[Item],tab_higiene[[#This Row],[Item]],super1[Bairro],extras)+SUMIFS(supercb[Qtde],supercb[Item],tab_higiene[[#This Row],[Item]],supercb[Bairro],extras)</f>
        <v>0</v>
      </c>
      <c r="BD244" s="8">
        <f t="shared" si="85"/>
        <v>0</v>
      </c>
      <c r="BE244" s="8">
        <f t="shared" si="86"/>
        <v>0</v>
      </c>
      <c r="BF244" s="23">
        <f t="shared" si="87"/>
        <v>0</v>
      </c>
    </row>
    <row r="245" spans="9:58" ht="15.75" thickBot="1" x14ac:dyDescent="0.3">
      <c r="I245" s="65" t="str">
        <f>alimentos[[#This Row],[Item]]</f>
        <v>Seleta de legumes (280g)</v>
      </c>
      <c r="J245" s="61">
        <f>IFERROR(alimentos[[#This Row],[kg/embalagem]],0)</f>
        <v>0.28000000000000003</v>
      </c>
      <c r="K245" s="64">
        <f>IFERROR(alimentos[[#This Row],[Preço]],0)</f>
        <v>2.2066666666666666</v>
      </c>
      <c r="L245" s="64">
        <f>SUMIFS(super1[Qtde],super1[Item],tab_alimentos[[#This Row],[Item]],super1[Bairro],mercado1)+SUMIFS(supercb[Qtde],supercb[Item],tab_alimentos[[#This Row],[Item]],supercb[Bairro],mercado1)</f>
        <v>0</v>
      </c>
      <c r="M245" s="64">
        <f>SUMIFS(super1[Qtde],super1[Item],tab_alimentos[[#This Row],[Item]],super1[Bairro],mercado2)+SUMIFS(supercb[Qtde],supercb[Item],tab_alimentos[[#This Row],[Item]],supercb[Bairro],mercado2)</f>
        <v>0</v>
      </c>
      <c r="N245" s="61">
        <f>SUMIFS(super1[Qtde],super1[Item],tab_alimentos[[#This Row],[Item]],super1[Bairro],mercado3)+SUMIFS(supercb[Qtde],supercb[Item],tab_alimentos[[#This Row],[Item]],supercb[Bairro],mercado3)</f>
        <v>0</v>
      </c>
      <c r="O245" s="64">
        <f>SUMIFS(super1[Qtde],super1[Item],tab_alimentos[[#This Row],[Item]],super1[Bairro],mercado4)+SUMIFS(supercb[Qtde],supercb[Item],tab_alimentos[[#This Row],[Item]],supercb[Bairro],mercado4)</f>
        <v>0</v>
      </c>
      <c r="P245" s="64">
        <f>SUMIFS(super1[Qtde],super1[Item],tab_alimentos[[#This Row],[Item]],super1[Bairro],mercado5)+SUMIFS(supercb[Qtde],supercb[Item],tab_alimentos[[#This Row],[Item]],supercb[Bairro],mercado5)</f>
        <v>0</v>
      </c>
      <c r="Q245" s="64">
        <f>SUMIFS(super1[Qtde],super1[Item],tab_alimentos[[#This Row],[Item]],super1[Bairro],mercado6)+SUMIFS(supercb[Qtde],supercb[Item],tab_alimentos[[#This Row],[Item]],supercb[Bairro],mercado6)</f>
        <v>0</v>
      </c>
      <c r="R245" s="64">
        <f>SUMIFS(super1[Qtde],super1[Item],tab_alimentos[[#This Row],[Item]],super1[Bairro],mercado7)+SUMIFS(supercb[Qtde],supercb[Item],tab_alimentos[[#This Row],[Item]],supercb[Bairro],mercado7)</f>
        <v>0</v>
      </c>
      <c r="S245" s="64">
        <f>SUMIFS(super1[Qtde],super1[Item],tab_alimentos[[#This Row],[Item]],super1[Bairro],mercado8)+SUMIFS(supercb[Qtde],supercb[Item],tab_alimentos[[#This Row],[Item]],supercb[Bairro],mercado8)</f>
        <v>0</v>
      </c>
      <c r="T245" s="64">
        <f>SUMIFS(super1[Qtde],super1[Item],tab_alimentos[[#This Row],[Item]],super1[Bairro],mercado9)+SUMIFS(supercb[Qtde],supercb[Item],tab_alimentos[[#This Row],[Item]],supercb[Bairro],mercado9)</f>
        <v>0</v>
      </c>
      <c r="U245" s="64">
        <f>SUMIFS(super1[Qtde],super1[Item],tab_alimentos[[#This Row],[Item]],super1[Bairro],mercado10)+SUMIFS(supercb[Qtde],supercb[Item],tab_alimentos[[#This Row],[Item]],supercb[Bairro],mercado10)</f>
        <v>0</v>
      </c>
      <c r="V245" s="64">
        <f>SUMIFS(super1[Qtde],super1[Item],tab_alimentos[[#This Row],[Item]],super1[Bairro],mercado11)+SUMIFS(supercb[Qtde],supercb[Item],tab_alimentos[[#This Row],[Item]],supercb[Bairro],mercado11)</f>
        <v>0</v>
      </c>
      <c r="W245" s="64">
        <f>SUMIFS(super1[Qtde],super1[Item],tab_alimentos[[#This Row],[Item]],super1[Bairro],mercado12)+SUMIFS(supercb[Qtde],supercb[Item],tab_alimentos[[#This Row],[Item]],supercb[Bairro],mercado12)</f>
        <v>0</v>
      </c>
      <c r="X245" s="64">
        <f>SUMIFS(super1[Qtde],super1[Item],tab_alimentos[[#This Row],[Item]],super1[Bairro],mercado13)+SUMIFS(supercb[Qtde],supercb[Item],tab_alimentos[[#This Row],[Item]],supercb[Bairro],mercado13)</f>
        <v>0</v>
      </c>
      <c r="Y245" s="64">
        <f>SUMIFS(super1[Qtde],super1[Item],tab_alimentos[[#This Row],[Item]],super1[Bairro],mercado14)+SUMIFS(supercb[Qtde],supercb[Item],tab_alimentos[[#This Row],[Item]],supercb[Bairro],mercado14)</f>
        <v>0</v>
      </c>
      <c r="Z245" s="64">
        <f>SUMIFS(super1[Qtde],super1[Item],tab_alimentos[[#This Row],[Item]],super1[Bairro],mercado15)+SUMIFS(supercb[Qtde],supercb[Item],tab_alimentos[[#This Row],[Item]],supercb[Bairro],mercado15)</f>
        <v>0</v>
      </c>
      <c r="AA245" s="64">
        <f>SUMIFS(super1[Qtde],super1[Item],tab_alimentos[[#This Row],[Item]],super1[Bairro],mercado16)+SUMIFS(supercb[Qtde],supercb[Item],tab_alimentos[[#This Row],[Item]],supercb[Bairro],mercado16)</f>
        <v>0</v>
      </c>
      <c r="AB245" s="64">
        <f>SUMIFS(super1[Qtde],super1[Item],tab_alimentos[[#This Row],[Item]],super1[Bairro],mercado17)+SUMIFS(supercb[Qtde],supercb[Item],tab_alimentos[[#This Row],[Item]],supercb[Bairro],mercado17)</f>
        <v>0</v>
      </c>
      <c r="AC245" s="64">
        <f>SUMIFS(super1[Qtde],super1[Item],tab_alimentos[[#This Row],[Item]],super1[Bairro],mercado18)+SUMIFS(supercb[Qtde],supercb[Item],tab_alimentos[[#This Row],[Item]],supercb[Bairro],mercado18)</f>
        <v>0</v>
      </c>
      <c r="AD245" s="64">
        <f>SUMIFS(super1[Qtde],super1[Item],tab_alimentos[[#This Row],[Item]],super1[Bairro],extras)+SUMIFS(supercb[Qtde],supercb[Item],tab_alimentos[[#This Row],[Item]],supercb[Bairro],extras)</f>
        <v>0</v>
      </c>
      <c r="AE245" s="61">
        <f t="shared" si="82"/>
        <v>0</v>
      </c>
      <c r="AF245" s="61">
        <f t="shared" si="83"/>
        <v>0</v>
      </c>
      <c r="AG245" s="62">
        <f t="shared" si="84"/>
        <v>0</v>
      </c>
      <c r="AH245" s="15" t="e">
        <f>higiene[[#This Row],[Item]]</f>
        <v>#VALUE!</v>
      </c>
      <c r="AI245" s="8">
        <f>IFERROR(higiene[[#This Row],[Kg equivalente]],0)</f>
        <v>0</v>
      </c>
      <c r="AJ245" s="8">
        <f>IFERROR(higiene[[#This Row],[Preço por produto]],0)</f>
        <v>0</v>
      </c>
      <c r="AK245" s="61">
        <f>SUMIFS(super1[Qtde],super1[Item],tab_higiene[[#This Row],[Item]],super1[Bairro],mercado1)+SUMIFS(supercb[Qtde],supercb[Item],tab_higiene[[#This Row],[Item]],supercb[Bairro],mercado1)</f>
        <v>0</v>
      </c>
      <c r="AL245" s="61">
        <f>SUMIFS(super1[Qtde],super1[Item],tab_higiene[[#This Row],[Item]],super1[Bairro],mercado2)+SUMIFS(supercb[Qtde],supercb[Item],tab_higiene[[#This Row],[Item]],supercb[Bairro],mercado2)</f>
        <v>0</v>
      </c>
      <c r="AM245" s="61">
        <f>SUMIFS(super1[Qtde],super1[Item],tab_higiene[[#This Row],[Item]],super1[Bairro],mercado3)+SUMIFS(supercb[Qtde],supercb[Item],tab_higiene[[#This Row],[Item]],supercb[Bairro],mercado3)</f>
        <v>0</v>
      </c>
      <c r="AN245" s="61">
        <f>SUMIFS(super1[Qtde],super1[Item],tab_higiene[[#This Row],[Item]],super1[Bairro],mercado4)+SUMIFS(supercb[Qtde],supercb[Item],tab_higiene[[#This Row],[Item]],supercb[Bairro],mercado4)</f>
        <v>0</v>
      </c>
      <c r="AO245" s="61">
        <f>SUMIFS(super1[Qtde],super1[Item],tab_higiene[[#This Row],[Item]],super1[Bairro],mercado5)+SUMIFS(supercb[Qtde],supercb[Item],tab_higiene[[#This Row],[Item]],supercb[Bairro],mercado5)</f>
        <v>0</v>
      </c>
      <c r="AP245" s="61">
        <f>SUMIFS(super1[Qtde],super1[Item],tab_higiene[[#This Row],[Item]],super1[Bairro],mercado6)+SUMIFS(supercb[Qtde],supercb[Item],tab_higiene[[#This Row],[Item]],supercb[Bairro],mercado6)</f>
        <v>0</v>
      </c>
      <c r="AQ245" s="61">
        <f>SUMIFS(super1[Qtde],super1[Item],tab_higiene[[#This Row],[Item]],super1[Bairro],mercado7)+SUMIFS(supercb[Qtde],supercb[Item],tab_higiene[[#This Row],[Item]],supercb[Bairro],mercado7)</f>
        <v>0</v>
      </c>
      <c r="AR245" s="61">
        <f>SUMIFS(super1[Qtde],super1[Item],tab_higiene[[#This Row],[Item]],super1[Bairro],mercado8)+SUMIFS(supercb[Qtde],supercb[Item],tab_higiene[[#This Row],[Item]],supercb[Bairro],mercado8)</f>
        <v>0</v>
      </c>
      <c r="AS245" s="61">
        <f>SUMIFS(super1[Qtde],super1[Item],tab_higiene[[#This Row],[Item]],super1[Bairro],mercado9)+SUMIFS(supercb[Qtde],supercb[Item],tab_higiene[[#This Row],[Item]],supercb[Bairro],mercado9)</f>
        <v>0</v>
      </c>
      <c r="AT245" s="61">
        <f>SUMIFS(super1[Qtde],super1[Item],tab_higiene[[#This Row],[Item]],super1[Bairro],mercado10)+SUMIFS(supercb[Qtde],supercb[Item],tab_higiene[[#This Row],[Item]],supercb[Bairro],mercado10)</f>
        <v>0</v>
      </c>
      <c r="AU245" s="61">
        <f>SUMIFS(super1[Qtde],super1[Item],tab_higiene[[#This Row],[Item]],super1[Bairro],mercado11)+SUMIFS(supercb[Qtde],supercb[Item],tab_higiene[[#This Row],[Item]],supercb[Bairro],mercado11)</f>
        <v>0</v>
      </c>
      <c r="AV245" s="61">
        <f>SUMIFS(super1[Qtde],super1[Item],tab_higiene[[#This Row],[Item]],super1[Bairro],mercado12)+SUMIFS(supercb[Qtde],supercb[Item],tab_higiene[[#This Row],[Item]],supercb[Bairro],mercado12)</f>
        <v>0</v>
      </c>
      <c r="AW245" s="61">
        <f>SUMIFS(super1[Qtde],super1[Item],tab_higiene[[#This Row],[Item]],super1[Bairro],mercado13)+SUMIFS(supercb[Qtde],supercb[Item],tab_higiene[[#This Row],[Item]],supercb[Bairro],mercado13)</f>
        <v>0</v>
      </c>
      <c r="AX245" s="61">
        <f>SUMIFS(super1[Qtde],super1[Item],tab_higiene[[#This Row],[Item]],super1[Bairro],mercado14)+SUMIFS(supercb[Qtde],supercb[Item],tab_higiene[[#This Row],[Item]],supercb[Bairro],mercado14)</f>
        <v>0</v>
      </c>
      <c r="AY245" s="61">
        <f>SUMIFS(super1[Qtde],super1[Item],tab_higiene[[#This Row],[Item]],super1[Bairro],mercado15)+SUMIFS(supercb[Qtde],supercb[Item],tab_higiene[[#This Row],[Item]],supercb[Bairro],mercado15)</f>
        <v>0</v>
      </c>
      <c r="AZ245" s="61">
        <f>SUMIFS(super1[Qtde],super1[Item],tab_higiene[[#This Row],[Item]],super1[Bairro],mercado16)+SUMIFS(supercb[Qtde],supercb[Item],tab_higiene[[#This Row],[Item]],supercb[Bairro],mercado16)</f>
        <v>0</v>
      </c>
      <c r="BA245" s="61">
        <f>SUMIFS(super1[Qtde],super1[Item],tab_higiene[[#This Row],[Item]],super1[Bairro],mercado17)+SUMIFS(supercb[Qtde],supercb[Item],tab_higiene[[#This Row],[Item]],supercb[Bairro],mercado17)</f>
        <v>0</v>
      </c>
      <c r="BB245" s="61">
        <f>SUMIFS(super1[Qtde],super1[Item],tab_higiene[[#This Row],[Item]],super1[Bairro],mercado18)+SUMIFS(supercb[Qtde],supercb[Item],tab_higiene[[#This Row],[Item]],supercb[Bairro],mercado18)</f>
        <v>0</v>
      </c>
      <c r="BC245" s="51">
        <f>SUMIFS(super1[Qtde],super1[Item],tab_higiene[[#This Row],[Item]],super1[Bairro],extras)+SUMIFS(supercb[Qtde],supercb[Item],tab_higiene[[#This Row],[Item]],supercb[Bairro],extras)</f>
        <v>0</v>
      </c>
      <c r="BD245" s="8">
        <f t="shared" si="85"/>
        <v>0</v>
      </c>
      <c r="BE245" s="8">
        <f t="shared" si="86"/>
        <v>0</v>
      </c>
      <c r="BF245" s="23">
        <f t="shared" si="87"/>
        <v>0</v>
      </c>
    </row>
    <row r="246" spans="9:58" ht="15.75" thickBot="1" x14ac:dyDescent="0.3">
      <c r="I246" s="65" t="str">
        <f>alimentos[[#This Row],[Item]]</f>
        <v>Sopa de Cebola (38g)</v>
      </c>
      <c r="J246" s="61">
        <f>IFERROR(alimentos[[#This Row],[kg/embalagem]],0)</f>
        <v>3.7999999999999999E-2</v>
      </c>
      <c r="K246" s="64">
        <f>IFERROR(alimentos[[#This Row],[Preço]],0)</f>
        <v>4.9866666666666672</v>
      </c>
      <c r="L246" s="64">
        <f>SUMIFS(super1[Qtde],super1[Item],tab_alimentos[[#This Row],[Item]],super1[Bairro],mercado1)+SUMIFS(supercb[Qtde],supercb[Item],tab_alimentos[[#This Row],[Item]],supercb[Bairro],mercado1)</f>
        <v>0</v>
      </c>
      <c r="M246" s="64">
        <f>SUMIFS(super1[Qtde],super1[Item],tab_alimentos[[#This Row],[Item]],super1[Bairro],mercado2)+SUMIFS(supercb[Qtde],supercb[Item],tab_alimentos[[#This Row],[Item]],supercb[Bairro],mercado2)</f>
        <v>0</v>
      </c>
      <c r="N246" s="61">
        <f>SUMIFS(super1[Qtde],super1[Item],tab_alimentos[[#This Row],[Item]],super1[Bairro],mercado3)+SUMIFS(supercb[Qtde],supercb[Item],tab_alimentos[[#This Row],[Item]],supercb[Bairro],mercado3)</f>
        <v>0</v>
      </c>
      <c r="O246" s="64">
        <f>SUMIFS(super1[Qtde],super1[Item],tab_alimentos[[#This Row],[Item]],super1[Bairro],mercado4)+SUMIFS(supercb[Qtde],supercb[Item],tab_alimentos[[#This Row],[Item]],supercb[Bairro],mercado4)</f>
        <v>0</v>
      </c>
      <c r="P246" s="64">
        <f>SUMIFS(super1[Qtde],super1[Item],tab_alimentos[[#This Row],[Item]],super1[Bairro],mercado5)+SUMIFS(supercb[Qtde],supercb[Item],tab_alimentos[[#This Row],[Item]],supercb[Bairro],mercado5)</f>
        <v>0</v>
      </c>
      <c r="Q246" s="64">
        <f>SUMIFS(super1[Qtde],super1[Item],tab_alimentos[[#This Row],[Item]],super1[Bairro],mercado6)+SUMIFS(supercb[Qtde],supercb[Item],tab_alimentos[[#This Row],[Item]],supercb[Bairro],mercado6)</f>
        <v>0</v>
      </c>
      <c r="R246" s="64">
        <f>SUMIFS(super1[Qtde],super1[Item],tab_alimentos[[#This Row],[Item]],super1[Bairro],mercado7)+SUMIFS(supercb[Qtde],supercb[Item],tab_alimentos[[#This Row],[Item]],supercb[Bairro],mercado7)</f>
        <v>0</v>
      </c>
      <c r="S246" s="64">
        <f>SUMIFS(super1[Qtde],super1[Item],tab_alimentos[[#This Row],[Item]],super1[Bairro],mercado8)+SUMIFS(supercb[Qtde],supercb[Item],tab_alimentos[[#This Row],[Item]],supercb[Bairro],mercado8)</f>
        <v>0</v>
      </c>
      <c r="T246" s="64">
        <f>SUMIFS(super1[Qtde],super1[Item],tab_alimentos[[#This Row],[Item]],super1[Bairro],mercado9)+SUMIFS(supercb[Qtde],supercb[Item],tab_alimentos[[#This Row],[Item]],supercb[Bairro],mercado9)</f>
        <v>0</v>
      </c>
      <c r="U246" s="64">
        <f>SUMIFS(super1[Qtde],super1[Item],tab_alimentos[[#This Row],[Item]],super1[Bairro],mercado10)+SUMIFS(supercb[Qtde],supercb[Item],tab_alimentos[[#This Row],[Item]],supercb[Bairro],mercado10)</f>
        <v>0</v>
      </c>
      <c r="V246" s="64">
        <f>SUMIFS(super1[Qtde],super1[Item],tab_alimentos[[#This Row],[Item]],super1[Bairro],mercado11)+SUMIFS(supercb[Qtde],supercb[Item],tab_alimentos[[#This Row],[Item]],supercb[Bairro],mercado11)</f>
        <v>0</v>
      </c>
      <c r="W246" s="64">
        <f>SUMIFS(super1[Qtde],super1[Item],tab_alimentos[[#This Row],[Item]],super1[Bairro],mercado12)+SUMIFS(supercb[Qtde],supercb[Item],tab_alimentos[[#This Row],[Item]],supercb[Bairro],mercado12)</f>
        <v>0</v>
      </c>
      <c r="X246" s="64">
        <f>SUMIFS(super1[Qtde],super1[Item],tab_alimentos[[#This Row],[Item]],super1[Bairro],mercado13)+SUMIFS(supercb[Qtde],supercb[Item],tab_alimentos[[#This Row],[Item]],supercb[Bairro],mercado13)</f>
        <v>0</v>
      </c>
      <c r="Y246" s="64">
        <f>SUMIFS(super1[Qtde],super1[Item],tab_alimentos[[#This Row],[Item]],super1[Bairro],mercado14)+SUMIFS(supercb[Qtde],supercb[Item],tab_alimentos[[#This Row],[Item]],supercb[Bairro],mercado14)</f>
        <v>0</v>
      </c>
      <c r="Z246" s="64">
        <f>SUMIFS(super1[Qtde],super1[Item],tab_alimentos[[#This Row],[Item]],super1[Bairro],mercado15)+SUMIFS(supercb[Qtde],supercb[Item],tab_alimentos[[#This Row],[Item]],supercb[Bairro],mercado15)</f>
        <v>0</v>
      </c>
      <c r="AA246" s="64">
        <f>SUMIFS(super1[Qtde],super1[Item],tab_alimentos[[#This Row],[Item]],super1[Bairro],mercado16)+SUMIFS(supercb[Qtde],supercb[Item],tab_alimentos[[#This Row],[Item]],supercb[Bairro],mercado16)</f>
        <v>0</v>
      </c>
      <c r="AB246" s="64">
        <f>SUMIFS(super1[Qtde],super1[Item],tab_alimentos[[#This Row],[Item]],super1[Bairro],mercado17)+SUMIFS(supercb[Qtde],supercb[Item],tab_alimentos[[#This Row],[Item]],supercb[Bairro],mercado17)</f>
        <v>0</v>
      </c>
      <c r="AC246" s="64">
        <f>SUMIFS(super1[Qtde],super1[Item],tab_alimentos[[#This Row],[Item]],super1[Bairro],mercado18)+SUMIFS(supercb[Qtde],supercb[Item],tab_alimentos[[#This Row],[Item]],supercb[Bairro],mercado18)</f>
        <v>0</v>
      </c>
      <c r="AD246" s="64">
        <f>SUMIFS(super1[Qtde],super1[Item],tab_alimentos[[#This Row],[Item]],super1[Bairro],extras)+SUMIFS(supercb[Qtde],supercb[Item],tab_alimentos[[#This Row],[Item]],supercb[Bairro],extras)</f>
        <v>0</v>
      </c>
      <c r="AE246" s="61">
        <f t="shared" si="82"/>
        <v>0</v>
      </c>
      <c r="AF246" s="61">
        <f t="shared" si="83"/>
        <v>0</v>
      </c>
      <c r="AG246" s="62">
        <f t="shared" si="84"/>
        <v>0</v>
      </c>
      <c r="AH246" s="15" t="e">
        <f>higiene[[#This Row],[Item]]</f>
        <v>#VALUE!</v>
      </c>
      <c r="AI246" s="8">
        <f>IFERROR(higiene[[#This Row],[Kg equivalente]],0)</f>
        <v>0</v>
      </c>
      <c r="AJ246" s="8">
        <f>IFERROR(higiene[[#This Row],[Preço por produto]],0)</f>
        <v>0</v>
      </c>
      <c r="AK246" s="61">
        <f>SUMIFS(super1[Qtde],super1[Item],tab_higiene[[#This Row],[Item]],super1[Bairro],mercado1)+SUMIFS(supercb[Qtde],supercb[Item],tab_higiene[[#This Row],[Item]],supercb[Bairro],mercado1)</f>
        <v>0</v>
      </c>
      <c r="AL246" s="61">
        <f>SUMIFS(super1[Qtde],super1[Item],tab_higiene[[#This Row],[Item]],super1[Bairro],mercado2)+SUMIFS(supercb[Qtde],supercb[Item],tab_higiene[[#This Row],[Item]],supercb[Bairro],mercado2)</f>
        <v>0</v>
      </c>
      <c r="AM246" s="61">
        <f>SUMIFS(super1[Qtde],super1[Item],tab_higiene[[#This Row],[Item]],super1[Bairro],mercado3)+SUMIFS(supercb[Qtde],supercb[Item],tab_higiene[[#This Row],[Item]],supercb[Bairro],mercado3)</f>
        <v>0</v>
      </c>
      <c r="AN246" s="61">
        <f>SUMIFS(super1[Qtde],super1[Item],tab_higiene[[#This Row],[Item]],super1[Bairro],mercado4)+SUMIFS(supercb[Qtde],supercb[Item],tab_higiene[[#This Row],[Item]],supercb[Bairro],mercado4)</f>
        <v>0</v>
      </c>
      <c r="AO246" s="61">
        <f>SUMIFS(super1[Qtde],super1[Item],tab_higiene[[#This Row],[Item]],super1[Bairro],mercado5)+SUMIFS(supercb[Qtde],supercb[Item],tab_higiene[[#This Row],[Item]],supercb[Bairro],mercado5)</f>
        <v>0</v>
      </c>
      <c r="AP246" s="61">
        <f>SUMIFS(super1[Qtde],super1[Item],tab_higiene[[#This Row],[Item]],super1[Bairro],mercado6)+SUMIFS(supercb[Qtde],supercb[Item],tab_higiene[[#This Row],[Item]],supercb[Bairro],mercado6)</f>
        <v>0</v>
      </c>
      <c r="AQ246" s="61">
        <f>SUMIFS(super1[Qtde],super1[Item],tab_higiene[[#This Row],[Item]],super1[Bairro],mercado7)+SUMIFS(supercb[Qtde],supercb[Item],tab_higiene[[#This Row],[Item]],supercb[Bairro],mercado7)</f>
        <v>0</v>
      </c>
      <c r="AR246" s="61">
        <f>SUMIFS(super1[Qtde],super1[Item],tab_higiene[[#This Row],[Item]],super1[Bairro],mercado8)+SUMIFS(supercb[Qtde],supercb[Item],tab_higiene[[#This Row],[Item]],supercb[Bairro],mercado8)</f>
        <v>0</v>
      </c>
      <c r="AS246" s="61">
        <f>SUMIFS(super1[Qtde],super1[Item],tab_higiene[[#This Row],[Item]],super1[Bairro],mercado9)+SUMIFS(supercb[Qtde],supercb[Item],tab_higiene[[#This Row],[Item]],supercb[Bairro],mercado9)</f>
        <v>0</v>
      </c>
      <c r="AT246" s="61">
        <f>SUMIFS(super1[Qtde],super1[Item],tab_higiene[[#This Row],[Item]],super1[Bairro],mercado10)+SUMIFS(supercb[Qtde],supercb[Item],tab_higiene[[#This Row],[Item]],supercb[Bairro],mercado10)</f>
        <v>0</v>
      </c>
      <c r="AU246" s="61">
        <f>SUMIFS(super1[Qtde],super1[Item],tab_higiene[[#This Row],[Item]],super1[Bairro],mercado11)+SUMIFS(supercb[Qtde],supercb[Item],tab_higiene[[#This Row],[Item]],supercb[Bairro],mercado11)</f>
        <v>0</v>
      </c>
      <c r="AV246" s="61">
        <f>SUMIFS(super1[Qtde],super1[Item],tab_higiene[[#This Row],[Item]],super1[Bairro],mercado12)+SUMIFS(supercb[Qtde],supercb[Item],tab_higiene[[#This Row],[Item]],supercb[Bairro],mercado12)</f>
        <v>0</v>
      </c>
      <c r="AW246" s="61">
        <f>SUMIFS(super1[Qtde],super1[Item],tab_higiene[[#This Row],[Item]],super1[Bairro],mercado13)+SUMIFS(supercb[Qtde],supercb[Item],tab_higiene[[#This Row],[Item]],supercb[Bairro],mercado13)</f>
        <v>0</v>
      </c>
      <c r="AX246" s="61">
        <f>SUMIFS(super1[Qtde],super1[Item],tab_higiene[[#This Row],[Item]],super1[Bairro],mercado14)+SUMIFS(supercb[Qtde],supercb[Item],tab_higiene[[#This Row],[Item]],supercb[Bairro],mercado14)</f>
        <v>0</v>
      </c>
      <c r="AY246" s="61">
        <f>SUMIFS(super1[Qtde],super1[Item],tab_higiene[[#This Row],[Item]],super1[Bairro],mercado15)+SUMIFS(supercb[Qtde],supercb[Item],tab_higiene[[#This Row],[Item]],supercb[Bairro],mercado15)</f>
        <v>0</v>
      </c>
      <c r="AZ246" s="61">
        <f>SUMIFS(super1[Qtde],super1[Item],tab_higiene[[#This Row],[Item]],super1[Bairro],mercado16)+SUMIFS(supercb[Qtde],supercb[Item],tab_higiene[[#This Row],[Item]],supercb[Bairro],mercado16)</f>
        <v>0</v>
      </c>
      <c r="BA246" s="61">
        <f>SUMIFS(super1[Qtde],super1[Item],tab_higiene[[#This Row],[Item]],super1[Bairro],mercado17)+SUMIFS(supercb[Qtde],supercb[Item],tab_higiene[[#This Row],[Item]],supercb[Bairro],mercado17)</f>
        <v>0</v>
      </c>
      <c r="BB246" s="61">
        <f>SUMIFS(super1[Qtde],super1[Item],tab_higiene[[#This Row],[Item]],super1[Bairro],mercado18)+SUMIFS(supercb[Qtde],supercb[Item],tab_higiene[[#This Row],[Item]],supercb[Bairro],mercado18)</f>
        <v>0</v>
      </c>
      <c r="BC246" s="51">
        <f>SUMIFS(super1[Qtde],super1[Item],tab_higiene[[#This Row],[Item]],super1[Bairro],extras)+SUMIFS(supercb[Qtde],supercb[Item],tab_higiene[[#This Row],[Item]],supercb[Bairro],extras)</f>
        <v>0</v>
      </c>
      <c r="BD246" s="8">
        <f t="shared" si="85"/>
        <v>0</v>
      </c>
      <c r="BE246" s="8">
        <f t="shared" si="86"/>
        <v>0</v>
      </c>
      <c r="BF246" s="23">
        <f t="shared" si="87"/>
        <v>0</v>
      </c>
    </row>
    <row r="247" spans="9:58" ht="15.75" thickBot="1" x14ac:dyDescent="0.3">
      <c r="I247" s="65" t="str">
        <f>alimentos[[#This Row],[Item]]</f>
        <v>Sopa pronta (500g)</v>
      </c>
      <c r="J247" s="61">
        <f>IFERROR(alimentos[[#This Row],[kg/embalagem]],0)</f>
        <v>0.5</v>
      </c>
      <c r="K247" s="64">
        <f>IFERROR(alimentos[[#This Row],[Preço]],0)</f>
        <v>7.99</v>
      </c>
      <c r="L247" s="64">
        <f>SUMIFS(super1[Qtde],super1[Item],tab_alimentos[[#This Row],[Item]],super1[Bairro],mercado1)+SUMIFS(supercb[Qtde],supercb[Item],tab_alimentos[[#This Row],[Item]],supercb[Bairro],mercado1)</f>
        <v>0</v>
      </c>
      <c r="M247" s="64">
        <f>SUMIFS(super1[Qtde],super1[Item],tab_alimentos[[#This Row],[Item]],super1[Bairro],mercado2)+SUMIFS(supercb[Qtde],supercb[Item],tab_alimentos[[#This Row],[Item]],supercb[Bairro],mercado2)</f>
        <v>0</v>
      </c>
      <c r="N247" s="61">
        <f>SUMIFS(super1[Qtde],super1[Item],tab_alimentos[[#This Row],[Item]],super1[Bairro],mercado3)+SUMIFS(supercb[Qtde],supercb[Item],tab_alimentos[[#This Row],[Item]],supercb[Bairro],mercado3)</f>
        <v>0</v>
      </c>
      <c r="O247" s="64">
        <f>SUMIFS(super1[Qtde],super1[Item],tab_alimentos[[#This Row],[Item]],super1[Bairro],mercado4)+SUMIFS(supercb[Qtde],supercb[Item],tab_alimentos[[#This Row],[Item]],supercb[Bairro],mercado4)</f>
        <v>0</v>
      </c>
      <c r="P247" s="64">
        <f>SUMIFS(super1[Qtde],super1[Item],tab_alimentos[[#This Row],[Item]],super1[Bairro],mercado5)+SUMIFS(supercb[Qtde],supercb[Item],tab_alimentos[[#This Row],[Item]],supercb[Bairro],mercado5)</f>
        <v>0</v>
      </c>
      <c r="Q247" s="64">
        <f>SUMIFS(super1[Qtde],super1[Item],tab_alimentos[[#This Row],[Item]],super1[Bairro],mercado6)+SUMIFS(supercb[Qtde],supercb[Item],tab_alimentos[[#This Row],[Item]],supercb[Bairro],mercado6)</f>
        <v>0</v>
      </c>
      <c r="R247" s="64">
        <f>SUMIFS(super1[Qtde],super1[Item],tab_alimentos[[#This Row],[Item]],super1[Bairro],mercado7)+SUMIFS(supercb[Qtde],supercb[Item],tab_alimentos[[#This Row],[Item]],supercb[Bairro],mercado7)</f>
        <v>0</v>
      </c>
      <c r="S247" s="64">
        <f>SUMIFS(super1[Qtde],super1[Item],tab_alimentos[[#This Row],[Item]],super1[Bairro],mercado8)+SUMIFS(supercb[Qtde],supercb[Item],tab_alimentos[[#This Row],[Item]],supercb[Bairro],mercado8)</f>
        <v>0</v>
      </c>
      <c r="T247" s="64">
        <f>SUMIFS(super1[Qtde],super1[Item],tab_alimentos[[#This Row],[Item]],super1[Bairro],mercado9)+SUMIFS(supercb[Qtde],supercb[Item],tab_alimentos[[#This Row],[Item]],supercb[Bairro],mercado9)</f>
        <v>0</v>
      </c>
      <c r="U247" s="64">
        <f>SUMIFS(super1[Qtde],super1[Item],tab_alimentos[[#This Row],[Item]],super1[Bairro],mercado10)+SUMIFS(supercb[Qtde],supercb[Item],tab_alimentos[[#This Row],[Item]],supercb[Bairro],mercado10)</f>
        <v>0</v>
      </c>
      <c r="V247" s="64">
        <f>SUMIFS(super1[Qtde],super1[Item],tab_alimentos[[#This Row],[Item]],super1[Bairro],mercado11)+SUMIFS(supercb[Qtde],supercb[Item],tab_alimentos[[#This Row],[Item]],supercb[Bairro],mercado11)</f>
        <v>0</v>
      </c>
      <c r="W247" s="64">
        <f>SUMIFS(super1[Qtde],super1[Item],tab_alimentos[[#This Row],[Item]],super1[Bairro],mercado12)+SUMIFS(supercb[Qtde],supercb[Item],tab_alimentos[[#This Row],[Item]],supercb[Bairro],mercado12)</f>
        <v>0</v>
      </c>
      <c r="X247" s="64">
        <f>SUMIFS(super1[Qtde],super1[Item],tab_alimentos[[#This Row],[Item]],super1[Bairro],mercado13)+SUMIFS(supercb[Qtde],supercb[Item],tab_alimentos[[#This Row],[Item]],supercb[Bairro],mercado13)</f>
        <v>0</v>
      </c>
      <c r="Y247" s="64">
        <f>SUMIFS(super1[Qtde],super1[Item],tab_alimentos[[#This Row],[Item]],super1[Bairro],mercado14)+SUMIFS(supercb[Qtde],supercb[Item],tab_alimentos[[#This Row],[Item]],supercb[Bairro],mercado14)</f>
        <v>0</v>
      </c>
      <c r="Z247" s="64">
        <f>SUMIFS(super1[Qtde],super1[Item],tab_alimentos[[#This Row],[Item]],super1[Bairro],mercado15)+SUMIFS(supercb[Qtde],supercb[Item],tab_alimentos[[#This Row],[Item]],supercb[Bairro],mercado15)</f>
        <v>0</v>
      </c>
      <c r="AA247" s="64">
        <f>SUMIFS(super1[Qtde],super1[Item],tab_alimentos[[#This Row],[Item]],super1[Bairro],mercado16)+SUMIFS(supercb[Qtde],supercb[Item],tab_alimentos[[#This Row],[Item]],supercb[Bairro],mercado16)</f>
        <v>0</v>
      </c>
      <c r="AB247" s="64">
        <f>SUMIFS(super1[Qtde],super1[Item],tab_alimentos[[#This Row],[Item]],super1[Bairro],mercado17)+SUMIFS(supercb[Qtde],supercb[Item],tab_alimentos[[#This Row],[Item]],supercb[Bairro],mercado17)</f>
        <v>0</v>
      </c>
      <c r="AC247" s="64">
        <f>SUMIFS(super1[Qtde],super1[Item],tab_alimentos[[#This Row],[Item]],super1[Bairro],mercado18)+SUMIFS(supercb[Qtde],supercb[Item],tab_alimentos[[#This Row],[Item]],supercb[Bairro],mercado18)</f>
        <v>0</v>
      </c>
      <c r="AD247" s="64">
        <f>SUMIFS(super1[Qtde],super1[Item],tab_alimentos[[#This Row],[Item]],super1[Bairro],extras)+SUMIFS(supercb[Qtde],supercb[Item],tab_alimentos[[#This Row],[Item]],supercb[Bairro],extras)</f>
        <v>0</v>
      </c>
      <c r="AE247" s="61">
        <f t="shared" si="82"/>
        <v>0</v>
      </c>
      <c r="AF247" s="61">
        <f t="shared" si="83"/>
        <v>0</v>
      </c>
      <c r="AG247" s="62">
        <f t="shared" si="84"/>
        <v>0</v>
      </c>
      <c r="AH247" s="15" t="e">
        <f>higiene[[#This Row],[Item]]</f>
        <v>#VALUE!</v>
      </c>
      <c r="AI247" s="8">
        <f>IFERROR(higiene[[#This Row],[Kg equivalente]],0)</f>
        <v>0</v>
      </c>
      <c r="AJ247" s="8">
        <f>IFERROR(higiene[[#This Row],[Preço por produto]],0)</f>
        <v>0</v>
      </c>
      <c r="AK247" s="61">
        <f>SUMIFS(super1[Qtde],super1[Item],tab_higiene[[#This Row],[Item]],super1[Bairro],mercado1)+SUMIFS(supercb[Qtde],supercb[Item],tab_higiene[[#This Row],[Item]],supercb[Bairro],mercado1)</f>
        <v>0</v>
      </c>
      <c r="AL247" s="61">
        <f>SUMIFS(super1[Qtde],super1[Item],tab_higiene[[#This Row],[Item]],super1[Bairro],mercado2)+SUMIFS(supercb[Qtde],supercb[Item],tab_higiene[[#This Row],[Item]],supercb[Bairro],mercado2)</f>
        <v>0</v>
      </c>
      <c r="AM247" s="61">
        <f>SUMIFS(super1[Qtde],super1[Item],tab_higiene[[#This Row],[Item]],super1[Bairro],mercado3)+SUMIFS(supercb[Qtde],supercb[Item],tab_higiene[[#This Row],[Item]],supercb[Bairro],mercado3)</f>
        <v>0</v>
      </c>
      <c r="AN247" s="61">
        <f>SUMIFS(super1[Qtde],super1[Item],tab_higiene[[#This Row],[Item]],super1[Bairro],mercado4)+SUMIFS(supercb[Qtde],supercb[Item],tab_higiene[[#This Row],[Item]],supercb[Bairro],mercado4)</f>
        <v>0</v>
      </c>
      <c r="AO247" s="61">
        <f>SUMIFS(super1[Qtde],super1[Item],tab_higiene[[#This Row],[Item]],super1[Bairro],mercado5)+SUMIFS(supercb[Qtde],supercb[Item],tab_higiene[[#This Row],[Item]],supercb[Bairro],mercado5)</f>
        <v>0</v>
      </c>
      <c r="AP247" s="61">
        <f>SUMIFS(super1[Qtde],super1[Item],tab_higiene[[#This Row],[Item]],super1[Bairro],mercado6)+SUMIFS(supercb[Qtde],supercb[Item],tab_higiene[[#This Row],[Item]],supercb[Bairro],mercado6)</f>
        <v>0</v>
      </c>
      <c r="AQ247" s="61">
        <f>SUMIFS(super1[Qtde],super1[Item],tab_higiene[[#This Row],[Item]],super1[Bairro],mercado7)+SUMIFS(supercb[Qtde],supercb[Item],tab_higiene[[#This Row],[Item]],supercb[Bairro],mercado7)</f>
        <v>0</v>
      </c>
      <c r="AR247" s="61">
        <f>SUMIFS(super1[Qtde],super1[Item],tab_higiene[[#This Row],[Item]],super1[Bairro],mercado8)+SUMIFS(supercb[Qtde],supercb[Item],tab_higiene[[#This Row],[Item]],supercb[Bairro],mercado8)</f>
        <v>0</v>
      </c>
      <c r="AS247" s="61">
        <f>SUMIFS(super1[Qtde],super1[Item],tab_higiene[[#This Row],[Item]],super1[Bairro],mercado9)+SUMIFS(supercb[Qtde],supercb[Item],tab_higiene[[#This Row],[Item]],supercb[Bairro],mercado9)</f>
        <v>0</v>
      </c>
      <c r="AT247" s="61">
        <f>SUMIFS(super1[Qtde],super1[Item],tab_higiene[[#This Row],[Item]],super1[Bairro],mercado10)+SUMIFS(supercb[Qtde],supercb[Item],tab_higiene[[#This Row],[Item]],supercb[Bairro],mercado10)</f>
        <v>0</v>
      </c>
      <c r="AU247" s="61">
        <f>SUMIFS(super1[Qtde],super1[Item],tab_higiene[[#This Row],[Item]],super1[Bairro],mercado11)+SUMIFS(supercb[Qtde],supercb[Item],tab_higiene[[#This Row],[Item]],supercb[Bairro],mercado11)</f>
        <v>0</v>
      </c>
      <c r="AV247" s="61">
        <f>SUMIFS(super1[Qtde],super1[Item],tab_higiene[[#This Row],[Item]],super1[Bairro],mercado12)+SUMIFS(supercb[Qtde],supercb[Item],tab_higiene[[#This Row],[Item]],supercb[Bairro],mercado12)</f>
        <v>0</v>
      </c>
      <c r="AW247" s="61">
        <f>SUMIFS(super1[Qtde],super1[Item],tab_higiene[[#This Row],[Item]],super1[Bairro],mercado13)+SUMIFS(supercb[Qtde],supercb[Item],tab_higiene[[#This Row],[Item]],supercb[Bairro],mercado13)</f>
        <v>0</v>
      </c>
      <c r="AX247" s="61">
        <f>SUMIFS(super1[Qtde],super1[Item],tab_higiene[[#This Row],[Item]],super1[Bairro],mercado14)+SUMIFS(supercb[Qtde],supercb[Item],tab_higiene[[#This Row],[Item]],supercb[Bairro],mercado14)</f>
        <v>0</v>
      </c>
      <c r="AY247" s="61">
        <f>SUMIFS(super1[Qtde],super1[Item],tab_higiene[[#This Row],[Item]],super1[Bairro],mercado15)+SUMIFS(supercb[Qtde],supercb[Item],tab_higiene[[#This Row],[Item]],supercb[Bairro],mercado15)</f>
        <v>0</v>
      </c>
      <c r="AZ247" s="61">
        <f>SUMIFS(super1[Qtde],super1[Item],tab_higiene[[#This Row],[Item]],super1[Bairro],mercado16)+SUMIFS(supercb[Qtde],supercb[Item],tab_higiene[[#This Row],[Item]],supercb[Bairro],mercado16)</f>
        <v>0</v>
      </c>
      <c r="BA247" s="61">
        <f>SUMIFS(super1[Qtde],super1[Item],tab_higiene[[#This Row],[Item]],super1[Bairro],mercado17)+SUMIFS(supercb[Qtde],supercb[Item],tab_higiene[[#This Row],[Item]],supercb[Bairro],mercado17)</f>
        <v>0</v>
      </c>
      <c r="BB247" s="61">
        <f>SUMIFS(super1[Qtde],super1[Item],tab_higiene[[#This Row],[Item]],super1[Bairro],mercado18)+SUMIFS(supercb[Qtde],supercb[Item],tab_higiene[[#This Row],[Item]],supercb[Bairro],mercado18)</f>
        <v>0</v>
      </c>
      <c r="BC247" s="51">
        <f>SUMIFS(super1[Qtde],super1[Item],tab_higiene[[#This Row],[Item]],super1[Bairro],extras)+SUMIFS(supercb[Qtde],supercb[Item],tab_higiene[[#This Row],[Item]],supercb[Bairro],extras)</f>
        <v>0</v>
      </c>
      <c r="BD247" s="8">
        <f t="shared" si="85"/>
        <v>0</v>
      </c>
      <c r="BE247" s="8">
        <f t="shared" si="86"/>
        <v>0</v>
      </c>
      <c r="BF247" s="23">
        <f t="shared" si="87"/>
        <v>0</v>
      </c>
    </row>
    <row r="248" spans="9:58" ht="15.75" thickBot="1" x14ac:dyDescent="0.3">
      <c r="I248" s="65" t="str">
        <f>alimentos[[#This Row],[Item]]</f>
        <v>Sopão (200g)</v>
      </c>
      <c r="J248" s="61">
        <f>IFERROR(alimentos[[#This Row],[kg/embalagem]],0)</f>
        <v>0.2</v>
      </c>
      <c r="K248" s="64">
        <f>IFERROR(alimentos[[#This Row],[Preço]],0)</f>
        <v>6.7483333333333348</v>
      </c>
      <c r="L248" s="64">
        <f>SUMIFS(super1[Qtde],super1[Item],tab_alimentos[[#This Row],[Item]],super1[Bairro],mercado1)+SUMIFS(supercb[Qtde],supercb[Item],tab_alimentos[[#This Row],[Item]],supercb[Bairro],mercado1)</f>
        <v>1</v>
      </c>
      <c r="M248" s="64">
        <f>SUMIFS(super1[Qtde],super1[Item],tab_alimentos[[#This Row],[Item]],super1[Bairro],mercado2)+SUMIFS(supercb[Qtde],supercb[Item],tab_alimentos[[#This Row],[Item]],supercb[Bairro],mercado2)</f>
        <v>0</v>
      </c>
      <c r="N248" s="61">
        <f>SUMIFS(super1[Qtde],super1[Item],tab_alimentos[[#This Row],[Item]],super1[Bairro],mercado3)+SUMIFS(supercb[Qtde],supercb[Item],tab_alimentos[[#This Row],[Item]],supercb[Bairro],mercado3)</f>
        <v>0</v>
      </c>
      <c r="O248" s="64">
        <f>SUMIFS(super1[Qtde],super1[Item],tab_alimentos[[#This Row],[Item]],super1[Bairro],mercado4)+SUMIFS(supercb[Qtde],supercb[Item],tab_alimentos[[#This Row],[Item]],supercb[Bairro],mercado4)</f>
        <v>0</v>
      </c>
      <c r="P248" s="64">
        <f>SUMIFS(super1[Qtde],super1[Item],tab_alimentos[[#This Row],[Item]],super1[Bairro],mercado5)+SUMIFS(supercb[Qtde],supercb[Item],tab_alimentos[[#This Row],[Item]],supercb[Bairro],mercado5)</f>
        <v>0</v>
      </c>
      <c r="Q248" s="64">
        <f>SUMIFS(super1[Qtde],super1[Item],tab_alimentos[[#This Row],[Item]],super1[Bairro],mercado6)+SUMIFS(supercb[Qtde],supercb[Item],tab_alimentos[[#This Row],[Item]],supercb[Bairro],mercado6)</f>
        <v>0</v>
      </c>
      <c r="R248" s="64">
        <f>SUMIFS(super1[Qtde],super1[Item],tab_alimentos[[#This Row],[Item]],super1[Bairro],mercado7)+SUMIFS(supercb[Qtde],supercb[Item],tab_alimentos[[#This Row],[Item]],supercb[Bairro],mercado7)</f>
        <v>0</v>
      </c>
      <c r="S248" s="64">
        <f>SUMIFS(super1[Qtde],super1[Item],tab_alimentos[[#This Row],[Item]],super1[Bairro],mercado8)+SUMIFS(supercb[Qtde],supercb[Item],tab_alimentos[[#This Row],[Item]],supercb[Bairro],mercado8)</f>
        <v>0</v>
      </c>
      <c r="T248" s="64">
        <f>SUMIFS(super1[Qtde],super1[Item],tab_alimentos[[#This Row],[Item]],super1[Bairro],mercado9)+SUMIFS(supercb[Qtde],supercb[Item],tab_alimentos[[#This Row],[Item]],supercb[Bairro],mercado9)</f>
        <v>0</v>
      </c>
      <c r="U248" s="64">
        <f>SUMIFS(super1[Qtde],super1[Item],tab_alimentos[[#This Row],[Item]],super1[Bairro],mercado10)+SUMIFS(supercb[Qtde],supercb[Item],tab_alimentos[[#This Row],[Item]],supercb[Bairro],mercado10)</f>
        <v>0</v>
      </c>
      <c r="V248" s="64">
        <f>SUMIFS(super1[Qtde],super1[Item],tab_alimentos[[#This Row],[Item]],super1[Bairro],mercado11)+SUMIFS(supercb[Qtde],supercb[Item],tab_alimentos[[#This Row],[Item]],supercb[Bairro],mercado11)</f>
        <v>0</v>
      </c>
      <c r="W248" s="64">
        <f>SUMIFS(super1[Qtde],super1[Item],tab_alimentos[[#This Row],[Item]],super1[Bairro],mercado12)+SUMIFS(supercb[Qtde],supercb[Item],tab_alimentos[[#This Row],[Item]],supercb[Bairro],mercado12)</f>
        <v>0</v>
      </c>
      <c r="X248" s="64">
        <f>SUMIFS(super1[Qtde],super1[Item],tab_alimentos[[#This Row],[Item]],super1[Bairro],mercado13)+SUMIFS(supercb[Qtde],supercb[Item],tab_alimentos[[#This Row],[Item]],supercb[Bairro],mercado13)</f>
        <v>0</v>
      </c>
      <c r="Y248" s="64">
        <f>SUMIFS(super1[Qtde],super1[Item],tab_alimentos[[#This Row],[Item]],super1[Bairro],mercado14)+SUMIFS(supercb[Qtde],supercb[Item],tab_alimentos[[#This Row],[Item]],supercb[Bairro],mercado14)</f>
        <v>0</v>
      </c>
      <c r="Z248" s="64">
        <f>SUMIFS(super1[Qtde],super1[Item],tab_alimentos[[#This Row],[Item]],super1[Bairro],mercado15)+SUMIFS(supercb[Qtde],supercb[Item],tab_alimentos[[#This Row],[Item]],supercb[Bairro],mercado15)</f>
        <v>0</v>
      </c>
      <c r="AA248" s="64">
        <f>SUMIFS(super1[Qtde],super1[Item],tab_alimentos[[#This Row],[Item]],super1[Bairro],mercado16)+SUMIFS(supercb[Qtde],supercb[Item],tab_alimentos[[#This Row],[Item]],supercb[Bairro],mercado16)</f>
        <v>0</v>
      </c>
      <c r="AB248" s="64">
        <f>SUMIFS(super1[Qtde],super1[Item],tab_alimentos[[#This Row],[Item]],super1[Bairro],mercado17)+SUMIFS(supercb[Qtde],supercb[Item],tab_alimentos[[#This Row],[Item]],supercb[Bairro],mercado17)</f>
        <v>0</v>
      </c>
      <c r="AC248" s="64">
        <f>SUMIFS(super1[Qtde],super1[Item],tab_alimentos[[#This Row],[Item]],super1[Bairro],mercado18)+SUMIFS(supercb[Qtde],supercb[Item],tab_alimentos[[#This Row],[Item]],supercb[Bairro],mercado18)</f>
        <v>0</v>
      </c>
      <c r="AD248" s="64">
        <f>SUMIFS(super1[Qtde],super1[Item],tab_alimentos[[#This Row],[Item]],super1[Bairro],extras)+SUMIFS(supercb[Qtde],supercb[Item],tab_alimentos[[#This Row],[Item]],supercb[Bairro],extras)</f>
        <v>0</v>
      </c>
      <c r="AE248" s="61">
        <f t="shared" si="82"/>
        <v>1</v>
      </c>
      <c r="AF248" s="61">
        <f t="shared" si="83"/>
        <v>6.7483333333333348</v>
      </c>
      <c r="AG248" s="62">
        <f t="shared" si="84"/>
        <v>0.2</v>
      </c>
      <c r="AH248" s="15" t="e">
        <f>higiene[[#This Row],[Item]]</f>
        <v>#VALUE!</v>
      </c>
      <c r="AI248" s="8">
        <f>IFERROR(higiene[[#This Row],[Kg equivalente]],0)</f>
        <v>0</v>
      </c>
      <c r="AJ248" s="8">
        <f>IFERROR(higiene[[#This Row],[Preço por produto]],0)</f>
        <v>0</v>
      </c>
      <c r="AK248" s="61">
        <f>SUMIFS(super1[Qtde],super1[Item],tab_higiene[[#This Row],[Item]],super1[Bairro],mercado1)+SUMIFS(supercb[Qtde],supercb[Item],tab_higiene[[#This Row],[Item]],supercb[Bairro],mercado1)</f>
        <v>0</v>
      </c>
      <c r="AL248" s="61">
        <f>SUMIFS(super1[Qtde],super1[Item],tab_higiene[[#This Row],[Item]],super1[Bairro],mercado2)+SUMIFS(supercb[Qtde],supercb[Item],tab_higiene[[#This Row],[Item]],supercb[Bairro],mercado2)</f>
        <v>0</v>
      </c>
      <c r="AM248" s="61">
        <f>SUMIFS(super1[Qtde],super1[Item],tab_higiene[[#This Row],[Item]],super1[Bairro],mercado3)+SUMIFS(supercb[Qtde],supercb[Item],tab_higiene[[#This Row],[Item]],supercb[Bairro],mercado3)</f>
        <v>0</v>
      </c>
      <c r="AN248" s="61">
        <f>SUMIFS(super1[Qtde],super1[Item],tab_higiene[[#This Row],[Item]],super1[Bairro],mercado4)+SUMIFS(supercb[Qtde],supercb[Item],tab_higiene[[#This Row],[Item]],supercb[Bairro],mercado4)</f>
        <v>0</v>
      </c>
      <c r="AO248" s="61">
        <f>SUMIFS(super1[Qtde],super1[Item],tab_higiene[[#This Row],[Item]],super1[Bairro],mercado5)+SUMIFS(supercb[Qtde],supercb[Item],tab_higiene[[#This Row],[Item]],supercb[Bairro],mercado5)</f>
        <v>0</v>
      </c>
      <c r="AP248" s="61">
        <f>SUMIFS(super1[Qtde],super1[Item],tab_higiene[[#This Row],[Item]],super1[Bairro],mercado6)+SUMIFS(supercb[Qtde],supercb[Item],tab_higiene[[#This Row],[Item]],supercb[Bairro],mercado6)</f>
        <v>0</v>
      </c>
      <c r="AQ248" s="61">
        <f>SUMIFS(super1[Qtde],super1[Item],tab_higiene[[#This Row],[Item]],super1[Bairro],mercado7)+SUMIFS(supercb[Qtde],supercb[Item],tab_higiene[[#This Row],[Item]],supercb[Bairro],mercado7)</f>
        <v>0</v>
      </c>
      <c r="AR248" s="61">
        <f>SUMIFS(super1[Qtde],super1[Item],tab_higiene[[#This Row],[Item]],super1[Bairro],mercado8)+SUMIFS(supercb[Qtde],supercb[Item],tab_higiene[[#This Row],[Item]],supercb[Bairro],mercado8)</f>
        <v>0</v>
      </c>
      <c r="AS248" s="61">
        <f>SUMIFS(super1[Qtde],super1[Item],tab_higiene[[#This Row],[Item]],super1[Bairro],mercado9)+SUMIFS(supercb[Qtde],supercb[Item],tab_higiene[[#This Row],[Item]],supercb[Bairro],mercado9)</f>
        <v>0</v>
      </c>
      <c r="AT248" s="61">
        <f>SUMIFS(super1[Qtde],super1[Item],tab_higiene[[#This Row],[Item]],super1[Bairro],mercado10)+SUMIFS(supercb[Qtde],supercb[Item],tab_higiene[[#This Row],[Item]],supercb[Bairro],mercado10)</f>
        <v>0</v>
      </c>
      <c r="AU248" s="61">
        <f>SUMIFS(super1[Qtde],super1[Item],tab_higiene[[#This Row],[Item]],super1[Bairro],mercado11)+SUMIFS(supercb[Qtde],supercb[Item],tab_higiene[[#This Row],[Item]],supercb[Bairro],mercado11)</f>
        <v>0</v>
      </c>
      <c r="AV248" s="61">
        <f>SUMIFS(super1[Qtde],super1[Item],tab_higiene[[#This Row],[Item]],super1[Bairro],mercado12)+SUMIFS(supercb[Qtde],supercb[Item],tab_higiene[[#This Row],[Item]],supercb[Bairro],mercado12)</f>
        <v>0</v>
      </c>
      <c r="AW248" s="61">
        <f>SUMIFS(super1[Qtde],super1[Item],tab_higiene[[#This Row],[Item]],super1[Bairro],mercado13)+SUMIFS(supercb[Qtde],supercb[Item],tab_higiene[[#This Row],[Item]],supercb[Bairro],mercado13)</f>
        <v>0</v>
      </c>
      <c r="AX248" s="61">
        <f>SUMIFS(super1[Qtde],super1[Item],tab_higiene[[#This Row],[Item]],super1[Bairro],mercado14)+SUMIFS(supercb[Qtde],supercb[Item],tab_higiene[[#This Row],[Item]],supercb[Bairro],mercado14)</f>
        <v>0</v>
      </c>
      <c r="AY248" s="61">
        <f>SUMIFS(super1[Qtde],super1[Item],tab_higiene[[#This Row],[Item]],super1[Bairro],mercado15)+SUMIFS(supercb[Qtde],supercb[Item],tab_higiene[[#This Row],[Item]],supercb[Bairro],mercado15)</f>
        <v>0</v>
      </c>
      <c r="AZ248" s="61">
        <f>SUMIFS(super1[Qtde],super1[Item],tab_higiene[[#This Row],[Item]],super1[Bairro],mercado16)+SUMIFS(supercb[Qtde],supercb[Item],tab_higiene[[#This Row],[Item]],supercb[Bairro],mercado16)</f>
        <v>0</v>
      </c>
      <c r="BA248" s="61">
        <f>SUMIFS(super1[Qtde],super1[Item],tab_higiene[[#This Row],[Item]],super1[Bairro],mercado17)+SUMIFS(supercb[Qtde],supercb[Item],tab_higiene[[#This Row],[Item]],supercb[Bairro],mercado17)</f>
        <v>0</v>
      </c>
      <c r="BB248" s="61">
        <f>SUMIFS(super1[Qtde],super1[Item],tab_higiene[[#This Row],[Item]],super1[Bairro],mercado18)+SUMIFS(supercb[Qtde],supercb[Item],tab_higiene[[#This Row],[Item]],supercb[Bairro],mercado18)</f>
        <v>0</v>
      </c>
      <c r="BC248" s="51">
        <f>SUMIFS(super1[Qtde],super1[Item],tab_higiene[[#This Row],[Item]],super1[Bairro],extras)+SUMIFS(supercb[Qtde],supercb[Item],tab_higiene[[#This Row],[Item]],supercb[Bairro],extras)</f>
        <v>0</v>
      </c>
      <c r="BD248" s="8">
        <f t="shared" si="85"/>
        <v>0</v>
      </c>
      <c r="BE248" s="8">
        <f t="shared" si="86"/>
        <v>0</v>
      </c>
      <c r="BF248" s="23">
        <f t="shared" si="87"/>
        <v>0</v>
      </c>
    </row>
    <row r="249" spans="9:58" ht="15.75" thickBot="1" x14ac:dyDescent="0.3">
      <c r="I249" s="65" t="str">
        <f>alimentos[[#This Row],[Item]]</f>
        <v>Suco (1,5L)</v>
      </c>
      <c r="J249" s="61">
        <f>IFERROR(alimentos[[#This Row],[kg/embalagem]],0)</f>
        <v>1.5</v>
      </c>
      <c r="K249" s="64">
        <f>IFERROR(alimentos[[#This Row],[Preço]],0)</f>
        <v>8.56</v>
      </c>
      <c r="L249" s="64">
        <f>SUMIFS(super1[Qtde],super1[Item],tab_alimentos[[#This Row],[Item]],super1[Bairro],mercado1)+SUMIFS(supercb[Qtde],supercb[Item],tab_alimentos[[#This Row],[Item]],supercb[Bairro],mercado1)</f>
        <v>0</v>
      </c>
      <c r="M249" s="64">
        <f>SUMIFS(super1[Qtde],super1[Item],tab_alimentos[[#This Row],[Item]],super1[Bairro],mercado2)+SUMIFS(supercb[Qtde],supercb[Item],tab_alimentos[[#This Row],[Item]],supercb[Bairro],mercado2)</f>
        <v>0</v>
      </c>
      <c r="N249" s="61">
        <f>SUMIFS(super1[Qtde],super1[Item],tab_alimentos[[#This Row],[Item]],super1[Bairro],mercado3)+SUMIFS(supercb[Qtde],supercb[Item],tab_alimentos[[#This Row],[Item]],supercb[Bairro],mercado3)</f>
        <v>0</v>
      </c>
      <c r="O249" s="64">
        <f>SUMIFS(super1[Qtde],super1[Item],tab_alimentos[[#This Row],[Item]],super1[Bairro],mercado4)+SUMIFS(supercb[Qtde],supercb[Item],tab_alimentos[[#This Row],[Item]],supercb[Bairro],mercado4)</f>
        <v>0</v>
      </c>
      <c r="P249" s="64">
        <f>SUMIFS(super1[Qtde],super1[Item],tab_alimentos[[#This Row],[Item]],super1[Bairro],mercado5)+SUMIFS(supercb[Qtde],supercb[Item],tab_alimentos[[#This Row],[Item]],supercb[Bairro],mercado5)</f>
        <v>0</v>
      </c>
      <c r="Q249" s="64">
        <f>SUMIFS(super1[Qtde],super1[Item],tab_alimentos[[#This Row],[Item]],super1[Bairro],mercado6)+SUMIFS(supercb[Qtde],supercb[Item],tab_alimentos[[#This Row],[Item]],supercb[Bairro],mercado6)</f>
        <v>0</v>
      </c>
      <c r="R249" s="64">
        <f>SUMIFS(super1[Qtde],super1[Item],tab_alimentos[[#This Row],[Item]],super1[Bairro],mercado7)+SUMIFS(supercb[Qtde],supercb[Item],tab_alimentos[[#This Row],[Item]],supercb[Bairro],mercado7)</f>
        <v>1</v>
      </c>
      <c r="S249" s="64">
        <f>SUMIFS(super1[Qtde],super1[Item],tab_alimentos[[#This Row],[Item]],super1[Bairro],mercado8)+SUMIFS(supercb[Qtde],supercb[Item],tab_alimentos[[#This Row],[Item]],supercb[Bairro],mercado8)</f>
        <v>0</v>
      </c>
      <c r="T249" s="64">
        <f>SUMIFS(super1[Qtde],super1[Item],tab_alimentos[[#This Row],[Item]],super1[Bairro],mercado9)+SUMIFS(supercb[Qtde],supercb[Item],tab_alimentos[[#This Row],[Item]],supercb[Bairro],mercado9)</f>
        <v>0</v>
      </c>
      <c r="U249" s="64">
        <f>SUMIFS(super1[Qtde],super1[Item],tab_alimentos[[#This Row],[Item]],super1[Bairro],mercado10)+SUMIFS(supercb[Qtde],supercb[Item],tab_alimentos[[#This Row],[Item]],supercb[Bairro],mercado10)</f>
        <v>0</v>
      </c>
      <c r="V249" s="64">
        <f>SUMIFS(super1[Qtde],super1[Item],tab_alimentos[[#This Row],[Item]],super1[Bairro],mercado11)+SUMIFS(supercb[Qtde],supercb[Item],tab_alimentos[[#This Row],[Item]],supercb[Bairro],mercado11)</f>
        <v>0</v>
      </c>
      <c r="W249" s="64">
        <f>SUMIFS(super1[Qtde],super1[Item],tab_alimentos[[#This Row],[Item]],super1[Bairro],mercado12)+SUMIFS(supercb[Qtde],supercb[Item],tab_alimentos[[#This Row],[Item]],supercb[Bairro],mercado12)</f>
        <v>0</v>
      </c>
      <c r="X249" s="64">
        <f>SUMIFS(super1[Qtde],super1[Item],tab_alimentos[[#This Row],[Item]],super1[Bairro],mercado13)+SUMIFS(supercb[Qtde],supercb[Item],tab_alimentos[[#This Row],[Item]],supercb[Bairro],mercado13)</f>
        <v>0</v>
      </c>
      <c r="Y249" s="64">
        <f>SUMIFS(super1[Qtde],super1[Item],tab_alimentos[[#This Row],[Item]],super1[Bairro],mercado14)+SUMIFS(supercb[Qtde],supercb[Item],tab_alimentos[[#This Row],[Item]],supercb[Bairro],mercado14)</f>
        <v>0</v>
      </c>
      <c r="Z249" s="64">
        <f>SUMIFS(super1[Qtde],super1[Item],tab_alimentos[[#This Row],[Item]],super1[Bairro],mercado15)+SUMIFS(supercb[Qtde],supercb[Item],tab_alimentos[[#This Row],[Item]],supercb[Bairro],mercado15)</f>
        <v>0</v>
      </c>
      <c r="AA249" s="64">
        <f>SUMIFS(super1[Qtde],super1[Item],tab_alimentos[[#This Row],[Item]],super1[Bairro],mercado16)+SUMIFS(supercb[Qtde],supercb[Item],tab_alimentos[[#This Row],[Item]],supercb[Bairro],mercado16)</f>
        <v>0</v>
      </c>
      <c r="AB249" s="64">
        <f>SUMIFS(super1[Qtde],super1[Item],tab_alimentos[[#This Row],[Item]],super1[Bairro],mercado17)+SUMIFS(supercb[Qtde],supercb[Item],tab_alimentos[[#This Row],[Item]],supercb[Bairro],mercado17)</f>
        <v>0</v>
      </c>
      <c r="AC249" s="64">
        <f>SUMIFS(super1[Qtde],super1[Item],tab_alimentos[[#This Row],[Item]],super1[Bairro],mercado18)+SUMIFS(supercb[Qtde],supercb[Item],tab_alimentos[[#This Row],[Item]],supercb[Bairro],mercado18)</f>
        <v>0</v>
      </c>
      <c r="AD249" s="64">
        <f>SUMIFS(super1[Qtde],super1[Item],tab_alimentos[[#This Row],[Item]],super1[Bairro],extras)+SUMIFS(supercb[Qtde],supercb[Item],tab_alimentos[[#This Row],[Item]],supercb[Bairro],extras)</f>
        <v>0</v>
      </c>
      <c r="AE249" s="61">
        <f t="shared" si="82"/>
        <v>1</v>
      </c>
      <c r="AF249" s="61">
        <f t="shared" si="83"/>
        <v>8.56</v>
      </c>
      <c r="AG249" s="62">
        <f t="shared" si="84"/>
        <v>1.5</v>
      </c>
      <c r="AH249" s="15" t="e">
        <f>higiene[[#This Row],[Item]]</f>
        <v>#VALUE!</v>
      </c>
      <c r="AI249" s="8">
        <f>IFERROR(higiene[[#This Row],[Kg equivalente]],0)</f>
        <v>0</v>
      </c>
      <c r="AJ249" s="8">
        <f>IFERROR(higiene[[#This Row],[Preço por produto]],0)</f>
        <v>0</v>
      </c>
      <c r="AK249" s="61">
        <f>SUMIFS(super1[Qtde],super1[Item],tab_higiene[[#This Row],[Item]],super1[Bairro],mercado1)+SUMIFS(supercb[Qtde],supercb[Item],tab_higiene[[#This Row],[Item]],supercb[Bairro],mercado1)</f>
        <v>0</v>
      </c>
      <c r="AL249" s="61">
        <f>SUMIFS(super1[Qtde],super1[Item],tab_higiene[[#This Row],[Item]],super1[Bairro],mercado2)+SUMIFS(supercb[Qtde],supercb[Item],tab_higiene[[#This Row],[Item]],supercb[Bairro],mercado2)</f>
        <v>0</v>
      </c>
      <c r="AM249" s="61">
        <f>SUMIFS(super1[Qtde],super1[Item],tab_higiene[[#This Row],[Item]],super1[Bairro],mercado3)+SUMIFS(supercb[Qtde],supercb[Item],tab_higiene[[#This Row],[Item]],supercb[Bairro],mercado3)</f>
        <v>0</v>
      </c>
      <c r="AN249" s="61">
        <f>SUMIFS(super1[Qtde],super1[Item],tab_higiene[[#This Row],[Item]],super1[Bairro],mercado4)+SUMIFS(supercb[Qtde],supercb[Item],tab_higiene[[#This Row],[Item]],supercb[Bairro],mercado4)</f>
        <v>0</v>
      </c>
      <c r="AO249" s="61">
        <f>SUMIFS(super1[Qtde],super1[Item],tab_higiene[[#This Row],[Item]],super1[Bairro],mercado5)+SUMIFS(supercb[Qtde],supercb[Item],tab_higiene[[#This Row],[Item]],supercb[Bairro],mercado5)</f>
        <v>0</v>
      </c>
      <c r="AP249" s="61">
        <f>SUMIFS(super1[Qtde],super1[Item],tab_higiene[[#This Row],[Item]],super1[Bairro],mercado6)+SUMIFS(supercb[Qtde],supercb[Item],tab_higiene[[#This Row],[Item]],supercb[Bairro],mercado6)</f>
        <v>0</v>
      </c>
      <c r="AQ249" s="61">
        <f>SUMIFS(super1[Qtde],super1[Item],tab_higiene[[#This Row],[Item]],super1[Bairro],mercado7)+SUMIFS(supercb[Qtde],supercb[Item],tab_higiene[[#This Row],[Item]],supercb[Bairro],mercado7)</f>
        <v>0</v>
      </c>
      <c r="AR249" s="61">
        <f>SUMIFS(super1[Qtde],super1[Item],tab_higiene[[#This Row],[Item]],super1[Bairro],mercado8)+SUMIFS(supercb[Qtde],supercb[Item],tab_higiene[[#This Row],[Item]],supercb[Bairro],mercado8)</f>
        <v>0</v>
      </c>
      <c r="AS249" s="61">
        <f>SUMIFS(super1[Qtde],super1[Item],tab_higiene[[#This Row],[Item]],super1[Bairro],mercado9)+SUMIFS(supercb[Qtde],supercb[Item],tab_higiene[[#This Row],[Item]],supercb[Bairro],mercado9)</f>
        <v>0</v>
      </c>
      <c r="AT249" s="61">
        <f>SUMIFS(super1[Qtde],super1[Item],tab_higiene[[#This Row],[Item]],super1[Bairro],mercado10)+SUMIFS(supercb[Qtde],supercb[Item],tab_higiene[[#This Row],[Item]],supercb[Bairro],mercado10)</f>
        <v>0</v>
      </c>
      <c r="AU249" s="61">
        <f>SUMIFS(super1[Qtde],super1[Item],tab_higiene[[#This Row],[Item]],super1[Bairro],mercado11)+SUMIFS(supercb[Qtde],supercb[Item],tab_higiene[[#This Row],[Item]],supercb[Bairro],mercado11)</f>
        <v>0</v>
      </c>
      <c r="AV249" s="61">
        <f>SUMIFS(super1[Qtde],super1[Item],tab_higiene[[#This Row],[Item]],super1[Bairro],mercado12)+SUMIFS(supercb[Qtde],supercb[Item],tab_higiene[[#This Row],[Item]],supercb[Bairro],mercado12)</f>
        <v>0</v>
      </c>
      <c r="AW249" s="61">
        <f>SUMIFS(super1[Qtde],super1[Item],tab_higiene[[#This Row],[Item]],super1[Bairro],mercado13)+SUMIFS(supercb[Qtde],supercb[Item],tab_higiene[[#This Row],[Item]],supercb[Bairro],mercado13)</f>
        <v>0</v>
      </c>
      <c r="AX249" s="61">
        <f>SUMIFS(super1[Qtde],super1[Item],tab_higiene[[#This Row],[Item]],super1[Bairro],mercado14)+SUMIFS(supercb[Qtde],supercb[Item],tab_higiene[[#This Row],[Item]],supercb[Bairro],mercado14)</f>
        <v>0</v>
      </c>
      <c r="AY249" s="61">
        <f>SUMIFS(super1[Qtde],super1[Item],tab_higiene[[#This Row],[Item]],super1[Bairro],mercado15)+SUMIFS(supercb[Qtde],supercb[Item],tab_higiene[[#This Row],[Item]],supercb[Bairro],mercado15)</f>
        <v>0</v>
      </c>
      <c r="AZ249" s="61">
        <f>SUMIFS(super1[Qtde],super1[Item],tab_higiene[[#This Row],[Item]],super1[Bairro],mercado16)+SUMIFS(supercb[Qtde],supercb[Item],tab_higiene[[#This Row],[Item]],supercb[Bairro],mercado16)</f>
        <v>0</v>
      </c>
      <c r="BA249" s="61">
        <f>SUMIFS(super1[Qtde],super1[Item],tab_higiene[[#This Row],[Item]],super1[Bairro],mercado17)+SUMIFS(supercb[Qtde],supercb[Item],tab_higiene[[#This Row],[Item]],supercb[Bairro],mercado17)</f>
        <v>0</v>
      </c>
      <c r="BB249" s="61">
        <f>SUMIFS(super1[Qtde],super1[Item],tab_higiene[[#This Row],[Item]],super1[Bairro],mercado18)+SUMIFS(supercb[Qtde],supercb[Item],tab_higiene[[#This Row],[Item]],supercb[Bairro],mercado18)</f>
        <v>0</v>
      </c>
      <c r="BC249" s="51">
        <f>SUMIFS(super1[Qtde],super1[Item],tab_higiene[[#This Row],[Item]],super1[Bairro],extras)+SUMIFS(supercb[Qtde],supercb[Item],tab_higiene[[#This Row],[Item]],supercb[Bairro],extras)</f>
        <v>0</v>
      </c>
      <c r="BD249" s="8">
        <f t="shared" si="85"/>
        <v>0</v>
      </c>
      <c r="BE249" s="8">
        <f t="shared" si="86"/>
        <v>0</v>
      </c>
      <c r="BF249" s="23">
        <f t="shared" si="87"/>
        <v>0</v>
      </c>
    </row>
    <row r="250" spans="9:58" ht="15.75" thickBot="1" x14ac:dyDescent="0.3">
      <c r="I250" s="65" t="str">
        <f>alimentos[[#This Row],[Item]]</f>
        <v>Suco (Caixa)</v>
      </c>
      <c r="J250" s="61">
        <f>IFERROR(alimentos[[#This Row],[kg/embalagem]],0)</f>
        <v>1</v>
      </c>
      <c r="K250" s="64">
        <f>IFERROR(alimentos[[#This Row],[Preço]],0)</f>
        <v>3.7399999999999998</v>
      </c>
      <c r="L250" s="64">
        <f>SUMIFS(super1[Qtde],super1[Item],tab_alimentos[[#This Row],[Item]],super1[Bairro],mercado1)+SUMIFS(supercb[Qtde],supercb[Item],tab_alimentos[[#This Row],[Item]],supercb[Bairro],mercado1)</f>
        <v>1</v>
      </c>
      <c r="M250" s="64">
        <f>SUMIFS(super1[Qtde],super1[Item],tab_alimentos[[#This Row],[Item]],super1[Bairro],mercado2)+SUMIFS(supercb[Qtde],supercb[Item],tab_alimentos[[#This Row],[Item]],supercb[Bairro],mercado2)</f>
        <v>0</v>
      </c>
      <c r="N250" s="61">
        <f>SUMIFS(super1[Qtde],super1[Item],tab_alimentos[[#This Row],[Item]],super1[Bairro],mercado3)+SUMIFS(supercb[Qtde],supercb[Item],tab_alimentos[[#This Row],[Item]],supercb[Bairro],mercado3)</f>
        <v>0</v>
      </c>
      <c r="O250" s="64">
        <f>SUMIFS(super1[Qtde],super1[Item],tab_alimentos[[#This Row],[Item]],super1[Bairro],mercado4)+SUMIFS(supercb[Qtde],supercb[Item],tab_alimentos[[#This Row],[Item]],supercb[Bairro],mercado4)</f>
        <v>0</v>
      </c>
      <c r="P250" s="64">
        <f>SUMIFS(super1[Qtde],super1[Item],tab_alimentos[[#This Row],[Item]],super1[Bairro],mercado5)+SUMIFS(supercb[Qtde],supercb[Item],tab_alimentos[[#This Row],[Item]],supercb[Bairro],mercado5)</f>
        <v>0</v>
      </c>
      <c r="Q250" s="64">
        <f>SUMIFS(super1[Qtde],super1[Item],tab_alimentos[[#This Row],[Item]],super1[Bairro],mercado6)+SUMIFS(supercb[Qtde],supercb[Item],tab_alimentos[[#This Row],[Item]],supercb[Bairro],mercado6)</f>
        <v>0</v>
      </c>
      <c r="R250" s="64">
        <f>SUMIFS(super1[Qtde],super1[Item],tab_alimentos[[#This Row],[Item]],super1[Bairro],mercado7)+SUMIFS(supercb[Qtde],supercb[Item],tab_alimentos[[#This Row],[Item]],supercb[Bairro],mercado7)</f>
        <v>0</v>
      </c>
      <c r="S250" s="64">
        <f>SUMIFS(super1[Qtde],super1[Item],tab_alimentos[[#This Row],[Item]],super1[Bairro],mercado8)+SUMIFS(supercb[Qtde],supercb[Item],tab_alimentos[[#This Row],[Item]],supercb[Bairro],mercado8)</f>
        <v>1</v>
      </c>
      <c r="T250" s="64">
        <f>SUMIFS(super1[Qtde],super1[Item],tab_alimentos[[#This Row],[Item]],super1[Bairro],mercado9)+SUMIFS(supercb[Qtde],supercb[Item],tab_alimentos[[#This Row],[Item]],supercb[Bairro],mercado9)</f>
        <v>0</v>
      </c>
      <c r="U250" s="64">
        <f>SUMIFS(super1[Qtde],super1[Item],tab_alimentos[[#This Row],[Item]],super1[Bairro],mercado10)+SUMIFS(supercb[Qtde],supercb[Item],tab_alimentos[[#This Row],[Item]],supercb[Bairro],mercado10)</f>
        <v>0</v>
      </c>
      <c r="V250" s="64">
        <f>SUMIFS(super1[Qtde],super1[Item],tab_alimentos[[#This Row],[Item]],super1[Bairro],mercado11)+SUMIFS(supercb[Qtde],supercb[Item],tab_alimentos[[#This Row],[Item]],supercb[Bairro],mercado11)</f>
        <v>0</v>
      </c>
      <c r="W250" s="64">
        <f>SUMIFS(super1[Qtde],super1[Item],tab_alimentos[[#This Row],[Item]],super1[Bairro],mercado12)+SUMIFS(supercb[Qtde],supercb[Item],tab_alimentos[[#This Row],[Item]],supercb[Bairro],mercado12)</f>
        <v>0</v>
      </c>
      <c r="X250" s="64">
        <f>SUMIFS(super1[Qtde],super1[Item],tab_alimentos[[#This Row],[Item]],super1[Bairro],mercado13)+SUMIFS(supercb[Qtde],supercb[Item],tab_alimentos[[#This Row],[Item]],supercb[Bairro],mercado13)</f>
        <v>0</v>
      </c>
      <c r="Y250" s="64">
        <f>SUMIFS(super1[Qtde],super1[Item],tab_alimentos[[#This Row],[Item]],super1[Bairro],mercado14)+SUMIFS(supercb[Qtde],supercb[Item],tab_alimentos[[#This Row],[Item]],supercb[Bairro],mercado14)</f>
        <v>0</v>
      </c>
      <c r="Z250" s="64">
        <f>SUMIFS(super1[Qtde],super1[Item],tab_alimentos[[#This Row],[Item]],super1[Bairro],mercado15)+SUMIFS(supercb[Qtde],supercb[Item],tab_alimentos[[#This Row],[Item]],supercb[Bairro],mercado15)</f>
        <v>0</v>
      </c>
      <c r="AA250" s="64">
        <f>SUMIFS(super1[Qtde],super1[Item],tab_alimentos[[#This Row],[Item]],super1[Bairro],mercado16)+SUMIFS(supercb[Qtde],supercb[Item],tab_alimentos[[#This Row],[Item]],supercb[Bairro],mercado16)</f>
        <v>0</v>
      </c>
      <c r="AB250" s="64">
        <f>SUMIFS(super1[Qtde],super1[Item],tab_alimentos[[#This Row],[Item]],super1[Bairro],mercado17)+SUMIFS(supercb[Qtde],supercb[Item],tab_alimentos[[#This Row],[Item]],supercb[Bairro],mercado17)</f>
        <v>0</v>
      </c>
      <c r="AC250" s="64">
        <f>SUMIFS(super1[Qtde],super1[Item],tab_alimentos[[#This Row],[Item]],super1[Bairro],mercado18)+SUMIFS(supercb[Qtde],supercb[Item],tab_alimentos[[#This Row],[Item]],supercb[Bairro],mercado18)</f>
        <v>0</v>
      </c>
      <c r="AD250" s="64">
        <f>SUMIFS(super1[Qtde],super1[Item],tab_alimentos[[#This Row],[Item]],super1[Bairro],extras)+SUMIFS(supercb[Qtde],supercb[Item],tab_alimentos[[#This Row],[Item]],supercb[Bairro],extras)</f>
        <v>0</v>
      </c>
      <c r="AE250" s="61">
        <f t="shared" si="82"/>
        <v>2</v>
      </c>
      <c r="AF250" s="61">
        <f t="shared" si="83"/>
        <v>7.4799999999999995</v>
      </c>
      <c r="AG250" s="62">
        <f t="shared" si="84"/>
        <v>2</v>
      </c>
      <c r="AH250" s="15" t="e">
        <f>higiene[[#This Row],[Item]]</f>
        <v>#VALUE!</v>
      </c>
      <c r="AI250" s="8">
        <f>IFERROR(higiene[[#This Row],[Kg equivalente]],0)</f>
        <v>0</v>
      </c>
      <c r="AJ250" s="8">
        <f>IFERROR(higiene[[#This Row],[Preço por produto]],0)</f>
        <v>0</v>
      </c>
      <c r="AK250" s="61">
        <f>SUMIFS(super1[Qtde],super1[Item],tab_higiene[[#This Row],[Item]],super1[Bairro],mercado1)+SUMIFS(supercb[Qtde],supercb[Item],tab_higiene[[#This Row],[Item]],supercb[Bairro],mercado1)</f>
        <v>0</v>
      </c>
      <c r="AL250" s="61">
        <f>SUMIFS(super1[Qtde],super1[Item],tab_higiene[[#This Row],[Item]],super1[Bairro],mercado2)+SUMIFS(supercb[Qtde],supercb[Item],tab_higiene[[#This Row],[Item]],supercb[Bairro],mercado2)</f>
        <v>0</v>
      </c>
      <c r="AM250" s="61">
        <f>SUMIFS(super1[Qtde],super1[Item],tab_higiene[[#This Row],[Item]],super1[Bairro],mercado3)+SUMIFS(supercb[Qtde],supercb[Item],tab_higiene[[#This Row],[Item]],supercb[Bairro],mercado3)</f>
        <v>0</v>
      </c>
      <c r="AN250" s="61">
        <f>SUMIFS(super1[Qtde],super1[Item],tab_higiene[[#This Row],[Item]],super1[Bairro],mercado4)+SUMIFS(supercb[Qtde],supercb[Item],tab_higiene[[#This Row],[Item]],supercb[Bairro],mercado4)</f>
        <v>0</v>
      </c>
      <c r="AO250" s="61">
        <f>SUMIFS(super1[Qtde],super1[Item],tab_higiene[[#This Row],[Item]],super1[Bairro],mercado5)+SUMIFS(supercb[Qtde],supercb[Item],tab_higiene[[#This Row],[Item]],supercb[Bairro],mercado5)</f>
        <v>0</v>
      </c>
      <c r="AP250" s="61">
        <f>SUMIFS(super1[Qtde],super1[Item],tab_higiene[[#This Row],[Item]],super1[Bairro],mercado6)+SUMIFS(supercb[Qtde],supercb[Item],tab_higiene[[#This Row],[Item]],supercb[Bairro],mercado6)</f>
        <v>0</v>
      </c>
      <c r="AQ250" s="61">
        <f>SUMIFS(super1[Qtde],super1[Item],tab_higiene[[#This Row],[Item]],super1[Bairro],mercado7)+SUMIFS(supercb[Qtde],supercb[Item],tab_higiene[[#This Row],[Item]],supercb[Bairro],mercado7)</f>
        <v>0</v>
      </c>
      <c r="AR250" s="61">
        <f>SUMIFS(super1[Qtde],super1[Item],tab_higiene[[#This Row],[Item]],super1[Bairro],mercado8)+SUMIFS(supercb[Qtde],supercb[Item],tab_higiene[[#This Row],[Item]],supercb[Bairro],mercado8)</f>
        <v>0</v>
      </c>
      <c r="AS250" s="61">
        <f>SUMIFS(super1[Qtde],super1[Item],tab_higiene[[#This Row],[Item]],super1[Bairro],mercado9)+SUMIFS(supercb[Qtde],supercb[Item],tab_higiene[[#This Row],[Item]],supercb[Bairro],mercado9)</f>
        <v>0</v>
      </c>
      <c r="AT250" s="61">
        <f>SUMIFS(super1[Qtde],super1[Item],tab_higiene[[#This Row],[Item]],super1[Bairro],mercado10)+SUMIFS(supercb[Qtde],supercb[Item],tab_higiene[[#This Row],[Item]],supercb[Bairro],mercado10)</f>
        <v>0</v>
      </c>
      <c r="AU250" s="61">
        <f>SUMIFS(super1[Qtde],super1[Item],tab_higiene[[#This Row],[Item]],super1[Bairro],mercado11)+SUMIFS(supercb[Qtde],supercb[Item],tab_higiene[[#This Row],[Item]],supercb[Bairro],mercado11)</f>
        <v>0</v>
      </c>
      <c r="AV250" s="61">
        <f>SUMIFS(super1[Qtde],super1[Item],tab_higiene[[#This Row],[Item]],super1[Bairro],mercado12)+SUMIFS(supercb[Qtde],supercb[Item],tab_higiene[[#This Row],[Item]],supercb[Bairro],mercado12)</f>
        <v>0</v>
      </c>
      <c r="AW250" s="61">
        <f>SUMIFS(super1[Qtde],super1[Item],tab_higiene[[#This Row],[Item]],super1[Bairro],mercado13)+SUMIFS(supercb[Qtde],supercb[Item],tab_higiene[[#This Row],[Item]],supercb[Bairro],mercado13)</f>
        <v>0</v>
      </c>
      <c r="AX250" s="61">
        <f>SUMIFS(super1[Qtde],super1[Item],tab_higiene[[#This Row],[Item]],super1[Bairro],mercado14)+SUMIFS(supercb[Qtde],supercb[Item],tab_higiene[[#This Row],[Item]],supercb[Bairro],mercado14)</f>
        <v>0</v>
      </c>
      <c r="AY250" s="61">
        <f>SUMIFS(super1[Qtde],super1[Item],tab_higiene[[#This Row],[Item]],super1[Bairro],mercado15)+SUMIFS(supercb[Qtde],supercb[Item],tab_higiene[[#This Row],[Item]],supercb[Bairro],mercado15)</f>
        <v>0</v>
      </c>
      <c r="AZ250" s="61">
        <f>SUMIFS(super1[Qtde],super1[Item],tab_higiene[[#This Row],[Item]],super1[Bairro],mercado16)+SUMIFS(supercb[Qtde],supercb[Item],tab_higiene[[#This Row],[Item]],supercb[Bairro],mercado16)</f>
        <v>0</v>
      </c>
      <c r="BA250" s="61">
        <f>SUMIFS(super1[Qtde],super1[Item],tab_higiene[[#This Row],[Item]],super1[Bairro],mercado17)+SUMIFS(supercb[Qtde],supercb[Item],tab_higiene[[#This Row],[Item]],supercb[Bairro],mercado17)</f>
        <v>0</v>
      </c>
      <c r="BB250" s="61">
        <f>SUMIFS(super1[Qtde],super1[Item],tab_higiene[[#This Row],[Item]],super1[Bairro],mercado18)+SUMIFS(supercb[Qtde],supercb[Item],tab_higiene[[#This Row],[Item]],supercb[Bairro],mercado18)</f>
        <v>0</v>
      </c>
      <c r="BC250" s="51">
        <f>SUMIFS(super1[Qtde],super1[Item],tab_higiene[[#This Row],[Item]],super1[Bairro],extras)+SUMIFS(supercb[Qtde],supercb[Item],tab_higiene[[#This Row],[Item]],supercb[Bairro],extras)</f>
        <v>0</v>
      </c>
      <c r="BD250" s="8">
        <f t="shared" si="85"/>
        <v>0</v>
      </c>
      <c r="BE250" s="8">
        <f t="shared" si="86"/>
        <v>0</v>
      </c>
      <c r="BF250" s="23">
        <f t="shared" si="87"/>
        <v>0</v>
      </c>
    </row>
    <row r="251" spans="9:58" ht="15.75" thickBot="1" x14ac:dyDescent="0.3">
      <c r="I251" s="65" t="str">
        <f>alimentos[[#This Row],[Item]]</f>
        <v>Suco (Saquinho)</v>
      </c>
      <c r="J251" s="61">
        <f>IFERROR(alimentos[[#This Row],[kg/embalagem]],0)</f>
        <v>0.01</v>
      </c>
      <c r="K251" s="64">
        <f>IFERROR(alimentos[[#This Row],[Preço]],0)</f>
        <v>0.69</v>
      </c>
      <c r="L251" s="64">
        <f>SUMIFS(super1[Qtde],super1[Item],tab_alimentos[[#This Row],[Item]],super1[Bairro],mercado1)+SUMIFS(supercb[Qtde],supercb[Item],tab_alimentos[[#This Row],[Item]],supercb[Bairro],mercado1)</f>
        <v>0</v>
      </c>
      <c r="M251" s="64">
        <f>SUMIFS(super1[Qtde],super1[Item],tab_alimentos[[#This Row],[Item]],super1[Bairro],mercado2)+SUMIFS(supercb[Qtde],supercb[Item],tab_alimentos[[#This Row],[Item]],supercb[Bairro],mercado2)</f>
        <v>0</v>
      </c>
      <c r="N251" s="61">
        <f>SUMIFS(super1[Qtde],super1[Item],tab_alimentos[[#This Row],[Item]],super1[Bairro],mercado3)+SUMIFS(supercb[Qtde],supercb[Item],tab_alimentos[[#This Row],[Item]],supercb[Bairro],mercado3)</f>
        <v>1</v>
      </c>
      <c r="O251" s="64">
        <f>SUMIFS(super1[Qtde],super1[Item],tab_alimentos[[#This Row],[Item]],super1[Bairro],mercado4)+SUMIFS(supercb[Qtde],supercb[Item],tab_alimentos[[#This Row],[Item]],supercb[Bairro],mercado4)</f>
        <v>0</v>
      </c>
      <c r="P251" s="64">
        <f>SUMIFS(super1[Qtde],super1[Item],tab_alimentos[[#This Row],[Item]],super1[Bairro],mercado5)+SUMIFS(supercb[Qtde],supercb[Item],tab_alimentos[[#This Row],[Item]],supercb[Bairro],mercado5)</f>
        <v>0</v>
      </c>
      <c r="Q251" s="64">
        <f>SUMIFS(super1[Qtde],super1[Item],tab_alimentos[[#This Row],[Item]],super1[Bairro],mercado6)+SUMIFS(supercb[Qtde],supercb[Item],tab_alimentos[[#This Row],[Item]],supercb[Bairro],mercado6)</f>
        <v>0</v>
      </c>
      <c r="R251" s="64">
        <f>SUMIFS(super1[Qtde],super1[Item],tab_alimentos[[#This Row],[Item]],super1[Bairro],mercado7)+SUMIFS(supercb[Qtde],supercb[Item],tab_alimentos[[#This Row],[Item]],supercb[Bairro],mercado7)</f>
        <v>1</v>
      </c>
      <c r="S251" s="64">
        <f>SUMIFS(super1[Qtde],super1[Item],tab_alimentos[[#This Row],[Item]],super1[Bairro],mercado8)+SUMIFS(supercb[Qtde],supercb[Item],tab_alimentos[[#This Row],[Item]],supercb[Bairro],mercado8)</f>
        <v>0</v>
      </c>
      <c r="T251" s="64">
        <f>SUMIFS(super1[Qtde],super1[Item],tab_alimentos[[#This Row],[Item]],super1[Bairro],mercado9)+SUMIFS(supercb[Qtde],supercb[Item],tab_alimentos[[#This Row],[Item]],supercb[Bairro],mercado9)</f>
        <v>0</v>
      </c>
      <c r="U251" s="64">
        <f>SUMIFS(super1[Qtde],super1[Item],tab_alimentos[[#This Row],[Item]],super1[Bairro],mercado10)+SUMIFS(supercb[Qtde],supercb[Item],tab_alimentos[[#This Row],[Item]],supercb[Bairro],mercado10)</f>
        <v>3</v>
      </c>
      <c r="V251" s="64">
        <f>SUMIFS(super1[Qtde],super1[Item],tab_alimentos[[#This Row],[Item]],super1[Bairro],mercado11)+SUMIFS(supercb[Qtde],supercb[Item],tab_alimentos[[#This Row],[Item]],supercb[Bairro],mercado11)</f>
        <v>2</v>
      </c>
      <c r="W251" s="64">
        <f>SUMIFS(super1[Qtde],super1[Item],tab_alimentos[[#This Row],[Item]],super1[Bairro],mercado12)+SUMIFS(supercb[Qtde],supercb[Item],tab_alimentos[[#This Row],[Item]],supercb[Bairro],mercado12)</f>
        <v>0</v>
      </c>
      <c r="X251" s="64">
        <f>SUMIFS(super1[Qtde],super1[Item],tab_alimentos[[#This Row],[Item]],super1[Bairro],mercado13)+SUMIFS(supercb[Qtde],supercb[Item],tab_alimentos[[#This Row],[Item]],supercb[Bairro],mercado13)</f>
        <v>0</v>
      </c>
      <c r="Y251" s="64">
        <f>SUMIFS(super1[Qtde],super1[Item],tab_alimentos[[#This Row],[Item]],super1[Bairro],mercado14)+SUMIFS(supercb[Qtde],supercb[Item],tab_alimentos[[#This Row],[Item]],supercb[Bairro],mercado14)</f>
        <v>0</v>
      </c>
      <c r="Z251" s="64">
        <f>SUMIFS(super1[Qtde],super1[Item],tab_alimentos[[#This Row],[Item]],super1[Bairro],mercado15)+SUMIFS(supercb[Qtde],supercb[Item],tab_alimentos[[#This Row],[Item]],supercb[Bairro],mercado15)</f>
        <v>0</v>
      </c>
      <c r="AA251" s="64">
        <f>SUMIFS(super1[Qtde],super1[Item],tab_alimentos[[#This Row],[Item]],super1[Bairro],mercado16)+SUMIFS(supercb[Qtde],supercb[Item],tab_alimentos[[#This Row],[Item]],supercb[Bairro],mercado16)</f>
        <v>0</v>
      </c>
      <c r="AB251" s="64">
        <f>SUMIFS(super1[Qtde],super1[Item],tab_alimentos[[#This Row],[Item]],super1[Bairro],mercado17)+SUMIFS(supercb[Qtde],supercb[Item],tab_alimentos[[#This Row],[Item]],supercb[Bairro],mercado17)</f>
        <v>0</v>
      </c>
      <c r="AC251" s="64">
        <f>SUMIFS(super1[Qtde],super1[Item],tab_alimentos[[#This Row],[Item]],super1[Bairro],mercado18)+SUMIFS(supercb[Qtde],supercb[Item],tab_alimentos[[#This Row],[Item]],supercb[Bairro],mercado18)</f>
        <v>0</v>
      </c>
      <c r="AD251" s="64">
        <f>SUMIFS(super1[Qtde],super1[Item],tab_alimentos[[#This Row],[Item]],super1[Bairro],extras)+SUMIFS(supercb[Qtde],supercb[Item],tab_alimentos[[#This Row],[Item]],supercb[Bairro],extras)</f>
        <v>0</v>
      </c>
      <c r="AE251" s="61">
        <f t="shared" si="82"/>
        <v>7</v>
      </c>
      <c r="AF251" s="61">
        <f t="shared" si="83"/>
        <v>4.83</v>
      </c>
      <c r="AG251" s="62">
        <f t="shared" si="84"/>
        <v>7.0000000000000007E-2</v>
      </c>
      <c r="AH251" s="15" t="e">
        <f>higiene[[#This Row],[Item]]</f>
        <v>#VALUE!</v>
      </c>
      <c r="AI251" s="8">
        <f>IFERROR(higiene[[#This Row],[Kg equivalente]],0)</f>
        <v>0</v>
      </c>
      <c r="AJ251" s="8">
        <f>IFERROR(higiene[[#This Row],[Preço por produto]],0)</f>
        <v>0</v>
      </c>
      <c r="AK251" s="61">
        <f>SUMIFS(super1[Qtde],super1[Item],tab_higiene[[#This Row],[Item]],super1[Bairro],mercado1)+SUMIFS(supercb[Qtde],supercb[Item],tab_higiene[[#This Row],[Item]],supercb[Bairro],mercado1)</f>
        <v>0</v>
      </c>
      <c r="AL251" s="61">
        <f>SUMIFS(super1[Qtde],super1[Item],tab_higiene[[#This Row],[Item]],super1[Bairro],mercado2)+SUMIFS(supercb[Qtde],supercb[Item],tab_higiene[[#This Row],[Item]],supercb[Bairro],mercado2)</f>
        <v>0</v>
      </c>
      <c r="AM251" s="61">
        <f>SUMIFS(super1[Qtde],super1[Item],tab_higiene[[#This Row],[Item]],super1[Bairro],mercado3)+SUMIFS(supercb[Qtde],supercb[Item],tab_higiene[[#This Row],[Item]],supercb[Bairro],mercado3)</f>
        <v>0</v>
      </c>
      <c r="AN251" s="61">
        <f>SUMIFS(super1[Qtde],super1[Item],tab_higiene[[#This Row],[Item]],super1[Bairro],mercado4)+SUMIFS(supercb[Qtde],supercb[Item],tab_higiene[[#This Row],[Item]],supercb[Bairro],mercado4)</f>
        <v>0</v>
      </c>
      <c r="AO251" s="61">
        <f>SUMIFS(super1[Qtde],super1[Item],tab_higiene[[#This Row],[Item]],super1[Bairro],mercado5)+SUMIFS(supercb[Qtde],supercb[Item],tab_higiene[[#This Row],[Item]],supercb[Bairro],mercado5)</f>
        <v>0</v>
      </c>
      <c r="AP251" s="61">
        <f>SUMIFS(super1[Qtde],super1[Item],tab_higiene[[#This Row],[Item]],super1[Bairro],mercado6)+SUMIFS(supercb[Qtde],supercb[Item],tab_higiene[[#This Row],[Item]],supercb[Bairro],mercado6)</f>
        <v>0</v>
      </c>
      <c r="AQ251" s="61">
        <f>SUMIFS(super1[Qtde],super1[Item],tab_higiene[[#This Row],[Item]],super1[Bairro],mercado7)+SUMIFS(supercb[Qtde],supercb[Item],tab_higiene[[#This Row],[Item]],supercb[Bairro],mercado7)</f>
        <v>0</v>
      </c>
      <c r="AR251" s="61">
        <f>SUMIFS(super1[Qtde],super1[Item],tab_higiene[[#This Row],[Item]],super1[Bairro],mercado8)+SUMIFS(supercb[Qtde],supercb[Item],tab_higiene[[#This Row],[Item]],supercb[Bairro],mercado8)</f>
        <v>0</v>
      </c>
      <c r="AS251" s="61">
        <f>SUMIFS(super1[Qtde],super1[Item],tab_higiene[[#This Row],[Item]],super1[Bairro],mercado9)+SUMIFS(supercb[Qtde],supercb[Item],tab_higiene[[#This Row],[Item]],supercb[Bairro],mercado9)</f>
        <v>0</v>
      </c>
      <c r="AT251" s="61">
        <f>SUMIFS(super1[Qtde],super1[Item],tab_higiene[[#This Row],[Item]],super1[Bairro],mercado10)+SUMIFS(supercb[Qtde],supercb[Item],tab_higiene[[#This Row],[Item]],supercb[Bairro],mercado10)</f>
        <v>0</v>
      </c>
      <c r="AU251" s="61">
        <f>SUMIFS(super1[Qtde],super1[Item],tab_higiene[[#This Row],[Item]],super1[Bairro],mercado11)+SUMIFS(supercb[Qtde],supercb[Item],tab_higiene[[#This Row],[Item]],supercb[Bairro],mercado11)</f>
        <v>0</v>
      </c>
      <c r="AV251" s="61">
        <f>SUMIFS(super1[Qtde],super1[Item],tab_higiene[[#This Row],[Item]],super1[Bairro],mercado12)+SUMIFS(supercb[Qtde],supercb[Item],tab_higiene[[#This Row],[Item]],supercb[Bairro],mercado12)</f>
        <v>0</v>
      </c>
      <c r="AW251" s="61">
        <f>SUMIFS(super1[Qtde],super1[Item],tab_higiene[[#This Row],[Item]],super1[Bairro],mercado13)+SUMIFS(supercb[Qtde],supercb[Item],tab_higiene[[#This Row],[Item]],supercb[Bairro],mercado13)</f>
        <v>0</v>
      </c>
      <c r="AX251" s="61">
        <f>SUMIFS(super1[Qtde],super1[Item],tab_higiene[[#This Row],[Item]],super1[Bairro],mercado14)+SUMIFS(supercb[Qtde],supercb[Item],tab_higiene[[#This Row],[Item]],supercb[Bairro],mercado14)</f>
        <v>0</v>
      </c>
      <c r="AY251" s="61">
        <f>SUMIFS(super1[Qtde],super1[Item],tab_higiene[[#This Row],[Item]],super1[Bairro],mercado15)+SUMIFS(supercb[Qtde],supercb[Item],tab_higiene[[#This Row],[Item]],supercb[Bairro],mercado15)</f>
        <v>0</v>
      </c>
      <c r="AZ251" s="61">
        <f>SUMIFS(super1[Qtde],super1[Item],tab_higiene[[#This Row],[Item]],super1[Bairro],mercado16)+SUMIFS(supercb[Qtde],supercb[Item],tab_higiene[[#This Row],[Item]],supercb[Bairro],mercado16)</f>
        <v>0</v>
      </c>
      <c r="BA251" s="61">
        <f>SUMIFS(super1[Qtde],super1[Item],tab_higiene[[#This Row],[Item]],super1[Bairro],mercado17)+SUMIFS(supercb[Qtde],supercb[Item],tab_higiene[[#This Row],[Item]],supercb[Bairro],mercado17)</f>
        <v>0</v>
      </c>
      <c r="BB251" s="61">
        <f>SUMIFS(super1[Qtde],super1[Item],tab_higiene[[#This Row],[Item]],super1[Bairro],mercado18)+SUMIFS(supercb[Qtde],supercb[Item],tab_higiene[[#This Row],[Item]],supercb[Bairro],mercado18)</f>
        <v>0</v>
      </c>
      <c r="BC251" s="51">
        <f>SUMIFS(super1[Qtde],super1[Item],tab_higiene[[#This Row],[Item]],super1[Bairro],extras)+SUMIFS(supercb[Qtde],supercb[Item],tab_higiene[[#This Row],[Item]],supercb[Bairro],extras)</f>
        <v>0</v>
      </c>
      <c r="BD251" s="8">
        <f t="shared" si="85"/>
        <v>0</v>
      </c>
      <c r="BE251" s="8">
        <f t="shared" si="86"/>
        <v>0</v>
      </c>
      <c r="BF251" s="23">
        <f t="shared" si="87"/>
        <v>0</v>
      </c>
    </row>
    <row r="252" spans="9:58" ht="15.75" thickBot="1" x14ac:dyDescent="0.3">
      <c r="I252" s="65" t="str">
        <f>alimentos[[#This Row],[Item]]</f>
        <v>Suco concentrado (500mL)</v>
      </c>
      <c r="J252" s="61">
        <f>IFERROR(alimentos[[#This Row],[kg/embalagem]],0)</f>
        <v>0.5</v>
      </c>
      <c r="K252" s="64">
        <f>IFERROR(alimentos[[#This Row],[Preço]],0)</f>
        <v>3.3899999999999997</v>
      </c>
      <c r="L252" s="64">
        <f>SUMIFS(super1[Qtde],super1[Item],tab_alimentos[[#This Row],[Item]],super1[Bairro],mercado1)+SUMIFS(supercb[Qtde],supercb[Item],tab_alimentos[[#This Row],[Item]],supercb[Bairro],mercado1)</f>
        <v>0</v>
      </c>
      <c r="M252" s="64">
        <f>SUMIFS(super1[Qtde],super1[Item],tab_alimentos[[#This Row],[Item]],super1[Bairro],mercado2)+SUMIFS(supercb[Qtde],supercb[Item],tab_alimentos[[#This Row],[Item]],supercb[Bairro],mercado2)</f>
        <v>0</v>
      </c>
      <c r="N252" s="61">
        <f>SUMIFS(super1[Qtde],super1[Item],tab_alimentos[[#This Row],[Item]],super1[Bairro],mercado3)+SUMIFS(supercb[Qtde],supercb[Item],tab_alimentos[[#This Row],[Item]],supercb[Bairro],mercado3)</f>
        <v>0</v>
      </c>
      <c r="O252" s="64">
        <f>SUMIFS(super1[Qtde],super1[Item],tab_alimentos[[#This Row],[Item]],super1[Bairro],mercado4)+SUMIFS(supercb[Qtde],supercb[Item],tab_alimentos[[#This Row],[Item]],supercb[Bairro],mercado4)</f>
        <v>0</v>
      </c>
      <c r="P252" s="64">
        <f>SUMIFS(super1[Qtde],super1[Item],tab_alimentos[[#This Row],[Item]],super1[Bairro],mercado5)+SUMIFS(supercb[Qtde],supercb[Item],tab_alimentos[[#This Row],[Item]],supercb[Bairro],mercado5)</f>
        <v>0</v>
      </c>
      <c r="Q252" s="64">
        <f>SUMIFS(super1[Qtde],super1[Item],tab_alimentos[[#This Row],[Item]],super1[Bairro],mercado6)+SUMIFS(supercb[Qtde],supercb[Item],tab_alimentos[[#This Row],[Item]],supercb[Bairro],mercado6)</f>
        <v>0</v>
      </c>
      <c r="R252" s="64">
        <f>SUMIFS(super1[Qtde],super1[Item],tab_alimentos[[#This Row],[Item]],super1[Bairro],mercado7)+SUMIFS(supercb[Qtde],supercb[Item],tab_alimentos[[#This Row],[Item]],supercb[Bairro],mercado7)</f>
        <v>0</v>
      </c>
      <c r="S252" s="64">
        <f>SUMIFS(super1[Qtde],super1[Item],tab_alimentos[[#This Row],[Item]],super1[Bairro],mercado8)+SUMIFS(supercb[Qtde],supercb[Item],tab_alimentos[[#This Row],[Item]],supercb[Bairro],mercado8)</f>
        <v>0</v>
      </c>
      <c r="T252" s="64">
        <f>SUMIFS(super1[Qtde],super1[Item],tab_alimentos[[#This Row],[Item]],super1[Bairro],mercado9)+SUMIFS(supercb[Qtde],supercb[Item],tab_alimentos[[#This Row],[Item]],supercb[Bairro],mercado9)</f>
        <v>0</v>
      </c>
      <c r="U252" s="64">
        <f>SUMIFS(super1[Qtde],super1[Item],tab_alimentos[[#This Row],[Item]],super1[Bairro],mercado10)+SUMIFS(supercb[Qtde],supercb[Item],tab_alimentos[[#This Row],[Item]],supercb[Bairro],mercado10)</f>
        <v>0</v>
      </c>
      <c r="V252" s="64">
        <f>SUMIFS(super1[Qtde],super1[Item],tab_alimentos[[#This Row],[Item]],super1[Bairro],mercado11)+SUMIFS(supercb[Qtde],supercb[Item],tab_alimentos[[#This Row],[Item]],supercb[Bairro],mercado11)</f>
        <v>0</v>
      </c>
      <c r="W252" s="64">
        <f>SUMIFS(super1[Qtde],super1[Item],tab_alimentos[[#This Row],[Item]],super1[Bairro],mercado12)+SUMIFS(supercb[Qtde],supercb[Item],tab_alimentos[[#This Row],[Item]],supercb[Bairro],mercado12)</f>
        <v>0</v>
      </c>
      <c r="X252" s="64">
        <f>SUMIFS(super1[Qtde],super1[Item],tab_alimentos[[#This Row],[Item]],super1[Bairro],mercado13)+SUMIFS(supercb[Qtde],supercb[Item],tab_alimentos[[#This Row],[Item]],supercb[Bairro],mercado13)</f>
        <v>0</v>
      </c>
      <c r="Y252" s="64">
        <f>SUMIFS(super1[Qtde],super1[Item],tab_alimentos[[#This Row],[Item]],super1[Bairro],mercado14)+SUMIFS(supercb[Qtde],supercb[Item],tab_alimentos[[#This Row],[Item]],supercb[Bairro],mercado14)</f>
        <v>0</v>
      </c>
      <c r="Z252" s="64">
        <f>SUMIFS(super1[Qtde],super1[Item],tab_alimentos[[#This Row],[Item]],super1[Bairro],mercado15)+SUMIFS(supercb[Qtde],supercb[Item],tab_alimentos[[#This Row],[Item]],supercb[Bairro],mercado15)</f>
        <v>0</v>
      </c>
      <c r="AA252" s="64">
        <f>SUMIFS(super1[Qtde],super1[Item],tab_alimentos[[#This Row],[Item]],super1[Bairro],mercado16)+SUMIFS(supercb[Qtde],supercb[Item],tab_alimentos[[#This Row],[Item]],supercb[Bairro],mercado16)</f>
        <v>0</v>
      </c>
      <c r="AB252" s="64">
        <f>SUMIFS(super1[Qtde],super1[Item],tab_alimentos[[#This Row],[Item]],super1[Bairro],mercado17)+SUMIFS(supercb[Qtde],supercb[Item],tab_alimentos[[#This Row],[Item]],supercb[Bairro],mercado17)</f>
        <v>0</v>
      </c>
      <c r="AC252" s="64">
        <f>SUMIFS(super1[Qtde],super1[Item],tab_alimentos[[#This Row],[Item]],super1[Bairro],mercado18)+SUMIFS(supercb[Qtde],supercb[Item],tab_alimentos[[#This Row],[Item]],supercb[Bairro],mercado18)</f>
        <v>0</v>
      </c>
      <c r="AD252" s="64">
        <f>SUMIFS(super1[Qtde],super1[Item],tab_alimentos[[#This Row],[Item]],super1[Bairro],extras)+SUMIFS(supercb[Qtde],supercb[Item],tab_alimentos[[#This Row],[Item]],supercb[Bairro],extras)</f>
        <v>0</v>
      </c>
      <c r="AE252" s="61">
        <f t="shared" si="82"/>
        <v>0</v>
      </c>
      <c r="AF252" s="61">
        <f t="shared" si="83"/>
        <v>0</v>
      </c>
      <c r="AG252" s="62">
        <f t="shared" si="84"/>
        <v>0</v>
      </c>
      <c r="AH252" s="15" t="e">
        <f>higiene[[#This Row],[Item]]</f>
        <v>#VALUE!</v>
      </c>
      <c r="AI252" s="8">
        <f>IFERROR(higiene[[#This Row],[Kg equivalente]],0)</f>
        <v>0</v>
      </c>
      <c r="AJ252" s="8">
        <f>IFERROR(higiene[[#This Row],[Preço por produto]],0)</f>
        <v>0</v>
      </c>
      <c r="AK252" s="61">
        <f>SUMIFS(super1[Qtde],super1[Item],tab_higiene[[#This Row],[Item]],super1[Bairro],mercado1)+SUMIFS(supercb[Qtde],supercb[Item],tab_higiene[[#This Row],[Item]],supercb[Bairro],mercado1)</f>
        <v>0</v>
      </c>
      <c r="AL252" s="61">
        <f>SUMIFS(super1[Qtde],super1[Item],tab_higiene[[#This Row],[Item]],super1[Bairro],mercado2)+SUMIFS(supercb[Qtde],supercb[Item],tab_higiene[[#This Row],[Item]],supercb[Bairro],mercado2)</f>
        <v>0</v>
      </c>
      <c r="AM252" s="61">
        <f>SUMIFS(super1[Qtde],super1[Item],tab_higiene[[#This Row],[Item]],super1[Bairro],mercado3)+SUMIFS(supercb[Qtde],supercb[Item],tab_higiene[[#This Row],[Item]],supercb[Bairro],mercado3)</f>
        <v>0</v>
      </c>
      <c r="AN252" s="61">
        <f>SUMIFS(super1[Qtde],super1[Item],tab_higiene[[#This Row],[Item]],super1[Bairro],mercado4)+SUMIFS(supercb[Qtde],supercb[Item],tab_higiene[[#This Row],[Item]],supercb[Bairro],mercado4)</f>
        <v>0</v>
      </c>
      <c r="AO252" s="61">
        <f>SUMIFS(super1[Qtde],super1[Item],tab_higiene[[#This Row],[Item]],super1[Bairro],mercado5)+SUMIFS(supercb[Qtde],supercb[Item],tab_higiene[[#This Row],[Item]],supercb[Bairro],mercado5)</f>
        <v>0</v>
      </c>
      <c r="AP252" s="61">
        <f>SUMIFS(super1[Qtde],super1[Item],tab_higiene[[#This Row],[Item]],super1[Bairro],mercado6)+SUMIFS(supercb[Qtde],supercb[Item],tab_higiene[[#This Row],[Item]],supercb[Bairro],mercado6)</f>
        <v>0</v>
      </c>
      <c r="AQ252" s="61">
        <f>SUMIFS(super1[Qtde],super1[Item],tab_higiene[[#This Row],[Item]],super1[Bairro],mercado7)+SUMIFS(supercb[Qtde],supercb[Item],tab_higiene[[#This Row],[Item]],supercb[Bairro],mercado7)</f>
        <v>0</v>
      </c>
      <c r="AR252" s="61">
        <f>SUMIFS(super1[Qtde],super1[Item],tab_higiene[[#This Row],[Item]],super1[Bairro],mercado8)+SUMIFS(supercb[Qtde],supercb[Item],tab_higiene[[#This Row],[Item]],supercb[Bairro],mercado8)</f>
        <v>0</v>
      </c>
      <c r="AS252" s="61">
        <f>SUMIFS(super1[Qtde],super1[Item],tab_higiene[[#This Row],[Item]],super1[Bairro],mercado9)+SUMIFS(supercb[Qtde],supercb[Item],tab_higiene[[#This Row],[Item]],supercb[Bairro],mercado9)</f>
        <v>0</v>
      </c>
      <c r="AT252" s="61">
        <f>SUMIFS(super1[Qtde],super1[Item],tab_higiene[[#This Row],[Item]],super1[Bairro],mercado10)+SUMIFS(supercb[Qtde],supercb[Item],tab_higiene[[#This Row],[Item]],supercb[Bairro],mercado10)</f>
        <v>0</v>
      </c>
      <c r="AU252" s="61">
        <f>SUMIFS(super1[Qtde],super1[Item],tab_higiene[[#This Row],[Item]],super1[Bairro],mercado11)+SUMIFS(supercb[Qtde],supercb[Item],tab_higiene[[#This Row],[Item]],supercb[Bairro],mercado11)</f>
        <v>0</v>
      </c>
      <c r="AV252" s="61">
        <f>SUMIFS(super1[Qtde],super1[Item],tab_higiene[[#This Row],[Item]],super1[Bairro],mercado12)+SUMIFS(supercb[Qtde],supercb[Item],tab_higiene[[#This Row],[Item]],supercb[Bairro],mercado12)</f>
        <v>0</v>
      </c>
      <c r="AW252" s="61">
        <f>SUMIFS(super1[Qtde],super1[Item],tab_higiene[[#This Row],[Item]],super1[Bairro],mercado13)+SUMIFS(supercb[Qtde],supercb[Item],tab_higiene[[#This Row],[Item]],supercb[Bairro],mercado13)</f>
        <v>0</v>
      </c>
      <c r="AX252" s="61">
        <f>SUMIFS(super1[Qtde],super1[Item],tab_higiene[[#This Row],[Item]],super1[Bairro],mercado14)+SUMIFS(supercb[Qtde],supercb[Item],tab_higiene[[#This Row],[Item]],supercb[Bairro],mercado14)</f>
        <v>0</v>
      </c>
      <c r="AY252" s="61">
        <f>SUMIFS(super1[Qtde],super1[Item],tab_higiene[[#This Row],[Item]],super1[Bairro],mercado15)+SUMIFS(supercb[Qtde],supercb[Item],tab_higiene[[#This Row],[Item]],supercb[Bairro],mercado15)</f>
        <v>0</v>
      </c>
      <c r="AZ252" s="61">
        <f>SUMIFS(super1[Qtde],super1[Item],tab_higiene[[#This Row],[Item]],super1[Bairro],mercado16)+SUMIFS(supercb[Qtde],supercb[Item],tab_higiene[[#This Row],[Item]],supercb[Bairro],mercado16)</f>
        <v>0</v>
      </c>
      <c r="BA252" s="61">
        <f>SUMIFS(super1[Qtde],super1[Item],tab_higiene[[#This Row],[Item]],super1[Bairro],mercado17)+SUMIFS(supercb[Qtde],supercb[Item],tab_higiene[[#This Row],[Item]],supercb[Bairro],mercado17)</f>
        <v>0</v>
      </c>
      <c r="BB252" s="61">
        <f>SUMIFS(super1[Qtde],super1[Item],tab_higiene[[#This Row],[Item]],super1[Bairro],mercado18)+SUMIFS(supercb[Qtde],supercb[Item],tab_higiene[[#This Row],[Item]],supercb[Bairro],mercado18)</f>
        <v>0</v>
      </c>
      <c r="BC252" s="51">
        <f>SUMIFS(super1[Qtde],super1[Item],tab_higiene[[#This Row],[Item]],super1[Bairro],extras)+SUMIFS(supercb[Qtde],supercb[Item],tab_higiene[[#This Row],[Item]],supercb[Bairro],extras)</f>
        <v>0</v>
      </c>
      <c r="BD252" s="8">
        <f t="shared" si="85"/>
        <v>0</v>
      </c>
      <c r="BE252" s="8">
        <f t="shared" si="86"/>
        <v>0</v>
      </c>
      <c r="BF252" s="23">
        <f t="shared" si="87"/>
        <v>0</v>
      </c>
    </row>
    <row r="253" spans="9:58" ht="15.75" thickBot="1" x14ac:dyDescent="0.3">
      <c r="I253" s="65" t="str">
        <f>alimentos[[#This Row],[Item]]</f>
        <v>Suco em Pó (450g)</v>
      </c>
      <c r="J253" s="61">
        <f>IFERROR(alimentos[[#This Row],[kg/embalagem]],0)</f>
        <v>0.45</v>
      </c>
      <c r="K253" s="64">
        <f>IFERROR(alimentos[[#This Row],[Preço]],0)</f>
        <v>6.85</v>
      </c>
      <c r="L253" s="64">
        <f>SUMIFS(super1[Qtde],super1[Item],tab_alimentos[[#This Row],[Item]],super1[Bairro],mercado1)+SUMIFS(supercb[Qtde],supercb[Item],tab_alimentos[[#This Row],[Item]],supercb[Bairro],mercado1)</f>
        <v>0</v>
      </c>
      <c r="M253" s="64">
        <f>SUMIFS(super1[Qtde],super1[Item],tab_alimentos[[#This Row],[Item]],super1[Bairro],mercado2)+SUMIFS(supercb[Qtde],supercb[Item],tab_alimentos[[#This Row],[Item]],supercb[Bairro],mercado2)</f>
        <v>0</v>
      </c>
      <c r="N253" s="61">
        <f>SUMIFS(super1[Qtde],super1[Item],tab_alimentos[[#This Row],[Item]],super1[Bairro],mercado3)+SUMIFS(supercb[Qtde],supercb[Item],tab_alimentos[[#This Row],[Item]],supercb[Bairro],mercado3)</f>
        <v>0</v>
      </c>
      <c r="O253" s="64">
        <f>SUMIFS(super1[Qtde],super1[Item],tab_alimentos[[#This Row],[Item]],super1[Bairro],mercado4)+SUMIFS(supercb[Qtde],supercb[Item],tab_alimentos[[#This Row],[Item]],supercb[Bairro],mercado4)</f>
        <v>0</v>
      </c>
      <c r="P253" s="64">
        <f>SUMIFS(super1[Qtde],super1[Item],tab_alimentos[[#This Row],[Item]],super1[Bairro],mercado5)+SUMIFS(supercb[Qtde],supercb[Item],tab_alimentos[[#This Row],[Item]],supercb[Bairro],mercado5)</f>
        <v>0</v>
      </c>
      <c r="Q253" s="64">
        <f>SUMIFS(super1[Qtde],super1[Item],tab_alimentos[[#This Row],[Item]],super1[Bairro],mercado6)+SUMIFS(supercb[Qtde],supercb[Item],tab_alimentos[[#This Row],[Item]],supercb[Bairro],mercado6)</f>
        <v>0</v>
      </c>
      <c r="R253" s="64">
        <f>SUMIFS(super1[Qtde],super1[Item],tab_alimentos[[#This Row],[Item]],super1[Bairro],mercado7)+SUMIFS(supercb[Qtde],supercb[Item],tab_alimentos[[#This Row],[Item]],supercb[Bairro],mercado7)</f>
        <v>0</v>
      </c>
      <c r="S253" s="64">
        <f>SUMIFS(super1[Qtde],super1[Item],tab_alimentos[[#This Row],[Item]],super1[Bairro],mercado8)+SUMIFS(supercb[Qtde],supercb[Item],tab_alimentos[[#This Row],[Item]],supercb[Bairro],mercado8)</f>
        <v>0</v>
      </c>
      <c r="T253" s="64">
        <f>SUMIFS(super1[Qtde],super1[Item],tab_alimentos[[#This Row],[Item]],super1[Bairro],mercado9)+SUMIFS(supercb[Qtde],supercb[Item],tab_alimentos[[#This Row],[Item]],supercb[Bairro],mercado9)</f>
        <v>0</v>
      </c>
      <c r="U253" s="64">
        <f>SUMIFS(super1[Qtde],super1[Item],tab_alimentos[[#This Row],[Item]],super1[Bairro],mercado10)+SUMIFS(supercb[Qtde],supercb[Item],tab_alimentos[[#This Row],[Item]],supercb[Bairro],mercado10)</f>
        <v>0</v>
      </c>
      <c r="V253" s="64">
        <f>SUMIFS(super1[Qtde],super1[Item],tab_alimentos[[#This Row],[Item]],super1[Bairro],mercado11)+SUMIFS(supercb[Qtde],supercb[Item],tab_alimentos[[#This Row],[Item]],supercb[Bairro],mercado11)</f>
        <v>0</v>
      </c>
      <c r="W253" s="64">
        <f>SUMIFS(super1[Qtde],super1[Item],tab_alimentos[[#This Row],[Item]],super1[Bairro],mercado12)+SUMIFS(supercb[Qtde],supercb[Item],tab_alimentos[[#This Row],[Item]],supercb[Bairro],mercado12)</f>
        <v>0</v>
      </c>
      <c r="X253" s="64">
        <f>SUMIFS(super1[Qtde],super1[Item],tab_alimentos[[#This Row],[Item]],super1[Bairro],mercado13)+SUMIFS(supercb[Qtde],supercb[Item],tab_alimentos[[#This Row],[Item]],supercb[Bairro],mercado13)</f>
        <v>0</v>
      </c>
      <c r="Y253" s="64">
        <f>SUMIFS(super1[Qtde],super1[Item],tab_alimentos[[#This Row],[Item]],super1[Bairro],mercado14)+SUMIFS(supercb[Qtde],supercb[Item],tab_alimentos[[#This Row],[Item]],supercb[Bairro],mercado14)</f>
        <v>0</v>
      </c>
      <c r="Z253" s="64">
        <f>SUMIFS(super1[Qtde],super1[Item],tab_alimentos[[#This Row],[Item]],super1[Bairro],mercado15)+SUMIFS(supercb[Qtde],supercb[Item],tab_alimentos[[#This Row],[Item]],supercb[Bairro],mercado15)</f>
        <v>0</v>
      </c>
      <c r="AA253" s="64">
        <f>SUMIFS(super1[Qtde],super1[Item],tab_alimentos[[#This Row],[Item]],super1[Bairro],mercado16)+SUMIFS(supercb[Qtde],supercb[Item],tab_alimentos[[#This Row],[Item]],supercb[Bairro],mercado16)</f>
        <v>0</v>
      </c>
      <c r="AB253" s="64">
        <f>SUMIFS(super1[Qtde],super1[Item],tab_alimentos[[#This Row],[Item]],super1[Bairro],mercado17)+SUMIFS(supercb[Qtde],supercb[Item],tab_alimentos[[#This Row],[Item]],supercb[Bairro],mercado17)</f>
        <v>0</v>
      </c>
      <c r="AC253" s="64">
        <f>SUMIFS(super1[Qtde],super1[Item],tab_alimentos[[#This Row],[Item]],super1[Bairro],mercado18)+SUMIFS(supercb[Qtde],supercb[Item],tab_alimentos[[#This Row],[Item]],supercb[Bairro],mercado18)</f>
        <v>0</v>
      </c>
      <c r="AD253" s="64">
        <f>SUMIFS(super1[Qtde],super1[Item],tab_alimentos[[#This Row],[Item]],super1[Bairro],extras)+SUMIFS(supercb[Qtde],supercb[Item],tab_alimentos[[#This Row],[Item]],supercb[Bairro],extras)</f>
        <v>0</v>
      </c>
      <c r="AE253" s="61">
        <f t="shared" si="82"/>
        <v>0</v>
      </c>
      <c r="AF253" s="61">
        <f t="shared" si="83"/>
        <v>0</v>
      </c>
      <c r="AG253" s="62">
        <f t="shared" si="84"/>
        <v>0</v>
      </c>
      <c r="AH253" s="15" t="e">
        <f>higiene[[#This Row],[Item]]</f>
        <v>#VALUE!</v>
      </c>
      <c r="AI253" s="8">
        <f>IFERROR(higiene[[#This Row],[Kg equivalente]],0)</f>
        <v>0</v>
      </c>
      <c r="AJ253" s="8">
        <f>IFERROR(higiene[[#This Row],[Preço por produto]],0)</f>
        <v>0</v>
      </c>
      <c r="AK253" s="61">
        <f>SUMIFS(super1[Qtde],super1[Item],tab_higiene[[#This Row],[Item]],super1[Bairro],mercado1)+SUMIFS(supercb[Qtde],supercb[Item],tab_higiene[[#This Row],[Item]],supercb[Bairro],mercado1)</f>
        <v>0</v>
      </c>
      <c r="AL253" s="61">
        <f>SUMIFS(super1[Qtde],super1[Item],tab_higiene[[#This Row],[Item]],super1[Bairro],mercado2)+SUMIFS(supercb[Qtde],supercb[Item],tab_higiene[[#This Row],[Item]],supercb[Bairro],mercado2)</f>
        <v>0</v>
      </c>
      <c r="AM253" s="61">
        <f>SUMIFS(super1[Qtde],super1[Item],tab_higiene[[#This Row],[Item]],super1[Bairro],mercado3)+SUMIFS(supercb[Qtde],supercb[Item],tab_higiene[[#This Row],[Item]],supercb[Bairro],mercado3)</f>
        <v>0</v>
      </c>
      <c r="AN253" s="61">
        <f>SUMIFS(super1[Qtde],super1[Item],tab_higiene[[#This Row],[Item]],super1[Bairro],mercado4)+SUMIFS(supercb[Qtde],supercb[Item],tab_higiene[[#This Row],[Item]],supercb[Bairro],mercado4)</f>
        <v>0</v>
      </c>
      <c r="AO253" s="61">
        <f>SUMIFS(super1[Qtde],super1[Item],tab_higiene[[#This Row],[Item]],super1[Bairro],mercado5)+SUMIFS(supercb[Qtde],supercb[Item],tab_higiene[[#This Row],[Item]],supercb[Bairro],mercado5)</f>
        <v>0</v>
      </c>
      <c r="AP253" s="61">
        <f>SUMIFS(super1[Qtde],super1[Item],tab_higiene[[#This Row],[Item]],super1[Bairro],mercado6)+SUMIFS(supercb[Qtde],supercb[Item],tab_higiene[[#This Row],[Item]],supercb[Bairro],mercado6)</f>
        <v>0</v>
      </c>
      <c r="AQ253" s="61">
        <f>SUMIFS(super1[Qtde],super1[Item],tab_higiene[[#This Row],[Item]],super1[Bairro],mercado7)+SUMIFS(supercb[Qtde],supercb[Item],tab_higiene[[#This Row],[Item]],supercb[Bairro],mercado7)</f>
        <v>0</v>
      </c>
      <c r="AR253" s="61">
        <f>SUMIFS(super1[Qtde],super1[Item],tab_higiene[[#This Row],[Item]],super1[Bairro],mercado8)+SUMIFS(supercb[Qtde],supercb[Item],tab_higiene[[#This Row],[Item]],supercb[Bairro],mercado8)</f>
        <v>0</v>
      </c>
      <c r="AS253" s="61">
        <f>SUMIFS(super1[Qtde],super1[Item],tab_higiene[[#This Row],[Item]],super1[Bairro],mercado9)+SUMIFS(supercb[Qtde],supercb[Item],tab_higiene[[#This Row],[Item]],supercb[Bairro],mercado9)</f>
        <v>0</v>
      </c>
      <c r="AT253" s="61">
        <f>SUMIFS(super1[Qtde],super1[Item],tab_higiene[[#This Row],[Item]],super1[Bairro],mercado10)+SUMIFS(supercb[Qtde],supercb[Item],tab_higiene[[#This Row],[Item]],supercb[Bairro],mercado10)</f>
        <v>0</v>
      </c>
      <c r="AU253" s="61">
        <f>SUMIFS(super1[Qtde],super1[Item],tab_higiene[[#This Row],[Item]],super1[Bairro],mercado11)+SUMIFS(supercb[Qtde],supercb[Item],tab_higiene[[#This Row],[Item]],supercb[Bairro],mercado11)</f>
        <v>0</v>
      </c>
      <c r="AV253" s="61">
        <f>SUMIFS(super1[Qtde],super1[Item],tab_higiene[[#This Row],[Item]],super1[Bairro],mercado12)+SUMIFS(supercb[Qtde],supercb[Item],tab_higiene[[#This Row],[Item]],supercb[Bairro],mercado12)</f>
        <v>0</v>
      </c>
      <c r="AW253" s="61">
        <f>SUMIFS(super1[Qtde],super1[Item],tab_higiene[[#This Row],[Item]],super1[Bairro],mercado13)+SUMIFS(supercb[Qtde],supercb[Item],tab_higiene[[#This Row],[Item]],supercb[Bairro],mercado13)</f>
        <v>0</v>
      </c>
      <c r="AX253" s="61">
        <f>SUMIFS(super1[Qtde],super1[Item],tab_higiene[[#This Row],[Item]],super1[Bairro],mercado14)+SUMIFS(supercb[Qtde],supercb[Item],tab_higiene[[#This Row],[Item]],supercb[Bairro],mercado14)</f>
        <v>0</v>
      </c>
      <c r="AY253" s="61">
        <f>SUMIFS(super1[Qtde],super1[Item],tab_higiene[[#This Row],[Item]],super1[Bairro],mercado15)+SUMIFS(supercb[Qtde],supercb[Item],tab_higiene[[#This Row],[Item]],supercb[Bairro],mercado15)</f>
        <v>0</v>
      </c>
      <c r="AZ253" s="61">
        <f>SUMIFS(super1[Qtde],super1[Item],tab_higiene[[#This Row],[Item]],super1[Bairro],mercado16)+SUMIFS(supercb[Qtde],supercb[Item],tab_higiene[[#This Row],[Item]],supercb[Bairro],mercado16)</f>
        <v>0</v>
      </c>
      <c r="BA253" s="61">
        <f>SUMIFS(super1[Qtde],super1[Item],tab_higiene[[#This Row],[Item]],super1[Bairro],mercado17)+SUMIFS(supercb[Qtde],supercb[Item],tab_higiene[[#This Row],[Item]],supercb[Bairro],mercado17)</f>
        <v>0</v>
      </c>
      <c r="BB253" s="61">
        <f>SUMIFS(super1[Qtde],super1[Item],tab_higiene[[#This Row],[Item]],super1[Bairro],mercado18)+SUMIFS(supercb[Qtde],supercb[Item],tab_higiene[[#This Row],[Item]],supercb[Bairro],mercado18)</f>
        <v>0</v>
      </c>
      <c r="BC253" s="51">
        <f>SUMIFS(super1[Qtde],super1[Item],tab_higiene[[#This Row],[Item]],super1[Bairro],extras)+SUMIFS(supercb[Qtde],supercb[Item],tab_higiene[[#This Row],[Item]],supercb[Bairro],extras)</f>
        <v>0</v>
      </c>
      <c r="BD253" s="8">
        <f t="shared" si="85"/>
        <v>0</v>
      </c>
      <c r="BE253" s="8">
        <f t="shared" si="86"/>
        <v>0</v>
      </c>
      <c r="BF253" s="23">
        <f t="shared" si="87"/>
        <v>0</v>
      </c>
    </row>
    <row r="254" spans="9:58" ht="15.75" thickBot="1" x14ac:dyDescent="0.3">
      <c r="I254" s="65" t="str">
        <f>alimentos[[#This Row],[Item]]</f>
        <v>T</v>
      </c>
      <c r="J254" s="61">
        <f>IFERROR(alimentos[[#This Row],[kg/embalagem]],0)</f>
        <v>0</v>
      </c>
      <c r="K254" s="64">
        <f>IFERROR(alimentos[[#This Row],[Preço]],0)</f>
        <v>0</v>
      </c>
      <c r="L254" s="64">
        <f>SUMIFS(super1[Qtde],super1[Item],tab_alimentos[[#This Row],[Item]],super1[Bairro],mercado1)+SUMIFS(supercb[Qtde],supercb[Item],tab_alimentos[[#This Row],[Item]],supercb[Bairro],mercado1)</f>
        <v>0</v>
      </c>
      <c r="M254" s="64">
        <f>SUMIFS(super1[Qtde],super1[Item],tab_alimentos[[#This Row],[Item]],super1[Bairro],mercado2)+SUMIFS(supercb[Qtde],supercb[Item],tab_alimentos[[#This Row],[Item]],supercb[Bairro],mercado2)</f>
        <v>0</v>
      </c>
      <c r="N254" s="61">
        <f>SUMIFS(super1[Qtde],super1[Item],tab_alimentos[[#This Row],[Item]],super1[Bairro],mercado3)+SUMIFS(supercb[Qtde],supercb[Item],tab_alimentos[[#This Row],[Item]],supercb[Bairro],mercado3)</f>
        <v>0</v>
      </c>
      <c r="O254" s="64">
        <f>SUMIFS(super1[Qtde],super1[Item],tab_alimentos[[#This Row],[Item]],super1[Bairro],mercado4)+SUMIFS(supercb[Qtde],supercb[Item],tab_alimentos[[#This Row],[Item]],supercb[Bairro],mercado4)</f>
        <v>0</v>
      </c>
      <c r="P254" s="64">
        <f>SUMIFS(super1[Qtde],super1[Item],tab_alimentos[[#This Row],[Item]],super1[Bairro],mercado5)+SUMIFS(supercb[Qtde],supercb[Item],tab_alimentos[[#This Row],[Item]],supercb[Bairro],mercado5)</f>
        <v>0</v>
      </c>
      <c r="Q254" s="64">
        <f>SUMIFS(super1[Qtde],super1[Item],tab_alimentos[[#This Row],[Item]],super1[Bairro],mercado6)+SUMIFS(supercb[Qtde],supercb[Item],tab_alimentos[[#This Row],[Item]],supercb[Bairro],mercado6)</f>
        <v>0</v>
      </c>
      <c r="R254" s="64">
        <f>SUMIFS(super1[Qtde],super1[Item],tab_alimentos[[#This Row],[Item]],super1[Bairro],mercado7)+SUMIFS(supercb[Qtde],supercb[Item],tab_alimentos[[#This Row],[Item]],supercb[Bairro],mercado7)</f>
        <v>0</v>
      </c>
      <c r="S254" s="64">
        <f>SUMIFS(super1[Qtde],super1[Item],tab_alimentos[[#This Row],[Item]],super1[Bairro],mercado8)+SUMIFS(supercb[Qtde],supercb[Item],tab_alimentos[[#This Row],[Item]],supercb[Bairro],mercado8)</f>
        <v>0</v>
      </c>
      <c r="T254" s="64">
        <f>SUMIFS(super1[Qtde],super1[Item],tab_alimentos[[#This Row],[Item]],super1[Bairro],mercado9)+SUMIFS(supercb[Qtde],supercb[Item],tab_alimentos[[#This Row],[Item]],supercb[Bairro],mercado9)</f>
        <v>0</v>
      </c>
      <c r="U254" s="64">
        <f>SUMIFS(super1[Qtde],super1[Item],tab_alimentos[[#This Row],[Item]],super1[Bairro],mercado10)+SUMIFS(supercb[Qtde],supercb[Item],tab_alimentos[[#This Row],[Item]],supercb[Bairro],mercado10)</f>
        <v>0</v>
      </c>
      <c r="V254" s="64">
        <f>SUMIFS(super1[Qtde],super1[Item],tab_alimentos[[#This Row],[Item]],super1[Bairro],mercado11)+SUMIFS(supercb[Qtde],supercb[Item],tab_alimentos[[#This Row],[Item]],supercb[Bairro],mercado11)</f>
        <v>0</v>
      </c>
      <c r="W254" s="64">
        <f>SUMIFS(super1[Qtde],super1[Item],tab_alimentos[[#This Row],[Item]],super1[Bairro],mercado12)+SUMIFS(supercb[Qtde],supercb[Item],tab_alimentos[[#This Row],[Item]],supercb[Bairro],mercado12)</f>
        <v>0</v>
      </c>
      <c r="X254" s="64">
        <f>SUMIFS(super1[Qtde],super1[Item],tab_alimentos[[#This Row],[Item]],super1[Bairro],mercado13)+SUMIFS(supercb[Qtde],supercb[Item],tab_alimentos[[#This Row],[Item]],supercb[Bairro],mercado13)</f>
        <v>0</v>
      </c>
      <c r="Y254" s="64">
        <f>SUMIFS(super1[Qtde],super1[Item],tab_alimentos[[#This Row],[Item]],super1[Bairro],mercado14)+SUMIFS(supercb[Qtde],supercb[Item],tab_alimentos[[#This Row],[Item]],supercb[Bairro],mercado14)</f>
        <v>0</v>
      </c>
      <c r="Z254" s="64">
        <f>SUMIFS(super1[Qtde],super1[Item],tab_alimentos[[#This Row],[Item]],super1[Bairro],mercado15)+SUMIFS(supercb[Qtde],supercb[Item],tab_alimentos[[#This Row],[Item]],supercb[Bairro],mercado15)</f>
        <v>0</v>
      </c>
      <c r="AA254" s="64">
        <f>SUMIFS(super1[Qtde],super1[Item],tab_alimentos[[#This Row],[Item]],super1[Bairro],mercado16)+SUMIFS(supercb[Qtde],supercb[Item],tab_alimentos[[#This Row],[Item]],supercb[Bairro],mercado16)</f>
        <v>0</v>
      </c>
      <c r="AB254" s="64">
        <f>SUMIFS(super1[Qtde],super1[Item],tab_alimentos[[#This Row],[Item]],super1[Bairro],mercado17)+SUMIFS(supercb[Qtde],supercb[Item],tab_alimentos[[#This Row],[Item]],supercb[Bairro],mercado17)</f>
        <v>0</v>
      </c>
      <c r="AC254" s="64">
        <f>SUMIFS(super1[Qtde],super1[Item],tab_alimentos[[#This Row],[Item]],super1[Bairro],mercado18)+SUMIFS(supercb[Qtde],supercb[Item],tab_alimentos[[#This Row],[Item]],supercb[Bairro],mercado18)</f>
        <v>0</v>
      </c>
      <c r="AD254" s="64">
        <f>SUMIFS(super1[Qtde],super1[Item],tab_alimentos[[#This Row],[Item]],super1[Bairro],extras)+SUMIFS(supercb[Qtde],supercb[Item],tab_alimentos[[#This Row],[Item]],supercb[Bairro],extras)</f>
        <v>0</v>
      </c>
      <c r="AE254" s="61">
        <f t="shared" si="82"/>
        <v>0</v>
      </c>
      <c r="AF254" s="61">
        <f t="shared" si="83"/>
        <v>0</v>
      </c>
      <c r="AG254" s="62">
        <f t="shared" si="84"/>
        <v>0</v>
      </c>
      <c r="AH254" s="15" t="e">
        <f>higiene[[#This Row],[Item]]</f>
        <v>#VALUE!</v>
      </c>
      <c r="AI254" s="8">
        <f>IFERROR(higiene[[#This Row],[Kg equivalente]],0)</f>
        <v>0</v>
      </c>
      <c r="AJ254" s="8">
        <f>IFERROR(higiene[[#This Row],[Preço por produto]],0)</f>
        <v>0</v>
      </c>
      <c r="AK254" s="61">
        <f>SUMIFS(super1[Qtde],super1[Item],tab_higiene[[#This Row],[Item]],super1[Bairro],mercado1)+SUMIFS(supercb[Qtde],supercb[Item],tab_higiene[[#This Row],[Item]],supercb[Bairro],mercado1)</f>
        <v>0</v>
      </c>
      <c r="AL254" s="61">
        <f>SUMIFS(super1[Qtde],super1[Item],tab_higiene[[#This Row],[Item]],super1[Bairro],mercado2)+SUMIFS(supercb[Qtde],supercb[Item],tab_higiene[[#This Row],[Item]],supercb[Bairro],mercado2)</f>
        <v>0</v>
      </c>
      <c r="AM254" s="61">
        <f>SUMIFS(super1[Qtde],super1[Item],tab_higiene[[#This Row],[Item]],super1[Bairro],mercado3)+SUMIFS(supercb[Qtde],supercb[Item],tab_higiene[[#This Row],[Item]],supercb[Bairro],mercado3)</f>
        <v>0</v>
      </c>
      <c r="AN254" s="61">
        <f>SUMIFS(super1[Qtde],super1[Item],tab_higiene[[#This Row],[Item]],super1[Bairro],mercado4)+SUMIFS(supercb[Qtde],supercb[Item],tab_higiene[[#This Row],[Item]],supercb[Bairro],mercado4)</f>
        <v>0</v>
      </c>
      <c r="AO254" s="61">
        <f>SUMIFS(super1[Qtde],super1[Item],tab_higiene[[#This Row],[Item]],super1[Bairro],mercado5)+SUMIFS(supercb[Qtde],supercb[Item],tab_higiene[[#This Row],[Item]],supercb[Bairro],mercado5)</f>
        <v>0</v>
      </c>
      <c r="AP254" s="61">
        <f>SUMIFS(super1[Qtde],super1[Item],tab_higiene[[#This Row],[Item]],super1[Bairro],mercado6)+SUMIFS(supercb[Qtde],supercb[Item],tab_higiene[[#This Row],[Item]],supercb[Bairro],mercado6)</f>
        <v>0</v>
      </c>
      <c r="AQ254" s="61">
        <f>SUMIFS(super1[Qtde],super1[Item],tab_higiene[[#This Row],[Item]],super1[Bairro],mercado7)+SUMIFS(supercb[Qtde],supercb[Item],tab_higiene[[#This Row],[Item]],supercb[Bairro],mercado7)</f>
        <v>0</v>
      </c>
      <c r="AR254" s="61">
        <f>SUMIFS(super1[Qtde],super1[Item],tab_higiene[[#This Row],[Item]],super1[Bairro],mercado8)+SUMIFS(supercb[Qtde],supercb[Item],tab_higiene[[#This Row],[Item]],supercb[Bairro],mercado8)</f>
        <v>0</v>
      </c>
      <c r="AS254" s="61">
        <f>SUMIFS(super1[Qtde],super1[Item],tab_higiene[[#This Row],[Item]],super1[Bairro],mercado9)+SUMIFS(supercb[Qtde],supercb[Item],tab_higiene[[#This Row],[Item]],supercb[Bairro],mercado9)</f>
        <v>0</v>
      </c>
      <c r="AT254" s="61">
        <f>SUMIFS(super1[Qtde],super1[Item],tab_higiene[[#This Row],[Item]],super1[Bairro],mercado10)+SUMIFS(supercb[Qtde],supercb[Item],tab_higiene[[#This Row],[Item]],supercb[Bairro],mercado10)</f>
        <v>0</v>
      </c>
      <c r="AU254" s="61">
        <f>SUMIFS(super1[Qtde],super1[Item],tab_higiene[[#This Row],[Item]],super1[Bairro],mercado11)+SUMIFS(supercb[Qtde],supercb[Item],tab_higiene[[#This Row],[Item]],supercb[Bairro],mercado11)</f>
        <v>0</v>
      </c>
      <c r="AV254" s="61">
        <f>SUMIFS(super1[Qtde],super1[Item],tab_higiene[[#This Row],[Item]],super1[Bairro],mercado12)+SUMIFS(supercb[Qtde],supercb[Item],tab_higiene[[#This Row],[Item]],supercb[Bairro],mercado12)</f>
        <v>0</v>
      </c>
      <c r="AW254" s="61">
        <f>SUMIFS(super1[Qtde],super1[Item],tab_higiene[[#This Row],[Item]],super1[Bairro],mercado13)+SUMIFS(supercb[Qtde],supercb[Item],tab_higiene[[#This Row],[Item]],supercb[Bairro],mercado13)</f>
        <v>0</v>
      </c>
      <c r="AX254" s="61">
        <f>SUMIFS(super1[Qtde],super1[Item],tab_higiene[[#This Row],[Item]],super1[Bairro],mercado14)+SUMIFS(supercb[Qtde],supercb[Item],tab_higiene[[#This Row],[Item]],supercb[Bairro],mercado14)</f>
        <v>0</v>
      </c>
      <c r="AY254" s="61">
        <f>SUMIFS(super1[Qtde],super1[Item],tab_higiene[[#This Row],[Item]],super1[Bairro],mercado15)+SUMIFS(supercb[Qtde],supercb[Item],tab_higiene[[#This Row],[Item]],supercb[Bairro],mercado15)</f>
        <v>0</v>
      </c>
      <c r="AZ254" s="61">
        <f>SUMIFS(super1[Qtde],super1[Item],tab_higiene[[#This Row],[Item]],super1[Bairro],mercado16)+SUMIFS(supercb[Qtde],supercb[Item],tab_higiene[[#This Row],[Item]],supercb[Bairro],mercado16)</f>
        <v>0</v>
      </c>
      <c r="BA254" s="61">
        <f>SUMIFS(super1[Qtde],super1[Item],tab_higiene[[#This Row],[Item]],super1[Bairro],mercado17)+SUMIFS(supercb[Qtde],supercb[Item],tab_higiene[[#This Row],[Item]],supercb[Bairro],mercado17)</f>
        <v>0</v>
      </c>
      <c r="BB254" s="61">
        <f>SUMIFS(super1[Qtde],super1[Item],tab_higiene[[#This Row],[Item]],super1[Bairro],mercado18)+SUMIFS(supercb[Qtde],supercb[Item],tab_higiene[[#This Row],[Item]],supercb[Bairro],mercado18)</f>
        <v>0</v>
      </c>
      <c r="BC254" s="51">
        <f>SUMIFS(super1[Qtde],super1[Item],tab_higiene[[#This Row],[Item]],super1[Bairro],extras)+SUMIFS(supercb[Qtde],supercb[Item],tab_higiene[[#This Row],[Item]],supercb[Bairro],extras)</f>
        <v>0</v>
      </c>
      <c r="BD254" s="8">
        <f t="shared" si="85"/>
        <v>0</v>
      </c>
      <c r="BE254" s="8">
        <f t="shared" si="86"/>
        <v>0</v>
      </c>
      <c r="BF254" s="23">
        <f t="shared" si="87"/>
        <v>0</v>
      </c>
    </row>
    <row r="255" spans="9:58" ht="15.75" thickBot="1" x14ac:dyDescent="0.3">
      <c r="I255" s="65" t="str">
        <f>alimentos[[#This Row],[Item]]</f>
        <v>Tapioca (1kg)</v>
      </c>
      <c r="J255" s="61">
        <f>IFERROR(alimentos[[#This Row],[kg/embalagem]],0)</f>
        <v>1</v>
      </c>
      <c r="K255" s="64">
        <f>IFERROR(alimentos[[#This Row],[Preço]],0)</f>
        <v>9.7349999999999994</v>
      </c>
      <c r="L255" s="64">
        <f>SUMIFS(super1[Qtde],super1[Item],tab_alimentos[[#This Row],[Item]],super1[Bairro],mercado1)+SUMIFS(supercb[Qtde],supercb[Item],tab_alimentos[[#This Row],[Item]],supercb[Bairro],mercado1)</f>
        <v>0</v>
      </c>
      <c r="M255" s="64">
        <f>SUMIFS(super1[Qtde],super1[Item],tab_alimentos[[#This Row],[Item]],super1[Bairro],mercado2)+SUMIFS(supercb[Qtde],supercb[Item],tab_alimentos[[#This Row],[Item]],supercb[Bairro],mercado2)</f>
        <v>0</v>
      </c>
      <c r="N255" s="61">
        <f>SUMIFS(super1[Qtde],super1[Item],tab_alimentos[[#This Row],[Item]],super1[Bairro],mercado3)+SUMIFS(supercb[Qtde],supercb[Item],tab_alimentos[[#This Row],[Item]],supercb[Bairro],mercado3)</f>
        <v>0</v>
      </c>
      <c r="O255" s="64">
        <f>SUMIFS(super1[Qtde],super1[Item],tab_alimentos[[#This Row],[Item]],super1[Bairro],mercado4)+SUMIFS(supercb[Qtde],supercb[Item],tab_alimentos[[#This Row],[Item]],supercb[Bairro],mercado4)</f>
        <v>0</v>
      </c>
      <c r="P255" s="64">
        <f>SUMIFS(super1[Qtde],super1[Item],tab_alimentos[[#This Row],[Item]],super1[Bairro],mercado5)+SUMIFS(supercb[Qtde],supercb[Item],tab_alimentos[[#This Row],[Item]],supercb[Bairro],mercado5)</f>
        <v>0</v>
      </c>
      <c r="Q255" s="64">
        <f>SUMIFS(super1[Qtde],super1[Item],tab_alimentos[[#This Row],[Item]],super1[Bairro],mercado6)+SUMIFS(supercb[Qtde],supercb[Item],tab_alimentos[[#This Row],[Item]],supercb[Bairro],mercado6)</f>
        <v>0</v>
      </c>
      <c r="R255" s="64">
        <f>SUMIFS(super1[Qtde],super1[Item],tab_alimentos[[#This Row],[Item]],super1[Bairro],mercado7)+SUMIFS(supercb[Qtde],supercb[Item],tab_alimentos[[#This Row],[Item]],supercb[Bairro],mercado7)</f>
        <v>0</v>
      </c>
      <c r="S255" s="64">
        <f>SUMIFS(super1[Qtde],super1[Item],tab_alimentos[[#This Row],[Item]],super1[Bairro],mercado8)+SUMIFS(supercb[Qtde],supercb[Item],tab_alimentos[[#This Row],[Item]],supercb[Bairro],mercado8)</f>
        <v>0</v>
      </c>
      <c r="T255" s="64">
        <f>SUMIFS(super1[Qtde],super1[Item],tab_alimentos[[#This Row],[Item]],super1[Bairro],mercado9)+SUMIFS(supercb[Qtde],supercb[Item],tab_alimentos[[#This Row],[Item]],supercb[Bairro],mercado9)</f>
        <v>0</v>
      </c>
      <c r="U255" s="64">
        <f>SUMIFS(super1[Qtde],super1[Item],tab_alimentos[[#This Row],[Item]],super1[Bairro],mercado10)+SUMIFS(supercb[Qtde],supercb[Item],tab_alimentos[[#This Row],[Item]],supercb[Bairro],mercado10)</f>
        <v>0</v>
      </c>
      <c r="V255" s="64">
        <f>SUMIFS(super1[Qtde],super1[Item],tab_alimentos[[#This Row],[Item]],super1[Bairro],mercado11)+SUMIFS(supercb[Qtde],supercb[Item],tab_alimentos[[#This Row],[Item]],supercb[Bairro],mercado11)</f>
        <v>0</v>
      </c>
      <c r="W255" s="64">
        <f>SUMIFS(super1[Qtde],super1[Item],tab_alimentos[[#This Row],[Item]],super1[Bairro],mercado12)+SUMIFS(supercb[Qtde],supercb[Item],tab_alimentos[[#This Row],[Item]],supercb[Bairro],mercado12)</f>
        <v>0</v>
      </c>
      <c r="X255" s="64">
        <f>SUMIFS(super1[Qtde],super1[Item],tab_alimentos[[#This Row],[Item]],super1[Bairro],mercado13)+SUMIFS(supercb[Qtde],supercb[Item],tab_alimentos[[#This Row],[Item]],supercb[Bairro],mercado13)</f>
        <v>0</v>
      </c>
      <c r="Y255" s="64">
        <f>SUMIFS(super1[Qtde],super1[Item],tab_alimentos[[#This Row],[Item]],super1[Bairro],mercado14)+SUMIFS(supercb[Qtde],supercb[Item],tab_alimentos[[#This Row],[Item]],supercb[Bairro],mercado14)</f>
        <v>0</v>
      </c>
      <c r="Z255" s="64">
        <f>SUMIFS(super1[Qtde],super1[Item],tab_alimentos[[#This Row],[Item]],super1[Bairro],mercado15)+SUMIFS(supercb[Qtde],supercb[Item],tab_alimentos[[#This Row],[Item]],supercb[Bairro],mercado15)</f>
        <v>0</v>
      </c>
      <c r="AA255" s="64">
        <f>SUMIFS(super1[Qtde],super1[Item],tab_alimentos[[#This Row],[Item]],super1[Bairro],mercado16)+SUMIFS(supercb[Qtde],supercb[Item],tab_alimentos[[#This Row],[Item]],supercb[Bairro],mercado16)</f>
        <v>0</v>
      </c>
      <c r="AB255" s="64">
        <f>SUMIFS(super1[Qtde],super1[Item],tab_alimentos[[#This Row],[Item]],super1[Bairro],mercado17)+SUMIFS(supercb[Qtde],supercb[Item],tab_alimentos[[#This Row],[Item]],supercb[Bairro],mercado17)</f>
        <v>0</v>
      </c>
      <c r="AC255" s="64">
        <f>SUMIFS(super1[Qtde],super1[Item],tab_alimentos[[#This Row],[Item]],super1[Bairro],mercado18)+SUMIFS(supercb[Qtde],supercb[Item],tab_alimentos[[#This Row],[Item]],supercb[Bairro],mercado18)</f>
        <v>0</v>
      </c>
      <c r="AD255" s="64">
        <f>SUMIFS(super1[Qtde],super1[Item],tab_alimentos[[#This Row],[Item]],super1[Bairro],extras)+SUMIFS(supercb[Qtde],supercb[Item],tab_alimentos[[#This Row],[Item]],supercb[Bairro],extras)</f>
        <v>0</v>
      </c>
      <c r="AE255" s="61">
        <f t="shared" si="82"/>
        <v>0</v>
      </c>
      <c r="AF255" s="61">
        <f t="shared" si="83"/>
        <v>0</v>
      </c>
      <c r="AG255" s="62">
        <f t="shared" si="84"/>
        <v>0</v>
      </c>
      <c r="AH255" s="15" t="e">
        <f>higiene[[#This Row],[Item]]</f>
        <v>#VALUE!</v>
      </c>
      <c r="AI255" s="8">
        <f>IFERROR(higiene[[#This Row],[Kg equivalente]],0)</f>
        <v>0</v>
      </c>
      <c r="AJ255" s="8">
        <f>IFERROR(higiene[[#This Row],[Preço por produto]],0)</f>
        <v>0</v>
      </c>
      <c r="AK255" s="61">
        <f>SUMIFS(super1[Qtde],super1[Item],tab_higiene[[#This Row],[Item]],super1[Bairro],mercado1)+SUMIFS(supercb[Qtde],supercb[Item],tab_higiene[[#This Row],[Item]],supercb[Bairro],mercado1)</f>
        <v>0</v>
      </c>
      <c r="AL255" s="61">
        <f>SUMIFS(super1[Qtde],super1[Item],tab_higiene[[#This Row],[Item]],super1[Bairro],mercado2)+SUMIFS(supercb[Qtde],supercb[Item],tab_higiene[[#This Row],[Item]],supercb[Bairro],mercado2)</f>
        <v>0</v>
      </c>
      <c r="AM255" s="61">
        <f>SUMIFS(super1[Qtde],super1[Item],tab_higiene[[#This Row],[Item]],super1[Bairro],mercado3)+SUMIFS(supercb[Qtde],supercb[Item],tab_higiene[[#This Row],[Item]],supercb[Bairro],mercado3)</f>
        <v>0</v>
      </c>
      <c r="AN255" s="61">
        <f>SUMIFS(super1[Qtde],super1[Item],tab_higiene[[#This Row],[Item]],super1[Bairro],mercado4)+SUMIFS(supercb[Qtde],supercb[Item],tab_higiene[[#This Row],[Item]],supercb[Bairro],mercado4)</f>
        <v>0</v>
      </c>
      <c r="AO255" s="61">
        <f>SUMIFS(super1[Qtde],super1[Item],tab_higiene[[#This Row],[Item]],super1[Bairro],mercado5)+SUMIFS(supercb[Qtde],supercb[Item],tab_higiene[[#This Row],[Item]],supercb[Bairro],mercado5)</f>
        <v>0</v>
      </c>
      <c r="AP255" s="61">
        <f>SUMIFS(super1[Qtde],super1[Item],tab_higiene[[#This Row],[Item]],super1[Bairro],mercado6)+SUMIFS(supercb[Qtde],supercb[Item],tab_higiene[[#This Row],[Item]],supercb[Bairro],mercado6)</f>
        <v>0</v>
      </c>
      <c r="AQ255" s="61">
        <f>SUMIFS(super1[Qtde],super1[Item],tab_higiene[[#This Row],[Item]],super1[Bairro],mercado7)+SUMIFS(supercb[Qtde],supercb[Item],tab_higiene[[#This Row],[Item]],supercb[Bairro],mercado7)</f>
        <v>0</v>
      </c>
      <c r="AR255" s="61">
        <f>SUMIFS(super1[Qtde],super1[Item],tab_higiene[[#This Row],[Item]],super1[Bairro],mercado8)+SUMIFS(supercb[Qtde],supercb[Item],tab_higiene[[#This Row],[Item]],supercb[Bairro],mercado8)</f>
        <v>0</v>
      </c>
      <c r="AS255" s="61">
        <f>SUMIFS(super1[Qtde],super1[Item],tab_higiene[[#This Row],[Item]],super1[Bairro],mercado9)+SUMIFS(supercb[Qtde],supercb[Item],tab_higiene[[#This Row],[Item]],supercb[Bairro],mercado9)</f>
        <v>0</v>
      </c>
      <c r="AT255" s="61">
        <f>SUMIFS(super1[Qtde],super1[Item],tab_higiene[[#This Row],[Item]],super1[Bairro],mercado10)+SUMIFS(supercb[Qtde],supercb[Item],tab_higiene[[#This Row],[Item]],supercb[Bairro],mercado10)</f>
        <v>0</v>
      </c>
      <c r="AU255" s="61">
        <f>SUMIFS(super1[Qtde],super1[Item],tab_higiene[[#This Row],[Item]],super1[Bairro],mercado11)+SUMIFS(supercb[Qtde],supercb[Item],tab_higiene[[#This Row],[Item]],supercb[Bairro],mercado11)</f>
        <v>0</v>
      </c>
      <c r="AV255" s="61">
        <f>SUMIFS(super1[Qtde],super1[Item],tab_higiene[[#This Row],[Item]],super1[Bairro],mercado12)+SUMIFS(supercb[Qtde],supercb[Item],tab_higiene[[#This Row],[Item]],supercb[Bairro],mercado12)</f>
        <v>0</v>
      </c>
      <c r="AW255" s="61">
        <f>SUMIFS(super1[Qtde],super1[Item],tab_higiene[[#This Row],[Item]],super1[Bairro],mercado13)+SUMIFS(supercb[Qtde],supercb[Item],tab_higiene[[#This Row],[Item]],supercb[Bairro],mercado13)</f>
        <v>0</v>
      </c>
      <c r="AX255" s="61">
        <f>SUMIFS(super1[Qtde],super1[Item],tab_higiene[[#This Row],[Item]],super1[Bairro],mercado14)+SUMIFS(supercb[Qtde],supercb[Item],tab_higiene[[#This Row],[Item]],supercb[Bairro],mercado14)</f>
        <v>0</v>
      </c>
      <c r="AY255" s="61">
        <f>SUMIFS(super1[Qtde],super1[Item],tab_higiene[[#This Row],[Item]],super1[Bairro],mercado15)+SUMIFS(supercb[Qtde],supercb[Item],tab_higiene[[#This Row],[Item]],supercb[Bairro],mercado15)</f>
        <v>0</v>
      </c>
      <c r="AZ255" s="61">
        <f>SUMIFS(super1[Qtde],super1[Item],tab_higiene[[#This Row],[Item]],super1[Bairro],mercado16)+SUMIFS(supercb[Qtde],supercb[Item],tab_higiene[[#This Row],[Item]],supercb[Bairro],mercado16)</f>
        <v>0</v>
      </c>
      <c r="BA255" s="61">
        <f>SUMIFS(super1[Qtde],super1[Item],tab_higiene[[#This Row],[Item]],super1[Bairro],mercado17)+SUMIFS(supercb[Qtde],supercb[Item],tab_higiene[[#This Row],[Item]],supercb[Bairro],mercado17)</f>
        <v>0</v>
      </c>
      <c r="BB255" s="61">
        <f>SUMIFS(super1[Qtde],super1[Item],tab_higiene[[#This Row],[Item]],super1[Bairro],mercado18)+SUMIFS(supercb[Qtde],supercb[Item],tab_higiene[[#This Row],[Item]],supercb[Bairro],mercado18)</f>
        <v>0</v>
      </c>
      <c r="BC255" s="51">
        <f>SUMIFS(super1[Qtde],super1[Item],tab_higiene[[#This Row],[Item]],super1[Bairro],extras)+SUMIFS(supercb[Qtde],supercb[Item],tab_higiene[[#This Row],[Item]],supercb[Bairro],extras)</f>
        <v>0</v>
      </c>
      <c r="BD255" s="8">
        <f t="shared" si="85"/>
        <v>0</v>
      </c>
      <c r="BE255" s="8">
        <f t="shared" si="86"/>
        <v>0</v>
      </c>
      <c r="BF255" s="23">
        <f t="shared" si="87"/>
        <v>0</v>
      </c>
    </row>
    <row r="256" spans="9:58" ht="15.75" thickBot="1" x14ac:dyDescent="0.3">
      <c r="I256" s="65" t="str">
        <f>alimentos[[#This Row],[Item]]</f>
        <v>Tapioca (500g)</v>
      </c>
      <c r="J256" s="61">
        <f>IFERROR(alimentos[[#This Row],[kg/embalagem]],0)</f>
        <v>0.5</v>
      </c>
      <c r="K256" s="64">
        <f>IFERROR(alimentos[[#This Row],[Preço]],0)</f>
        <v>5.8239999999999998</v>
      </c>
      <c r="L256" s="64">
        <f>SUMIFS(super1[Qtde],super1[Item],tab_alimentos[[#This Row],[Item]],super1[Bairro],mercado1)+SUMIFS(supercb[Qtde],supercb[Item],tab_alimentos[[#This Row],[Item]],supercb[Bairro],mercado1)</f>
        <v>0</v>
      </c>
      <c r="M256" s="64">
        <f>SUMIFS(super1[Qtde],super1[Item],tab_alimentos[[#This Row],[Item]],super1[Bairro],mercado2)+SUMIFS(supercb[Qtde],supercb[Item],tab_alimentos[[#This Row],[Item]],supercb[Bairro],mercado2)</f>
        <v>0</v>
      </c>
      <c r="N256" s="61">
        <f>SUMIFS(super1[Qtde],super1[Item],tab_alimentos[[#This Row],[Item]],super1[Bairro],mercado3)+SUMIFS(supercb[Qtde],supercb[Item],tab_alimentos[[#This Row],[Item]],supercb[Bairro],mercado3)</f>
        <v>0</v>
      </c>
      <c r="O256" s="64">
        <f>SUMIFS(super1[Qtde],super1[Item],tab_alimentos[[#This Row],[Item]],super1[Bairro],mercado4)+SUMIFS(supercb[Qtde],supercb[Item],tab_alimentos[[#This Row],[Item]],supercb[Bairro],mercado4)</f>
        <v>0</v>
      </c>
      <c r="P256" s="64">
        <f>SUMIFS(super1[Qtde],super1[Item],tab_alimentos[[#This Row],[Item]],super1[Bairro],mercado5)+SUMIFS(supercb[Qtde],supercb[Item],tab_alimentos[[#This Row],[Item]],supercb[Bairro],mercado5)</f>
        <v>0</v>
      </c>
      <c r="Q256" s="64">
        <f>SUMIFS(super1[Qtde],super1[Item],tab_alimentos[[#This Row],[Item]],super1[Bairro],mercado6)+SUMIFS(supercb[Qtde],supercb[Item],tab_alimentos[[#This Row],[Item]],supercb[Bairro],mercado6)</f>
        <v>0</v>
      </c>
      <c r="R256" s="64">
        <f>SUMIFS(super1[Qtde],super1[Item],tab_alimentos[[#This Row],[Item]],super1[Bairro],mercado7)+SUMIFS(supercb[Qtde],supercb[Item],tab_alimentos[[#This Row],[Item]],supercb[Bairro],mercado7)</f>
        <v>0</v>
      </c>
      <c r="S256" s="64">
        <f>SUMIFS(super1[Qtde],super1[Item],tab_alimentos[[#This Row],[Item]],super1[Bairro],mercado8)+SUMIFS(supercb[Qtde],supercb[Item],tab_alimentos[[#This Row],[Item]],supercb[Bairro],mercado8)</f>
        <v>0</v>
      </c>
      <c r="T256" s="64">
        <f>SUMIFS(super1[Qtde],super1[Item],tab_alimentos[[#This Row],[Item]],super1[Bairro],mercado9)+SUMIFS(supercb[Qtde],supercb[Item],tab_alimentos[[#This Row],[Item]],supercb[Bairro],mercado9)</f>
        <v>0</v>
      </c>
      <c r="U256" s="64">
        <f>SUMIFS(super1[Qtde],super1[Item],tab_alimentos[[#This Row],[Item]],super1[Bairro],mercado10)+SUMIFS(supercb[Qtde],supercb[Item],tab_alimentos[[#This Row],[Item]],supercb[Bairro],mercado10)</f>
        <v>0</v>
      </c>
      <c r="V256" s="64">
        <f>SUMIFS(super1[Qtde],super1[Item],tab_alimentos[[#This Row],[Item]],super1[Bairro],mercado11)+SUMIFS(supercb[Qtde],supercb[Item],tab_alimentos[[#This Row],[Item]],supercb[Bairro],mercado11)</f>
        <v>0</v>
      </c>
      <c r="W256" s="64">
        <f>SUMIFS(super1[Qtde],super1[Item],tab_alimentos[[#This Row],[Item]],super1[Bairro],mercado12)+SUMIFS(supercb[Qtde],supercb[Item],tab_alimentos[[#This Row],[Item]],supercb[Bairro],mercado12)</f>
        <v>0</v>
      </c>
      <c r="X256" s="64">
        <f>SUMIFS(super1[Qtde],super1[Item],tab_alimentos[[#This Row],[Item]],super1[Bairro],mercado13)+SUMIFS(supercb[Qtde],supercb[Item],tab_alimentos[[#This Row],[Item]],supercb[Bairro],mercado13)</f>
        <v>0</v>
      </c>
      <c r="Y256" s="64">
        <f>SUMIFS(super1[Qtde],super1[Item],tab_alimentos[[#This Row],[Item]],super1[Bairro],mercado14)+SUMIFS(supercb[Qtde],supercb[Item],tab_alimentos[[#This Row],[Item]],supercb[Bairro],mercado14)</f>
        <v>0</v>
      </c>
      <c r="Z256" s="64">
        <f>SUMIFS(super1[Qtde],super1[Item],tab_alimentos[[#This Row],[Item]],super1[Bairro],mercado15)+SUMIFS(supercb[Qtde],supercb[Item],tab_alimentos[[#This Row],[Item]],supercb[Bairro],mercado15)</f>
        <v>0</v>
      </c>
      <c r="AA256" s="64">
        <f>SUMIFS(super1[Qtde],super1[Item],tab_alimentos[[#This Row],[Item]],super1[Bairro],mercado16)+SUMIFS(supercb[Qtde],supercb[Item],tab_alimentos[[#This Row],[Item]],supercb[Bairro],mercado16)</f>
        <v>0</v>
      </c>
      <c r="AB256" s="64">
        <f>SUMIFS(super1[Qtde],super1[Item],tab_alimentos[[#This Row],[Item]],super1[Bairro],mercado17)+SUMIFS(supercb[Qtde],supercb[Item],tab_alimentos[[#This Row],[Item]],supercb[Bairro],mercado17)</f>
        <v>0</v>
      </c>
      <c r="AC256" s="64">
        <f>SUMIFS(super1[Qtde],super1[Item],tab_alimentos[[#This Row],[Item]],super1[Bairro],mercado18)+SUMIFS(supercb[Qtde],supercb[Item],tab_alimentos[[#This Row],[Item]],supercb[Bairro],mercado18)</f>
        <v>0</v>
      </c>
      <c r="AD256" s="64">
        <f>SUMIFS(super1[Qtde],super1[Item],tab_alimentos[[#This Row],[Item]],super1[Bairro],extras)+SUMIFS(supercb[Qtde],supercb[Item],tab_alimentos[[#This Row],[Item]],supercb[Bairro],extras)</f>
        <v>0</v>
      </c>
      <c r="AE256" s="61">
        <f t="shared" si="82"/>
        <v>0</v>
      </c>
      <c r="AF256" s="61">
        <f t="shared" si="83"/>
        <v>0</v>
      </c>
      <c r="AG256" s="62">
        <f t="shared" si="84"/>
        <v>0</v>
      </c>
      <c r="AH256" s="15" t="e">
        <f>higiene[[#This Row],[Item]]</f>
        <v>#VALUE!</v>
      </c>
      <c r="AI256" s="8">
        <f>IFERROR(higiene[[#This Row],[Kg equivalente]],0)</f>
        <v>0</v>
      </c>
      <c r="AJ256" s="8">
        <f>IFERROR(higiene[[#This Row],[Preço por produto]],0)</f>
        <v>0</v>
      </c>
      <c r="AK256" s="61">
        <f>SUMIFS(super1[Qtde],super1[Item],tab_higiene[[#This Row],[Item]],super1[Bairro],mercado1)+SUMIFS(supercb[Qtde],supercb[Item],tab_higiene[[#This Row],[Item]],supercb[Bairro],mercado1)</f>
        <v>0</v>
      </c>
      <c r="AL256" s="61">
        <f>SUMIFS(super1[Qtde],super1[Item],tab_higiene[[#This Row],[Item]],super1[Bairro],mercado2)+SUMIFS(supercb[Qtde],supercb[Item],tab_higiene[[#This Row],[Item]],supercb[Bairro],mercado2)</f>
        <v>0</v>
      </c>
      <c r="AM256" s="61">
        <f>SUMIFS(super1[Qtde],super1[Item],tab_higiene[[#This Row],[Item]],super1[Bairro],mercado3)+SUMIFS(supercb[Qtde],supercb[Item],tab_higiene[[#This Row],[Item]],supercb[Bairro],mercado3)</f>
        <v>0</v>
      </c>
      <c r="AN256" s="61">
        <f>SUMIFS(super1[Qtde],super1[Item],tab_higiene[[#This Row],[Item]],super1[Bairro],mercado4)+SUMIFS(supercb[Qtde],supercb[Item],tab_higiene[[#This Row],[Item]],supercb[Bairro],mercado4)</f>
        <v>0</v>
      </c>
      <c r="AO256" s="61">
        <f>SUMIFS(super1[Qtde],super1[Item],tab_higiene[[#This Row],[Item]],super1[Bairro],mercado5)+SUMIFS(supercb[Qtde],supercb[Item],tab_higiene[[#This Row],[Item]],supercb[Bairro],mercado5)</f>
        <v>0</v>
      </c>
      <c r="AP256" s="61">
        <f>SUMIFS(super1[Qtde],super1[Item],tab_higiene[[#This Row],[Item]],super1[Bairro],mercado6)+SUMIFS(supercb[Qtde],supercb[Item],tab_higiene[[#This Row],[Item]],supercb[Bairro],mercado6)</f>
        <v>0</v>
      </c>
      <c r="AQ256" s="61">
        <f>SUMIFS(super1[Qtde],super1[Item],tab_higiene[[#This Row],[Item]],super1[Bairro],mercado7)+SUMIFS(supercb[Qtde],supercb[Item],tab_higiene[[#This Row],[Item]],supercb[Bairro],mercado7)</f>
        <v>0</v>
      </c>
      <c r="AR256" s="61">
        <f>SUMIFS(super1[Qtde],super1[Item],tab_higiene[[#This Row],[Item]],super1[Bairro],mercado8)+SUMIFS(supercb[Qtde],supercb[Item],tab_higiene[[#This Row],[Item]],supercb[Bairro],mercado8)</f>
        <v>0</v>
      </c>
      <c r="AS256" s="61">
        <f>SUMIFS(super1[Qtde],super1[Item],tab_higiene[[#This Row],[Item]],super1[Bairro],mercado9)+SUMIFS(supercb[Qtde],supercb[Item],tab_higiene[[#This Row],[Item]],supercb[Bairro],mercado9)</f>
        <v>0</v>
      </c>
      <c r="AT256" s="61">
        <f>SUMIFS(super1[Qtde],super1[Item],tab_higiene[[#This Row],[Item]],super1[Bairro],mercado10)+SUMIFS(supercb[Qtde],supercb[Item],tab_higiene[[#This Row],[Item]],supercb[Bairro],mercado10)</f>
        <v>0</v>
      </c>
      <c r="AU256" s="61">
        <f>SUMIFS(super1[Qtde],super1[Item],tab_higiene[[#This Row],[Item]],super1[Bairro],mercado11)+SUMIFS(supercb[Qtde],supercb[Item],tab_higiene[[#This Row],[Item]],supercb[Bairro],mercado11)</f>
        <v>0</v>
      </c>
      <c r="AV256" s="61">
        <f>SUMIFS(super1[Qtde],super1[Item],tab_higiene[[#This Row],[Item]],super1[Bairro],mercado12)+SUMIFS(supercb[Qtde],supercb[Item],tab_higiene[[#This Row],[Item]],supercb[Bairro],mercado12)</f>
        <v>0</v>
      </c>
      <c r="AW256" s="61">
        <f>SUMIFS(super1[Qtde],super1[Item],tab_higiene[[#This Row],[Item]],super1[Bairro],mercado13)+SUMIFS(supercb[Qtde],supercb[Item],tab_higiene[[#This Row],[Item]],supercb[Bairro],mercado13)</f>
        <v>0</v>
      </c>
      <c r="AX256" s="61">
        <f>SUMIFS(super1[Qtde],super1[Item],tab_higiene[[#This Row],[Item]],super1[Bairro],mercado14)+SUMIFS(supercb[Qtde],supercb[Item],tab_higiene[[#This Row],[Item]],supercb[Bairro],mercado14)</f>
        <v>0</v>
      </c>
      <c r="AY256" s="61">
        <f>SUMIFS(super1[Qtde],super1[Item],tab_higiene[[#This Row],[Item]],super1[Bairro],mercado15)+SUMIFS(supercb[Qtde],supercb[Item],tab_higiene[[#This Row],[Item]],supercb[Bairro],mercado15)</f>
        <v>0</v>
      </c>
      <c r="AZ256" s="61">
        <f>SUMIFS(super1[Qtde],super1[Item],tab_higiene[[#This Row],[Item]],super1[Bairro],mercado16)+SUMIFS(supercb[Qtde],supercb[Item],tab_higiene[[#This Row],[Item]],supercb[Bairro],mercado16)</f>
        <v>0</v>
      </c>
      <c r="BA256" s="61">
        <f>SUMIFS(super1[Qtde],super1[Item],tab_higiene[[#This Row],[Item]],super1[Bairro],mercado17)+SUMIFS(supercb[Qtde],supercb[Item],tab_higiene[[#This Row],[Item]],supercb[Bairro],mercado17)</f>
        <v>0</v>
      </c>
      <c r="BB256" s="61">
        <f>SUMIFS(super1[Qtde],super1[Item],tab_higiene[[#This Row],[Item]],super1[Bairro],mercado18)+SUMIFS(supercb[Qtde],supercb[Item],tab_higiene[[#This Row],[Item]],supercb[Bairro],mercado18)</f>
        <v>0</v>
      </c>
      <c r="BC256" s="51">
        <f>SUMIFS(super1[Qtde],super1[Item],tab_higiene[[#This Row],[Item]],super1[Bairro],extras)+SUMIFS(supercb[Qtde],supercb[Item],tab_higiene[[#This Row],[Item]],supercb[Bairro],extras)</f>
        <v>0</v>
      </c>
      <c r="BD256" s="8">
        <f t="shared" si="85"/>
        <v>0</v>
      </c>
      <c r="BE256" s="8">
        <f t="shared" si="86"/>
        <v>0</v>
      </c>
      <c r="BF256" s="23">
        <f t="shared" si="87"/>
        <v>0</v>
      </c>
    </row>
    <row r="257" spans="9:58" ht="15.75" thickBot="1" x14ac:dyDescent="0.3">
      <c r="I257" s="65" t="str">
        <f>alimentos[[#This Row],[Item]]</f>
        <v>Tempero pronto (500g)</v>
      </c>
      <c r="J257" s="61">
        <f>IFERROR(alimentos[[#This Row],[kg/embalagem]],0)</f>
        <v>0.5</v>
      </c>
      <c r="K257" s="64">
        <f>IFERROR(alimentos[[#This Row],[Preço]],0)</f>
        <v>3.7</v>
      </c>
      <c r="L257" s="64">
        <f>SUMIFS(super1[Qtde],super1[Item],tab_alimentos[[#This Row],[Item]],super1[Bairro],mercado1)+SUMIFS(supercb[Qtde],supercb[Item],tab_alimentos[[#This Row],[Item]],supercb[Bairro],mercado1)</f>
        <v>0</v>
      </c>
      <c r="M257" s="64">
        <f>SUMIFS(super1[Qtde],super1[Item],tab_alimentos[[#This Row],[Item]],super1[Bairro],mercado2)+SUMIFS(supercb[Qtde],supercb[Item],tab_alimentos[[#This Row],[Item]],supercb[Bairro],mercado2)</f>
        <v>0</v>
      </c>
      <c r="N257" s="61">
        <f>SUMIFS(super1[Qtde],super1[Item],tab_alimentos[[#This Row],[Item]],super1[Bairro],mercado3)+SUMIFS(supercb[Qtde],supercb[Item],tab_alimentos[[#This Row],[Item]],supercb[Bairro],mercado3)</f>
        <v>0</v>
      </c>
      <c r="O257" s="64">
        <f>SUMIFS(super1[Qtde],super1[Item],tab_alimentos[[#This Row],[Item]],super1[Bairro],mercado4)+SUMIFS(supercb[Qtde],supercb[Item],tab_alimentos[[#This Row],[Item]],supercb[Bairro],mercado4)</f>
        <v>0</v>
      </c>
      <c r="P257" s="64">
        <f>SUMIFS(super1[Qtde],super1[Item],tab_alimentos[[#This Row],[Item]],super1[Bairro],mercado5)+SUMIFS(supercb[Qtde],supercb[Item],tab_alimentos[[#This Row],[Item]],supercb[Bairro],mercado5)</f>
        <v>0</v>
      </c>
      <c r="Q257" s="64">
        <f>SUMIFS(super1[Qtde],super1[Item],tab_alimentos[[#This Row],[Item]],super1[Bairro],mercado6)+SUMIFS(supercb[Qtde],supercb[Item],tab_alimentos[[#This Row],[Item]],supercb[Bairro],mercado6)</f>
        <v>0</v>
      </c>
      <c r="R257" s="64">
        <f>SUMIFS(super1[Qtde],super1[Item],tab_alimentos[[#This Row],[Item]],super1[Bairro],mercado7)+SUMIFS(supercb[Qtde],supercb[Item],tab_alimentos[[#This Row],[Item]],supercb[Bairro],mercado7)</f>
        <v>0</v>
      </c>
      <c r="S257" s="64">
        <f>SUMIFS(super1[Qtde],super1[Item],tab_alimentos[[#This Row],[Item]],super1[Bairro],mercado8)+SUMIFS(supercb[Qtde],supercb[Item],tab_alimentos[[#This Row],[Item]],supercb[Bairro],mercado8)</f>
        <v>0</v>
      </c>
      <c r="T257" s="64">
        <f>SUMIFS(super1[Qtde],super1[Item],tab_alimentos[[#This Row],[Item]],super1[Bairro],mercado9)+SUMIFS(supercb[Qtde],supercb[Item],tab_alimentos[[#This Row],[Item]],supercb[Bairro],mercado9)</f>
        <v>0</v>
      </c>
      <c r="U257" s="64">
        <f>SUMIFS(super1[Qtde],super1[Item],tab_alimentos[[#This Row],[Item]],super1[Bairro],mercado10)+SUMIFS(supercb[Qtde],supercb[Item],tab_alimentos[[#This Row],[Item]],supercb[Bairro],mercado10)</f>
        <v>0</v>
      </c>
      <c r="V257" s="64">
        <f>SUMIFS(super1[Qtde],super1[Item],tab_alimentos[[#This Row],[Item]],super1[Bairro],mercado11)+SUMIFS(supercb[Qtde],supercb[Item],tab_alimentos[[#This Row],[Item]],supercb[Bairro],mercado11)</f>
        <v>0</v>
      </c>
      <c r="W257" s="64">
        <f>SUMIFS(super1[Qtde],super1[Item],tab_alimentos[[#This Row],[Item]],super1[Bairro],mercado12)+SUMIFS(supercb[Qtde],supercb[Item],tab_alimentos[[#This Row],[Item]],supercb[Bairro],mercado12)</f>
        <v>0</v>
      </c>
      <c r="X257" s="64">
        <f>SUMIFS(super1[Qtde],super1[Item],tab_alimentos[[#This Row],[Item]],super1[Bairro],mercado13)+SUMIFS(supercb[Qtde],supercb[Item],tab_alimentos[[#This Row],[Item]],supercb[Bairro],mercado13)</f>
        <v>0</v>
      </c>
      <c r="Y257" s="64">
        <f>SUMIFS(super1[Qtde],super1[Item],tab_alimentos[[#This Row],[Item]],super1[Bairro],mercado14)+SUMIFS(supercb[Qtde],supercb[Item],tab_alimentos[[#This Row],[Item]],supercb[Bairro],mercado14)</f>
        <v>0</v>
      </c>
      <c r="Z257" s="64">
        <f>SUMIFS(super1[Qtde],super1[Item],tab_alimentos[[#This Row],[Item]],super1[Bairro],mercado15)+SUMIFS(supercb[Qtde],supercb[Item],tab_alimentos[[#This Row],[Item]],supercb[Bairro],mercado15)</f>
        <v>0</v>
      </c>
      <c r="AA257" s="64">
        <f>SUMIFS(super1[Qtde],super1[Item],tab_alimentos[[#This Row],[Item]],super1[Bairro],mercado16)+SUMIFS(supercb[Qtde],supercb[Item],tab_alimentos[[#This Row],[Item]],supercb[Bairro],mercado16)</f>
        <v>0</v>
      </c>
      <c r="AB257" s="64">
        <f>SUMIFS(super1[Qtde],super1[Item],tab_alimentos[[#This Row],[Item]],super1[Bairro],mercado17)+SUMIFS(supercb[Qtde],supercb[Item],tab_alimentos[[#This Row],[Item]],supercb[Bairro],mercado17)</f>
        <v>0</v>
      </c>
      <c r="AC257" s="64">
        <f>SUMIFS(super1[Qtde],super1[Item],tab_alimentos[[#This Row],[Item]],super1[Bairro],mercado18)+SUMIFS(supercb[Qtde],supercb[Item],tab_alimentos[[#This Row],[Item]],supercb[Bairro],mercado18)</f>
        <v>0</v>
      </c>
      <c r="AD257" s="64">
        <f>SUMIFS(super1[Qtde],super1[Item],tab_alimentos[[#This Row],[Item]],super1[Bairro],extras)+SUMIFS(supercb[Qtde],supercb[Item],tab_alimentos[[#This Row],[Item]],supercb[Bairro],extras)</f>
        <v>0</v>
      </c>
      <c r="AE257" s="61">
        <f t="shared" si="82"/>
        <v>0</v>
      </c>
      <c r="AF257" s="61">
        <f t="shared" si="83"/>
        <v>0</v>
      </c>
      <c r="AG257" s="62">
        <f t="shared" si="84"/>
        <v>0</v>
      </c>
      <c r="AH257" s="15" t="e">
        <f>higiene[[#This Row],[Item]]</f>
        <v>#VALUE!</v>
      </c>
      <c r="AI257" s="8">
        <f>IFERROR(higiene[[#This Row],[Kg equivalente]],0)</f>
        <v>0</v>
      </c>
      <c r="AJ257" s="8">
        <f>IFERROR(higiene[[#This Row],[Preço por produto]],0)</f>
        <v>0</v>
      </c>
      <c r="AK257" s="61">
        <f>SUMIFS(super1[Qtde],super1[Item],tab_higiene[[#This Row],[Item]],super1[Bairro],mercado1)+SUMIFS(supercb[Qtde],supercb[Item],tab_higiene[[#This Row],[Item]],supercb[Bairro],mercado1)</f>
        <v>0</v>
      </c>
      <c r="AL257" s="61">
        <f>SUMIFS(super1[Qtde],super1[Item],tab_higiene[[#This Row],[Item]],super1[Bairro],mercado2)+SUMIFS(supercb[Qtde],supercb[Item],tab_higiene[[#This Row],[Item]],supercb[Bairro],mercado2)</f>
        <v>0</v>
      </c>
      <c r="AM257" s="61">
        <f>SUMIFS(super1[Qtde],super1[Item],tab_higiene[[#This Row],[Item]],super1[Bairro],mercado3)+SUMIFS(supercb[Qtde],supercb[Item],tab_higiene[[#This Row],[Item]],supercb[Bairro],mercado3)</f>
        <v>0</v>
      </c>
      <c r="AN257" s="61">
        <f>SUMIFS(super1[Qtde],super1[Item],tab_higiene[[#This Row],[Item]],super1[Bairro],mercado4)+SUMIFS(supercb[Qtde],supercb[Item],tab_higiene[[#This Row],[Item]],supercb[Bairro],mercado4)</f>
        <v>0</v>
      </c>
      <c r="AO257" s="61">
        <f>SUMIFS(super1[Qtde],super1[Item],tab_higiene[[#This Row],[Item]],super1[Bairro],mercado5)+SUMIFS(supercb[Qtde],supercb[Item],tab_higiene[[#This Row],[Item]],supercb[Bairro],mercado5)</f>
        <v>0</v>
      </c>
      <c r="AP257" s="61">
        <f>SUMIFS(super1[Qtde],super1[Item],tab_higiene[[#This Row],[Item]],super1[Bairro],mercado6)+SUMIFS(supercb[Qtde],supercb[Item],tab_higiene[[#This Row],[Item]],supercb[Bairro],mercado6)</f>
        <v>0</v>
      </c>
      <c r="AQ257" s="61">
        <f>SUMIFS(super1[Qtde],super1[Item],tab_higiene[[#This Row],[Item]],super1[Bairro],mercado7)+SUMIFS(supercb[Qtde],supercb[Item],tab_higiene[[#This Row],[Item]],supercb[Bairro],mercado7)</f>
        <v>0</v>
      </c>
      <c r="AR257" s="61">
        <f>SUMIFS(super1[Qtde],super1[Item],tab_higiene[[#This Row],[Item]],super1[Bairro],mercado8)+SUMIFS(supercb[Qtde],supercb[Item],tab_higiene[[#This Row],[Item]],supercb[Bairro],mercado8)</f>
        <v>0</v>
      </c>
      <c r="AS257" s="61">
        <f>SUMIFS(super1[Qtde],super1[Item],tab_higiene[[#This Row],[Item]],super1[Bairro],mercado9)+SUMIFS(supercb[Qtde],supercb[Item],tab_higiene[[#This Row],[Item]],supercb[Bairro],mercado9)</f>
        <v>0</v>
      </c>
      <c r="AT257" s="61">
        <f>SUMIFS(super1[Qtde],super1[Item],tab_higiene[[#This Row],[Item]],super1[Bairro],mercado10)+SUMIFS(supercb[Qtde],supercb[Item],tab_higiene[[#This Row],[Item]],supercb[Bairro],mercado10)</f>
        <v>0</v>
      </c>
      <c r="AU257" s="61">
        <f>SUMIFS(super1[Qtde],super1[Item],tab_higiene[[#This Row],[Item]],super1[Bairro],mercado11)+SUMIFS(supercb[Qtde],supercb[Item],tab_higiene[[#This Row],[Item]],supercb[Bairro],mercado11)</f>
        <v>0</v>
      </c>
      <c r="AV257" s="61">
        <f>SUMIFS(super1[Qtde],super1[Item],tab_higiene[[#This Row],[Item]],super1[Bairro],mercado12)+SUMIFS(supercb[Qtde],supercb[Item],tab_higiene[[#This Row],[Item]],supercb[Bairro],mercado12)</f>
        <v>0</v>
      </c>
      <c r="AW257" s="61">
        <f>SUMIFS(super1[Qtde],super1[Item],tab_higiene[[#This Row],[Item]],super1[Bairro],mercado13)+SUMIFS(supercb[Qtde],supercb[Item],tab_higiene[[#This Row],[Item]],supercb[Bairro],mercado13)</f>
        <v>0</v>
      </c>
      <c r="AX257" s="61">
        <f>SUMIFS(super1[Qtde],super1[Item],tab_higiene[[#This Row],[Item]],super1[Bairro],mercado14)+SUMIFS(supercb[Qtde],supercb[Item],tab_higiene[[#This Row],[Item]],supercb[Bairro],mercado14)</f>
        <v>0</v>
      </c>
      <c r="AY257" s="61">
        <f>SUMIFS(super1[Qtde],super1[Item],tab_higiene[[#This Row],[Item]],super1[Bairro],mercado15)+SUMIFS(supercb[Qtde],supercb[Item],tab_higiene[[#This Row],[Item]],supercb[Bairro],mercado15)</f>
        <v>0</v>
      </c>
      <c r="AZ257" s="61">
        <f>SUMIFS(super1[Qtde],super1[Item],tab_higiene[[#This Row],[Item]],super1[Bairro],mercado16)+SUMIFS(supercb[Qtde],supercb[Item],tab_higiene[[#This Row],[Item]],supercb[Bairro],mercado16)</f>
        <v>0</v>
      </c>
      <c r="BA257" s="61">
        <f>SUMIFS(super1[Qtde],super1[Item],tab_higiene[[#This Row],[Item]],super1[Bairro],mercado17)+SUMIFS(supercb[Qtde],supercb[Item],tab_higiene[[#This Row],[Item]],supercb[Bairro],mercado17)</f>
        <v>0</v>
      </c>
      <c r="BB257" s="61">
        <f>SUMIFS(super1[Qtde],super1[Item],tab_higiene[[#This Row],[Item]],super1[Bairro],mercado18)+SUMIFS(supercb[Qtde],supercb[Item],tab_higiene[[#This Row],[Item]],supercb[Bairro],mercado18)</f>
        <v>0</v>
      </c>
      <c r="BC257" s="51">
        <f>SUMIFS(super1[Qtde],super1[Item],tab_higiene[[#This Row],[Item]],super1[Bairro],extras)+SUMIFS(supercb[Qtde],supercb[Item],tab_higiene[[#This Row],[Item]],supercb[Bairro],extras)</f>
        <v>0</v>
      </c>
      <c r="BD257" s="8">
        <f t="shared" si="85"/>
        <v>0</v>
      </c>
      <c r="BE257" s="8">
        <f t="shared" si="86"/>
        <v>0</v>
      </c>
      <c r="BF257" s="23">
        <f t="shared" si="87"/>
        <v>0</v>
      </c>
    </row>
    <row r="258" spans="9:58" ht="15.75" thickBot="1" x14ac:dyDescent="0.3">
      <c r="I258" s="65" t="str">
        <f>alimentos[[#This Row],[Item]]</f>
        <v>Tempero pronto(300g)</v>
      </c>
      <c r="J258" s="61">
        <f>IFERROR(alimentos[[#This Row],[kg/embalagem]],0)</f>
        <v>0.3</v>
      </c>
      <c r="K258" s="64">
        <f>IFERROR(alimentos[[#This Row],[Preço]],0)</f>
        <v>1.65</v>
      </c>
      <c r="L258" s="64">
        <f>SUMIFS(super1[Qtde],super1[Item],tab_alimentos[[#This Row],[Item]],super1[Bairro],mercado1)+SUMIFS(supercb[Qtde],supercb[Item],tab_alimentos[[#This Row],[Item]],supercb[Bairro],mercado1)</f>
        <v>0</v>
      </c>
      <c r="M258" s="64">
        <f>SUMIFS(super1[Qtde],super1[Item],tab_alimentos[[#This Row],[Item]],super1[Bairro],mercado2)+SUMIFS(supercb[Qtde],supercb[Item],tab_alimentos[[#This Row],[Item]],supercb[Bairro],mercado2)</f>
        <v>0</v>
      </c>
      <c r="N258" s="61">
        <f>SUMIFS(super1[Qtde],super1[Item],tab_alimentos[[#This Row],[Item]],super1[Bairro],mercado3)+SUMIFS(supercb[Qtde],supercb[Item],tab_alimentos[[#This Row],[Item]],supercb[Bairro],mercado3)</f>
        <v>2</v>
      </c>
      <c r="O258" s="64">
        <f>SUMIFS(super1[Qtde],super1[Item],tab_alimentos[[#This Row],[Item]],super1[Bairro],mercado4)+SUMIFS(supercb[Qtde],supercb[Item],tab_alimentos[[#This Row],[Item]],supercb[Bairro],mercado4)</f>
        <v>1</v>
      </c>
      <c r="P258" s="64">
        <f>SUMIFS(super1[Qtde],super1[Item],tab_alimentos[[#This Row],[Item]],super1[Bairro],mercado5)+SUMIFS(supercb[Qtde],supercb[Item],tab_alimentos[[#This Row],[Item]],supercb[Bairro],mercado5)</f>
        <v>0</v>
      </c>
      <c r="Q258" s="64">
        <f>SUMIFS(super1[Qtde],super1[Item],tab_alimentos[[#This Row],[Item]],super1[Bairro],mercado6)+SUMIFS(supercb[Qtde],supercb[Item],tab_alimentos[[#This Row],[Item]],supercb[Bairro],mercado6)</f>
        <v>0</v>
      </c>
      <c r="R258" s="64">
        <f>SUMIFS(super1[Qtde],super1[Item],tab_alimentos[[#This Row],[Item]],super1[Bairro],mercado7)+SUMIFS(supercb[Qtde],supercb[Item],tab_alimentos[[#This Row],[Item]],supercb[Bairro],mercado7)</f>
        <v>0</v>
      </c>
      <c r="S258" s="64">
        <f>SUMIFS(super1[Qtde],super1[Item],tab_alimentos[[#This Row],[Item]],super1[Bairro],mercado8)+SUMIFS(supercb[Qtde],supercb[Item],tab_alimentos[[#This Row],[Item]],supercb[Bairro],mercado8)</f>
        <v>0</v>
      </c>
      <c r="T258" s="64">
        <f>SUMIFS(super1[Qtde],super1[Item],tab_alimentos[[#This Row],[Item]],super1[Bairro],mercado9)+SUMIFS(supercb[Qtde],supercb[Item],tab_alimentos[[#This Row],[Item]],supercb[Bairro],mercado9)</f>
        <v>0</v>
      </c>
      <c r="U258" s="64">
        <f>SUMIFS(super1[Qtde],super1[Item],tab_alimentos[[#This Row],[Item]],super1[Bairro],mercado10)+SUMIFS(supercb[Qtde],supercb[Item],tab_alimentos[[#This Row],[Item]],supercb[Bairro],mercado10)</f>
        <v>1</v>
      </c>
      <c r="V258" s="64">
        <f>SUMIFS(super1[Qtde],super1[Item],tab_alimentos[[#This Row],[Item]],super1[Bairro],mercado11)+SUMIFS(supercb[Qtde],supercb[Item],tab_alimentos[[#This Row],[Item]],supercb[Bairro],mercado11)</f>
        <v>1</v>
      </c>
      <c r="W258" s="64">
        <f>SUMIFS(super1[Qtde],super1[Item],tab_alimentos[[#This Row],[Item]],super1[Bairro],mercado12)+SUMIFS(supercb[Qtde],supercb[Item],tab_alimentos[[#This Row],[Item]],supercb[Bairro],mercado12)</f>
        <v>0</v>
      </c>
      <c r="X258" s="64">
        <f>SUMIFS(super1[Qtde],super1[Item],tab_alimentos[[#This Row],[Item]],super1[Bairro],mercado13)+SUMIFS(supercb[Qtde],supercb[Item],tab_alimentos[[#This Row],[Item]],supercb[Bairro],mercado13)</f>
        <v>0</v>
      </c>
      <c r="Y258" s="64">
        <f>SUMIFS(super1[Qtde],super1[Item],tab_alimentos[[#This Row],[Item]],super1[Bairro],mercado14)+SUMIFS(supercb[Qtde],supercb[Item],tab_alimentos[[#This Row],[Item]],supercb[Bairro],mercado14)</f>
        <v>0</v>
      </c>
      <c r="Z258" s="64">
        <f>SUMIFS(super1[Qtde],super1[Item],tab_alimentos[[#This Row],[Item]],super1[Bairro],mercado15)+SUMIFS(supercb[Qtde],supercb[Item],tab_alimentos[[#This Row],[Item]],supercb[Bairro],mercado15)</f>
        <v>0</v>
      </c>
      <c r="AA258" s="64">
        <f>SUMIFS(super1[Qtde],super1[Item],tab_alimentos[[#This Row],[Item]],super1[Bairro],mercado16)+SUMIFS(supercb[Qtde],supercb[Item],tab_alimentos[[#This Row],[Item]],supercb[Bairro],mercado16)</f>
        <v>0</v>
      </c>
      <c r="AB258" s="64">
        <f>SUMIFS(super1[Qtde],super1[Item],tab_alimentos[[#This Row],[Item]],super1[Bairro],mercado17)+SUMIFS(supercb[Qtde],supercb[Item],tab_alimentos[[#This Row],[Item]],supercb[Bairro],mercado17)</f>
        <v>0</v>
      </c>
      <c r="AC258" s="64">
        <f>SUMIFS(super1[Qtde],super1[Item],tab_alimentos[[#This Row],[Item]],super1[Bairro],mercado18)+SUMIFS(supercb[Qtde],supercb[Item],tab_alimentos[[#This Row],[Item]],supercb[Bairro],mercado18)</f>
        <v>0</v>
      </c>
      <c r="AD258" s="64">
        <f>SUMIFS(super1[Qtde],super1[Item],tab_alimentos[[#This Row],[Item]],super1[Bairro],extras)+SUMIFS(supercb[Qtde],supercb[Item],tab_alimentos[[#This Row],[Item]],supercb[Bairro],extras)</f>
        <v>0</v>
      </c>
      <c r="AE258" s="61">
        <f t="shared" si="82"/>
        <v>5</v>
      </c>
      <c r="AF258" s="61">
        <f t="shared" si="83"/>
        <v>8.25</v>
      </c>
      <c r="AG258" s="62">
        <f t="shared" si="84"/>
        <v>1.5</v>
      </c>
      <c r="AH258" s="15" t="e">
        <f>higiene[[#This Row],[Item]]</f>
        <v>#VALUE!</v>
      </c>
      <c r="AI258" s="8">
        <f>IFERROR(higiene[[#This Row],[Kg equivalente]],0)</f>
        <v>0</v>
      </c>
      <c r="AJ258" s="8">
        <f>IFERROR(higiene[[#This Row],[Preço por produto]],0)</f>
        <v>0</v>
      </c>
      <c r="AK258" s="61">
        <f>SUMIFS(super1[Qtde],super1[Item],tab_higiene[[#This Row],[Item]],super1[Bairro],mercado1)+SUMIFS(supercb[Qtde],supercb[Item],tab_higiene[[#This Row],[Item]],supercb[Bairro],mercado1)</f>
        <v>0</v>
      </c>
      <c r="AL258" s="61">
        <f>SUMIFS(super1[Qtde],super1[Item],tab_higiene[[#This Row],[Item]],super1[Bairro],mercado2)+SUMIFS(supercb[Qtde],supercb[Item],tab_higiene[[#This Row],[Item]],supercb[Bairro],mercado2)</f>
        <v>0</v>
      </c>
      <c r="AM258" s="61">
        <f>SUMIFS(super1[Qtde],super1[Item],tab_higiene[[#This Row],[Item]],super1[Bairro],mercado3)+SUMIFS(supercb[Qtde],supercb[Item],tab_higiene[[#This Row],[Item]],supercb[Bairro],mercado3)</f>
        <v>0</v>
      </c>
      <c r="AN258" s="61">
        <f>SUMIFS(super1[Qtde],super1[Item],tab_higiene[[#This Row],[Item]],super1[Bairro],mercado4)+SUMIFS(supercb[Qtde],supercb[Item],tab_higiene[[#This Row],[Item]],supercb[Bairro],mercado4)</f>
        <v>0</v>
      </c>
      <c r="AO258" s="61">
        <f>SUMIFS(super1[Qtde],super1[Item],tab_higiene[[#This Row],[Item]],super1[Bairro],mercado5)+SUMIFS(supercb[Qtde],supercb[Item],tab_higiene[[#This Row],[Item]],supercb[Bairro],mercado5)</f>
        <v>0</v>
      </c>
      <c r="AP258" s="61">
        <f>SUMIFS(super1[Qtde],super1[Item],tab_higiene[[#This Row],[Item]],super1[Bairro],mercado6)+SUMIFS(supercb[Qtde],supercb[Item],tab_higiene[[#This Row],[Item]],supercb[Bairro],mercado6)</f>
        <v>0</v>
      </c>
      <c r="AQ258" s="61">
        <f>SUMIFS(super1[Qtde],super1[Item],tab_higiene[[#This Row],[Item]],super1[Bairro],mercado7)+SUMIFS(supercb[Qtde],supercb[Item],tab_higiene[[#This Row],[Item]],supercb[Bairro],mercado7)</f>
        <v>0</v>
      </c>
      <c r="AR258" s="61">
        <f>SUMIFS(super1[Qtde],super1[Item],tab_higiene[[#This Row],[Item]],super1[Bairro],mercado8)+SUMIFS(supercb[Qtde],supercb[Item],tab_higiene[[#This Row],[Item]],supercb[Bairro],mercado8)</f>
        <v>0</v>
      </c>
      <c r="AS258" s="61">
        <f>SUMIFS(super1[Qtde],super1[Item],tab_higiene[[#This Row],[Item]],super1[Bairro],mercado9)+SUMIFS(supercb[Qtde],supercb[Item],tab_higiene[[#This Row],[Item]],supercb[Bairro],mercado9)</f>
        <v>0</v>
      </c>
      <c r="AT258" s="61">
        <f>SUMIFS(super1[Qtde],super1[Item],tab_higiene[[#This Row],[Item]],super1[Bairro],mercado10)+SUMIFS(supercb[Qtde],supercb[Item],tab_higiene[[#This Row],[Item]],supercb[Bairro],mercado10)</f>
        <v>0</v>
      </c>
      <c r="AU258" s="61">
        <f>SUMIFS(super1[Qtde],super1[Item],tab_higiene[[#This Row],[Item]],super1[Bairro],mercado11)+SUMIFS(supercb[Qtde],supercb[Item],tab_higiene[[#This Row],[Item]],supercb[Bairro],mercado11)</f>
        <v>0</v>
      </c>
      <c r="AV258" s="61">
        <f>SUMIFS(super1[Qtde],super1[Item],tab_higiene[[#This Row],[Item]],super1[Bairro],mercado12)+SUMIFS(supercb[Qtde],supercb[Item],tab_higiene[[#This Row],[Item]],supercb[Bairro],mercado12)</f>
        <v>0</v>
      </c>
      <c r="AW258" s="61">
        <f>SUMIFS(super1[Qtde],super1[Item],tab_higiene[[#This Row],[Item]],super1[Bairro],mercado13)+SUMIFS(supercb[Qtde],supercb[Item],tab_higiene[[#This Row],[Item]],supercb[Bairro],mercado13)</f>
        <v>0</v>
      </c>
      <c r="AX258" s="61">
        <f>SUMIFS(super1[Qtde],super1[Item],tab_higiene[[#This Row],[Item]],super1[Bairro],mercado14)+SUMIFS(supercb[Qtde],supercb[Item],tab_higiene[[#This Row],[Item]],supercb[Bairro],mercado14)</f>
        <v>0</v>
      </c>
      <c r="AY258" s="61">
        <f>SUMIFS(super1[Qtde],super1[Item],tab_higiene[[#This Row],[Item]],super1[Bairro],mercado15)+SUMIFS(supercb[Qtde],supercb[Item],tab_higiene[[#This Row],[Item]],supercb[Bairro],mercado15)</f>
        <v>0</v>
      </c>
      <c r="AZ258" s="61">
        <f>SUMIFS(super1[Qtde],super1[Item],tab_higiene[[#This Row],[Item]],super1[Bairro],mercado16)+SUMIFS(supercb[Qtde],supercb[Item],tab_higiene[[#This Row],[Item]],supercb[Bairro],mercado16)</f>
        <v>0</v>
      </c>
      <c r="BA258" s="61">
        <f>SUMIFS(super1[Qtde],super1[Item],tab_higiene[[#This Row],[Item]],super1[Bairro],mercado17)+SUMIFS(supercb[Qtde],supercb[Item],tab_higiene[[#This Row],[Item]],supercb[Bairro],mercado17)</f>
        <v>0</v>
      </c>
      <c r="BB258" s="61">
        <f>SUMIFS(super1[Qtde],super1[Item],tab_higiene[[#This Row],[Item]],super1[Bairro],mercado18)+SUMIFS(supercb[Qtde],supercb[Item],tab_higiene[[#This Row],[Item]],supercb[Bairro],mercado18)</f>
        <v>0</v>
      </c>
      <c r="BC258" s="51">
        <f>SUMIFS(super1[Qtde],super1[Item],tab_higiene[[#This Row],[Item]],super1[Bairro],extras)+SUMIFS(supercb[Qtde],supercb[Item],tab_higiene[[#This Row],[Item]],supercb[Bairro],extras)</f>
        <v>0</v>
      </c>
      <c r="BD258" s="8">
        <f t="shared" si="85"/>
        <v>0</v>
      </c>
      <c r="BE258" s="8">
        <f t="shared" si="86"/>
        <v>0</v>
      </c>
      <c r="BF258" s="23">
        <f t="shared" si="87"/>
        <v>0</v>
      </c>
    </row>
    <row r="259" spans="9:58" ht="15.75" thickBot="1" x14ac:dyDescent="0.3">
      <c r="I259" s="65" t="str">
        <f>alimentos[[#This Row],[Item]]</f>
        <v>Tomate Pelado (400g)</v>
      </c>
      <c r="J259" s="61">
        <f>IFERROR(alimentos[[#This Row],[kg/embalagem]],0)</f>
        <v>0.4</v>
      </c>
      <c r="K259" s="64">
        <f>IFERROR(alimentos[[#This Row],[Preço]],0)</f>
        <v>3.4350000000000005</v>
      </c>
      <c r="L259" s="64">
        <f>SUMIFS(super1[Qtde],super1[Item],tab_alimentos[[#This Row],[Item]],super1[Bairro],mercado1)+SUMIFS(supercb[Qtde],supercb[Item],tab_alimentos[[#This Row],[Item]],supercb[Bairro],mercado1)</f>
        <v>0</v>
      </c>
      <c r="M259" s="64">
        <f>SUMIFS(super1[Qtde],super1[Item],tab_alimentos[[#This Row],[Item]],super1[Bairro],mercado2)+SUMIFS(supercb[Qtde],supercb[Item],tab_alimentos[[#This Row],[Item]],supercb[Bairro],mercado2)</f>
        <v>0</v>
      </c>
      <c r="N259" s="61">
        <f>SUMIFS(super1[Qtde],super1[Item],tab_alimentos[[#This Row],[Item]],super1[Bairro],mercado3)+SUMIFS(supercb[Qtde],supercb[Item],tab_alimentos[[#This Row],[Item]],supercb[Bairro],mercado3)</f>
        <v>0</v>
      </c>
      <c r="O259" s="64">
        <f>SUMIFS(super1[Qtde],super1[Item],tab_alimentos[[#This Row],[Item]],super1[Bairro],mercado4)+SUMIFS(supercb[Qtde],supercb[Item],tab_alimentos[[#This Row],[Item]],supercb[Bairro],mercado4)</f>
        <v>0</v>
      </c>
      <c r="P259" s="64">
        <f>SUMIFS(super1[Qtde],super1[Item],tab_alimentos[[#This Row],[Item]],super1[Bairro],mercado5)+SUMIFS(supercb[Qtde],supercb[Item],tab_alimentos[[#This Row],[Item]],supercb[Bairro],mercado5)</f>
        <v>0</v>
      </c>
      <c r="Q259" s="64">
        <f>SUMIFS(super1[Qtde],super1[Item],tab_alimentos[[#This Row],[Item]],super1[Bairro],mercado6)+SUMIFS(supercb[Qtde],supercb[Item],tab_alimentos[[#This Row],[Item]],supercb[Bairro],mercado6)</f>
        <v>0</v>
      </c>
      <c r="R259" s="64">
        <f>SUMIFS(super1[Qtde],super1[Item],tab_alimentos[[#This Row],[Item]],super1[Bairro],mercado7)+SUMIFS(supercb[Qtde],supercb[Item],tab_alimentos[[#This Row],[Item]],supercb[Bairro],mercado7)</f>
        <v>0</v>
      </c>
      <c r="S259" s="64">
        <f>SUMIFS(super1[Qtde],super1[Item],tab_alimentos[[#This Row],[Item]],super1[Bairro],mercado8)+SUMIFS(supercb[Qtde],supercb[Item],tab_alimentos[[#This Row],[Item]],supercb[Bairro],mercado8)</f>
        <v>0</v>
      </c>
      <c r="T259" s="64">
        <f>SUMIFS(super1[Qtde],super1[Item],tab_alimentos[[#This Row],[Item]],super1[Bairro],mercado9)+SUMIFS(supercb[Qtde],supercb[Item],tab_alimentos[[#This Row],[Item]],supercb[Bairro],mercado9)</f>
        <v>0</v>
      </c>
      <c r="U259" s="64">
        <f>SUMIFS(super1[Qtde],super1[Item],tab_alimentos[[#This Row],[Item]],super1[Bairro],mercado10)+SUMIFS(supercb[Qtde],supercb[Item],tab_alimentos[[#This Row],[Item]],supercb[Bairro],mercado10)</f>
        <v>0</v>
      </c>
      <c r="V259" s="64">
        <f>SUMIFS(super1[Qtde],super1[Item],tab_alimentos[[#This Row],[Item]],super1[Bairro],mercado11)+SUMIFS(supercb[Qtde],supercb[Item],tab_alimentos[[#This Row],[Item]],supercb[Bairro],mercado11)</f>
        <v>0</v>
      </c>
      <c r="W259" s="64">
        <f>SUMIFS(super1[Qtde],super1[Item],tab_alimentos[[#This Row],[Item]],super1[Bairro],mercado12)+SUMIFS(supercb[Qtde],supercb[Item],tab_alimentos[[#This Row],[Item]],supercb[Bairro],mercado12)</f>
        <v>0</v>
      </c>
      <c r="X259" s="64">
        <f>SUMIFS(super1[Qtde],super1[Item],tab_alimentos[[#This Row],[Item]],super1[Bairro],mercado13)+SUMIFS(supercb[Qtde],supercb[Item],tab_alimentos[[#This Row],[Item]],supercb[Bairro],mercado13)</f>
        <v>0</v>
      </c>
      <c r="Y259" s="64">
        <f>SUMIFS(super1[Qtde],super1[Item],tab_alimentos[[#This Row],[Item]],super1[Bairro],mercado14)+SUMIFS(supercb[Qtde],supercb[Item],tab_alimentos[[#This Row],[Item]],supercb[Bairro],mercado14)</f>
        <v>0</v>
      </c>
      <c r="Z259" s="64">
        <f>SUMIFS(super1[Qtde],super1[Item],tab_alimentos[[#This Row],[Item]],super1[Bairro],mercado15)+SUMIFS(supercb[Qtde],supercb[Item],tab_alimentos[[#This Row],[Item]],supercb[Bairro],mercado15)</f>
        <v>0</v>
      </c>
      <c r="AA259" s="64">
        <f>SUMIFS(super1[Qtde],super1[Item],tab_alimentos[[#This Row],[Item]],super1[Bairro],mercado16)+SUMIFS(supercb[Qtde],supercb[Item],tab_alimentos[[#This Row],[Item]],supercb[Bairro],mercado16)</f>
        <v>0</v>
      </c>
      <c r="AB259" s="64">
        <f>SUMIFS(super1[Qtde],super1[Item],tab_alimentos[[#This Row],[Item]],super1[Bairro],mercado17)+SUMIFS(supercb[Qtde],supercb[Item],tab_alimentos[[#This Row],[Item]],supercb[Bairro],mercado17)</f>
        <v>0</v>
      </c>
      <c r="AC259" s="64">
        <f>SUMIFS(super1[Qtde],super1[Item],tab_alimentos[[#This Row],[Item]],super1[Bairro],mercado18)+SUMIFS(supercb[Qtde],supercb[Item],tab_alimentos[[#This Row],[Item]],supercb[Bairro],mercado18)</f>
        <v>0</v>
      </c>
      <c r="AD259" s="64">
        <f>SUMIFS(super1[Qtde],super1[Item],tab_alimentos[[#This Row],[Item]],super1[Bairro],extras)+SUMIFS(supercb[Qtde],supercb[Item],tab_alimentos[[#This Row],[Item]],supercb[Bairro],extras)</f>
        <v>0</v>
      </c>
      <c r="AE259" s="61">
        <f t="shared" si="82"/>
        <v>0</v>
      </c>
      <c r="AF259" s="61">
        <f t="shared" si="83"/>
        <v>0</v>
      </c>
      <c r="AG259" s="62">
        <f t="shared" si="84"/>
        <v>0</v>
      </c>
      <c r="AH259" s="15" t="e">
        <f>higiene[[#This Row],[Item]]</f>
        <v>#VALUE!</v>
      </c>
      <c r="AI259" s="8">
        <f>IFERROR(higiene[[#This Row],[Kg equivalente]],0)</f>
        <v>0</v>
      </c>
      <c r="AJ259" s="8">
        <f>IFERROR(higiene[[#This Row],[Preço por produto]],0)</f>
        <v>0</v>
      </c>
      <c r="AK259" s="61">
        <f>SUMIFS(super1[Qtde],super1[Item],tab_higiene[[#This Row],[Item]],super1[Bairro],mercado1)+SUMIFS(supercb[Qtde],supercb[Item],tab_higiene[[#This Row],[Item]],supercb[Bairro],mercado1)</f>
        <v>0</v>
      </c>
      <c r="AL259" s="61">
        <f>SUMIFS(super1[Qtde],super1[Item],tab_higiene[[#This Row],[Item]],super1[Bairro],mercado2)+SUMIFS(supercb[Qtde],supercb[Item],tab_higiene[[#This Row],[Item]],supercb[Bairro],mercado2)</f>
        <v>0</v>
      </c>
      <c r="AM259" s="61">
        <f>SUMIFS(super1[Qtde],super1[Item],tab_higiene[[#This Row],[Item]],super1[Bairro],mercado3)+SUMIFS(supercb[Qtde],supercb[Item],tab_higiene[[#This Row],[Item]],supercb[Bairro],mercado3)</f>
        <v>0</v>
      </c>
      <c r="AN259" s="61">
        <f>SUMIFS(super1[Qtde],super1[Item],tab_higiene[[#This Row],[Item]],super1[Bairro],mercado4)+SUMIFS(supercb[Qtde],supercb[Item],tab_higiene[[#This Row],[Item]],supercb[Bairro],mercado4)</f>
        <v>0</v>
      </c>
      <c r="AO259" s="61">
        <f>SUMIFS(super1[Qtde],super1[Item],tab_higiene[[#This Row],[Item]],super1[Bairro],mercado5)+SUMIFS(supercb[Qtde],supercb[Item],tab_higiene[[#This Row],[Item]],supercb[Bairro],mercado5)</f>
        <v>0</v>
      </c>
      <c r="AP259" s="61">
        <f>SUMIFS(super1[Qtde],super1[Item],tab_higiene[[#This Row],[Item]],super1[Bairro],mercado6)+SUMIFS(supercb[Qtde],supercb[Item],tab_higiene[[#This Row],[Item]],supercb[Bairro],mercado6)</f>
        <v>0</v>
      </c>
      <c r="AQ259" s="61">
        <f>SUMIFS(super1[Qtde],super1[Item],tab_higiene[[#This Row],[Item]],super1[Bairro],mercado7)+SUMIFS(supercb[Qtde],supercb[Item],tab_higiene[[#This Row],[Item]],supercb[Bairro],mercado7)</f>
        <v>0</v>
      </c>
      <c r="AR259" s="61">
        <f>SUMIFS(super1[Qtde],super1[Item],tab_higiene[[#This Row],[Item]],super1[Bairro],mercado8)+SUMIFS(supercb[Qtde],supercb[Item],tab_higiene[[#This Row],[Item]],supercb[Bairro],mercado8)</f>
        <v>0</v>
      </c>
      <c r="AS259" s="61">
        <f>SUMIFS(super1[Qtde],super1[Item],tab_higiene[[#This Row],[Item]],super1[Bairro],mercado9)+SUMIFS(supercb[Qtde],supercb[Item],tab_higiene[[#This Row],[Item]],supercb[Bairro],mercado9)</f>
        <v>0</v>
      </c>
      <c r="AT259" s="61">
        <f>SUMIFS(super1[Qtde],super1[Item],tab_higiene[[#This Row],[Item]],super1[Bairro],mercado10)+SUMIFS(supercb[Qtde],supercb[Item],tab_higiene[[#This Row],[Item]],supercb[Bairro],mercado10)</f>
        <v>0</v>
      </c>
      <c r="AU259" s="61">
        <f>SUMIFS(super1[Qtde],super1[Item],tab_higiene[[#This Row],[Item]],super1[Bairro],mercado11)+SUMIFS(supercb[Qtde],supercb[Item],tab_higiene[[#This Row],[Item]],supercb[Bairro],mercado11)</f>
        <v>0</v>
      </c>
      <c r="AV259" s="61">
        <f>SUMIFS(super1[Qtde],super1[Item],tab_higiene[[#This Row],[Item]],super1[Bairro],mercado12)+SUMIFS(supercb[Qtde],supercb[Item],tab_higiene[[#This Row],[Item]],supercb[Bairro],mercado12)</f>
        <v>0</v>
      </c>
      <c r="AW259" s="61">
        <f>SUMIFS(super1[Qtde],super1[Item],tab_higiene[[#This Row],[Item]],super1[Bairro],mercado13)+SUMIFS(supercb[Qtde],supercb[Item],tab_higiene[[#This Row],[Item]],supercb[Bairro],mercado13)</f>
        <v>0</v>
      </c>
      <c r="AX259" s="61">
        <f>SUMIFS(super1[Qtde],super1[Item],tab_higiene[[#This Row],[Item]],super1[Bairro],mercado14)+SUMIFS(supercb[Qtde],supercb[Item],tab_higiene[[#This Row],[Item]],supercb[Bairro],mercado14)</f>
        <v>0</v>
      </c>
      <c r="AY259" s="61">
        <f>SUMIFS(super1[Qtde],super1[Item],tab_higiene[[#This Row],[Item]],super1[Bairro],mercado15)+SUMIFS(supercb[Qtde],supercb[Item],tab_higiene[[#This Row],[Item]],supercb[Bairro],mercado15)</f>
        <v>0</v>
      </c>
      <c r="AZ259" s="61">
        <f>SUMIFS(super1[Qtde],super1[Item],tab_higiene[[#This Row],[Item]],super1[Bairro],mercado16)+SUMIFS(supercb[Qtde],supercb[Item],tab_higiene[[#This Row],[Item]],supercb[Bairro],mercado16)</f>
        <v>0</v>
      </c>
      <c r="BA259" s="61">
        <f>SUMIFS(super1[Qtde],super1[Item],tab_higiene[[#This Row],[Item]],super1[Bairro],mercado17)+SUMIFS(supercb[Qtde],supercb[Item],tab_higiene[[#This Row],[Item]],supercb[Bairro],mercado17)</f>
        <v>0</v>
      </c>
      <c r="BB259" s="61">
        <f>SUMIFS(super1[Qtde],super1[Item],tab_higiene[[#This Row],[Item]],super1[Bairro],mercado18)+SUMIFS(supercb[Qtde],supercb[Item],tab_higiene[[#This Row],[Item]],supercb[Bairro],mercado18)</f>
        <v>0</v>
      </c>
      <c r="BC259" s="51">
        <f>SUMIFS(super1[Qtde],super1[Item],tab_higiene[[#This Row],[Item]],super1[Bairro],extras)+SUMIFS(supercb[Qtde],supercb[Item],tab_higiene[[#This Row],[Item]],supercb[Bairro],extras)</f>
        <v>0</v>
      </c>
      <c r="BD259" s="8">
        <f t="shared" si="85"/>
        <v>0</v>
      </c>
      <c r="BE259" s="8">
        <f t="shared" si="86"/>
        <v>0</v>
      </c>
      <c r="BF259" s="23">
        <f t="shared" si="87"/>
        <v>0</v>
      </c>
    </row>
    <row r="260" spans="9:58" ht="15.75" thickBot="1" x14ac:dyDescent="0.3">
      <c r="I260" s="65" t="str">
        <f>alimentos[[#This Row],[Item]]</f>
        <v>Torrada</v>
      </c>
      <c r="J260" s="61">
        <f>IFERROR(alimentos[[#This Row],[kg/embalagem]],0)</f>
        <v>0.14000000000000001</v>
      </c>
      <c r="K260" s="64">
        <f>IFERROR(alimentos[[#This Row],[Preço]],0)</f>
        <v>2.4483333333333337</v>
      </c>
      <c r="L260" s="64">
        <f>SUMIFS(super1[Qtde],super1[Item],tab_alimentos[[#This Row],[Item]],super1[Bairro],mercado1)+SUMIFS(supercb[Qtde],supercb[Item],tab_alimentos[[#This Row],[Item]],supercb[Bairro],mercado1)</f>
        <v>0</v>
      </c>
      <c r="M260" s="64">
        <f>SUMIFS(super1[Qtde],super1[Item],tab_alimentos[[#This Row],[Item]],super1[Bairro],mercado2)+SUMIFS(supercb[Qtde],supercb[Item],tab_alimentos[[#This Row],[Item]],supercb[Bairro],mercado2)</f>
        <v>0</v>
      </c>
      <c r="N260" s="61">
        <f>SUMIFS(super1[Qtde],super1[Item],tab_alimentos[[#This Row],[Item]],super1[Bairro],mercado3)+SUMIFS(supercb[Qtde],supercb[Item],tab_alimentos[[#This Row],[Item]],supercb[Bairro],mercado3)</f>
        <v>0</v>
      </c>
      <c r="O260" s="64">
        <f>SUMIFS(super1[Qtde],super1[Item],tab_alimentos[[#This Row],[Item]],super1[Bairro],mercado4)+SUMIFS(supercb[Qtde],supercb[Item],tab_alimentos[[#This Row],[Item]],supercb[Bairro],mercado4)</f>
        <v>0</v>
      </c>
      <c r="P260" s="64">
        <f>SUMIFS(super1[Qtde],super1[Item],tab_alimentos[[#This Row],[Item]],super1[Bairro],mercado5)+SUMIFS(supercb[Qtde],supercb[Item],tab_alimentos[[#This Row],[Item]],supercb[Bairro],mercado5)</f>
        <v>0</v>
      </c>
      <c r="Q260" s="64">
        <f>SUMIFS(super1[Qtde],super1[Item],tab_alimentos[[#This Row],[Item]],super1[Bairro],mercado6)+SUMIFS(supercb[Qtde],supercb[Item],tab_alimentos[[#This Row],[Item]],supercb[Bairro],mercado6)</f>
        <v>0</v>
      </c>
      <c r="R260" s="64">
        <f>SUMIFS(super1[Qtde],super1[Item],tab_alimentos[[#This Row],[Item]],super1[Bairro],mercado7)+SUMIFS(supercb[Qtde],supercb[Item],tab_alimentos[[#This Row],[Item]],supercb[Bairro],mercado7)</f>
        <v>0</v>
      </c>
      <c r="S260" s="64">
        <f>SUMIFS(super1[Qtde],super1[Item],tab_alimentos[[#This Row],[Item]],super1[Bairro],mercado8)+SUMIFS(supercb[Qtde],supercb[Item],tab_alimentos[[#This Row],[Item]],supercb[Bairro],mercado8)</f>
        <v>0</v>
      </c>
      <c r="T260" s="64">
        <f>SUMIFS(super1[Qtde],super1[Item],tab_alimentos[[#This Row],[Item]],super1[Bairro],mercado9)+SUMIFS(supercb[Qtde],supercb[Item],tab_alimentos[[#This Row],[Item]],supercb[Bairro],mercado9)</f>
        <v>0</v>
      </c>
      <c r="U260" s="64">
        <f>SUMIFS(super1[Qtde],super1[Item],tab_alimentos[[#This Row],[Item]],super1[Bairro],mercado10)+SUMIFS(supercb[Qtde],supercb[Item],tab_alimentos[[#This Row],[Item]],supercb[Bairro],mercado10)</f>
        <v>1</v>
      </c>
      <c r="V260" s="64">
        <f>SUMIFS(super1[Qtde],super1[Item],tab_alimentos[[#This Row],[Item]],super1[Bairro],mercado11)+SUMIFS(supercb[Qtde],supercb[Item],tab_alimentos[[#This Row],[Item]],supercb[Bairro],mercado11)</f>
        <v>0</v>
      </c>
      <c r="W260" s="64">
        <f>SUMIFS(super1[Qtde],super1[Item],tab_alimentos[[#This Row],[Item]],super1[Bairro],mercado12)+SUMIFS(supercb[Qtde],supercb[Item],tab_alimentos[[#This Row],[Item]],supercb[Bairro],mercado12)</f>
        <v>0</v>
      </c>
      <c r="X260" s="64">
        <f>SUMIFS(super1[Qtde],super1[Item],tab_alimentos[[#This Row],[Item]],super1[Bairro],mercado13)+SUMIFS(supercb[Qtde],supercb[Item],tab_alimentos[[#This Row],[Item]],supercb[Bairro],mercado13)</f>
        <v>1</v>
      </c>
      <c r="Y260" s="64">
        <f>SUMIFS(super1[Qtde],super1[Item],tab_alimentos[[#This Row],[Item]],super1[Bairro],mercado14)+SUMIFS(supercb[Qtde],supercb[Item],tab_alimentos[[#This Row],[Item]],supercb[Bairro],mercado14)</f>
        <v>0</v>
      </c>
      <c r="Z260" s="64">
        <f>SUMIFS(super1[Qtde],super1[Item],tab_alimentos[[#This Row],[Item]],super1[Bairro],mercado15)+SUMIFS(supercb[Qtde],supercb[Item],tab_alimentos[[#This Row],[Item]],supercb[Bairro],mercado15)</f>
        <v>0</v>
      </c>
      <c r="AA260" s="64">
        <f>SUMIFS(super1[Qtde],super1[Item],tab_alimentos[[#This Row],[Item]],super1[Bairro],mercado16)+SUMIFS(supercb[Qtde],supercb[Item],tab_alimentos[[#This Row],[Item]],supercb[Bairro],mercado16)</f>
        <v>0</v>
      </c>
      <c r="AB260" s="64">
        <f>SUMIFS(super1[Qtde],super1[Item],tab_alimentos[[#This Row],[Item]],super1[Bairro],mercado17)+SUMIFS(supercb[Qtde],supercb[Item],tab_alimentos[[#This Row],[Item]],supercb[Bairro],mercado17)</f>
        <v>0</v>
      </c>
      <c r="AC260" s="64">
        <f>SUMIFS(super1[Qtde],super1[Item],tab_alimentos[[#This Row],[Item]],super1[Bairro],mercado18)+SUMIFS(supercb[Qtde],supercb[Item],tab_alimentos[[#This Row],[Item]],supercb[Bairro],mercado18)</f>
        <v>0</v>
      </c>
      <c r="AD260" s="64">
        <f>SUMIFS(super1[Qtde],super1[Item],tab_alimentos[[#This Row],[Item]],super1[Bairro],extras)+SUMIFS(supercb[Qtde],supercb[Item],tab_alimentos[[#This Row],[Item]],supercb[Bairro],extras)</f>
        <v>0</v>
      </c>
      <c r="AE260" s="61">
        <f t="shared" si="82"/>
        <v>2</v>
      </c>
      <c r="AF260" s="61">
        <f t="shared" si="83"/>
        <v>4.8966666666666674</v>
      </c>
      <c r="AG260" s="62">
        <f t="shared" si="84"/>
        <v>0.28000000000000003</v>
      </c>
      <c r="AH260" s="15" t="e">
        <f>higiene[[#This Row],[Item]]</f>
        <v>#VALUE!</v>
      </c>
      <c r="AI260" s="8">
        <f>IFERROR(higiene[[#This Row],[Kg equivalente]],0)</f>
        <v>0</v>
      </c>
      <c r="AJ260" s="8">
        <f>IFERROR(higiene[[#This Row],[Preço por produto]],0)</f>
        <v>0</v>
      </c>
      <c r="AK260" s="61">
        <f>SUMIFS(super1[Qtde],super1[Item],tab_higiene[[#This Row],[Item]],super1[Bairro],mercado1)+SUMIFS(supercb[Qtde],supercb[Item],tab_higiene[[#This Row],[Item]],supercb[Bairro],mercado1)</f>
        <v>0</v>
      </c>
      <c r="AL260" s="61">
        <f>SUMIFS(super1[Qtde],super1[Item],tab_higiene[[#This Row],[Item]],super1[Bairro],mercado2)+SUMIFS(supercb[Qtde],supercb[Item],tab_higiene[[#This Row],[Item]],supercb[Bairro],mercado2)</f>
        <v>0</v>
      </c>
      <c r="AM260" s="61">
        <f>SUMIFS(super1[Qtde],super1[Item],tab_higiene[[#This Row],[Item]],super1[Bairro],mercado3)+SUMIFS(supercb[Qtde],supercb[Item],tab_higiene[[#This Row],[Item]],supercb[Bairro],mercado3)</f>
        <v>0</v>
      </c>
      <c r="AN260" s="61">
        <f>SUMIFS(super1[Qtde],super1[Item],tab_higiene[[#This Row],[Item]],super1[Bairro],mercado4)+SUMIFS(supercb[Qtde],supercb[Item],tab_higiene[[#This Row],[Item]],supercb[Bairro],mercado4)</f>
        <v>0</v>
      </c>
      <c r="AO260" s="61">
        <f>SUMIFS(super1[Qtde],super1[Item],tab_higiene[[#This Row],[Item]],super1[Bairro],mercado5)+SUMIFS(supercb[Qtde],supercb[Item],tab_higiene[[#This Row],[Item]],supercb[Bairro],mercado5)</f>
        <v>0</v>
      </c>
      <c r="AP260" s="61">
        <f>SUMIFS(super1[Qtde],super1[Item],tab_higiene[[#This Row],[Item]],super1[Bairro],mercado6)+SUMIFS(supercb[Qtde],supercb[Item],tab_higiene[[#This Row],[Item]],supercb[Bairro],mercado6)</f>
        <v>0</v>
      </c>
      <c r="AQ260" s="61">
        <f>SUMIFS(super1[Qtde],super1[Item],tab_higiene[[#This Row],[Item]],super1[Bairro],mercado7)+SUMIFS(supercb[Qtde],supercb[Item],tab_higiene[[#This Row],[Item]],supercb[Bairro],mercado7)</f>
        <v>0</v>
      </c>
      <c r="AR260" s="61">
        <f>SUMIFS(super1[Qtde],super1[Item],tab_higiene[[#This Row],[Item]],super1[Bairro],mercado8)+SUMIFS(supercb[Qtde],supercb[Item],tab_higiene[[#This Row],[Item]],supercb[Bairro],mercado8)</f>
        <v>0</v>
      </c>
      <c r="AS260" s="61">
        <f>SUMIFS(super1[Qtde],super1[Item],tab_higiene[[#This Row],[Item]],super1[Bairro],mercado9)+SUMIFS(supercb[Qtde],supercb[Item],tab_higiene[[#This Row],[Item]],supercb[Bairro],mercado9)</f>
        <v>0</v>
      </c>
      <c r="AT260" s="61">
        <f>SUMIFS(super1[Qtde],super1[Item],tab_higiene[[#This Row],[Item]],super1[Bairro],mercado10)+SUMIFS(supercb[Qtde],supercb[Item],tab_higiene[[#This Row],[Item]],supercb[Bairro],mercado10)</f>
        <v>0</v>
      </c>
      <c r="AU260" s="61">
        <f>SUMIFS(super1[Qtde],super1[Item],tab_higiene[[#This Row],[Item]],super1[Bairro],mercado11)+SUMIFS(supercb[Qtde],supercb[Item],tab_higiene[[#This Row],[Item]],supercb[Bairro],mercado11)</f>
        <v>0</v>
      </c>
      <c r="AV260" s="61">
        <f>SUMIFS(super1[Qtde],super1[Item],tab_higiene[[#This Row],[Item]],super1[Bairro],mercado12)+SUMIFS(supercb[Qtde],supercb[Item],tab_higiene[[#This Row],[Item]],supercb[Bairro],mercado12)</f>
        <v>0</v>
      </c>
      <c r="AW260" s="61">
        <f>SUMIFS(super1[Qtde],super1[Item],tab_higiene[[#This Row],[Item]],super1[Bairro],mercado13)+SUMIFS(supercb[Qtde],supercb[Item],tab_higiene[[#This Row],[Item]],supercb[Bairro],mercado13)</f>
        <v>0</v>
      </c>
      <c r="AX260" s="61">
        <f>SUMIFS(super1[Qtde],super1[Item],tab_higiene[[#This Row],[Item]],super1[Bairro],mercado14)+SUMIFS(supercb[Qtde],supercb[Item],tab_higiene[[#This Row],[Item]],supercb[Bairro],mercado14)</f>
        <v>0</v>
      </c>
      <c r="AY260" s="61">
        <f>SUMIFS(super1[Qtde],super1[Item],tab_higiene[[#This Row],[Item]],super1[Bairro],mercado15)+SUMIFS(supercb[Qtde],supercb[Item],tab_higiene[[#This Row],[Item]],supercb[Bairro],mercado15)</f>
        <v>0</v>
      </c>
      <c r="AZ260" s="61">
        <f>SUMIFS(super1[Qtde],super1[Item],tab_higiene[[#This Row],[Item]],super1[Bairro],mercado16)+SUMIFS(supercb[Qtde],supercb[Item],tab_higiene[[#This Row],[Item]],supercb[Bairro],mercado16)</f>
        <v>0</v>
      </c>
      <c r="BA260" s="61">
        <f>SUMIFS(super1[Qtde],super1[Item],tab_higiene[[#This Row],[Item]],super1[Bairro],mercado17)+SUMIFS(supercb[Qtde],supercb[Item],tab_higiene[[#This Row],[Item]],supercb[Bairro],mercado17)</f>
        <v>0</v>
      </c>
      <c r="BB260" s="61">
        <f>SUMIFS(super1[Qtde],super1[Item],tab_higiene[[#This Row],[Item]],super1[Bairro],mercado18)+SUMIFS(supercb[Qtde],supercb[Item],tab_higiene[[#This Row],[Item]],supercb[Bairro],mercado18)</f>
        <v>0</v>
      </c>
      <c r="BC260" s="51">
        <f>SUMIFS(super1[Qtde],super1[Item],tab_higiene[[#This Row],[Item]],super1[Bairro],extras)+SUMIFS(supercb[Qtde],supercb[Item],tab_higiene[[#This Row],[Item]],supercb[Bairro],extras)</f>
        <v>0</v>
      </c>
      <c r="BD260" s="8">
        <f t="shared" si="85"/>
        <v>0</v>
      </c>
      <c r="BE260" s="8">
        <f t="shared" si="86"/>
        <v>0</v>
      </c>
      <c r="BF260" s="23">
        <f t="shared" si="87"/>
        <v>0</v>
      </c>
    </row>
    <row r="261" spans="9:58" ht="15.75" thickBot="1" x14ac:dyDescent="0.3">
      <c r="I261" s="65" t="str">
        <f>alimentos[[#This Row],[Item]]</f>
        <v>Trigo pra Kibe</v>
      </c>
      <c r="J261" s="61">
        <f>IFERROR(alimentos[[#This Row],[kg/embalagem]],0)</f>
        <v>0.5</v>
      </c>
      <c r="K261" s="64">
        <f>IFERROR(alimentos[[#This Row],[Preço]],0)</f>
        <v>4.0125000000000002</v>
      </c>
      <c r="L261" s="64">
        <f>SUMIFS(super1[Qtde],super1[Item],tab_alimentos[[#This Row],[Item]],super1[Bairro],mercado1)+SUMIFS(supercb[Qtde],supercb[Item],tab_alimentos[[#This Row],[Item]],supercb[Bairro],mercado1)</f>
        <v>0</v>
      </c>
      <c r="M261" s="64">
        <f>SUMIFS(super1[Qtde],super1[Item],tab_alimentos[[#This Row],[Item]],super1[Bairro],mercado2)+SUMIFS(supercb[Qtde],supercb[Item],tab_alimentos[[#This Row],[Item]],supercb[Bairro],mercado2)</f>
        <v>0</v>
      </c>
      <c r="N261" s="61">
        <f>SUMIFS(super1[Qtde],super1[Item],tab_alimentos[[#This Row],[Item]],super1[Bairro],mercado3)+SUMIFS(supercb[Qtde],supercb[Item],tab_alimentos[[#This Row],[Item]],supercb[Bairro],mercado3)</f>
        <v>0</v>
      </c>
      <c r="O261" s="64">
        <f>SUMIFS(super1[Qtde],super1[Item],tab_alimentos[[#This Row],[Item]],super1[Bairro],mercado4)+SUMIFS(supercb[Qtde],supercb[Item],tab_alimentos[[#This Row],[Item]],supercb[Bairro],mercado4)</f>
        <v>0</v>
      </c>
      <c r="P261" s="64">
        <f>SUMIFS(super1[Qtde],super1[Item],tab_alimentos[[#This Row],[Item]],super1[Bairro],mercado5)+SUMIFS(supercb[Qtde],supercb[Item],tab_alimentos[[#This Row],[Item]],supercb[Bairro],mercado5)</f>
        <v>0</v>
      </c>
      <c r="Q261" s="64">
        <f>SUMIFS(super1[Qtde],super1[Item],tab_alimentos[[#This Row],[Item]],super1[Bairro],mercado6)+SUMIFS(supercb[Qtde],supercb[Item],tab_alimentos[[#This Row],[Item]],supercb[Bairro],mercado6)</f>
        <v>0</v>
      </c>
      <c r="R261" s="64">
        <f>SUMIFS(super1[Qtde],super1[Item],tab_alimentos[[#This Row],[Item]],super1[Bairro],mercado7)+SUMIFS(supercb[Qtde],supercb[Item],tab_alimentos[[#This Row],[Item]],supercb[Bairro],mercado7)</f>
        <v>0</v>
      </c>
      <c r="S261" s="64">
        <f>SUMIFS(super1[Qtde],super1[Item],tab_alimentos[[#This Row],[Item]],super1[Bairro],mercado8)+SUMIFS(supercb[Qtde],supercb[Item],tab_alimentos[[#This Row],[Item]],supercb[Bairro],mercado8)</f>
        <v>0</v>
      </c>
      <c r="T261" s="64">
        <f>SUMIFS(super1[Qtde],super1[Item],tab_alimentos[[#This Row],[Item]],super1[Bairro],mercado9)+SUMIFS(supercb[Qtde],supercb[Item],tab_alimentos[[#This Row],[Item]],supercb[Bairro],mercado9)</f>
        <v>0</v>
      </c>
      <c r="U261" s="64">
        <f>SUMIFS(super1[Qtde],super1[Item],tab_alimentos[[#This Row],[Item]],super1[Bairro],mercado10)+SUMIFS(supercb[Qtde],supercb[Item],tab_alimentos[[#This Row],[Item]],supercb[Bairro],mercado10)</f>
        <v>0</v>
      </c>
      <c r="V261" s="64">
        <f>SUMIFS(super1[Qtde],super1[Item],tab_alimentos[[#This Row],[Item]],super1[Bairro],mercado11)+SUMIFS(supercb[Qtde],supercb[Item],tab_alimentos[[#This Row],[Item]],supercb[Bairro],mercado11)</f>
        <v>0</v>
      </c>
      <c r="W261" s="64">
        <f>SUMIFS(super1[Qtde],super1[Item],tab_alimentos[[#This Row],[Item]],super1[Bairro],mercado12)+SUMIFS(supercb[Qtde],supercb[Item],tab_alimentos[[#This Row],[Item]],supercb[Bairro],mercado12)</f>
        <v>0</v>
      </c>
      <c r="X261" s="64">
        <f>SUMIFS(super1[Qtde],super1[Item],tab_alimentos[[#This Row],[Item]],super1[Bairro],mercado13)+SUMIFS(supercb[Qtde],supercb[Item],tab_alimentos[[#This Row],[Item]],supercb[Bairro],mercado13)</f>
        <v>0</v>
      </c>
      <c r="Y261" s="64">
        <f>SUMIFS(super1[Qtde],super1[Item],tab_alimentos[[#This Row],[Item]],super1[Bairro],mercado14)+SUMIFS(supercb[Qtde],supercb[Item],tab_alimentos[[#This Row],[Item]],supercb[Bairro],mercado14)</f>
        <v>0</v>
      </c>
      <c r="Z261" s="64">
        <f>SUMIFS(super1[Qtde],super1[Item],tab_alimentos[[#This Row],[Item]],super1[Bairro],mercado15)+SUMIFS(supercb[Qtde],supercb[Item],tab_alimentos[[#This Row],[Item]],supercb[Bairro],mercado15)</f>
        <v>0</v>
      </c>
      <c r="AA261" s="64">
        <f>SUMIFS(super1[Qtde],super1[Item],tab_alimentos[[#This Row],[Item]],super1[Bairro],mercado16)+SUMIFS(supercb[Qtde],supercb[Item],tab_alimentos[[#This Row],[Item]],supercb[Bairro],mercado16)</f>
        <v>0</v>
      </c>
      <c r="AB261" s="64">
        <f>SUMIFS(super1[Qtde],super1[Item],tab_alimentos[[#This Row],[Item]],super1[Bairro],mercado17)+SUMIFS(supercb[Qtde],supercb[Item],tab_alimentos[[#This Row],[Item]],supercb[Bairro],mercado17)</f>
        <v>0</v>
      </c>
      <c r="AC261" s="64">
        <f>SUMIFS(super1[Qtde],super1[Item],tab_alimentos[[#This Row],[Item]],super1[Bairro],mercado18)+SUMIFS(supercb[Qtde],supercb[Item],tab_alimentos[[#This Row],[Item]],supercb[Bairro],mercado18)</f>
        <v>0</v>
      </c>
      <c r="AD261" s="64">
        <f>SUMIFS(super1[Qtde],super1[Item],tab_alimentos[[#This Row],[Item]],super1[Bairro],extras)+SUMIFS(supercb[Qtde],supercb[Item],tab_alimentos[[#This Row],[Item]],supercb[Bairro],extras)</f>
        <v>0</v>
      </c>
      <c r="AE261" s="61">
        <f t="shared" si="82"/>
        <v>0</v>
      </c>
      <c r="AF261" s="61">
        <f t="shared" si="83"/>
        <v>0</v>
      </c>
      <c r="AG261" s="62">
        <f t="shared" si="84"/>
        <v>0</v>
      </c>
      <c r="AH261" s="15" t="e">
        <f>higiene[[#This Row],[Item]]</f>
        <v>#VALUE!</v>
      </c>
      <c r="AI261" s="8">
        <f>IFERROR(higiene[[#This Row],[Kg equivalente]],0)</f>
        <v>0</v>
      </c>
      <c r="AJ261" s="8">
        <f>IFERROR(higiene[[#This Row],[Preço por produto]],0)</f>
        <v>0</v>
      </c>
      <c r="AK261" s="61">
        <f>SUMIFS(super1[Qtde],super1[Item],tab_higiene[[#This Row],[Item]],super1[Bairro],mercado1)+SUMIFS(supercb[Qtde],supercb[Item],tab_higiene[[#This Row],[Item]],supercb[Bairro],mercado1)</f>
        <v>0</v>
      </c>
      <c r="AL261" s="61">
        <f>SUMIFS(super1[Qtde],super1[Item],tab_higiene[[#This Row],[Item]],super1[Bairro],mercado2)+SUMIFS(supercb[Qtde],supercb[Item],tab_higiene[[#This Row],[Item]],supercb[Bairro],mercado2)</f>
        <v>0</v>
      </c>
      <c r="AM261" s="61">
        <f>SUMIFS(super1[Qtde],super1[Item],tab_higiene[[#This Row],[Item]],super1[Bairro],mercado3)+SUMIFS(supercb[Qtde],supercb[Item],tab_higiene[[#This Row],[Item]],supercb[Bairro],mercado3)</f>
        <v>0</v>
      </c>
      <c r="AN261" s="61">
        <f>SUMIFS(super1[Qtde],super1[Item],tab_higiene[[#This Row],[Item]],super1[Bairro],mercado4)+SUMIFS(supercb[Qtde],supercb[Item],tab_higiene[[#This Row],[Item]],supercb[Bairro],mercado4)</f>
        <v>0</v>
      </c>
      <c r="AO261" s="61">
        <f>SUMIFS(super1[Qtde],super1[Item],tab_higiene[[#This Row],[Item]],super1[Bairro],mercado5)+SUMIFS(supercb[Qtde],supercb[Item],tab_higiene[[#This Row],[Item]],supercb[Bairro],mercado5)</f>
        <v>0</v>
      </c>
      <c r="AP261" s="61">
        <f>SUMIFS(super1[Qtde],super1[Item],tab_higiene[[#This Row],[Item]],super1[Bairro],mercado6)+SUMIFS(supercb[Qtde],supercb[Item],tab_higiene[[#This Row],[Item]],supercb[Bairro],mercado6)</f>
        <v>0</v>
      </c>
      <c r="AQ261" s="61">
        <f>SUMIFS(super1[Qtde],super1[Item],tab_higiene[[#This Row],[Item]],super1[Bairro],mercado7)+SUMIFS(supercb[Qtde],supercb[Item],tab_higiene[[#This Row],[Item]],supercb[Bairro],mercado7)</f>
        <v>0</v>
      </c>
      <c r="AR261" s="61">
        <f>SUMIFS(super1[Qtde],super1[Item],tab_higiene[[#This Row],[Item]],super1[Bairro],mercado8)+SUMIFS(supercb[Qtde],supercb[Item],tab_higiene[[#This Row],[Item]],supercb[Bairro],mercado8)</f>
        <v>0</v>
      </c>
      <c r="AS261" s="61">
        <f>SUMIFS(super1[Qtde],super1[Item],tab_higiene[[#This Row],[Item]],super1[Bairro],mercado9)+SUMIFS(supercb[Qtde],supercb[Item],tab_higiene[[#This Row],[Item]],supercb[Bairro],mercado9)</f>
        <v>0</v>
      </c>
      <c r="AT261" s="61">
        <f>SUMIFS(super1[Qtde],super1[Item],tab_higiene[[#This Row],[Item]],super1[Bairro],mercado10)+SUMIFS(supercb[Qtde],supercb[Item],tab_higiene[[#This Row],[Item]],supercb[Bairro],mercado10)</f>
        <v>0</v>
      </c>
      <c r="AU261" s="61">
        <f>SUMIFS(super1[Qtde],super1[Item],tab_higiene[[#This Row],[Item]],super1[Bairro],mercado11)+SUMIFS(supercb[Qtde],supercb[Item],tab_higiene[[#This Row],[Item]],supercb[Bairro],mercado11)</f>
        <v>0</v>
      </c>
      <c r="AV261" s="61">
        <f>SUMIFS(super1[Qtde],super1[Item],tab_higiene[[#This Row],[Item]],super1[Bairro],mercado12)+SUMIFS(supercb[Qtde],supercb[Item],tab_higiene[[#This Row],[Item]],supercb[Bairro],mercado12)</f>
        <v>0</v>
      </c>
      <c r="AW261" s="61">
        <f>SUMIFS(super1[Qtde],super1[Item],tab_higiene[[#This Row],[Item]],super1[Bairro],mercado13)+SUMIFS(supercb[Qtde],supercb[Item],tab_higiene[[#This Row],[Item]],supercb[Bairro],mercado13)</f>
        <v>0</v>
      </c>
      <c r="AX261" s="61">
        <f>SUMIFS(super1[Qtde],super1[Item],tab_higiene[[#This Row],[Item]],super1[Bairro],mercado14)+SUMIFS(supercb[Qtde],supercb[Item],tab_higiene[[#This Row],[Item]],supercb[Bairro],mercado14)</f>
        <v>0</v>
      </c>
      <c r="AY261" s="61">
        <f>SUMIFS(super1[Qtde],super1[Item],tab_higiene[[#This Row],[Item]],super1[Bairro],mercado15)+SUMIFS(supercb[Qtde],supercb[Item],tab_higiene[[#This Row],[Item]],supercb[Bairro],mercado15)</f>
        <v>0</v>
      </c>
      <c r="AZ261" s="61">
        <f>SUMIFS(super1[Qtde],super1[Item],tab_higiene[[#This Row],[Item]],super1[Bairro],mercado16)+SUMIFS(supercb[Qtde],supercb[Item],tab_higiene[[#This Row],[Item]],supercb[Bairro],mercado16)</f>
        <v>0</v>
      </c>
      <c r="BA261" s="61">
        <f>SUMIFS(super1[Qtde],super1[Item],tab_higiene[[#This Row],[Item]],super1[Bairro],mercado17)+SUMIFS(supercb[Qtde],supercb[Item],tab_higiene[[#This Row],[Item]],supercb[Bairro],mercado17)</f>
        <v>0</v>
      </c>
      <c r="BB261" s="61">
        <f>SUMIFS(super1[Qtde],super1[Item],tab_higiene[[#This Row],[Item]],super1[Bairro],mercado18)+SUMIFS(supercb[Qtde],supercb[Item],tab_higiene[[#This Row],[Item]],supercb[Bairro],mercado18)</f>
        <v>0</v>
      </c>
      <c r="BC261" s="51">
        <f>SUMIFS(super1[Qtde],super1[Item],tab_higiene[[#This Row],[Item]],super1[Bairro],extras)+SUMIFS(supercb[Qtde],supercb[Item],tab_higiene[[#This Row],[Item]],supercb[Bairro],extras)</f>
        <v>0</v>
      </c>
      <c r="BD261" s="8">
        <f t="shared" si="85"/>
        <v>0</v>
      </c>
      <c r="BE261" s="8">
        <f t="shared" si="86"/>
        <v>0</v>
      </c>
      <c r="BF261" s="23">
        <f t="shared" si="87"/>
        <v>0</v>
      </c>
    </row>
    <row r="262" spans="9:58" ht="15.75" thickBot="1" x14ac:dyDescent="0.3">
      <c r="I262" s="65" t="str">
        <f>alimentos[[#This Row],[Item]]</f>
        <v>U</v>
      </c>
      <c r="J262" s="61">
        <f>IFERROR(alimentos[[#This Row],[kg/embalagem]],0)</f>
        <v>0</v>
      </c>
      <c r="K262" s="64">
        <f>IFERROR(alimentos[[#This Row],[Preço]],0)</f>
        <v>0</v>
      </c>
      <c r="L262" s="64">
        <f>SUMIFS(super1[Qtde],super1[Item],tab_alimentos[[#This Row],[Item]],super1[Bairro],mercado1)+SUMIFS(supercb[Qtde],supercb[Item],tab_alimentos[[#This Row],[Item]],supercb[Bairro],mercado1)</f>
        <v>0</v>
      </c>
      <c r="M262" s="64">
        <f>SUMIFS(super1[Qtde],super1[Item],tab_alimentos[[#This Row],[Item]],super1[Bairro],mercado2)+SUMIFS(supercb[Qtde],supercb[Item],tab_alimentos[[#This Row],[Item]],supercb[Bairro],mercado2)</f>
        <v>0</v>
      </c>
      <c r="N262" s="61">
        <f>SUMIFS(super1[Qtde],super1[Item],tab_alimentos[[#This Row],[Item]],super1[Bairro],mercado3)+SUMIFS(supercb[Qtde],supercb[Item],tab_alimentos[[#This Row],[Item]],supercb[Bairro],mercado3)</f>
        <v>0</v>
      </c>
      <c r="O262" s="64">
        <f>SUMIFS(super1[Qtde],super1[Item],tab_alimentos[[#This Row],[Item]],super1[Bairro],mercado4)+SUMIFS(supercb[Qtde],supercb[Item],tab_alimentos[[#This Row],[Item]],supercb[Bairro],mercado4)</f>
        <v>0</v>
      </c>
      <c r="P262" s="64">
        <f>SUMIFS(super1[Qtde],super1[Item],tab_alimentos[[#This Row],[Item]],super1[Bairro],mercado5)+SUMIFS(supercb[Qtde],supercb[Item],tab_alimentos[[#This Row],[Item]],supercb[Bairro],mercado5)</f>
        <v>0</v>
      </c>
      <c r="Q262" s="64">
        <f>SUMIFS(super1[Qtde],super1[Item],tab_alimentos[[#This Row],[Item]],super1[Bairro],mercado6)+SUMIFS(supercb[Qtde],supercb[Item],tab_alimentos[[#This Row],[Item]],supercb[Bairro],mercado6)</f>
        <v>0</v>
      </c>
      <c r="R262" s="64">
        <f>SUMIFS(super1[Qtde],super1[Item],tab_alimentos[[#This Row],[Item]],super1[Bairro],mercado7)+SUMIFS(supercb[Qtde],supercb[Item],tab_alimentos[[#This Row],[Item]],supercb[Bairro],mercado7)</f>
        <v>0</v>
      </c>
      <c r="S262" s="64">
        <f>SUMIFS(super1[Qtde],super1[Item],tab_alimentos[[#This Row],[Item]],super1[Bairro],mercado8)+SUMIFS(supercb[Qtde],supercb[Item],tab_alimentos[[#This Row],[Item]],supercb[Bairro],mercado8)</f>
        <v>0</v>
      </c>
      <c r="T262" s="64">
        <f>SUMIFS(super1[Qtde],super1[Item],tab_alimentos[[#This Row],[Item]],super1[Bairro],mercado9)+SUMIFS(supercb[Qtde],supercb[Item],tab_alimentos[[#This Row],[Item]],supercb[Bairro],mercado9)</f>
        <v>0</v>
      </c>
      <c r="U262" s="64">
        <f>SUMIFS(super1[Qtde],super1[Item],tab_alimentos[[#This Row],[Item]],super1[Bairro],mercado10)+SUMIFS(supercb[Qtde],supercb[Item],tab_alimentos[[#This Row],[Item]],supercb[Bairro],mercado10)</f>
        <v>0</v>
      </c>
      <c r="V262" s="64">
        <f>SUMIFS(super1[Qtde],super1[Item],tab_alimentos[[#This Row],[Item]],super1[Bairro],mercado11)+SUMIFS(supercb[Qtde],supercb[Item],tab_alimentos[[#This Row],[Item]],supercb[Bairro],mercado11)</f>
        <v>0</v>
      </c>
      <c r="W262" s="64">
        <f>SUMIFS(super1[Qtde],super1[Item],tab_alimentos[[#This Row],[Item]],super1[Bairro],mercado12)+SUMIFS(supercb[Qtde],supercb[Item],tab_alimentos[[#This Row],[Item]],supercb[Bairro],mercado12)</f>
        <v>0</v>
      </c>
      <c r="X262" s="64">
        <f>SUMIFS(super1[Qtde],super1[Item],tab_alimentos[[#This Row],[Item]],super1[Bairro],mercado13)+SUMIFS(supercb[Qtde],supercb[Item],tab_alimentos[[#This Row],[Item]],supercb[Bairro],mercado13)</f>
        <v>0</v>
      </c>
      <c r="Y262" s="64">
        <f>SUMIFS(super1[Qtde],super1[Item],tab_alimentos[[#This Row],[Item]],super1[Bairro],mercado14)+SUMIFS(supercb[Qtde],supercb[Item],tab_alimentos[[#This Row],[Item]],supercb[Bairro],mercado14)</f>
        <v>0</v>
      </c>
      <c r="Z262" s="64">
        <f>SUMIFS(super1[Qtde],super1[Item],tab_alimentos[[#This Row],[Item]],super1[Bairro],mercado15)+SUMIFS(supercb[Qtde],supercb[Item],tab_alimentos[[#This Row],[Item]],supercb[Bairro],mercado15)</f>
        <v>0</v>
      </c>
      <c r="AA262" s="64">
        <f>SUMIFS(super1[Qtde],super1[Item],tab_alimentos[[#This Row],[Item]],super1[Bairro],mercado16)+SUMIFS(supercb[Qtde],supercb[Item],tab_alimentos[[#This Row],[Item]],supercb[Bairro],mercado16)</f>
        <v>0</v>
      </c>
      <c r="AB262" s="64">
        <f>SUMIFS(super1[Qtde],super1[Item],tab_alimentos[[#This Row],[Item]],super1[Bairro],mercado17)+SUMIFS(supercb[Qtde],supercb[Item],tab_alimentos[[#This Row],[Item]],supercb[Bairro],mercado17)</f>
        <v>0</v>
      </c>
      <c r="AC262" s="64">
        <f>SUMIFS(super1[Qtde],super1[Item],tab_alimentos[[#This Row],[Item]],super1[Bairro],mercado18)+SUMIFS(supercb[Qtde],supercb[Item],tab_alimentos[[#This Row],[Item]],supercb[Bairro],mercado18)</f>
        <v>0</v>
      </c>
      <c r="AD262" s="64">
        <f>SUMIFS(super1[Qtde],super1[Item],tab_alimentos[[#This Row],[Item]],super1[Bairro],extras)+SUMIFS(supercb[Qtde],supercb[Item],tab_alimentos[[#This Row],[Item]],supercb[Bairro],extras)</f>
        <v>0</v>
      </c>
      <c r="AE262" s="61">
        <f t="shared" si="82"/>
        <v>0</v>
      </c>
      <c r="AF262" s="61">
        <f t="shared" si="83"/>
        <v>0</v>
      </c>
      <c r="AG262" s="62">
        <f t="shared" si="84"/>
        <v>0</v>
      </c>
      <c r="AH262" s="15" t="e">
        <f>higiene[[#This Row],[Item]]</f>
        <v>#VALUE!</v>
      </c>
      <c r="AI262" s="8">
        <f>IFERROR(higiene[[#This Row],[Kg equivalente]],0)</f>
        <v>0</v>
      </c>
      <c r="AJ262" s="8">
        <f>IFERROR(higiene[[#This Row],[Preço por produto]],0)</f>
        <v>0</v>
      </c>
      <c r="AK262" s="61">
        <f>SUMIFS(super1[Qtde],super1[Item],tab_higiene[[#This Row],[Item]],super1[Bairro],mercado1)+SUMIFS(supercb[Qtde],supercb[Item],tab_higiene[[#This Row],[Item]],supercb[Bairro],mercado1)</f>
        <v>0</v>
      </c>
      <c r="AL262" s="61">
        <f>SUMIFS(super1[Qtde],super1[Item],tab_higiene[[#This Row],[Item]],super1[Bairro],mercado2)+SUMIFS(supercb[Qtde],supercb[Item],tab_higiene[[#This Row],[Item]],supercb[Bairro],mercado2)</f>
        <v>0</v>
      </c>
      <c r="AM262" s="61">
        <f>SUMIFS(super1[Qtde],super1[Item],tab_higiene[[#This Row],[Item]],super1[Bairro],mercado3)+SUMIFS(supercb[Qtde],supercb[Item],tab_higiene[[#This Row],[Item]],supercb[Bairro],mercado3)</f>
        <v>0</v>
      </c>
      <c r="AN262" s="61">
        <f>SUMIFS(super1[Qtde],super1[Item],tab_higiene[[#This Row],[Item]],super1[Bairro],mercado4)+SUMIFS(supercb[Qtde],supercb[Item],tab_higiene[[#This Row],[Item]],supercb[Bairro],mercado4)</f>
        <v>0</v>
      </c>
      <c r="AO262" s="61">
        <f>SUMIFS(super1[Qtde],super1[Item],tab_higiene[[#This Row],[Item]],super1[Bairro],mercado5)+SUMIFS(supercb[Qtde],supercb[Item],tab_higiene[[#This Row],[Item]],supercb[Bairro],mercado5)</f>
        <v>0</v>
      </c>
      <c r="AP262" s="61">
        <f>SUMIFS(super1[Qtde],super1[Item],tab_higiene[[#This Row],[Item]],super1[Bairro],mercado6)+SUMIFS(supercb[Qtde],supercb[Item],tab_higiene[[#This Row],[Item]],supercb[Bairro],mercado6)</f>
        <v>0</v>
      </c>
      <c r="AQ262" s="61">
        <f>SUMIFS(super1[Qtde],super1[Item],tab_higiene[[#This Row],[Item]],super1[Bairro],mercado7)+SUMIFS(supercb[Qtde],supercb[Item],tab_higiene[[#This Row],[Item]],supercb[Bairro],mercado7)</f>
        <v>0</v>
      </c>
      <c r="AR262" s="61">
        <f>SUMIFS(super1[Qtde],super1[Item],tab_higiene[[#This Row],[Item]],super1[Bairro],mercado8)+SUMIFS(supercb[Qtde],supercb[Item],tab_higiene[[#This Row],[Item]],supercb[Bairro],mercado8)</f>
        <v>0</v>
      </c>
      <c r="AS262" s="61">
        <f>SUMIFS(super1[Qtde],super1[Item],tab_higiene[[#This Row],[Item]],super1[Bairro],mercado9)+SUMIFS(supercb[Qtde],supercb[Item],tab_higiene[[#This Row],[Item]],supercb[Bairro],mercado9)</f>
        <v>0</v>
      </c>
      <c r="AT262" s="61">
        <f>SUMIFS(super1[Qtde],super1[Item],tab_higiene[[#This Row],[Item]],super1[Bairro],mercado10)+SUMIFS(supercb[Qtde],supercb[Item],tab_higiene[[#This Row],[Item]],supercb[Bairro],mercado10)</f>
        <v>0</v>
      </c>
      <c r="AU262" s="61">
        <f>SUMIFS(super1[Qtde],super1[Item],tab_higiene[[#This Row],[Item]],super1[Bairro],mercado11)+SUMIFS(supercb[Qtde],supercb[Item],tab_higiene[[#This Row],[Item]],supercb[Bairro],mercado11)</f>
        <v>0</v>
      </c>
      <c r="AV262" s="61">
        <f>SUMIFS(super1[Qtde],super1[Item],tab_higiene[[#This Row],[Item]],super1[Bairro],mercado12)+SUMIFS(supercb[Qtde],supercb[Item],tab_higiene[[#This Row],[Item]],supercb[Bairro],mercado12)</f>
        <v>0</v>
      </c>
      <c r="AW262" s="61">
        <f>SUMIFS(super1[Qtde],super1[Item],tab_higiene[[#This Row],[Item]],super1[Bairro],mercado13)+SUMIFS(supercb[Qtde],supercb[Item],tab_higiene[[#This Row],[Item]],supercb[Bairro],mercado13)</f>
        <v>0</v>
      </c>
      <c r="AX262" s="61">
        <f>SUMIFS(super1[Qtde],super1[Item],tab_higiene[[#This Row],[Item]],super1[Bairro],mercado14)+SUMIFS(supercb[Qtde],supercb[Item],tab_higiene[[#This Row],[Item]],supercb[Bairro],mercado14)</f>
        <v>0</v>
      </c>
      <c r="AY262" s="61">
        <f>SUMIFS(super1[Qtde],super1[Item],tab_higiene[[#This Row],[Item]],super1[Bairro],mercado15)+SUMIFS(supercb[Qtde],supercb[Item],tab_higiene[[#This Row],[Item]],supercb[Bairro],mercado15)</f>
        <v>0</v>
      </c>
      <c r="AZ262" s="61">
        <f>SUMIFS(super1[Qtde],super1[Item],tab_higiene[[#This Row],[Item]],super1[Bairro],mercado16)+SUMIFS(supercb[Qtde],supercb[Item],tab_higiene[[#This Row],[Item]],supercb[Bairro],mercado16)</f>
        <v>0</v>
      </c>
      <c r="BA262" s="61">
        <f>SUMIFS(super1[Qtde],super1[Item],tab_higiene[[#This Row],[Item]],super1[Bairro],mercado17)+SUMIFS(supercb[Qtde],supercb[Item],tab_higiene[[#This Row],[Item]],supercb[Bairro],mercado17)</f>
        <v>0</v>
      </c>
      <c r="BB262" s="61">
        <f>SUMIFS(super1[Qtde],super1[Item],tab_higiene[[#This Row],[Item]],super1[Bairro],mercado18)+SUMIFS(supercb[Qtde],supercb[Item],tab_higiene[[#This Row],[Item]],supercb[Bairro],mercado18)</f>
        <v>0</v>
      </c>
      <c r="BC262" s="51">
        <f>SUMIFS(super1[Qtde],super1[Item],tab_higiene[[#This Row],[Item]],super1[Bairro],extras)+SUMIFS(supercb[Qtde],supercb[Item],tab_higiene[[#This Row],[Item]],supercb[Bairro],extras)</f>
        <v>0</v>
      </c>
      <c r="BD262" s="8">
        <f t="shared" si="85"/>
        <v>0</v>
      </c>
      <c r="BE262" s="8">
        <f t="shared" si="86"/>
        <v>0</v>
      </c>
      <c r="BF262" s="23">
        <f t="shared" si="87"/>
        <v>0</v>
      </c>
    </row>
    <row r="263" spans="9:58" ht="15.75" thickBot="1" x14ac:dyDescent="0.3">
      <c r="I263" s="65" t="str">
        <f>alimentos[[#This Row],[Item]]</f>
        <v>Uva Passa (100g)</v>
      </c>
      <c r="J263" s="61">
        <f>IFERROR(alimentos[[#This Row],[kg/embalagem]],0)</f>
        <v>0.1</v>
      </c>
      <c r="K263" s="64">
        <f>IFERROR(alimentos[[#This Row],[Preço]],0)</f>
        <v>2.99</v>
      </c>
      <c r="L263" s="64">
        <f>SUMIFS(super1[Qtde],super1[Item],tab_alimentos[[#This Row],[Item]],super1[Bairro],mercado1)+SUMIFS(supercb[Qtde],supercb[Item],tab_alimentos[[#This Row],[Item]],supercb[Bairro],mercado1)</f>
        <v>0</v>
      </c>
      <c r="M263" s="64">
        <f>SUMIFS(super1[Qtde],super1[Item],tab_alimentos[[#This Row],[Item]],super1[Bairro],mercado2)+SUMIFS(supercb[Qtde],supercb[Item],tab_alimentos[[#This Row],[Item]],supercb[Bairro],mercado2)</f>
        <v>0</v>
      </c>
      <c r="N263" s="61">
        <f>SUMIFS(super1[Qtde],super1[Item],tab_alimentos[[#This Row],[Item]],super1[Bairro],mercado3)+SUMIFS(supercb[Qtde],supercb[Item],tab_alimentos[[#This Row],[Item]],supercb[Bairro],mercado3)</f>
        <v>0</v>
      </c>
      <c r="O263" s="64">
        <f>SUMIFS(super1[Qtde],super1[Item],tab_alimentos[[#This Row],[Item]],super1[Bairro],mercado4)+SUMIFS(supercb[Qtde],supercb[Item],tab_alimentos[[#This Row],[Item]],supercb[Bairro],mercado4)</f>
        <v>0</v>
      </c>
      <c r="P263" s="64">
        <f>SUMIFS(super1[Qtde],super1[Item],tab_alimentos[[#This Row],[Item]],super1[Bairro],mercado5)+SUMIFS(supercb[Qtde],supercb[Item],tab_alimentos[[#This Row],[Item]],supercb[Bairro],mercado5)</f>
        <v>0</v>
      </c>
      <c r="Q263" s="64">
        <f>SUMIFS(super1[Qtde],super1[Item],tab_alimentos[[#This Row],[Item]],super1[Bairro],mercado6)+SUMIFS(supercb[Qtde],supercb[Item],tab_alimentos[[#This Row],[Item]],supercb[Bairro],mercado6)</f>
        <v>0</v>
      </c>
      <c r="R263" s="64">
        <f>SUMIFS(super1[Qtde],super1[Item],tab_alimentos[[#This Row],[Item]],super1[Bairro],mercado7)+SUMIFS(supercb[Qtde],supercb[Item],tab_alimentos[[#This Row],[Item]],supercb[Bairro],mercado7)</f>
        <v>0</v>
      </c>
      <c r="S263" s="64">
        <f>SUMIFS(super1[Qtde],super1[Item],tab_alimentos[[#This Row],[Item]],super1[Bairro],mercado8)+SUMIFS(supercb[Qtde],supercb[Item],tab_alimentos[[#This Row],[Item]],supercb[Bairro],mercado8)</f>
        <v>0</v>
      </c>
      <c r="T263" s="64">
        <f>SUMIFS(super1[Qtde],super1[Item],tab_alimentos[[#This Row],[Item]],super1[Bairro],mercado9)+SUMIFS(supercb[Qtde],supercb[Item],tab_alimentos[[#This Row],[Item]],supercb[Bairro],mercado9)</f>
        <v>0</v>
      </c>
      <c r="U263" s="64">
        <f>SUMIFS(super1[Qtde],super1[Item],tab_alimentos[[#This Row],[Item]],super1[Bairro],mercado10)+SUMIFS(supercb[Qtde],supercb[Item],tab_alimentos[[#This Row],[Item]],supercb[Bairro],mercado10)</f>
        <v>0</v>
      </c>
      <c r="V263" s="64">
        <f>SUMIFS(super1[Qtde],super1[Item],tab_alimentos[[#This Row],[Item]],super1[Bairro],mercado11)+SUMIFS(supercb[Qtde],supercb[Item],tab_alimentos[[#This Row],[Item]],supercb[Bairro],mercado11)</f>
        <v>0</v>
      </c>
      <c r="W263" s="64">
        <f>SUMIFS(super1[Qtde],super1[Item],tab_alimentos[[#This Row],[Item]],super1[Bairro],mercado12)+SUMIFS(supercb[Qtde],supercb[Item],tab_alimentos[[#This Row],[Item]],supercb[Bairro],mercado12)</f>
        <v>0</v>
      </c>
      <c r="X263" s="64">
        <f>SUMIFS(super1[Qtde],super1[Item],tab_alimentos[[#This Row],[Item]],super1[Bairro],mercado13)+SUMIFS(supercb[Qtde],supercb[Item],tab_alimentos[[#This Row],[Item]],supercb[Bairro],mercado13)</f>
        <v>0</v>
      </c>
      <c r="Y263" s="64">
        <f>SUMIFS(super1[Qtde],super1[Item],tab_alimentos[[#This Row],[Item]],super1[Bairro],mercado14)+SUMIFS(supercb[Qtde],supercb[Item],tab_alimentos[[#This Row],[Item]],supercb[Bairro],mercado14)</f>
        <v>0</v>
      </c>
      <c r="Z263" s="64">
        <f>SUMIFS(super1[Qtde],super1[Item],tab_alimentos[[#This Row],[Item]],super1[Bairro],mercado15)+SUMIFS(supercb[Qtde],supercb[Item],tab_alimentos[[#This Row],[Item]],supercb[Bairro],mercado15)</f>
        <v>0</v>
      </c>
      <c r="AA263" s="64">
        <f>SUMIFS(super1[Qtde],super1[Item],tab_alimentos[[#This Row],[Item]],super1[Bairro],mercado16)+SUMIFS(supercb[Qtde],supercb[Item],tab_alimentos[[#This Row],[Item]],supercb[Bairro],mercado16)</f>
        <v>0</v>
      </c>
      <c r="AB263" s="64">
        <f>SUMIFS(super1[Qtde],super1[Item],tab_alimentos[[#This Row],[Item]],super1[Bairro],mercado17)+SUMIFS(supercb[Qtde],supercb[Item],tab_alimentos[[#This Row],[Item]],supercb[Bairro],mercado17)</f>
        <v>0</v>
      </c>
      <c r="AC263" s="64">
        <f>SUMIFS(super1[Qtde],super1[Item],tab_alimentos[[#This Row],[Item]],super1[Bairro],mercado18)+SUMIFS(supercb[Qtde],supercb[Item],tab_alimentos[[#This Row],[Item]],supercb[Bairro],mercado18)</f>
        <v>0</v>
      </c>
      <c r="AD263" s="64">
        <f>SUMIFS(super1[Qtde],super1[Item],tab_alimentos[[#This Row],[Item]],super1[Bairro],extras)+SUMIFS(supercb[Qtde],supercb[Item],tab_alimentos[[#This Row],[Item]],supercb[Bairro],extras)</f>
        <v>0</v>
      </c>
      <c r="AE263" s="61">
        <f t="shared" si="82"/>
        <v>0</v>
      </c>
      <c r="AF263" s="61">
        <f t="shared" si="83"/>
        <v>0</v>
      </c>
      <c r="AG263" s="62">
        <f t="shared" si="84"/>
        <v>0</v>
      </c>
      <c r="AH263" s="15" t="e">
        <f>higiene[[#This Row],[Item]]</f>
        <v>#VALUE!</v>
      </c>
      <c r="AI263" s="8">
        <f>IFERROR(higiene[[#This Row],[Kg equivalente]],0)</f>
        <v>0</v>
      </c>
      <c r="AJ263" s="8">
        <f>IFERROR(higiene[[#This Row],[Preço por produto]],0)</f>
        <v>0</v>
      </c>
      <c r="AK263" s="61">
        <f>SUMIFS(super1[Qtde],super1[Item],tab_higiene[[#This Row],[Item]],super1[Bairro],mercado1)+SUMIFS(supercb[Qtde],supercb[Item],tab_higiene[[#This Row],[Item]],supercb[Bairro],mercado1)</f>
        <v>0</v>
      </c>
      <c r="AL263" s="61">
        <f>SUMIFS(super1[Qtde],super1[Item],tab_higiene[[#This Row],[Item]],super1[Bairro],mercado2)+SUMIFS(supercb[Qtde],supercb[Item],tab_higiene[[#This Row],[Item]],supercb[Bairro],mercado2)</f>
        <v>0</v>
      </c>
      <c r="AM263" s="61">
        <f>SUMIFS(super1[Qtde],super1[Item],tab_higiene[[#This Row],[Item]],super1[Bairro],mercado3)+SUMIFS(supercb[Qtde],supercb[Item],tab_higiene[[#This Row],[Item]],supercb[Bairro],mercado3)</f>
        <v>0</v>
      </c>
      <c r="AN263" s="61">
        <f>SUMIFS(super1[Qtde],super1[Item],tab_higiene[[#This Row],[Item]],super1[Bairro],mercado4)+SUMIFS(supercb[Qtde],supercb[Item],tab_higiene[[#This Row],[Item]],supercb[Bairro],mercado4)</f>
        <v>0</v>
      </c>
      <c r="AO263" s="61">
        <f>SUMIFS(super1[Qtde],super1[Item],tab_higiene[[#This Row],[Item]],super1[Bairro],mercado5)+SUMIFS(supercb[Qtde],supercb[Item],tab_higiene[[#This Row],[Item]],supercb[Bairro],mercado5)</f>
        <v>0</v>
      </c>
      <c r="AP263" s="61">
        <f>SUMIFS(super1[Qtde],super1[Item],tab_higiene[[#This Row],[Item]],super1[Bairro],mercado6)+SUMIFS(supercb[Qtde],supercb[Item],tab_higiene[[#This Row],[Item]],supercb[Bairro],mercado6)</f>
        <v>0</v>
      </c>
      <c r="AQ263" s="61">
        <f>SUMIFS(super1[Qtde],super1[Item],tab_higiene[[#This Row],[Item]],super1[Bairro],mercado7)+SUMIFS(supercb[Qtde],supercb[Item],tab_higiene[[#This Row],[Item]],supercb[Bairro],mercado7)</f>
        <v>0</v>
      </c>
      <c r="AR263" s="61">
        <f>SUMIFS(super1[Qtde],super1[Item],tab_higiene[[#This Row],[Item]],super1[Bairro],mercado8)+SUMIFS(supercb[Qtde],supercb[Item],tab_higiene[[#This Row],[Item]],supercb[Bairro],mercado8)</f>
        <v>0</v>
      </c>
      <c r="AS263" s="61">
        <f>SUMIFS(super1[Qtde],super1[Item],tab_higiene[[#This Row],[Item]],super1[Bairro],mercado9)+SUMIFS(supercb[Qtde],supercb[Item],tab_higiene[[#This Row],[Item]],supercb[Bairro],mercado9)</f>
        <v>0</v>
      </c>
      <c r="AT263" s="61">
        <f>SUMIFS(super1[Qtde],super1[Item],tab_higiene[[#This Row],[Item]],super1[Bairro],mercado10)+SUMIFS(supercb[Qtde],supercb[Item],tab_higiene[[#This Row],[Item]],supercb[Bairro],mercado10)</f>
        <v>0</v>
      </c>
      <c r="AU263" s="61">
        <f>SUMIFS(super1[Qtde],super1[Item],tab_higiene[[#This Row],[Item]],super1[Bairro],mercado11)+SUMIFS(supercb[Qtde],supercb[Item],tab_higiene[[#This Row],[Item]],supercb[Bairro],mercado11)</f>
        <v>0</v>
      </c>
      <c r="AV263" s="61">
        <f>SUMIFS(super1[Qtde],super1[Item],tab_higiene[[#This Row],[Item]],super1[Bairro],mercado12)+SUMIFS(supercb[Qtde],supercb[Item],tab_higiene[[#This Row],[Item]],supercb[Bairro],mercado12)</f>
        <v>0</v>
      </c>
      <c r="AW263" s="61">
        <f>SUMIFS(super1[Qtde],super1[Item],tab_higiene[[#This Row],[Item]],super1[Bairro],mercado13)+SUMIFS(supercb[Qtde],supercb[Item],tab_higiene[[#This Row],[Item]],supercb[Bairro],mercado13)</f>
        <v>0</v>
      </c>
      <c r="AX263" s="61">
        <f>SUMIFS(super1[Qtde],super1[Item],tab_higiene[[#This Row],[Item]],super1[Bairro],mercado14)+SUMIFS(supercb[Qtde],supercb[Item],tab_higiene[[#This Row],[Item]],supercb[Bairro],mercado14)</f>
        <v>0</v>
      </c>
      <c r="AY263" s="61">
        <f>SUMIFS(super1[Qtde],super1[Item],tab_higiene[[#This Row],[Item]],super1[Bairro],mercado15)+SUMIFS(supercb[Qtde],supercb[Item],tab_higiene[[#This Row],[Item]],supercb[Bairro],mercado15)</f>
        <v>0</v>
      </c>
      <c r="AZ263" s="61">
        <f>SUMIFS(super1[Qtde],super1[Item],tab_higiene[[#This Row],[Item]],super1[Bairro],mercado16)+SUMIFS(supercb[Qtde],supercb[Item],tab_higiene[[#This Row],[Item]],supercb[Bairro],mercado16)</f>
        <v>0</v>
      </c>
      <c r="BA263" s="61">
        <f>SUMIFS(super1[Qtde],super1[Item],tab_higiene[[#This Row],[Item]],super1[Bairro],mercado17)+SUMIFS(supercb[Qtde],supercb[Item],tab_higiene[[#This Row],[Item]],supercb[Bairro],mercado17)</f>
        <v>0</v>
      </c>
      <c r="BB263" s="61">
        <f>SUMIFS(super1[Qtde],super1[Item],tab_higiene[[#This Row],[Item]],super1[Bairro],mercado18)+SUMIFS(supercb[Qtde],supercb[Item],tab_higiene[[#This Row],[Item]],supercb[Bairro],mercado18)</f>
        <v>0</v>
      </c>
      <c r="BC263" s="51">
        <f>SUMIFS(super1[Qtde],super1[Item],tab_higiene[[#This Row],[Item]],super1[Bairro],extras)+SUMIFS(supercb[Qtde],supercb[Item],tab_higiene[[#This Row],[Item]],supercb[Bairro],extras)</f>
        <v>0</v>
      </c>
      <c r="BD263" s="8">
        <f t="shared" si="85"/>
        <v>0</v>
      </c>
      <c r="BE263" s="8">
        <f t="shared" si="86"/>
        <v>0</v>
      </c>
      <c r="BF263" s="23">
        <f t="shared" si="87"/>
        <v>0</v>
      </c>
    </row>
    <row r="264" spans="9:58" ht="15.75" thickBot="1" x14ac:dyDescent="0.3">
      <c r="I264" s="65" t="str">
        <f>alimentos[[#This Row],[Item]]</f>
        <v>V</v>
      </c>
      <c r="J264" s="61">
        <f>IFERROR(alimentos[[#This Row],[kg/embalagem]],0)</f>
        <v>0</v>
      </c>
      <c r="K264" s="64">
        <f>IFERROR(alimentos[[#This Row],[Preço]],0)</f>
        <v>0</v>
      </c>
      <c r="L264" s="64">
        <f>SUMIFS(super1[Qtde],super1[Item],tab_alimentos[[#This Row],[Item]],super1[Bairro],mercado1)+SUMIFS(supercb[Qtde],supercb[Item],tab_alimentos[[#This Row],[Item]],supercb[Bairro],mercado1)</f>
        <v>0</v>
      </c>
      <c r="M264" s="64">
        <f>SUMIFS(super1[Qtde],super1[Item],tab_alimentos[[#This Row],[Item]],super1[Bairro],mercado2)+SUMIFS(supercb[Qtde],supercb[Item],tab_alimentos[[#This Row],[Item]],supercb[Bairro],mercado2)</f>
        <v>0</v>
      </c>
      <c r="N264" s="61">
        <f>SUMIFS(super1[Qtde],super1[Item],tab_alimentos[[#This Row],[Item]],super1[Bairro],mercado3)+SUMIFS(supercb[Qtde],supercb[Item],tab_alimentos[[#This Row],[Item]],supercb[Bairro],mercado3)</f>
        <v>0</v>
      </c>
      <c r="O264" s="64">
        <f>SUMIFS(super1[Qtde],super1[Item],tab_alimentos[[#This Row],[Item]],super1[Bairro],mercado4)+SUMIFS(supercb[Qtde],supercb[Item],tab_alimentos[[#This Row],[Item]],supercb[Bairro],mercado4)</f>
        <v>0</v>
      </c>
      <c r="P264" s="64">
        <f>SUMIFS(super1[Qtde],super1[Item],tab_alimentos[[#This Row],[Item]],super1[Bairro],mercado5)+SUMIFS(supercb[Qtde],supercb[Item],tab_alimentos[[#This Row],[Item]],supercb[Bairro],mercado5)</f>
        <v>0</v>
      </c>
      <c r="Q264" s="64">
        <f>SUMIFS(super1[Qtde],super1[Item],tab_alimentos[[#This Row],[Item]],super1[Bairro],mercado6)+SUMIFS(supercb[Qtde],supercb[Item],tab_alimentos[[#This Row],[Item]],supercb[Bairro],mercado6)</f>
        <v>0</v>
      </c>
      <c r="R264" s="64">
        <f>SUMIFS(super1[Qtde],super1[Item],tab_alimentos[[#This Row],[Item]],super1[Bairro],mercado7)+SUMIFS(supercb[Qtde],supercb[Item],tab_alimentos[[#This Row],[Item]],supercb[Bairro],mercado7)</f>
        <v>0</v>
      </c>
      <c r="S264" s="64">
        <f>SUMIFS(super1[Qtde],super1[Item],tab_alimentos[[#This Row],[Item]],super1[Bairro],mercado8)+SUMIFS(supercb[Qtde],supercb[Item],tab_alimentos[[#This Row],[Item]],supercb[Bairro],mercado8)</f>
        <v>0</v>
      </c>
      <c r="T264" s="64">
        <f>SUMIFS(super1[Qtde],super1[Item],tab_alimentos[[#This Row],[Item]],super1[Bairro],mercado9)+SUMIFS(supercb[Qtde],supercb[Item],tab_alimentos[[#This Row],[Item]],supercb[Bairro],mercado9)</f>
        <v>0</v>
      </c>
      <c r="U264" s="64">
        <f>SUMIFS(super1[Qtde],super1[Item],tab_alimentos[[#This Row],[Item]],super1[Bairro],mercado10)+SUMIFS(supercb[Qtde],supercb[Item],tab_alimentos[[#This Row],[Item]],supercb[Bairro],mercado10)</f>
        <v>0</v>
      </c>
      <c r="V264" s="64">
        <f>SUMIFS(super1[Qtde],super1[Item],tab_alimentos[[#This Row],[Item]],super1[Bairro],mercado11)+SUMIFS(supercb[Qtde],supercb[Item],tab_alimentos[[#This Row],[Item]],supercb[Bairro],mercado11)</f>
        <v>0</v>
      </c>
      <c r="W264" s="64">
        <f>SUMIFS(super1[Qtde],super1[Item],tab_alimentos[[#This Row],[Item]],super1[Bairro],mercado12)+SUMIFS(supercb[Qtde],supercb[Item],tab_alimentos[[#This Row],[Item]],supercb[Bairro],mercado12)</f>
        <v>0</v>
      </c>
      <c r="X264" s="64">
        <f>SUMIFS(super1[Qtde],super1[Item],tab_alimentos[[#This Row],[Item]],super1[Bairro],mercado13)+SUMIFS(supercb[Qtde],supercb[Item],tab_alimentos[[#This Row],[Item]],supercb[Bairro],mercado13)</f>
        <v>0</v>
      </c>
      <c r="Y264" s="64">
        <f>SUMIFS(super1[Qtde],super1[Item],tab_alimentos[[#This Row],[Item]],super1[Bairro],mercado14)+SUMIFS(supercb[Qtde],supercb[Item],tab_alimentos[[#This Row],[Item]],supercb[Bairro],mercado14)</f>
        <v>0</v>
      </c>
      <c r="Z264" s="64">
        <f>SUMIFS(super1[Qtde],super1[Item],tab_alimentos[[#This Row],[Item]],super1[Bairro],mercado15)+SUMIFS(supercb[Qtde],supercb[Item],tab_alimentos[[#This Row],[Item]],supercb[Bairro],mercado15)</f>
        <v>0</v>
      </c>
      <c r="AA264" s="64">
        <f>SUMIFS(super1[Qtde],super1[Item],tab_alimentos[[#This Row],[Item]],super1[Bairro],mercado16)+SUMIFS(supercb[Qtde],supercb[Item],tab_alimentos[[#This Row],[Item]],supercb[Bairro],mercado16)</f>
        <v>0</v>
      </c>
      <c r="AB264" s="64">
        <f>SUMIFS(super1[Qtde],super1[Item],tab_alimentos[[#This Row],[Item]],super1[Bairro],mercado17)+SUMIFS(supercb[Qtde],supercb[Item],tab_alimentos[[#This Row],[Item]],supercb[Bairro],mercado17)</f>
        <v>0</v>
      </c>
      <c r="AC264" s="64">
        <f>SUMIFS(super1[Qtde],super1[Item],tab_alimentos[[#This Row],[Item]],super1[Bairro],mercado18)+SUMIFS(supercb[Qtde],supercb[Item],tab_alimentos[[#This Row],[Item]],supercb[Bairro],mercado18)</f>
        <v>0</v>
      </c>
      <c r="AD264" s="64">
        <f>SUMIFS(super1[Qtde],super1[Item],tab_alimentos[[#This Row],[Item]],super1[Bairro],extras)+SUMIFS(supercb[Qtde],supercb[Item],tab_alimentos[[#This Row],[Item]],supercb[Bairro],extras)</f>
        <v>0</v>
      </c>
      <c r="AE264" s="61">
        <f t="shared" si="82"/>
        <v>0</v>
      </c>
      <c r="AF264" s="61">
        <f t="shared" si="83"/>
        <v>0</v>
      </c>
      <c r="AG264" s="62">
        <f t="shared" si="84"/>
        <v>0</v>
      </c>
      <c r="AH264" s="15" t="e">
        <f>higiene[[#This Row],[Item]]</f>
        <v>#VALUE!</v>
      </c>
      <c r="AI264" s="8">
        <f>IFERROR(higiene[[#This Row],[Kg equivalente]],0)</f>
        <v>0</v>
      </c>
      <c r="AJ264" s="8">
        <f>IFERROR(higiene[[#This Row],[Preço por produto]],0)</f>
        <v>0</v>
      </c>
      <c r="AK264" s="61">
        <f>SUMIFS(super1[Qtde],super1[Item],tab_higiene[[#This Row],[Item]],super1[Bairro],mercado1)+SUMIFS(supercb[Qtde],supercb[Item],tab_higiene[[#This Row],[Item]],supercb[Bairro],mercado1)</f>
        <v>0</v>
      </c>
      <c r="AL264" s="61">
        <f>SUMIFS(super1[Qtde],super1[Item],tab_higiene[[#This Row],[Item]],super1[Bairro],mercado2)+SUMIFS(supercb[Qtde],supercb[Item],tab_higiene[[#This Row],[Item]],supercb[Bairro],mercado2)</f>
        <v>0</v>
      </c>
      <c r="AM264" s="61">
        <f>SUMIFS(super1[Qtde],super1[Item],tab_higiene[[#This Row],[Item]],super1[Bairro],mercado3)+SUMIFS(supercb[Qtde],supercb[Item],tab_higiene[[#This Row],[Item]],supercb[Bairro],mercado3)</f>
        <v>0</v>
      </c>
      <c r="AN264" s="61">
        <f>SUMIFS(super1[Qtde],super1[Item],tab_higiene[[#This Row],[Item]],super1[Bairro],mercado4)+SUMIFS(supercb[Qtde],supercb[Item],tab_higiene[[#This Row],[Item]],supercb[Bairro],mercado4)</f>
        <v>0</v>
      </c>
      <c r="AO264" s="61">
        <f>SUMIFS(super1[Qtde],super1[Item],tab_higiene[[#This Row],[Item]],super1[Bairro],mercado5)+SUMIFS(supercb[Qtde],supercb[Item],tab_higiene[[#This Row],[Item]],supercb[Bairro],mercado5)</f>
        <v>0</v>
      </c>
      <c r="AP264" s="61">
        <f>SUMIFS(super1[Qtde],super1[Item],tab_higiene[[#This Row],[Item]],super1[Bairro],mercado6)+SUMIFS(supercb[Qtde],supercb[Item],tab_higiene[[#This Row],[Item]],supercb[Bairro],mercado6)</f>
        <v>0</v>
      </c>
      <c r="AQ264" s="61">
        <f>SUMIFS(super1[Qtde],super1[Item],tab_higiene[[#This Row],[Item]],super1[Bairro],mercado7)+SUMIFS(supercb[Qtde],supercb[Item],tab_higiene[[#This Row],[Item]],supercb[Bairro],mercado7)</f>
        <v>0</v>
      </c>
      <c r="AR264" s="61">
        <f>SUMIFS(super1[Qtde],super1[Item],tab_higiene[[#This Row],[Item]],super1[Bairro],mercado8)+SUMIFS(supercb[Qtde],supercb[Item],tab_higiene[[#This Row],[Item]],supercb[Bairro],mercado8)</f>
        <v>0</v>
      </c>
      <c r="AS264" s="61">
        <f>SUMIFS(super1[Qtde],super1[Item],tab_higiene[[#This Row],[Item]],super1[Bairro],mercado9)+SUMIFS(supercb[Qtde],supercb[Item],tab_higiene[[#This Row],[Item]],supercb[Bairro],mercado9)</f>
        <v>0</v>
      </c>
      <c r="AT264" s="61">
        <f>SUMIFS(super1[Qtde],super1[Item],tab_higiene[[#This Row],[Item]],super1[Bairro],mercado10)+SUMIFS(supercb[Qtde],supercb[Item],tab_higiene[[#This Row],[Item]],supercb[Bairro],mercado10)</f>
        <v>0</v>
      </c>
      <c r="AU264" s="61">
        <f>SUMIFS(super1[Qtde],super1[Item],tab_higiene[[#This Row],[Item]],super1[Bairro],mercado11)+SUMIFS(supercb[Qtde],supercb[Item],tab_higiene[[#This Row],[Item]],supercb[Bairro],mercado11)</f>
        <v>0</v>
      </c>
      <c r="AV264" s="61">
        <f>SUMIFS(super1[Qtde],super1[Item],tab_higiene[[#This Row],[Item]],super1[Bairro],mercado12)+SUMIFS(supercb[Qtde],supercb[Item],tab_higiene[[#This Row],[Item]],supercb[Bairro],mercado12)</f>
        <v>0</v>
      </c>
      <c r="AW264" s="61">
        <f>SUMIFS(super1[Qtde],super1[Item],tab_higiene[[#This Row],[Item]],super1[Bairro],mercado13)+SUMIFS(supercb[Qtde],supercb[Item],tab_higiene[[#This Row],[Item]],supercb[Bairro],mercado13)</f>
        <v>0</v>
      </c>
      <c r="AX264" s="61">
        <f>SUMIFS(super1[Qtde],super1[Item],tab_higiene[[#This Row],[Item]],super1[Bairro],mercado14)+SUMIFS(supercb[Qtde],supercb[Item],tab_higiene[[#This Row],[Item]],supercb[Bairro],mercado14)</f>
        <v>0</v>
      </c>
      <c r="AY264" s="61">
        <f>SUMIFS(super1[Qtde],super1[Item],tab_higiene[[#This Row],[Item]],super1[Bairro],mercado15)+SUMIFS(supercb[Qtde],supercb[Item],tab_higiene[[#This Row],[Item]],supercb[Bairro],mercado15)</f>
        <v>0</v>
      </c>
      <c r="AZ264" s="61">
        <f>SUMIFS(super1[Qtde],super1[Item],tab_higiene[[#This Row],[Item]],super1[Bairro],mercado16)+SUMIFS(supercb[Qtde],supercb[Item],tab_higiene[[#This Row],[Item]],supercb[Bairro],mercado16)</f>
        <v>0</v>
      </c>
      <c r="BA264" s="61">
        <f>SUMIFS(super1[Qtde],super1[Item],tab_higiene[[#This Row],[Item]],super1[Bairro],mercado17)+SUMIFS(supercb[Qtde],supercb[Item],tab_higiene[[#This Row],[Item]],supercb[Bairro],mercado17)</f>
        <v>0</v>
      </c>
      <c r="BB264" s="61">
        <f>SUMIFS(super1[Qtde],super1[Item],tab_higiene[[#This Row],[Item]],super1[Bairro],mercado18)+SUMIFS(supercb[Qtde],supercb[Item],tab_higiene[[#This Row],[Item]],supercb[Bairro],mercado18)</f>
        <v>0</v>
      </c>
      <c r="BC264" s="51">
        <f>SUMIFS(super1[Qtde],super1[Item],tab_higiene[[#This Row],[Item]],super1[Bairro],extras)+SUMIFS(supercb[Qtde],supercb[Item],tab_higiene[[#This Row],[Item]],supercb[Bairro],extras)</f>
        <v>0</v>
      </c>
      <c r="BD264" s="8">
        <f t="shared" si="85"/>
        <v>0</v>
      </c>
      <c r="BE264" s="8">
        <f t="shared" si="86"/>
        <v>0</v>
      </c>
      <c r="BF264" s="23">
        <f t="shared" si="87"/>
        <v>0</v>
      </c>
    </row>
    <row r="265" spans="9:58" ht="15.75" thickBot="1" x14ac:dyDescent="0.3">
      <c r="I265" s="65" t="str">
        <f>alimentos[[#This Row],[Item]]</f>
        <v>Vinagre (750ml)</v>
      </c>
      <c r="J265" s="61">
        <f>IFERROR(alimentos[[#This Row],[kg/embalagem]],0)</f>
        <v>0.75</v>
      </c>
      <c r="K265" s="64">
        <f>IFERROR(alimentos[[#This Row],[Preço]],0)</f>
        <v>1.7966666666666666</v>
      </c>
      <c r="L265" s="64">
        <f>SUMIFS(super1[Qtde],super1[Item],tab_alimentos[[#This Row],[Item]],super1[Bairro],mercado1)+SUMIFS(supercb[Qtde],supercb[Item],tab_alimentos[[#This Row],[Item]],supercb[Bairro],mercado1)</f>
        <v>0</v>
      </c>
      <c r="M265" s="64">
        <f>SUMIFS(super1[Qtde],super1[Item],tab_alimentos[[#This Row],[Item]],super1[Bairro],mercado2)+SUMIFS(supercb[Qtde],supercb[Item],tab_alimentos[[#This Row],[Item]],supercb[Bairro],mercado2)</f>
        <v>0</v>
      </c>
      <c r="N265" s="61">
        <f>SUMIFS(super1[Qtde],super1[Item],tab_alimentos[[#This Row],[Item]],super1[Bairro],mercado3)+SUMIFS(supercb[Qtde],supercb[Item],tab_alimentos[[#This Row],[Item]],supercb[Bairro],mercado3)</f>
        <v>0</v>
      </c>
      <c r="O265" s="64">
        <f>SUMIFS(super1[Qtde],super1[Item],tab_alimentos[[#This Row],[Item]],super1[Bairro],mercado4)+SUMIFS(supercb[Qtde],supercb[Item],tab_alimentos[[#This Row],[Item]],supercb[Bairro],mercado4)</f>
        <v>0</v>
      </c>
      <c r="P265" s="64">
        <f>SUMIFS(super1[Qtde],super1[Item],tab_alimentos[[#This Row],[Item]],super1[Bairro],mercado5)+SUMIFS(supercb[Qtde],supercb[Item],tab_alimentos[[#This Row],[Item]],supercb[Bairro],mercado5)</f>
        <v>2</v>
      </c>
      <c r="Q265" s="64">
        <f>SUMIFS(super1[Qtde],super1[Item],tab_alimentos[[#This Row],[Item]],super1[Bairro],mercado6)+SUMIFS(supercb[Qtde],supercb[Item],tab_alimentos[[#This Row],[Item]],supercb[Bairro],mercado6)</f>
        <v>0</v>
      </c>
      <c r="R265" s="64">
        <f>SUMIFS(super1[Qtde],super1[Item],tab_alimentos[[#This Row],[Item]],super1[Bairro],mercado7)+SUMIFS(supercb[Qtde],supercb[Item],tab_alimentos[[#This Row],[Item]],supercb[Bairro],mercado7)</f>
        <v>1</v>
      </c>
      <c r="S265" s="64">
        <f>SUMIFS(super1[Qtde],super1[Item],tab_alimentos[[#This Row],[Item]],super1[Bairro],mercado8)+SUMIFS(supercb[Qtde],supercb[Item],tab_alimentos[[#This Row],[Item]],supercb[Bairro],mercado8)</f>
        <v>1</v>
      </c>
      <c r="T265" s="64">
        <f>SUMIFS(super1[Qtde],super1[Item],tab_alimentos[[#This Row],[Item]],super1[Bairro],mercado9)+SUMIFS(supercb[Qtde],supercb[Item],tab_alimentos[[#This Row],[Item]],supercb[Bairro],mercado9)</f>
        <v>0</v>
      </c>
      <c r="U265" s="64">
        <f>SUMIFS(super1[Qtde],super1[Item],tab_alimentos[[#This Row],[Item]],super1[Bairro],mercado10)+SUMIFS(supercb[Qtde],supercb[Item],tab_alimentos[[#This Row],[Item]],supercb[Bairro],mercado10)</f>
        <v>1</v>
      </c>
      <c r="V265" s="64">
        <f>SUMIFS(super1[Qtde],super1[Item],tab_alimentos[[#This Row],[Item]],super1[Bairro],mercado11)+SUMIFS(supercb[Qtde],supercb[Item],tab_alimentos[[#This Row],[Item]],supercb[Bairro],mercado11)</f>
        <v>0</v>
      </c>
      <c r="W265" s="64">
        <f>SUMIFS(super1[Qtde],super1[Item],tab_alimentos[[#This Row],[Item]],super1[Bairro],mercado12)+SUMIFS(supercb[Qtde],supercb[Item],tab_alimentos[[#This Row],[Item]],supercb[Bairro],mercado12)</f>
        <v>0</v>
      </c>
      <c r="X265" s="64">
        <f>SUMIFS(super1[Qtde],super1[Item],tab_alimentos[[#This Row],[Item]],super1[Bairro],mercado13)+SUMIFS(supercb[Qtde],supercb[Item],tab_alimentos[[#This Row],[Item]],supercb[Bairro],mercado13)</f>
        <v>0</v>
      </c>
      <c r="Y265" s="64">
        <f>SUMIFS(super1[Qtde],super1[Item],tab_alimentos[[#This Row],[Item]],super1[Bairro],mercado14)+SUMIFS(supercb[Qtde],supercb[Item],tab_alimentos[[#This Row],[Item]],supercb[Bairro],mercado14)</f>
        <v>0</v>
      </c>
      <c r="Z265" s="64">
        <f>SUMIFS(super1[Qtde],super1[Item],tab_alimentos[[#This Row],[Item]],super1[Bairro],mercado15)+SUMIFS(supercb[Qtde],supercb[Item],tab_alimentos[[#This Row],[Item]],supercb[Bairro],mercado15)</f>
        <v>0</v>
      </c>
      <c r="AA265" s="64">
        <f>SUMIFS(super1[Qtde],super1[Item],tab_alimentos[[#This Row],[Item]],super1[Bairro],mercado16)+SUMIFS(supercb[Qtde],supercb[Item],tab_alimentos[[#This Row],[Item]],supercb[Bairro],mercado16)</f>
        <v>0</v>
      </c>
      <c r="AB265" s="64">
        <f>SUMIFS(super1[Qtde],super1[Item],tab_alimentos[[#This Row],[Item]],super1[Bairro],mercado17)+SUMIFS(supercb[Qtde],supercb[Item],tab_alimentos[[#This Row],[Item]],supercb[Bairro],mercado17)</f>
        <v>0</v>
      </c>
      <c r="AC265" s="64">
        <f>SUMIFS(super1[Qtde],super1[Item],tab_alimentos[[#This Row],[Item]],super1[Bairro],mercado18)+SUMIFS(supercb[Qtde],supercb[Item],tab_alimentos[[#This Row],[Item]],supercb[Bairro],mercado18)</f>
        <v>0</v>
      </c>
      <c r="AD265" s="64">
        <f>SUMIFS(super1[Qtde],super1[Item],tab_alimentos[[#This Row],[Item]],super1[Bairro],extras)+SUMIFS(supercb[Qtde],supercb[Item],tab_alimentos[[#This Row],[Item]],supercb[Bairro],extras)</f>
        <v>0</v>
      </c>
      <c r="AE265" s="61">
        <f t="shared" si="82"/>
        <v>5</v>
      </c>
      <c r="AF265" s="61">
        <f t="shared" si="83"/>
        <v>8.9833333333333325</v>
      </c>
      <c r="AG265" s="62">
        <f t="shared" si="84"/>
        <v>3.75</v>
      </c>
      <c r="AH265" s="15" t="e">
        <f>higiene[[#This Row],[Item]]</f>
        <v>#VALUE!</v>
      </c>
      <c r="AI265" s="8">
        <f>IFERROR(higiene[[#This Row],[Kg equivalente]],0)</f>
        <v>0</v>
      </c>
      <c r="AJ265" s="8">
        <f>IFERROR(higiene[[#This Row],[Preço por produto]],0)</f>
        <v>0</v>
      </c>
      <c r="AK265" s="61">
        <f>SUMIFS(super1[Qtde],super1[Item],tab_higiene[[#This Row],[Item]],super1[Bairro],mercado1)+SUMIFS(supercb[Qtde],supercb[Item],tab_higiene[[#This Row],[Item]],supercb[Bairro],mercado1)</f>
        <v>0</v>
      </c>
      <c r="AL265" s="61">
        <f>SUMIFS(super1[Qtde],super1[Item],tab_higiene[[#This Row],[Item]],super1[Bairro],mercado2)+SUMIFS(supercb[Qtde],supercb[Item],tab_higiene[[#This Row],[Item]],supercb[Bairro],mercado2)</f>
        <v>0</v>
      </c>
      <c r="AM265" s="61">
        <f>SUMIFS(super1[Qtde],super1[Item],tab_higiene[[#This Row],[Item]],super1[Bairro],mercado3)+SUMIFS(supercb[Qtde],supercb[Item],tab_higiene[[#This Row],[Item]],supercb[Bairro],mercado3)</f>
        <v>0</v>
      </c>
      <c r="AN265" s="61">
        <f>SUMIFS(super1[Qtde],super1[Item],tab_higiene[[#This Row],[Item]],super1[Bairro],mercado4)+SUMIFS(supercb[Qtde],supercb[Item],tab_higiene[[#This Row],[Item]],supercb[Bairro],mercado4)</f>
        <v>0</v>
      </c>
      <c r="AO265" s="61">
        <f>SUMIFS(super1[Qtde],super1[Item],tab_higiene[[#This Row],[Item]],super1[Bairro],mercado5)+SUMIFS(supercb[Qtde],supercb[Item],tab_higiene[[#This Row],[Item]],supercb[Bairro],mercado5)</f>
        <v>0</v>
      </c>
      <c r="AP265" s="61">
        <f>SUMIFS(super1[Qtde],super1[Item],tab_higiene[[#This Row],[Item]],super1[Bairro],mercado6)+SUMIFS(supercb[Qtde],supercb[Item],tab_higiene[[#This Row],[Item]],supercb[Bairro],mercado6)</f>
        <v>0</v>
      </c>
      <c r="AQ265" s="61">
        <f>SUMIFS(super1[Qtde],super1[Item],tab_higiene[[#This Row],[Item]],super1[Bairro],mercado7)+SUMIFS(supercb[Qtde],supercb[Item],tab_higiene[[#This Row],[Item]],supercb[Bairro],mercado7)</f>
        <v>0</v>
      </c>
      <c r="AR265" s="61">
        <f>SUMIFS(super1[Qtde],super1[Item],tab_higiene[[#This Row],[Item]],super1[Bairro],mercado8)+SUMIFS(supercb[Qtde],supercb[Item],tab_higiene[[#This Row],[Item]],supercb[Bairro],mercado8)</f>
        <v>0</v>
      </c>
      <c r="AS265" s="61">
        <f>SUMIFS(super1[Qtde],super1[Item],tab_higiene[[#This Row],[Item]],super1[Bairro],mercado9)+SUMIFS(supercb[Qtde],supercb[Item],tab_higiene[[#This Row],[Item]],supercb[Bairro],mercado9)</f>
        <v>0</v>
      </c>
      <c r="AT265" s="61">
        <f>SUMIFS(super1[Qtde],super1[Item],tab_higiene[[#This Row],[Item]],super1[Bairro],mercado10)+SUMIFS(supercb[Qtde],supercb[Item],tab_higiene[[#This Row],[Item]],supercb[Bairro],mercado10)</f>
        <v>0</v>
      </c>
      <c r="AU265" s="61">
        <f>SUMIFS(super1[Qtde],super1[Item],tab_higiene[[#This Row],[Item]],super1[Bairro],mercado11)+SUMIFS(supercb[Qtde],supercb[Item],tab_higiene[[#This Row],[Item]],supercb[Bairro],mercado11)</f>
        <v>0</v>
      </c>
      <c r="AV265" s="61">
        <f>SUMIFS(super1[Qtde],super1[Item],tab_higiene[[#This Row],[Item]],super1[Bairro],mercado12)+SUMIFS(supercb[Qtde],supercb[Item],tab_higiene[[#This Row],[Item]],supercb[Bairro],mercado12)</f>
        <v>0</v>
      </c>
      <c r="AW265" s="61">
        <f>SUMIFS(super1[Qtde],super1[Item],tab_higiene[[#This Row],[Item]],super1[Bairro],mercado13)+SUMIFS(supercb[Qtde],supercb[Item],tab_higiene[[#This Row],[Item]],supercb[Bairro],mercado13)</f>
        <v>0</v>
      </c>
      <c r="AX265" s="61">
        <f>SUMIFS(super1[Qtde],super1[Item],tab_higiene[[#This Row],[Item]],super1[Bairro],mercado14)+SUMIFS(supercb[Qtde],supercb[Item],tab_higiene[[#This Row],[Item]],supercb[Bairro],mercado14)</f>
        <v>0</v>
      </c>
      <c r="AY265" s="61">
        <f>SUMIFS(super1[Qtde],super1[Item],tab_higiene[[#This Row],[Item]],super1[Bairro],mercado15)+SUMIFS(supercb[Qtde],supercb[Item],tab_higiene[[#This Row],[Item]],supercb[Bairro],mercado15)</f>
        <v>0</v>
      </c>
      <c r="AZ265" s="61">
        <f>SUMIFS(super1[Qtde],super1[Item],tab_higiene[[#This Row],[Item]],super1[Bairro],mercado16)+SUMIFS(supercb[Qtde],supercb[Item],tab_higiene[[#This Row],[Item]],supercb[Bairro],mercado16)</f>
        <v>0</v>
      </c>
      <c r="BA265" s="61">
        <f>SUMIFS(super1[Qtde],super1[Item],tab_higiene[[#This Row],[Item]],super1[Bairro],mercado17)+SUMIFS(supercb[Qtde],supercb[Item],tab_higiene[[#This Row],[Item]],supercb[Bairro],mercado17)</f>
        <v>0</v>
      </c>
      <c r="BB265" s="61">
        <f>SUMIFS(super1[Qtde],super1[Item],tab_higiene[[#This Row],[Item]],super1[Bairro],mercado18)+SUMIFS(supercb[Qtde],supercb[Item],tab_higiene[[#This Row],[Item]],supercb[Bairro],mercado18)</f>
        <v>0</v>
      </c>
      <c r="BC265" s="51">
        <f>SUMIFS(super1[Qtde],super1[Item],tab_higiene[[#This Row],[Item]],super1[Bairro],extras)+SUMIFS(supercb[Qtde],supercb[Item],tab_higiene[[#This Row],[Item]],supercb[Bairro],extras)</f>
        <v>0</v>
      </c>
      <c r="BD265" s="8">
        <f t="shared" si="85"/>
        <v>0</v>
      </c>
      <c r="BE265" s="8">
        <f t="shared" si="86"/>
        <v>0</v>
      </c>
      <c r="BF265" s="23">
        <f t="shared" si="87"/>
        <v>0</v>
      </c>
    </row>
    <row r="266" spans="9:58" ht="15.75" thickBot="1" x14ac:dyDescent="0.3">
      <c r="I266" s="65" t="str">
        <f>alimentos[[#This Row],[Item]]</f>
        <v>Y</v>
      </c>
      <c r="J266" s="61">
        <f>IFERROR(alimentos[[#This Row],[kg/embalagem]],0)</f>
        <v>0</v>
      </c>
      <c r="K266" s="64">
        <f>IFERROR(alimentos[[#This Row],[Preço]],0)</f>
        <v>0</v>
      </c>
      <c r="L266" s="64">
        <f>SUMIFS(super1[Qtde],super1[Item],tab_alimentos[[#This Row],[Item]],super1[Bairro],mercado1)+SUMIFS(supercb[Qtde],supercb[Item],tab_alimentos[[#This Row],[Item]],supercb[Bairro],mercado1)</f>
        <v>0</v>
      </c>
      <c r="M266" s="64">
        <f>SUMIFS(super1[Qtde],super1[Item],tab_alimentos[[#This Row],[Item]],super1[Bairro],mercado2)+SUMIFS(supercb[Qtde],supercb[Item],tab_alimentos[[#This Row],[Item]],supercb[Bairro],mercado2)</f>
        <v>0</v>
      </c>
      <c r="N266" s="61">
        <f>SUMIFS(super1[Qtde],super1[Item],tab_alimentos[[#This Row],[Item]],super1[Bairro],mercado3)+SUMIFS(supercb[Qtde],supercb[Item],tab_alimentos[[#This Row],[Item]],supercb[Bairro],mercado3)</f>
        <v>0</v>
      </c>
      <c r="O266" s="64">
        <f>SUMIFS(super1[Qtde],super1[Item],tab_alimentos[[#This Row],[Item]],super1[Bairro],mercado4)+SUMIFS(supercb[Qtde],supercb[Item],tab_alimentos[[#This Row],[Item]],supercb[Bairro],mercado4)</f>
        <v>0</v>
      </c>
      <c r="P266" s="64">
        <f>SUMIFS(super1[Qtde],super1[Item],tab_alimentos[[#This Row],[Item]],super1[Bairro],mercado5)+SUMIFS(supercb[Qtde],supercb[Item],tab_alimentos[[#This Row],[Item]],supercb[Bairro],mercado5)</f>
        <v>0</v>
      </c>
      <c r="Q266" s="64">
        <f>SUMIFS(super1[Qtde],super1[Item],tab_alimentos[[#This Row],[Item]],super1[Bairro],mercado6)+SUMIFS(supercb[Qtde],supercb[Item],tab_alimentos[[#This Row],[Item]],supercb[Bairro],mercado6)</f>
        <v>0</v>
      </c>
      <c r="R266" s="64">
        <f>SUMIFS(super1[Qtde],super1[Item],tab_alimentos[[#This Row],[Item]],super1[Bairro],mercado7)+SUMIFS(supercb[Qtde],supercb[Item],tab_alimentos[[#This Row],[Item]],supercb[Bairro],mercado7)</f>
        <v>0</v>
      </c>
      <c r="S266" s="64">
        <f>SUMIFS(super1[Qtde],super1[Item],tab_alimentos[[#This Row],[Item]],super1[Bairro],mercado8)+SUMIFS(supercb[Qtde],supercb[Item],tab_alimentos[[#This Row],[Item]],supercb[Bairro],mercado8)</f>
        <v>0</v>
      </c>
      <c r="T266" s="64">
        <f>SUMIFS(super1[Qtde],super1[Item],tab_alimentos[[#This Row],[Item]],super1[Bairro],mercado9)+SUMIFS(supercb[Qtde],supercb[Item],tab_alimentos[[#This Row],[Item]],supercb[Bairro],mercado9)</f>
        <v>0</v>
      </c>
      <c r="U266" s="64">
        <f>SUMIFS(super1[Qtde],super1[Item],tab_alimentos[[#This Row],[Item]],super1[Bairro],mercado10)+SUMIFS(supercb[Qtde],supercb[Item],tab_alimentos[[#This Row],[Item]],supercb[Bairro],mercado10)</f>
        <v>0</v>
      </c>
      <c r="V266" s="64">
        <f>SUMIFS(super1[Qtde],super1[Item],tab_alimentos[[#This Row],[Item]],super1[Bairro],mercado11)+SUMIFS(supercb[Qtde],supercb[Item],tab_alimentos[[#This Row],[Item]],supercb[Bairro],mercado11)</f>
        <v>0</v>
      </c>
      <c r="W266" s="64">
        <f>SUMIFS(super1[Qtde],super1[Item],tab_alimentos[[#This Row],[Item]],super1[Bairro],mercado12)+SUMIFS(supercb[Qtde],supercb[Item],tab_alimentos[[#This Row],[Item]],supercb[Bairro],mercado12)</f>
        <v>0</v>
      </c>
      <c r="X266" s="64">
        <f>SUMIFS(super1[Qtde],super1[Item],tab_alimentos[[#This Row],[Item]],super1[Bairro],mercado13)+SUMIFS(supercb[Qtde],supercb[Item],tab_alimentos[[#This Row],[Item]],supercb[Bairro],mercado13)</f>
        <v>0</v>
      </c>
      <c r="Y266" s="64">
        <f>SUMIFS(super1[Qtde],super1[Item],tab_alimentos[[#This Row],[Item]],super1[Bairro],mercado14)+SUMIFS(supercb[Qtde],supercb[Item],tab_alimentos[[#This Row],[Item]],supercb[Bairro],mercado14)</f>
        <v>0</v>
      </c>
      <c r="Z266" s="64">
        <f>SUMIFS(super1[Qtde],super1[Item],tab_alimentos[[#This Row],[Item]],super1[Bairro],mercado15)+SUMIFS(supercb[Qtde],supercb[Item],tab_alimentos[[#This Row],[Item]],supercb[Bairro],mercado15)</f>
        <v>0</v>
      </c>
      <c r="AA266" s="64">
        <f>SUMIFS(super1[Qtde],super1[Item],tab_alimentos[[#This Row],[Item]],super1[Bairro],mercado16)+SUMIFS(supercb[Qtde],supercb[Item],tab_alimentos[[#This Row],[Item]],supercb[Bairro],mercado16)</f>
        <v>0</v>
      </c>
      <c r="AB266" s="64">
        <f>SUMIFS(super1[Qtde],super1[Item],tab_alimentos[[#This Row],[Item]],super1[Bairro],mercado17)+SUMIFS(supercb[Qtde],supercb[Item],tab_alimentos[[#This Row],[Item]],supercb[Bairro],mercado17)</f>
        <v>0</v>
      </c>
      <c r="AC266" s="64">
        <f>SUMIFS(super1[Qtde],super1[Item],tab_alimentos[[#This Row],[Item]],super1[Bairro],mercado18)+SUMIFS(supercb[Qtde],supercb[Item],tab_alimentos[[#This Row],[Item]],supercb[Bairro],mercado18)</f>
        <v>0</v>
      </c>
      <c r="AD266" s="64">
        <f>SUMIFS(super1[Qtde],super1[Item],tab_alimentos[[#This Row],[Item]],super1[Bairro],extras)+SUMIFS(supercb[Qtde],supercb[Item],tab_alimentos[[#This Row],[Item]],supercb[Bairro],extras)</f>
        <v>0</v>
      </c>
      <c r="AE266" s="61">
        <f t="shared" si="82"/>
        <v>0</v>
      </c>
      <c r="AF266" s="61">
        <f t="shared" si="83"/>
        <v>0</v>
      </c>
      <c r="AG266" s="62">
        <f t="shared" si="84"/>
        <v>0</v>
      </c>
      <c r="AH266" s="15" t="e">
        <f>higiene[[#This Row],[Item]]</f>
        <v>#VALUE!</v>
      </c>
      <c r="AI266" s="8">
        <f>IFERROR(higiene[[#This Row],[Kg equivalente]],0)</f>
        <v>0</v>
      </c>
      <c r="AJ266" s="8">
        <f>IFERROR(higiene[[#This Row],[Preço por produto]],0)</f>
        <v>0</v>
      </c>
      <c r="AK266" s="61">
        <f>SUMIFS(super1[Qtde],super1[Item],tab_higiene[[#This Row],[Item]],super1[Bairro],mercado1)+SUMIFS(supercb[Qtde],supercb[Item],tab_higiene[[#This Row],[Item]],supercb[Bairro],mercado1)</f>
        <v>0</v>
      </c>
      <c r="AL266" s="61">
        <f>SUMIFS(super1[Qtde],super1[Item],tab_higiene[[#This Row],[Item]],super1[Bairro],mercado2)+SUMIFS(supercb[Qtde],supercb[Item],tab_higiene[[#This Row],[Item]],supercb[Bairro],mercado2)</f>
        <v>0</v>
      </c>
      <c r="AM266" s="61">
        <f>SUMIFS(super1[Qtde],super1[Item],tab_higiene[[#This Row],[Item]],super1[Bairro],mercado3)+SUMIFS(supercb[Qtde],supercb[Item],tab_higiene[[#This Row],[Item]],supercb[Bairro],mercado3)</f>
        <v>0</v>
      </c>
      <c r="AN266" s="61">
        <f>SUMIFS(super1[Qtde],super1[Item],tab_higiene[[#This Row],[Item]],super1[Bairro],mercado4)+SUMIFS(supercb[Qtde],supercb[Item],tab_higiene[[#This Row],[Item]],supercb[Bairro],mercado4)</f>
        <v>0</v>
      </c>
      <c r="AO266" s="61">
        <f>SUMIFS(super1[Qtde],super1[Item],tab_higiene[[#This Row],[Item]],super1[Bairro],mercado5)+SUMIFS(supercb[Qtde],supercb[Item],tab_higiene[[#This Row],[Item]],supercb[Bairro],mercado5)</f>
        <v>0</v>
      </c>
      <c r="AP266" s="61">
        <f>SUMIFS(super1[Qtde],super1[Item],tab_higiene[[#This Row],[Item]],super1[Bairro],mercado6)+SUMIFS(supercb[Qtde],supercb[Item],tab_higiene[[#This Row],[Item]],supercb[Bairro],mercado6)</f>
        <v>0</v>
      </c>
      <c r="AQ266" s="61">
        <f>SUMIFS(super1[Qtde],super1[Item],tab_higiene[[#This Row],[Item]],super1[Bairro],mercado7)+SUMIFS(supercb[Qtde],supercb[Item],tab_higiene[[#This Row],[Item]],supercb[Bairro],mercado7)</f>
        <v>0</v>
      </c>
      <c r="AR266" s="61">
        <f>SUMIFS(super1[Qtde],super1[Item],tab_higiene[[#This Row],[Item]],super1[Bairro],mercado8)+SUMIFS(supercb[Qtde],supercb[Item],tab_higiene[[#This Row],[Item]],supercb[Bairro],mercado8)</f>
        <v>0</v>
      </c>
      <c r="AS266" s="61">
        <f>SUMIFS(super1[Qtde],super1[Item],tab_higiene[[#This Row],[Item]],super1[Bairro],mercado9)+SUMIFS(supercb[Qtde],supercb[Item],tab_higiene[[#This Row],[Item]],supercb[Bairro],mercado9)</f>
        <v>0</v>
      </c>
      <c r="AT266" s="61">
        <f>SUMIFS(super1[Qtde],super1[Item],tab_higiene[[#This Row],[Item]],super1[Bairro],mercado10)+SUMIFS(supercb[Qtde],supercb[Item],tab_higiene[[#This Row],[Item]],supercb[Bairro],mercado10)</f>
        <v>0</v>
      </c>
      <c r="AU266" s="61">
        <f>SUMIFS(super1[Qtde],super1[Item],tab_higiene[[#This Row],[Item]],super1[Bairro],mercado11)+SUMIFS(supercb[Qtde],supercb[Item],tab_higiene[[#This Row],[Item]],supercb[Bairro],mercado11)</f>
        <v>0</v>
      </c>
      <c r="AV266" s="61">
        <f>SUMIFS(super1[Qtde],super1[Item],tab_higiene[[#This Row],[Item]],super1[Bairro],mercado12)+SUMIFS(supercb[Qtde],supercb[Item],tab_higiene[[#This Row],[Item]],supercb[Bairro],mercado12)</f>
        <v>0</v>
      </c>
      <c r="AW266" s="61">
        <f>SUMIFS(super1[Qtde],super1[Item],tab_higiene[[#This Row],[Item]],super1[Bairro],mercado13)+SUMIFS(supercb[Qtde],supercb[Item],tab_higiene[[#This Row],[Item]],supercb[Bairro],mercado13)</f>
        <v>0</v>
      </c>
      <c r="AX266" s="61">
        <f>SUMIFS(super1[Qtde],super1[Item],tab_higiene[[#This Row],[Item]],super1[Bairro],mercado14)+SUMIFS(supercb[Qtde],supercb[Item],tab_higiene[[#This Row],[Item]],supercb[Bairro],mercado14)</f>
        <v>0</v>
      </c>
      <c r="AY266" s="61">
        <f>SUMIFS(super1[Qtde],super1[Item],tab_higiene[[#This Row],[Item]],super1[Bairro],mercado15)+SUMIFS(supercb[Qtde],supercb[Item],tab_higiene[[#This Row],[Item]],supercb[Bairro],mercado15)</f>
        <v>0</v>
      </c>
      <c r="AZ266" s="61">
        <f>SUMIFS(super1[Qtde],super1[Item],tab_higiene[[#This Row],[Item]],super1[Bairro],mercado16)+SUMIFS(supercb[Qtde],supercb[Item],tab_higiene[[#This Row],[Item]],supercb[Bairro],mercado16)</f>
        <v>0</v>
      </c>
      <c r="BA266" s="61">
        <f>SUMIFS(super1[Qtde],super1[Item],tab_higiene[[#This Row],[Item]],super1[Bairro],mercado17)+SUMIFS(supercb[Qtde],supercb[Item],tab_higiene[[#This Row],[Item]],supercb[Bairro],mercado17)</f>
        <v>0</v>
      </c>
      <c r="BB266" s="61">
        <f>SUMIFS(super1[Qtde],super1[Item],tab_higiene[[#This Row],[Item]],super1[Bairro],mercado18)+SUMIFS(supercb[Qtde],supercb[Item],tab_higiene[[#This Row],[Item]],supercb[Bairro],mercado18)</f>
        <v>0</v>
      </c>
      <c r="BC266" s="51">
        <f>SUMIFS(super1[Qtde],super1[Item],tab_higiene[[#This Row],[Item]],super1[Bairro],extras)+SUMIFS(supercb[Qtde],supercb[Item],tab_higiene[[#This Row],[Item]],supercb[Bairro],extras)</f>
        <v>0</v>
      </c>
      <c r="BD266" s="8">
        <f t="shared" si="85"/>
        <v>0</v>
      </c>
      <c r="BE266" s="8">
        <f t="shared" si="86"/>
        <v>0</v>
      </c>
      <c r="BF266" s="23">
        <f t="shared" si="87"/>
        <v>0</v>
      </c>
    </row>
    <row r="267" spans="9:58" ht="15.75" thickBot="1" x14ac:dyDescent="0.3">
      <c r="I267" s="65" t="str">
        <f>alimentos[[#This Row],[Item]]</f>
        <v>Yakissoba (500g)</v>
      </c>
      <c r="J267" s="61">
        <f>IFERROR(alimentos[[#This Row],[kg/embalagem]],0)</f>
        <v>0.5</v>
      </c>
      <c r="K267" s="64">
        <f>IFERROR(alimentos[[#This Row],[Preço]],0)</f>
        <v>8.2850000000000001</v>
      </c>
      <c r="L267" s="64">
        <f>SUMIFS(super1[Qtde],super1[Item],tab_alimentos[[#This Row],[Item]],super1[Bairro],mercado1)+SUMIFS(supercb[Qtde],supercb[Item],tab_alimentos[[#This Row],[Item]],supercb[Bairro],mercado1)</f>
        <v>0</v>
      </c>
      <c r="M267" s="64">
        <f>SUMIFS(super1[Qtde],super1[Item],tab_alimentos[[#This Row],[Item]],super1[Bairro],mercado2)+SUMIFS(supercb[Qtde],supercb[Item],tab_alimentos[[#This Row],[Item]],supercb[Bairro],mercado2)</f>
        <v>0</v>
      </c>
      <c r="N267" s="61">
        <f>SUMIFS(super1[Qtde],super1[Item],tab_alimentos[[#This Row],[Item]],super1[Bairro],mercado3)+SUMIFS(supercb[Qtde],supercb[Item],tab_alimentos[[#This Row],[Item]],supercb[Bairro],mercado3)</f>
        <v>0</v>
      </c>
      <c r="O267" s="64">
        <f>SUMIFS(super1[Qtde],super1[Item],tab_alimentos[[#This Row],[Item]],super1[Bairro],mercado4)+SUMIFS(supercb[Qtde],supercb[Item],tab_alimentos[[#This Row],[Item]],supercb[Bairro],mercado4)</f>
        <v>0</v>
      </c>
      <c r="P267" s="64">
        <f>SUMIFS(super1[Qtde],super1[Item],tab_alimentos[[#This Row],[Item]],super1[Bairro],mercado5)+SUMIFS(supercb[Qtde],supercb[Item],tab_alimentos[[#This Row],[Item]],supercb[Bairro],mercado5)</f>
        <v>0</v>
      </c>
      <c r="Q267" s="64">
        <f>SUMIFS(super1[Qtde],super1[Item],tab_alimentos[[#This Row],[Item]],super1[Bairro],mercado6)+SUMIFS(supercb[Qtde],supercb[Item],tab_alimentos[[#This Row],[Item]],supercb[Bairro],mercado6)</f>
        <v>0</v>
      </c>
      <c r="R267" s="64">
        <f>SUMIFS(super1[Qtde],super1[Item],tab_alimentos[[#This Row],[Item]],super1[Bairro],mercado7)+SUMIFS(supercb[Qtde],supercb[Item],tab_alimentos[[#This Row],[Item]],supercb[Bairro],mercado7)</f>
        <v>0</v>
      </c>
      <c r="S267" s="64">
        <f>SUMIFS(super1[Qtde],super1[Item],tab_alimentos[[#This Row],[Item]],super1[Bairro],mercado8)+SUMIFS(supercb[Qtde],supercb[Item],tab_alimentos[[#This Row],[Item]],supercb[Bairro],mercado8)</f>
        <v>0</v>
      </c>
      <c r="T267" s="64">
        <f>SUMIFS(super1[Qtde],super1[Item],tab_alimentos[[#This Row],[Item]],super1[Bairro],mercado9)+SUMIFS(supercb[Qtde],supercb[Item],tab_alimentos[[#This Row],[Item]],supercb[Bairro],mercado9)</f>
        <v>0</v>
      </c>
      <c r="U267" s="64">
        <f>SUMIFS(super1[Qtde],super1[Item],tab_alimentos[[#This Row],[Item]],super1[Bairro],mercado10)+SUMIFS(supercb[Qtde],supercb[Item],tab_alimentos[[#This Row],[Item]],supercb[Bairro],mercado10)</f>
        <v>0</v>
      </c>
      <c r="V267" s="64">
        <f>SUMIFS(super1[Qtde],super1[Item],tab_alimentos[[#This Row],[Item]],super1[Bairro],mercado11)+SUMIFS(supercb[Qtde],supercb[Item],tab_alimentos[[#This Row],[Item]],supercb[Bairro],mercado11)</f>
        <v>0</v>
      </c>
      <c r="W267" s="64">
        <f>SUMIFS(super1[Qtde],super1[Item],tab_alimentos[[#This Row],[Item]],super1[Bairro],mercado12)+SUMIFS(supercb[Qtde],supercb[Item],tab_alimentos[[#This Row],[Item]],supercb[Bairro],mercado12)</f>
        <v>0</v>
      </c>
      <c r="X267" s="64">
        <f>SUMIFS(super1[Qtde],super1[Item],tab_alimentos[[#This Row],[Item]],super1[Bairro],mercado13)+SUMIFS(supercb[Qtde],supercb[Item],tab_alimentos[[#This Row],[Item]],supercb[Bairro],mercado13)</f>
        <v>0</v>
      </c>
      <c r="Y267" s="64">
        <f>SUMIFS(super1[Qtde],super1[Item],tab_alimentos[[#This Row],[Item]],super1[Bairro],mercado14)+SUMIFS(supercb[Qtde],supercb[Item],tab_alimentos[[#This Row],[Item]],supercb[Bairro],mercado14)</f>
        <v>0</v>
      </c>
      <c r="Z267" s="64">
        <f>SUMIFS(super1[Qtde],super1[Item],tab_alimentos[[#This Row],[Item]],super1[Bairro],mercado15)+SUMIFS(supercb[Qtde],supercb[Item],tab_alimentos[[#This Row],[Item]],supercb[Bairro],mercado15)</f>
        <v>0</v>
      </c>
      <c r="AA267" s="64">
        <f>SUMIFS(super1[Qtde],super1[Item],tab_alimentos[[#This Row],[Item]],super1[Bairro],mercado16)+SUMIFS(supercb[Qtde],supercb[Item],tab_alimentos[[#This Row],[Item]],supercb[Bairro],mercado16)</f>
        <v>0</v>
      </c>
      <c r="AB267" s="64">
        <f>SUMIFS(super1[Qtde],super1[Item],tab_alimentos[[#This Row],[Item]],super1[Bairro],mercado17)+SUMIFS(supercb[Qtde],supercb[Item],tab_alimentos[[#This Row],[Item]],supercb[Bairro],mercado17)</f>
        <v>0</v>
      </c>
      <c r="AC267" s="64">
        <f>SUMIFS(super1[Qtde],super1[Item],tab_alimentos[[#This Row],[Item]],super1[Bairro],mercado18)+SUMIFS(supercb[Qtde],supercb[Item],tab_alimentos[[#This Row],[Item]],supercb[Bairro],mercado18)</f>
        <v>0</v>
      </c>
      <c r="AD267" s="64">
        <f>SUMIFS(super1[Qtde],super1[Item],tab_alimentos[[#This Row],[Item]],super1[Bairro],extras)+SUMIFS(supercb[Qtde],supercb[Item],tab_alimentos[[#This Row],[Item]],supercb[Bairro],extras)</f>
        <v>0</v>
      </c>
      <c r="AE267" s="61">
        <f t="shared" si="82"/>
        <v>0</v>
      </c>
      <c r="AF267" s="61">
        <f t="shared" si="83"/>
        <v>0</v>
      </c>
      <c r="AG267" s="62">
        <f t="shared" si="84"/>
        <v>0</v>
      </c>
      <c r="AH267" s="15" t="e">
        <f>higiene[[#This Row],[Item]]</f>
        <v>#VALUE!</v>
      </c>
      <c r="AI267" s="8">
        <f>IFERROR(higiene[[#This Row],[Kg equivalente]],0)</f>
        <v>0</v>
      </c>
      <c r="AJ267" s="8">
        <f>IFERROR(higiene[[#This Row],[Preço por produto]],0)</f>
        <v>0</v>
      </c>
      <c r="AK267" s="61">
        <f>SUMIFS(super1[Qtde],super1[Item],tab_higiene[[#This Row],[Item]],super1[Bairro],mercado1)+SUMIFS(supercb[Qtde],supercb[Item],tab_higiene[[#This Row],[Item]],supercb[Bairro],mercado1)</f>
        <v>0</v>
      </c>
      <c r="AL267" s="61">
        <f>SUMIFS(super1[Qtde],super1[Item],tab_higiene[[#This Row],[Item]],super1[Bairro],mercado2)+SUMIFS(supercb[Qtde],supercb[Item],tab_higiene[[#This Row],[Item]],supercb[Bairro],mercado2)</f>
        <v>0</v>
      </c>
      <c r="AM267" s="61">
        <f>SUMIFS(super1[Qtde],super1[Item],tab_higiene[[#This Row],[Item]],super1[Bairro],mercado3)+SUMIFS(supercb[Qtde],supercb[Item],tab_higiene[[#This Row],[Item]],supercb[Bairro],mercado3)</f>
        <v>0</v>
      </c>
      <c r="AN267" s="61">
        <f>SUMIFS(super1[Qtde],super1[Item],tab_higiene[[#This Row],[Item]],super1[Bairro],mercado4)+SUMIFS(supercb[Qtde],supercb[Item],tab_higiene[[#This Row],[Item]],supercb[Bairro],mercado4)</f>
        <v>0</v>
      </c>
      <c r="AO267" s="61">
        <f>SUMIFS(super1[Qtde],super1[Item],tab_higiene[[#This Row],[Item]],super1[Bairro],mercado5)+SUMIFS(supercb[Qtde],supercb[Item],tab_higiene[[#This Row],[Item]],supercb[Bairro],mercado5)</f>
        <v>0</v>
      </c>
      <c r="AP267" s="61">
        <f>SUMIFS(super1[Qtde],super1[Item],tab_higiene[[#This Row],[Item]],super1[Bairro],mercado6)+SUMIFS(supercb[Qtde],supercb[Item],tab_higiene[[#This Row],[Item]],supercb[Bairro],mercado6)</f>
        <v>0</v>
      </c>
      <c r="AQ267" s="61">
        <f>SUMIFS(super1[Qtde],super1[Item],tab_higiene[[#This Row],[Item]],super1[Bairro],mercado7)+SUMIFS(supercb[Qtde],supercb[Item],tab_higiene[[#This Row],[Item]],supercb[Bairro],mercado7)</f>
        <v>0</v>
      </c>
      <c r="AR267" s="61">
        <f>SUMIFS(super1[Qtde],super1[Item],tab_higiene[[#This Row],[Item]],super1[Bairro],mercado8)+SUMIFS(supercb[Qtde],supercb[Item],tab_higiene[[#This Row],[Item]],supercb[Bairro],mercado8)</f>
        <v>0</v>
      </c>
      <c r="AS267" s="61">
        <f>SUMIFS(super1[Qtde],super1[Item],tab_higiene[[#This Row],[Item]],super1[Bairro],mercado9)+SUMIFS(supercb[Qtde],supercb[Item],tab_higiene[[#This Row],[Item]],supercb[Bairro],mercado9)</f>
        <v>0</v>
      </c>
      <c r="AT267" s="61">
        <f>SUMIFS(super1[Qtde],super1[Item],tab_higiene[[#This Row],[Item]],super1[Bairro],mercado10)+SUMIFS(supercb[Qtde],supercb[Item],tab_higiene[[#This Row],[Item]],supercb[Bairro],mercado10)</f>
        <v>0</v>
      </c>
      <c r="AU267" s="61">
        <f>SUMIFS(super1[Qtde],super1[Item],tab_higiene[[#This Row],[Item]],super1[Bairro],mercado11)+SUMIFS(supercb[Qtde],supercb[Item],tab_higiene[[#This Row],[Item]],supercb[Bairro],mercado11)</f>
        <v>0</v>
      </c>
      <c r="AV267" s="61">
        <f>SUMIFS(super1[Qtde],super1[Item],tab_higiene[[#This Row],[Item]],super1[Bairro],mercado12)+SUMIFS(supercb[Qtde],supercb[Item],tab_higiene[[#This Row],[Item]],supercb[Bairro],mercado12)</f>
        <v>0</v>
      </c>
      <c r="AW267" s="61">
        <f>SUMIFS(super1[Qtde],super1[Item],tab_higiene[[#This Row],[Item]],super1[Bairro],mercado13)+SUMIFS(supercb[Qtde],supercb[Item],tab_higiene[[#This Row],[Item]],supercb[Bairro],mercado13)</f>
        <v>0</v>
      </c>
      <c r="AX267" s="61">
        <f>SUMIFS(super1[Qtde],super1[Item],tab_higiene[[#This Row],[Item]],super1[Bairro],mercado14)+SUMIFS(supercb[Qtde],supercb[Item],tab_higiene[[#This Row],[Item]],supercb[Bairro],mercado14)</f>
        <v>0</v>
      </c>
      <c r="AY267" s="61">
        <f>SUMIFS(super1[Qtde],super1[Item],tab_higiene[[#This Row],[Item]],super1[Bairro],mercado15)+SUMIFS(supercb[Qtde],supercb[Item],tab_higiene[[#This Row],[Item]],supercb[Bairro],mercado15)</f>
        <v>0</v>
      </c>
      <c r="AZ267" s="61">
        <f>SUMIFS(super1[Qtde],super1[Item],tab_higiene[[#This Row],[Item]],super1[Bairro],mercado16)+SUMIFS(supercb[Qtde],supercb[Item],tab_higiene[[#This Row],[Item]],supercb[Bairro],mercado16)</f>
        <v>0</v>
      </c>
      <c r="BA267" s="61">
        <f>SUMIFS(super1[Qtde],super1[Item],tab_higiene[[#This Row],[Item]],super1[Bairro],mercado17)+SUMIFS(supercb[Qtde],supercb[Item],tab_higiene[[#This Row],[Item]],supercb[Bairro],mercado17)</f>
        <v>0</v>
      </c>
      <c r="BB267" s="61">
        <f>SUMIFS(super1[Qtde],super1[Item],tab_higiene[[#This Row],[Item]],super1[Bairro],mercado18)+SUMIFS(supercb[Qtde],supercb[Item],tab_higiene[[#This Row],[Item]],supercb[Bairro],mercado18)</f>
        <v>0</v>
      </c>
      <c r="BC267" s="51">
        <f>SUMIFS(super1[Qtde],super1[Item],tab_higiene[[#This Row],[Item]],super1[Bairro],extras)+SUMIFS(supercb[Qtde],supercb[Item],tab_higiene[[#This Row],[Item]],supercb[Bairro],extras)</f>
        <v>0</v>
      </c>
      <c r="BD267" s="8">
        <f t="shared" si="85"/>
        <v>0</v>
      </c>
      <c r="BE267" s="8">
        <f t="shared" si="86"/>
        <v>0</v>
      </c>
      <c r="BF267" s="23">
        <f t="shared" si="87"/>
        <v>0</v>
      </c>
    </row>
    <row r="268" spans="9:58" ht="15.75" thickBot="1" x14ac:dyDescent="0.3">
      <c r="I268" s="65" t="e">
        <f>alimentos[[#This Row],[Item]]</f>
        <v>#VALUE!</v>
      </c>
      <c r="J268" s="61">
        <f>IFERROR(alimentos[[#This Row],[kg/embalagem]],0)</f>
        <v>0</v>
      </c>
      <c r="K268" s="64">
        <f>IFERROR(alimentos[[#This Row],[Preço]],0)</f>
        <v>0</v>
      </c>
      <c r="L268" s="64">
        <f>SUMIFS(super1[Qtde],super1[Item],tab_alimentos[[#This Row],[Item]],super1[Bairro],mercado1)+SUMIFS(supercb[Qtde],supercb[Item],tab_alimentos[[#This Row],[Item]],supercb[Bairro],mercado1)</f>
        <v>0</v>
      </c>
      <c r="M268" s="64">
        <f>SUMIFS(super1[Qtde],super1[Item],tab_alimentos[[#This Row],[Item]],super1[Bairro],mercado2)+SUMIFS(supercb[Qtde],supercb[Item],tab_alimentos[[#This Row],[Item]],supercb[Bairro],mercado2)</f>
        <v>0</v>
      </c>
      <c r="N268" s="61">
        <f>SUMIFS(super1[Qtde],super1[Item],tab_alimentos[[#This Row],[Item]],super1[Bairro],mercado3)+SUMIFS(supercb[Qtde],supercb[Item],tab_alimentos[[#This Row],[Item]],supercb[Bairro],mercado3)</f>
        <v>0</v>
      </c>
      <c r="O268" s="64">
        <f>SUMIFS(super1[Qtde],super1[Item],tab_alimentos[[#This Row],[Item]],super1[Bairro],mercado4)+SUMIFS(supercb[Qtde],supercb[Item],tab_alimentos[[#This Row],[Item]],supercb[Bairro],mercado4)</f>
        <v>0</v>
      </c>
      <c r="P268" s="64">
        <f>SUMIFS(super1[Qtde],super1[Item],tab_alimentos[[#This Row],[Item]],super1[Bairro],mercado5)+SUMIFS(supercb[Qtde],supercb[Item],tab_alimentos[[#This Row],[Item]],supercb[Bairro],mercado5)</f>
        <v>0</v>
      </c>
      <c r="Q268" s="64">
        <f>SUMIFS(super1[Qtde],super1[Item],tab_alimentos[[#This Row],[Item]],super1[Bairro],mercado6)+SUMIFS(supercb[Qtde],supercb[Item],tab_alimentos[[#This Row],[Item]],supercb[Bairro],mercado6)</f>
        <v>0</v>
      </c>
      <c r="R268" s="64">
        <f>SUMIFS(super1[Qtde],super1[Item],tab_alimentos[[#This Row],[Item]],super1[Bairro],mercado7)+SUMIFS(supercb[Qtde],supercb[Item],tab_alimentos[[#This Row],[Item]],supercb[Bairro],mercado7)</f>
        <v>0</v>
      </c>
      <c r="S268" s="64">
        <f>SUMIFS(super1[Qtde],super1[Item],tab_alimentos[[#This Row],[Item]],super1[Bairro],mercado8)+SUMIFS(supercb[Qtde],supercb[Item],tab_alimentos[[#This Row],[Item]],supercb[Bairro],mercado8)</f>
        <v>0</v>
      </c>
      <c r="T268" s="64">
        <f>SUMIFS(super1[Qtde],super1[Item],tab_alimentos[[#This Row],[Item]],super1[Bairro],mercado9)+SUMIFS(supercb[Qtde],supercb[Item],tab_alimentos[[#This Row],[Item]],supercb[Bairro],mercado9)</f>
        <v>0</v>
      </c>
      <c r="U268" s="64">
        <f>SUMIFS(super1[Qtde],super1[Item],tab_alimentos[[#This Row],[Item]],super1[Bairro],mercado10)+SUMIFS(supercb[Qtde],supercb[Item],tab_alimentos[[#This Row],[Item]],supercb[Bairro],mercado10)</f>
        <v>0</v>
      </c>
      <c r="V268" s="64">
        <f>SUMIFS(super1[Qtde],super1[Item],tab_alimentos[[#This Row],[Item]],super1[Bairro],mercado11)+SUMIFS(supercb[Qtde],supercb[Item],tab_alimentos[[#This Row],[Item]],supercb[Bairro],mercado11)</f>
        <v>0</v>
      </c>
      <c r="W268" s="64">
        <f>SUMIFS(super1[Qtde],super1[Item],tab_alimentos[[#This Row],[Item]],super1[Bairro],mercado12)+SUMIFS(supercb[Qtde],supercb[Item],tab_alimentos[[#This Row],[Item]],supercb[Bairro],mercado12)</f>
        <v>0</v>
      </c>
      <c r="X268" s="64">
        <f>SUMIFS(super1[Qtde],super1[Item],tab_alimentos[[#This Row],[Item]],super1[Bairro],mercado13)+SUMIFS(supercb[Qtde],supercb[Item],tab_alimentos[[#This Row],[Item]],supercb[Bairro],mercado13)</f>
        <v>0</v>
      </c>
      <c r="Y268" s="64">
        <f>SUMIFS(super1[Qtde],super1[Item],tab_alimentos[[#This Row],[Item]],super1[Bairro],mercado14)+SUMIFS(supercb[Qtde],supercb[Item],tab_alimentos[[#This Row],[Item]],supercb[Bairro],mercado14)</f>
        <v>0</v>
      </c>
      <c r="Z268" s="64">
        <f>SUMIFS(super1[Qtde],super1[Item],tab_alimentos[[#This Row],[Item]],super1[Bairro],mercado15)+SUMIFS(supercb[Qtde],supercb[Item],tab_alimentos[[#This Row],[Item]],supercb[Bairro],mercado15)</f>
        <v>0</v>
      </c>
      <c r="AA268" s="64">
        <f>SUMIFS(super1[Qtde],super1[Item],tab_alimentos[[#This Row],[Item]],super1[Bairro],mercado16)+SUMIFS(supercb[Qtde],supercb[Item],tab_alimentos[[#This Row],[Item]],supercb[Bairro],mercado16)</f>
        <v>0</v>
      </c>
      <c r="AB268" s="64">
        <f>SUMIFS(super1[Qtde],super1[Item],tab_alimentos[[#This Row],[Item]],super1[Bairro],mercado17)+SUMIFS(supercb[Qtde],supercb[Item],tab_alimentos[[#This Row],[Item]],supercb[Bairro],mercado17)</f>
        <v>0</v>
      </c>
      <c r="AC268" s="64">
        <f>SUMIFS(super1[Qtde],super1[Item],tab_alimentos[[#This Row],[Item]],super1[Bairro],mercado18)+SUMIFS(supercb[Qtde],supercb[Item],tab_alimentos[[#This Row],[Item]],supercb[Bairro],mercado18)</f>
        <v>0</v>
      </c>
      <c r="AD268" s="64">
        <f>SUMIFS(super1[Qtde],super1[Item],tab_alimentos[[#This Row],[Item]],super1[Bairro],extras)+SUMIFS(supercb[Qtde],supercb[Item],tab_alimentos[[#This Row],[Item]],supercb[Bairro],extras)</f>
        <v>0</v>
      </c>
      <c r="AE268" s="61">
        <f t="shared" si="82"/>
        <v>0</v>
      </c>
      <c r="AF268" s="61">
        <f t="shared" si="83"/>
        <v>0</v>
      </c>
      <c r="AG268" s="62">
        <f t="shared" si="84"/>
        <v>0</v>
      </c>
      <c r="AH268" s="15" t="e">
        <f>higiene[[#This Row],[Item]]</f>
        <v>#VALUE!</v>
      </c>
      <c r="AI268" s="8">
        <f>IFERROR(higiene[[#This Row],[Kg equivalente]],0)</f>
        <v>0</v>
      </c>
      <c r="AJ268" s="8">
        <f>IFERROR(higiene[[#This Row],[Preço por produto]],0)</f>
        <v>0</v>
      </c>
      <c r="AK268" s="61">
        <f>SUMIFS(super1[Qtde],super1[Item],tab_higiene[[#This Row],[Item]],super1[Bairro],mercado1)+SUMIFS(supercb[Qtde],supercb[Item],tab_higiene[[#This Row],[Item]],supercb[Bairro],mercado1)</f>
        <v>0</v>
      </c>
      <c r="AL268" s="61">
        <f>SUMIFS(super1[Qtde],super1[Item],tab_higiene[[#This Row],[Item]],super1[Bairro],mercado2)+SUMIFS(supercb[Qtde],supercb[Item],tab_higiene[[#This Row],[Item]],supercb[Bairro],mercado2)</f>
        <v>0</v>
      </c>
      <c r="AM268" s="61">
        <f>SUMIFS(super1[Qtde],super1[Item],tab_higiene[[#This Row],[Item]],super1[Bairro],mercado3)+SUMIFS(supercb[Qtde],supercb[Item],tab_higiene[[#This Row],[Item]],supercb[Bairro],mercado3)</f>
        <v>0</v>
      </c>
      <c r="AN268" s="61">
        <f>SUMIFS(super1[Qtde],super1[Item],tab_higiene[[#This Row],[Item]],super1[Bairro],mercado4)+SUMIFS(supercb[Qtde],supercb[Item],tab_higiene[[#This Row],[Item]],supercb[Bairro],mercado4)</f>
        <v>0</v>
      </c>
      <c r="AO268" s="61">
        <f>SUMIFS(super1[Qtde],super1[Item],tab_higiene[[#This Row],[Item]],super1[Bairro],mercado5)+SUMIFS(supercb[Qtde],supercb[Item],tab_higiene[[#This Row],[Item]],supercb[Bairro],mercado5)</f>
        <v>0</v>
      </c>
      <c r="AP268" s="61">
        <f>SUMIFS(super1[Qtde],super1[Item],tab_higiene[[#This Row],[Item]],super1[Bairro],mercado6)+SUMIFS(supercb[Qtde],supercb[Item],tab_higiene[[#This Row],[Item]],supercb[Bairro],mercado6)</f>
        <v>0</v>
      </c>
      <c r="AQ268" s="61">
        <f>SUMIFS(super1[Qtde],super1[Item],tab_higiene[[#This Row],[Item]],super1[Bairro],mercado7)+SUMIFS(supercb[Qtde],supercb[Item],tab_higiene[[#This Row],[Item]],supercb[Bairro],mercado7)</f>
        <v>0</v>
      </c>
      <c r="AR268" s="61">
        <f>SUMIFS(super1[Qtde],super1[Item],tab_higiene[[#This Row],[Item]],super1[Bairro],mercado8)+SUMIFS(supercb[Qtde],supercb[Item],tab_higiene[[#This Row],[Item]],supercb[Bairro],mercado8)</f>
        <v>0</v>
      </c>
      <c r="AS268" s="61">
        <f>SUMIFS(super1[Qtde],super1[Item],tab_higiene[[#This Row],[Item]],super1[Bairro],mercado9)+SUMIFS(supercb[Qtde],supercb[Item],tab_higiene[[#This Row],[Item]],supercb[Bairro],mercado9)</f>
        <v>0</v>
      </c>
      <c r="AT268" s="61">
        <f>SUMIFS(super1[Qtde],super1[Item],tab_higiene[[#This Row],[Item]],super1[Bairro],mercado10)+SUMIFS(supercb[Qtde],supercb[Item],tab_higiene[[#This Row],[Item]],supercb[Bairro],mercado10)</f>
        <v>0</v>
      </c>
      <c r="AU268" s="61">
        <f>SUMIFS(super1[Qtde],super1[Item],tab_higiene[[#This Row],[Item]],super1[Bairro],mercado11)+SUMIFS(supercb[Qtde],supercb[Item],tab_higiene[[#This Row],[Item]],supercb[Bairro],mercado11)</f>
        <v>0</v>
      </c>
      <c r="AV268" s="61">
        <f>SUMIFS(super1[Qtde],super1[Item],tab_higiene[[#This Row],[Item]],super1[Bairro],mercado12)+SUMIFS(supercb[Qtde],supercb[Item],tab_higiene[[#This Row],[Item]],supercb[Bairro],mercado12)</f>
        <v>0</v>
      </c>
      <c r="AW268" s="61">
        <f>SUMIFS(super1[Qtde],super1[Item],tab_higiene[[#This Row],[Item]],super1[Bairro],mercado13)+SUMIFS(supercb[Qtde],supercb[Item],tab_higiene[[#This Row],[Item]],supercb[Bairro],mercado13)</f>
        <v>0</v>
      </c>
      <c r="AX268" s="61">
        <f>SUMIFS(super1[Qtde],super1[Item],tab_higiene[[#This Row],[Item]],super1[Bairro],mercado14)+SUMIFS(supercb[Qtde],supercb[Item],tab_higiene[[#This Row],[Item]],supercb[Bairro],mercado14)</f>
        <v>0</v>
      </c>
      <c r="AY268" s="61">
        <f>SUMIFS(super1[Qtde],super1[Item],tab_higiene[[#This Row],[Item]],super1[Bairro],mercado15)+SUMIFS(supercb[Qtde],supercb[Item],tab_higiene[[#This Row],[Item]],supercb[Bairro],mercado15)</f>
        <v>0</v>
      </c>
      <c r="AZ268" s="61">
        <f>SUMIFS(super1[Qtde],super1[Item],tab_higiene[[#This Row],[Item]],super1[Bairro],mercado16)+SUMIFS(supercb[Qtde],supercb[Item],tab_higiene[[#This Row],[Item]],supercb[Bairro],mercado16)</f>
        <v>0</v>
      </c>
      <c r="BA268" s="61">
        <f>SUMIFS(super1[Qtde],super1[Item],tab_higiene[[#This Row],[Item]],super1[Bairro],mercado17)+SUMIFS(supercb[Qtde],supercb[Item],tab_higiene[[#This Row],[Item]],supercb[Bairro],mercado17)</f>
        <v>0</v>
      </c>
      <c r="BB268" s="61">
        <f>SUMIFS(super1[Qtde],super1[Item],tab_higiene[[#This Row],[Item]],super1[Bairro],mercado18)+SUMIFS(supercb[Qtde],supercb[Item],tab_higiene[[#This Row],[Item]],supercb[Bairro],mercado18)</f>
        <v>0</v>
      </c>
      <c r="BC268" s="51">
        <f>SUMIFS(super1[Qtde],super1[Item],tab_higiene[[#This Row],[Item]],super1[Bairro],extras)+SUMIFS(supercb[Qtde],supercb[Item],tab_higiene[[#This Row],[Item]],supercb[Bairro],extras)</f>
        <v>0</v>
      </c>
      <c r="BD268" s="8">
        <f t="shared" si="85"/>
        <v>0</v>
      </c>
      <c r="BE268" s="8">
        <f t="shared" si="86"/>
        <v>0</v>
      </c>
      <c r="BF268" s="23">
        <f t="shared" si="87"/>
        <v>0</v>
      </c>
    </row>
    <row r="269" spans="9:58" ht="15.75" thickBot="1" x14ac:dyDescent="0.3">
      <c r="I269" s="65" t="e">
        <f>alimentos[[#This Row],[Item]]</f>
        <v>#VALUE!</v>
      </c>
      <c r="J269" s="61">
        <f>IFERROR(alimentos[[#This Row],[kg/embalagem]],0)</f>
        <v>0</v>
      </c>
      <c r="K269" s="64">
        <f>IFERROR(alimentos[[#This Row],[Preço]],0)</f>
        <v>0</v>
      </c>
      <c r="L269" s="64">
        <f>SUMIFS(super1[Qtde],super1[Item],tab_alimentos[[#This Row],[Item]],super1[Bairro],mercado1)+SUMIFS(supercb[Qtde],supercb[Item],tab_alimentos[[#This Row],[Item]],supercb[Bairro],mercado1)</f>
        <v>0</v>
      </c>
      <c r="M269" s="64">
        <f>SUMIFS(super1[Qtde],super1[Item],tab_alimentos[[#This Row],[Item]],super1[Bairro],mercado2)+SUMIFS(supercb[Qtde],supercb[Item],tab_alimentos[[#This Row],[Item]],supercb[Bairro],mercado2)</f>
        <v>0</v>
      </c>
      <c r="N269" s="61">
        <f>SUMIFS(super1[Qtde],super1[Item],tab_alimentos[[#This Row],[Item]],super1[Bairro],mercado3)+SUMIFS(supercb[Qtde],supercb[Item],tab_alimentos[[#This Row],[Item]],supercb[Bairro],mercado3)</f>
        <v>0</v>
      </c>
      <c r="O269" s="64">
        <f>SUMIFS(super1[Qtde],super1[Item],tab_alimentos[[#This Row],[Item]],super1[Bairro],mercado4)+SUMIFS(supercb[Qtde],supercb[Item],tab_alimentos[[#This Row],[Item]],supercb[Bairro],mercado4)</f>
        <v>0</v>
      </c>
      <c r="P269" s="64">
        <f>SUMIFS(super1[Qtde],super1[Item],tab_alimentos[[#This Row],[Item]],super1[Bairro],mercado5)+SUMIFS(supercb[Qtde],supercb[Item],tab_alimentos[[#This Row],[Item]],supercb[Bairro],mercado5)</f>
        <v>0</v>
      </c>
      <c r="Q269" s="64">
        <f>SUMIFS(super1[Qtde],super1[Item],tab_alimentos[[#This Row],[Item]],super1[Bairro],mercado6)+SUMIFS(supercb[Qtde],supercb[Item],tab_alimentos[[#This Row],[Item]],supercb[Bairro],mercado6)</f>
        <v>0</v>
      </c>
      <c r="R269" s="64">
        <f>SUMIFS(super1[Qtde],super1[Item],tab_alimentos[[#This Row],[Item]],super1[Bairro],mercado7)+SUMIFS(supercb[Qtde],supercb[Item],tab_alimentos[[#This Row],[Item]],supercb[Bairro],mercado7)</f>
        <v>0</v>
      </c>
      <c r="S269" s="64">
        <f>SUMIFS(super1[Qtde],super1[Item],tab_alimentos[[#This Row],[Item]],super1[Bairro],mercado8)+SUMIFS(supercb[Qtde],supercb[Item],tab_alimentos[[#This Row],[Item]],supercb[Bairro],mercado8)</f>
        <v>0</v>
      </c>
      <c r="T269" s="64">
        <f>SUMIFS(super1[Qtde],super1[Item],tab_alimentos[[#This Row],[Item]],super1[Bairro],mercado9)+SUMIFS(supercb[Qtde],supercb[Item],tab_alimentos[[#This Row],[Item]],supercb[Bairro],mercado9)</f>
        <v>0</v>
      </c>
      <c r="U269" s="64">
        <f>SUMIFS(super1[Qtde],super1[Item],tab_alimentos[[#This Row],[Item]],super1[Bairro],mercado10)+SUMIFS(supercb[Qtde],supercb[Item],tab_alimentos[[#This Row],[Item]],supercb[Bairro],mercado10)</f>
        <v>0</v>
      </c>
      <c r="V269" s="64">
        <f>SUMIFS(super1[Qtde],super1[Item],tab_alimentos[[#This Row],[Item]],super1[Bairro],mercado11)+SUMIFS(supercb[Qtde],supercb[Item],tab_alimentos[[#This Row],[Item]],supercb[Bairro],mercado11)</f>
        <v>0</v>
      </c>
      <c r="W269" s="64">
        <f>SUMIFS(super1[Qtde],super1[Item],tab_alimentos[[#This Row],[Item]],super1[Bairro],mercado12)+SUMIFS(supercb[Qtde],supercb[Item],tab_alimentos[[#This Row],[Item]],supercb[Bairro],mercado12)</f>
        <v>0</v>
      </c>
      <c r="X269" s="64">
        <f>SUMIFS(super1[Qtde],super1[Item],tab_alimentos[[#This Row],[Item]],super1[Bairro],mercado13)+SUMIFS(supercb[Qtde],supercb[Item],tab_alimentos[[#This Row],[Item]],supercb[Bairro],mercado13)</f>
        <v>0</v>
      </c>
      <c r="Y269" s="64">
        <f>SUMIFS(super1[Qtde],super1[Item],tab_alimentos[[#This Row],[Item]],super1[Bairro],mercado14)+SUMIFS(supercb[Qtde],supercb[Item],tab_alimentos[[#This Row],[Item]],supercb[Bairro],mercado14)</f>
        <v>0</v>
      </c>
      <c r="Z269" s="64">
        <f>SUMIFS(super1[Qtde],super1[Item],tab_alimentos[[#This Row],[Item]],super1[Bairro],mercado15)+SUMIFS(supercb[Qtde],supercb[Item],tab_alimentos[[#This Row],[Item]],supercb[Bairro],mercado15)</f>
        <v>0</v>
      </c>
      <c r="AA269" s="64">
        <f>SUMIFS(super1[Qtde],super1[Item],tab_alimentos[[#This Row],[Item]],super1[Bairro],mercado16)+SUMIFS(supercb[Qtde],supercb[Item],tab_alimentos[[#This Row],[Item]],supercb[Bairro],mercado16)</f>
        <v>0</v>
      </c>
      <c r="AB269" s="64">
        <f>SUMIFS(super1[Qtde],super1[Item],tab_alimentos[[#This Row],[Item]],super1[Bairro],mercado17)+SUMIFS(supercb[Qtde],supercb[Item],tab_alimentos[[#This Row],[Item]],supercb[Bairro],mercado17)</f>
        <v>0</v>
      </c>
      <c r="AC269" s="64">
        <f>SUMIFS(super1[Qtde],super1[Item],tab_alimentos[[#This Row],[Item]],super1[Bairro],mercado18)+SUMIFS(supercb[Qtde],supercb[Item],tab_alimentos[[#This Row],[Item]],supercb[Bairro],mercado18)</f>
        <v>0</v>
      </c>
      <c r="AD269" s="64">
        <f>SUMIFS(super1[Qtde],super1[Item],tab_alimentos[[#This Row],[Item]],super1[Bairro],extras)+SUMIFS(supercb[Qtde],supercb[Item],tab_alimentos[[#This Row],[Item]],supercb[Bairro],extras)</f>
        <v>0</v>
      </c>
      <c r="AE269" s="61">
        <f t="shared" si="82"/>
        <v>0</v>
      </c>
      <c r="AF269" s="61">
        <f t="shared" si="83"/>
        <v>0</v>
      </c>
      <c r="AG269" s="62">
        <f t="shared" si="84"/>
        <v>0</v>
      </c>
      <c r="AH269" s="15" t="e">
        <f>higiene[[#This Row],[Item]]</f>
        <v>#VALUE!</v>
      </c>
      <c r="AI269" s="8">
        <f>IFERROR(higiene[[#This Row],[Kg equivalente]],0)</f>
        <v>0</v>
      </c>
      <c r="AJ269" s="8">
        <f>IFERROR(higiene[[#This Row],[Preço por produto]],0)</f>
        <v>0</v>
      </c>
      <c r="AK269" s="61">
        <f>SUMIFS(super1[Qtde],super1[Item],tab_higiene[[#This Row],[Item]],super1[Bairro],mercado1)+SUMIFS(supercb[Qtde],supercb[Item],tab_higiene[[#This Row],[Item]],supercb[Bairro],mercado1)</f>
        <v>0</v>
      </c>
      <c r="AL269" s="61">
        <f>SUMIFS(super1[Qtde],super1[Item],tab_higiene[[#This Row],[Item]],super1[Bairro],mercado2)+SUMIFS(supercb[Qtde],supercb[Item],tab_higiene[[#This Row],[Item]],supercb[Bairro],mercado2)</f>
        <v>0</v>
      </c>
      <c r="AM269" s="61">
        <f>SUMIFS(super1[Qtde],super1[Item],tab_higiene[[#This Row],[Item]],super1[Bairro],mercado3)+SUMIFS(supercb[Qtde],supercb[Item],tab_higiene[[#This Row],[Item]],supercb[Bairro],mercado3)</f>
        <v>0</v>
      </c>
      <c r="AN269" s="61">
        <f>SUMIFS(super1[Qtde],super1[Item],tab_higiene[[#This Row],[Item]],super1[Bairro],mercado4)+SUMIFS(supercb[Qtde],supercb[Item],tab_higiene[[#This Row],[Item]],supercb[Bairro],mercado4)</f>
        <v>0</v>
      </c>
      <c r="AO269" s="61">
        <f>SUMIFS(super1[Qtde],super1[Item],tab_higiene[[#This Row],[Item]],super1[Bairro],mercado5)+SUMIFS(supercb[Qtde],supercb[Item],tab_higiene[[#This Row],[Item]],supercb[Bairro],mercado5)</f>
        <v>0</v>
      </c>
      <c r="AP269" s="61">
        <f>SUMIFS(super1[Qtde],super1[Item],tab_higiene[[#This Row],[Item]],super1[Bairro],mercado6)+SUMIFS(supercb[Qtde],supercb[Item],tab_higiene[[#This Row],[Item]],supercb[Bairro],mercado6)</f>
        <v>0</v>
      </c>
      <c r="AQ269" s="61">
        <f>SUMIFS(super1[Qtde],super1[Item],tab_higiene[[#This Row],[Item]],super1[Bairro],mercado7)+SUMIFS(supercb[Qtde],supercb[Item],tab_higiene[[#This Row],[Item]],supercb[Bairro],mercado7)</f>
        <v>0</v>
      </c>
      <c r="AR269" s="61">
        <f>SUMIFS(super1[Qtde],super1[Item],tab_higiene[[#This Row],[Item]],super1[Bairro],mercado8)+SUMIFS(supercb[Qtde],supercb[Item],tab_higiene[[#This Row],[Item]],supercb[Bairro],mercado8)</f>
        <v>0</v>
      </c>
      <c r="AS269" s="61">
        <f>SUMIFS(super1[Qtde],super1[Item],tab_higiene[[#This Row],[Item]],super1[Bairro],mercado9)+SUMIFS(supercb[Qtde],supercb[Item],tab_higiene[[#This Row],[Item]],supercb[Bairro],mercado9)</f>
        <v>0</v>
      </c>
      <c r="AT269" s="61">
        <f>SUMIFS(super1[Qtde],super1[Item],tab_higiene[[#This Row],[Item]],super1[Bairro],mercado10)+SUMIFS(supercb[Qtde],supercb[Item],tab_higiene[[#This Row],[Item]],supercb[Bairro],mercado10)</f>
        <v>0</v>
      </c>
      <c r="AU269" s="61">
        <f>SUMIFS(super1[Qtde],super1[Item],tab_higiene[[#This Row],[Item]],super1[Bairro],mercado11)+SUMIFS(supercb[Qtde],supercb[Item],tab_higiene[[#This Row],[Item]],supercb[Bairro],mercado11)</f>
        <v>0</v>
      </c>
      <c r="AV269" s="61">
        <f>SUMIFS(super1[Qtde],super1[Item],tab_higiene[[#This Row],[Item]],super1[Bairro],mercado12)+SUMIFS(supercb[Qtde],supercb[Item],tab_higiene[[#This Row],[Item]],supercb[Bairro],mercado12)</f>
        <v>0</v>
      </c>
      <c r="AW269" s="61">
        <f>SUMIFS(super1[Qtde],super1[Item],tab_higiene[[#This Row],[Item]],super1[Bairro],mercado13)+SUMIFS(supercb[Qtde],supercb[Item],tab_higiene[[#This Row],[Item]],supercb[Bairro],mercado13)</f>
        <v>0</v>
      </c>
      <c r="AX269" s="61">
        <f>SUMIFS(super1[Qtde],super1[Item],tab_higiene[[#This Row],[Item]],super1[Bairro],mercado14)+SUMIFS(supercb[Qtde],supercb[Item],tab_higiene[[#This Row],[Item]],supercb[Bairro],mercado14)</f>
        <v>0</v>
      </c>
      <c r="AY269" s="61">
        <f>SUMIFS(super1[Qtde],super1[Item],tab_higiene[[#This Row],[Item]],super1[Bairro],mercado15)+SUMIFS(supercb[Qtde],supercb[Item],tab_higiene[[#This Row],[Item]],supercb[Bairro],mercado15)</f>
        <v>0</v>
      </c>
      <c r="AZ269" s="61">
        <f>SUMIFS(super1[Qtde],super1[Item],tab_higiene[[#This Row],[Item]],super1[Bairro],mercado16)+SUMIFS(supercb[Qtde],supercb[Item],tab_higiene[[#This Row],[Item]],supercb[Bairro],mercado16)</f>
        <v>0</v>
      </c>
      <c r="BA269" s="61">
        <f>SUMIFS(super1[Qtde],super1[Item],tab_higiene[[#This Row],[Item]],super1[Bairro],mercado17)+SUMIFS(supercb[Qtde],supercb[Item],tab_higiene[[#This Row],[Item]],supercb[Bairro],mercado17)</f>
        <v>0</v>
      </c>
      <c r="BB269" s="61">
        <f>SUMIFS(super1[Qtde],super1[Item],tab_higiene[[#This Row],[Item]],super1[Bairro],mercado18)+SUMIFS(supercb[Qtde],supercb[Item],tab_higiene[[#This Row],[Item]],supercb[Bairro],mercado18)</f>
        <v>0</v>
      </c>
      <c r="BC269" s="51">
        <f>SUMIFS(super1[Qtde],super1[Item],tab_higiene[[#This Row],[Item]],super1[Bairro],extras)+SUMIFS(supercb[Qtde],supercb[Item],tab_higiene[[#This Row],[Item]],supercb[Bairro],extras)</f>
        <v>0</v>
      </c>
      <c r="BD269" s="8">
        <f t="shared" si="85"/>
        <v>0</v>
      </c>
      <c r="BE269" s="8">
        <f t="shared" si="86"/>
        <v>0</v>
      </c>
      <c r="BF269" s="23">
        <f t="shared" si="87"/>
        <v>0</v>
      </c>
    </row>
    <row r="270" spans="9:58" ht="15.75" thickBot="1" x14ac:dyDescent="0.3">
      <c r="I270" s="65" t="e">
        <f>alimentos[[#This Row],[Item]]</f>
        <v>#VALUE!</v>
      </c>
      <c r="J270" s="61">
        <f>IFERROR(alimentos[[#This Row],[kg/embalagem]],0)</f>
        <v>0</v>
      </c>
      <c r="K270" s="64">
        <f>IFERROR(alimentos[[#This Row],[Preço]],0)</f>
        <v>0</v>
      </c>
      <c r="L270" s="64">
        <f>SUMIFS(super1[Qtde],super1[Item],tab_alimentos[[#This Row],[Item]],super1[Bairro],mercado1)+SUMIFS(supercb[Qtde],supercb[Item],tab_alimentos[[#This Row],[Item]],supercb[Bairro],mercado1)</f>
        <v>0</v>
      </c>
      <c r="M270" s="64">
        <f>SUMIFS(super1[Qtde],super1[Item],tab_alimentos[[#This Row],[Item]],super1[Bairro],mercado2)+SUMIFS(supercb[Qtde],supercb[Item],tab_alimentos[[#This Row],[Item]],supercb[Bairro],mercado2)</f>
        <v>0</v>
      </c>
      <c r="N270" s="61">
        <f>SUMIFS(super1[Qtde],super1[Item],tab_alimentos[[#This Row],[Item]],super1[Bairro],mercado3)+SUMIFS(supercb[Qtde],supercb[Item],tab_alimentos[[#This Row],[Item]],supercb[Bairro],mercado3)</f>
        <v>0</v>
      </c>
      <c r="O270" s="64">
        <f>SUMIFS(super1[Qtde],super1[Item],tab_alimentos[[#This Row],[Item]],super1[Bairro],mercado4)+SUMIFS(supercb[Qtde],supercb[Item],tab_alimentos[[#This Row],[Item]],supercb[Bairro],mercado4)</f>
        <v>0</v>
      </c>
      <c r="P270" s="64">
        <f>SUMIFS(super1[Qtde],super1[Item],tab_alimentos[[#This Row],[Item]],super1[Bairro],mercado5)+SUMIFS(supercb[Qtde],supercb[Item],tab_alimentos[[#This Row],[Item]],supercb[Bairro],mercado5)</f>
        <v>0</v>
      </c>
      <c r="Q270" s="64">
        <f>SUMIFS(super1[Qtde],super1[Item],tab_alimentos[[#This Row],[Item]],super1[Bairro],mercado6)+SUMIFS(supercb[Qtde],supercb[Item],tab_alimentos[[#This Row],[Item]],supercb[Bairro],mercado6)</f>
        <v>0</v>
      </c>
      <c r="R270" s="64">
        <f>SUMIFS(super1[Qtde],super1[Item],tab_alimentos[[#This Row],[Item]],super1[Bairro],mercado7)+SUMIFS(supercb[Qtde],supercb[Item],tab_alimentos[[#This Row],[Item]],supercb[Bairro],mercado7)</f>
        <v>0</v>
      </c>
      <c r="S270" s="64">
        <f>SUMIFS(super1[Qtde],super1[Item],tab_alimentos[[#This Row],[Item]],super1[Bairro],mercado8)+SUMIFS(supercb[Qtde],supercb[Item],tab_alimentos[[#This Row],[Item]],supercb[Bairro],mercado8)</f>
        <v>0</v>
      </c>
      <c r="T270" s="64">
        <f>SUMIFS(super1[Qtde],super1[Item],tab_alimentos[[#This Row],[Item]],super1[Bairro],mercado9)+SUMIFS(supercb[Qtde],supercb[Item],tab_alimentos[[#This Row],[Item]],supercb[Bairro],mercado9)</f>
        <v>0</v>
      </c>
      <c r="U270" s="64">
        <f>SUMIFS(super1[Qtde],super1[Item],tab_alimentos[[#This Row],[Item]],super1[Bairro],mercado10)+SUMIFS(supercb[Qtde],supercb[Item],tab_alimentos[[#This Row],[Item]],supercb[Bairro],mercado10)</f>
        <v>0</v>
      </c>
      <c r="V270" s="64">
        <f>SUMIFS(super1[Qtde],super1[Item],tab_alimentos[[#This Row],[Item]],super1[Bairro],mercado11)+SUMIFS(supercb[Qtde],supercb[Item],tab_alimentos[[#This Row],[Item]],supercb[Bairro],mercado11)</f>
        <v>0</v>
      </c>
      <c r="W270" s="64">
        <f>SUMIFS(super1[Qtde],super1[Item],tab_alimentos[[#This Row],[Item]],super1[Bairro],mercado12)+SUMIFS(supercb[Qtde],supercb[Item],tab_alimentos[[#This Row],[Item]],supercb[Bairro],mercado12)</f>
        <v>0</v>
      </c>
      <c r="X270" s="64">
        <f>SUMIFS(super1[Qtde],super1[Item],tab_alimentos[[#This Row],[Item]],super1[Bairro],mercado13)+SUMIFS(supercb[Qtde],supercb[Item],tab_alimentos[[#This Row],[Item]],supercb[Bairro],mercado13)</f>
        <v>0</v>
      </c>
      <c r="Y270" s="64">
        <f>SUMIFS(super1[Qtde],super1[Item],tab_alimentos[[#This Row],[Item]],super1[Bairro],mercado14)+SUMIFS(supercb[Qtde],supercb[Item],tab_alimentos[[#This Row],[Item]],supercb[Bairro],mercado14)</f>
        <v>0</v>
      </c>
      <c r="Z270" s="64">
        <f>SUMIFS(super1[Qtde],super1[Item],tab_alimentos[[#This Row],[Item]],super1[Bairro],mercado15)+SUMIFS(supercb[Qtde],supercb[Item],tab_alimentos[[#This Row],[Item]],supercb[Bairro],mercado15)</f>
        <v>0</v>
      </c>
      <c r="AA270" s="64">
        <f>SUMIFS(super1[Qtde],super1[Item],tab_alimentos[[#This Row],[Item]],super1[Bairro],mercado16)+SUMIFS(supercb[Qtde],supercb[Item],tab_alimentos[[#This Row],[Item]],supercb[Bairro],mercado16)</f>
        <v>0</v>
      </c>
      <c r="AB270" s="64">
        <f>SUMIFS(super1[Qtde],super1[Item],tab_alimentos[[#This Row],[Item]],super1[Bairro],mercado17)+SUMIFS(supercb[Qtde],supercb[Item],tab_alimentos[[#This Row],[Item]],supercb[Bairro],mercado17)</f>
        <v>0</v>
      </c>
      <c r="AC270" s="64">
        <f>SUMIFS(super1[Qtde],super1[Item],tab_alimentos[[#This Row],[Item]],super1[Bairro],mercado18)+SUMIFS(supercb[Qtde],supercb[Item],tab_alimentos[[#This Row],[Item]],supercb[Bairro],mercado18)</f>
        <v>0</v>
      </c>
      <c r="AD270" s="64">
        <f>SUMIFS(super1[Qtde],super1[Item],tab_alimentos[[#This Row],[Item]],super1[Bairro],extras)+SUMIFS(supercb[Qtde],supercb[Item],tab_alimentos[[#This Row],[Item]],supercb[Bairro],extras)</f>
        <v>0</v>
      </c>
      <c r="AE270" s="61">
        <f t="shared" si="82"/>
        <v>0</v>
      </c>
      <c r="AF270" s="61">
        <f t="shared" si="83"/>
        <v>0</v>
      </c>
      <c r="AG270" s="62">
        <f t="shared" si="84"/>
        <v>0</v>
      </c>
      <c r="AH270" s="15" t="e">
        <f>higiene[[#This Row],[Item]]</f>
        <v>#VALUE!</v>
      </c>
      <c r="AI270" s="8">
        <f>IFERROR(higiene[[#This Row],[Kg equivalente]],0)</f>
        <v>0</v>
      </c>
      <c r="AJ270" s="8">
        <f>IFERROR(higiene[[#This Row],[Preço por produto]],0)</f>
        <v>0</v>
      </c>
      <c r="AK270" s="61">
        <f>SUMIFS(super1[Qtde],super1[Item],tab_higiene[[#This Row],[Item]],super1[Bairro],mercado1)+SUMIFS(supercb[Qtde],supercb[Item],tab_higiene[[#This Row],[Item]],supercb[Bairro],mercado1)</f>
        <v>0</v>
      </c>
      <c r="AL270" s="61">
        <f>SUMIFS(super1[Qtde],super1[Item],tab_higiene[[#This Row],[Item]],super1[Bairro],mercado2)+SUMIFS(supercb[Qtde],supercb[Item],tab_higiene[[#This Row],[Item]],supercb[Bairro],mercado2)</f>
        <v>0</v>
      </c>
      <c r="AM270" s="61">
        <f>SUMIFS(super1[Qtde],super1[Item],tab_higiene[[#This Row],[Item]],super1[Bairro],mercado3)+SUMIFS(supercb[Qtde],supercb[Item],tab_higiene[[#This Row],[Item]],supercb[Bairro],mercado3)</f>
        <v>0</v>
      </c>
      <c r="AN270" s="61">
        <f>SUMIFS(super1[Qtde],super1[Item],tab_higiene[[#This Row],[Item]],super1[Bairro],mercado4)+SUMIFS(supercb[Qtde],supercb[Item],tab_higiene[[#This Row],[Item]],supercb[Bairro],mercado4)</f>
        <v>0</v>
      </c>
      <c r="AO270" s="61">
        <f>SUMIFS(super1[Qtde],super1[Item],tab_higiene[[#This Row],[Item]],super1[Bairro],mercado5)+SUMIFS(supercb[Qtde],supercb[Item],tab_higiene[[#This Row],[Item]],supercb[Bairro],mercado5)</f>
        <v>0</v>
      </c>
      <c r="AP270" s="61">
        <f>SUMIFS(super1[Qtde],super1[Item],tab_higiene[[#This Row],[Item]],super1[Bairro],mercado6)+SUMIFS(supercb[Qtde],supercb[Item],tab_higiene[[#This Row],[Item]],supercb[Bairro],mercado6)</f>
        <v>0</v>
      </c>
      <c r="AQ270" s="61">
        <f>SUMIFS(super1[Qtde],super1[Item],tab_higiene[[#This Row],[Item]],super1[Bairro],mercado7)+SUMIFS(supercb[Qtde],supercb[Item],tab_higiene[[#This Row],[Item]],supercb[Bairro],mercado7)</f>
        <v>0</v>
      </c>
      <c r="AR270" s="61">
        <f>SUMIFS(super1[Qtde],super1[Item],tab_higiene[[#This Row],[Item]],super1[Bairro],mercado8)+SUMIFS(supercb[Qtde],supercb[Item],tab_higiene[[#This Row],[Item]],supercb[Bairro],mercado8)</f>
        <v>0</v>
      </c>
      <c r="AS270" s="61">
        <f>SUMIFS(super1[Qtde],super1[Item],tab_higiene[[#This Row],[Item]],super1[Bairro],mercado9)+SUMIFS(supercb[Qtde],supercb[Item],tab_higiene[[#This Row],[Item]],supercb[Bairro],mercado9)</f>
        <v>0</v>
      </c>
      <c r="AT270" s="61">
        <f>SUMIFS(super1[Qtde],super1[Item],tab_higiene[[#This Row],[Item]],super1[Bairro],mercado10)+SUMIFS(supercb[Qtde],supercb[Item],tab_higiene[[#This Row],[Item]],supercb[Bairro],mercado10)</f>
        <v>0</v>
      </c>
      <c r="AU270" s="61">
        <f>SUMIFS(super1[Qtde],super1[Item],tab_higiene[[#This Row],[Item]],super1[Bairro],mercado11)+SUMIFS(supercb[Qtde],supercb[Item],tab_higiene[[#This Row],[Item]],supercb[Bairro],mercado11)</f>
        <v>0</v>
      </c>
      <c r="AV270" s="61">
        <f>SUMIFS(super1[Qtde],super1[Item],tab_higiene[[#This Row],[Item]],super1[Bairro],mercado12)+SUMIFS(supercb[Qtde],supercb[Item],tab_higiene[[#This Row],[Item]],supercb[Bairro],mercado12)</f>
        <v>0</v>
      </c>
      <c r="AW270" s="61">
        <f>SUMIFS(super1[Qtde],super1[Item],tab_higiene[[#This Row],[Item]],super1[Bairro],mercado13)+SUMIFS(supercb[Qtde],supercb[Item],tab_higiene[[#This Row],[Item]],supercb[Bairro],mercado13)</f>
        <v>0</v>
      </c>
      <c r="AX270" s="61">
        <f>SUMIFS(super1[Qtde],super1[Item],tab_higiene[[#This Row],[Item]],super1[Bairro],mercado14)+SUMIFS(supercb[Qtde],supercb[Item],tab_higiene[[#This Row],[Item]],supercb[Bairro],mercado14)</f>
        <v>0</v>
      </c>
      <c r="AY270" s="61">
        <f>SUMIFS(super1[Qtde],super1[Item],tab_higiene[[#This Row],[Item]],super1[Bairro],mercado15)+SUMIFS(supercb[Qtde],supercb[Item],tab_higiene[[#This Row],[Item]],supercb[Bairro],mercado15)</f>
        <v>0</v>
      </c>
      <c r="AZ270" s="61">
        <f>SUMIFS(super1[Qtde],super1[Item],tab_higiene[[#This Row],[Item]],super1[Bairro],mercado16)+SUMIFS(supercb[Qtde],supercb[Item],tab_higiene[[#This Row],[Item]],supercb[Bairro],mercado16)</f>
        <v>0</v>
      </c>
      <c r="BA270" s="61">
        <f>SUMIFS(super1[Qtde],super1[Item],tab_higiene[[#This Row],[Item]],super1[Bairro],mercado17)+SUMIFS(supercb[Qtde],supercb[Item],tab_higiene[[#This Row],[Item]],supercb[Bairro],mercado17)</f>
        <v>0</v>
      </c>
      <c r="BB270" s="61">
        <f>SUMIFS(super1[Qtde],super1[Item],tab_higiene[[#This Row],[Item]],super1[Bairro],mercado18)+SUMIFS(supercb[Qtde],supercb[Item],tab_higiene[[#This Row],[Item]],supercb[Bairro],mercado18)</f>
        <v>0</v>
      </c>
      <c r="BC270" s="51">
        <f>SUMIFS(super1[Qtde],super1[Item],tab_higiene[[#This Row],[Item]],super1[Bairro],extras)+SUMIFS(supercb[Qtde],supercb[Item],tab_higiene[[#This Row],[Item]],supercb[Bairro],extras)</f>
        <v>0</v>
      </c>
      <c r="BD270" s="8">
        <f t="shared" si="85"/>
        <v>0</v>
      </c>
      <c r="BE270" s="8">
        <f t="shared" si="86"/>
        <v>0</v>
      </c>
      <c r="BF270" s="23">
        <f t="shared" si="87"/>
        <v>0</v>
      </c>
    </row>
    <row r="271" spans="9:58" ht="15.75" thickBot="1" x14ac:dyDescent="0.3">
      <c r="I271" s="65" t="e">
        <f>alimentos[[#This Row],[Item]]</f>
        <v>#VALUE!</v>
      </c>
      <c r="J271" s="61">
        <f>IFERROR(alimentos[[#This Row],[kg/embalagem]],0)</f>
        <v>0</v>
      </c>
      <c r="K271" s="64">
        <f>IFERROR(alimentos[[#This Row],[Preço]],0)</f>
        <v>0</v>
      </c>
      <c r="L271" s="64">
        <f>SUMIFS(super1[Qtde],super1[Item],tab_alimentos[[#This Row],[Item]],super1[Bairro],mercado1)+SUMIFS(supercb[Qtde],supercb[Item],tab_alimentos[[#This Row],[Item]],supercb[Bairro],mercado1)</f>
        <v>0</v>
      </c>
      <c r="M271" s="64">
        <f>SUMIFS(super1[Qtde],super1[Item],tab_alimentos[[#This Row],[Item]],super1[Bairro],mercado2)+SUMIFS(supercb[Qtde],supercb[Item],tab_alimentos[[#This Row],[Item]],supercb[Bairro],mercado2)</f>
        <v>0</v>
      </c>
      <c r="N271" s="61">
        <f>SUMIFS(super1[Qtde],super1[Item],tab_alimentos[[#This Row],[Item]],super1[Bairro],mercado3)+SUMIFS(supercb[Qtde],supercb[Item],tab_alimentos[[#This Row],[Item]],supercb[Bairro],mercado3)</f>
        <v>0</v>
      </c>
      <c r="O271" s="64">
        <f>SUMIFS(super1[Qtde],super1[Item],tab_alimentos[[#This Row],[Item]],super1[Bairro],mercado4)+SUMIFS(supercb[Qtde],supercb[Item],tab_alimentos[[#This Row],[Item]],supercb[Bairro],mercado4)</f>
        <v>0</v>
      </c>
      <c r="P271" s="64">
        <f>SUMIFS(super1[Qtde],super1[Item],tab_alimentos[[#This Row],[Item]],super1[Bairro],mercado5)+SUMIFS(supercb[Qtde],supercb[Item],tab_alimentos[[#This Row],[Item]],supercb[Bairro],mercado5)</f>
        <v>0</v>
      </c>
      <c r="Q271" s="64">
        <f>SUMIFS(super1[Qtde],super1[Item],tab_alimentos[[#This Row],[Item]],super1[Bairro],mercado6)+SUMIFS(supercb[Qtde],supercb[Item],tab_alimentos[[#This Row],[Item]],supercb[Bairro],mercado6)</f>
        <v>0</v>
      </c>
      <c r="R271" s="64">
        <f>SUMIFS(super1[Qtde],super1[Item],tab_alimentos[[#This Row],[Item]],super1[Bairro],mercado7)+SUMIFS(supercb[Qtde],supercb[Item],tab_alimentos[[#This Row],[Item]],supercb[Bairro],mercado7)</f>
        <v>0</v>
      </c>
      <c r="S271" s="64">
        <f>SUMIFS(super1[Qtde],super1[Item],tab_alimentos[[#This Row],[Item]],super1[Bairro],mercado8)+SUMIFS(supercb[Qtde],supercb[Item],tab_alimentos[[#This Row],[Item]],supercb[Bairro],mercado8)</f>
        <v>0</v>
      </c>
      <c r="T271" s="64">
        <f>SUMIFS(super1[Qtde],super1[Item],tab_alimentos[[#This Row],[Item]],super1[Bairro],mercado9)+SUMIFS(supercb[Qtde],supercb[Item],tab_alimentos[[#This Row],[Item]],supercb[Bairro],mercado9)</f>
        <v>0</v>
      </c>
      <c r="U271" s="64">
        <f>SUMIFS(super1[Qtde],super1[Item],tab_alimentos[[#This Row],[Item]],super1[Bairro],mercado10)+SUMIFS(supercb[Qtde],supercb[Item],tab_alimentos[[#This Row],[Item]],supercb[Bairro],mercado10)</f>
        <v>0</v>
      </c>
      <c r="V271" s="64">
        <f>SUMIFS(super1[Qtde],super1[Item],tab_alimentos[[#This Row],[Item]],super1[Bairro],mercado11)+SUMIFS(supercb[Qtde],supercb[Item],tab_alimentos[[#This Row],[Item]],supercb[Bairro],mercado11)</f>
        <v>0</v>
      </c>
      <c r="W271" s="64">
        <f>SUMIFS(super1[Qtde],super1[Item],tab_alimentos[[#This Row],[Item]],super1[Bairro],mercado12)+SUMIFS(supercb[Qtde],supercb[Item],tab_alimentos[[#This Row],[Item]],supercb[Bairro],mercado12)</f>
        <v>0</v>
      </c>
      <c r="X271" s="64">
        <f>SUMIFS(super1[Qtde],super1[Item],tab_alimentos[[#This Row],[Item]],super1[Bairro],mercado13)+SUMIFS(supercb[Qtde],supercb[Item],tab_alimentos[[#This Row],[Item]],supercb[Bairro],mercado13)</f>
        <v>0</v>
      </c>
      <c r="Y271" s="64">
        <f>SUMIFS(super1[Qtde],super1[Item],tab_alimentos[[#This Row],[Item]],super1[Bairro],mercado14)+SUMIFS(supercb[Qtde],supercb[Item],tab_alimentos[[#This Row],[Item]],supercb[Bairro],mercado14)</f>
        <v>0</v>
      </c>
      <c r="Z271" s="64">
        <f>SUMIFS(super1[Qtde],super1[Item],tab_alimentos[[#This Row],[Item]],super1[Bairro],mercado15)+SUMIFS(supercb[Qtde],supercb[Item],tab_alimentos[[#This Row],[Item]],supercb[Bairro],mercado15)</f>
        <v>0</v>
      </c>
      <c r="AA271" s="64">
        <f>SUMIFS(super1[Qtde],super1[Item],tab_alimentos[[#This Row],[Item]],super1[Bairro],mercado16)+SUMIFS(supercb[Qtde],supercb[Item],tab_alimentos[[#This Row],[Item]],supercb[Bairro],mercado16)</f>
        <v>0</v>
      </c>
      <c r="AB271" s="64">
        <f>SUMIFS(super1[Qtde],super1[Item],tab_alimentos[[#This Row],[Item]],super1[Bairro],mercado17)+SUMIFS(supercb[Qtde],supercb[Item],tab_alimentos[[#This Row],[Item]],supercb[Bairro],mercado17)</f>
        <v>0</v>
      </c>
      <c r="AC271" s="64">
        <f>SUMIFS(super1[Qtde],super1[Item],tab_alimentos[[#This Row],[Item]],super1[Bairro],mercado18)+SUMIFS(supercb[Qtde],supercb[Item],tab_alimentos[[#This Row],[Item]],supercb[Bairro],mercado18)</f>
        <v>0</v>
      </c>
      <c r="AD271" s="64">
        <f>SUMIFS(super1[Qtde],super1[Item],tab_alimentos[[#This Row],[Item]],super1[Bairro],extras)+SUMIFS(supercb[Qtde],supercb[Item],tab_alimentos[[#This Row],[Item]],supercb[Bairro],extras)</f>
        <v>0</v>
      </c>
      <c r="AE271" s="61">
        <f t="shared" si="82"/>
        <v>0</v>
      </c>
      <c r="AF271" s="61">
        <f t="shared" si="83"/>
        <v>0</v>
      </c>
      <c r="AG271" s="62">
        <f t="shared" si="84"/>
        <v>0</v>
      </c>
      <c r="AH271" s="15" t="e">
        <f>higiene[[#This Row],[Item]]</f>
        <v>#VALUE!</v>
      </c>
      <c r="AI271" s="8">
        <f>IFERROR(higiene[[#This Row],[Kg equivalente]],0)</f>
        <v>0</v>
      </c>
      <c r="AJ271" s="8">
        <f>IFERROR(higiene[[#This Row],[Preço por produto]],0)</f>
        <v>0</v>
      </c>
      <c r="AK271" s="61">
        <f>SUMIFS(super1[Qtde],super1[Item],tab_higiene[[#This Row],[Item]],super1[Bairro],mercado1)+SUMIFS(supercb[Qtde],supercb[Item],tab_higiene[[#This Row],[Item]],supercb[Bairro],mercado1)</f>
        <v>0</v>
      </c>
      <c r="AL271" s="61">
        <f>SUMIFS(super1[Qtde],super1[Item],tab_higiene[[#This Row],[Item]],super1[Bairro],mercado2)+SUMIFS(supercb[Qtde],supercb[Item],tab_higiene[[#This Row],[Item]],supercb[Bairro],mercado2)</f>
        <v>0</v>
      </c>
      <c r="AM271" s="61">
        <f>SUMIFS(super1[Qtde],super1[Item],tab_higiene[[#This Row],[Item]],super1[Bairro],mercado3)+SUMIFS(supercb[Qtde],supercb[Item],tab_higiene[[#This Row],[Item]],supercb[Bairro],mercado3)</f>
        <v>0</v>
      </c>
      <c r="AN271" s="61">
        <f>SUMIFS(super1[Qtde],super1[Item],tab_higiene[[#This Row],[Item]],super1[Bairro],mercado4)+SUMIFS(supercb[Qtde],supercb[Item],tab_higiene[[#This Row],[Item]],supercb[Bairro],mercado4)</f>
        <v>0</v>
      </c>
      <c r="AO271" s="61">
        <f>SUMIFS(super1[Qtde],super1[Item],tab_higiene[[#This Row],[Item]],super1[Bairro],mercado5)+SUMIFS(supercb[Qtde],supercb[Item],tab_higiene[[#This Row],[Item]],supercb[Bairro],mercado5)</f>
        <v>0</v>
      </c>
      <c r="AP271" s="61">
        <f>SUMIFS(super1[Qtde],super1[Item],tab_higiene[[#This Row],[Item]],super1[Bairro],mercado6)+SUMIFS(supercb[Qtde],supercb[Item],tab_higiene[[#This Row],[Item]],supercb[Bairro],mercado6)</f>
        <v>0</v>
      </c>
      <c r="AQ271" s="61">
        <f>SUMIFS(super1[Qtde],super1[Item],tab_higiene[[#This Row],[Item]],super1[Bairro],mercado7)+SUMIFS(supercb[Qtde],supercb[Item],tab_higiene[[#This Row],[Item]],supercb[Bairro],mercado7)</f>
        <v>0</v>
      </c>
      <c r="AR271" s="61">
        <f>SUMIFS(super1[Qtde],super1[Item],tab_higiene[[#This Row],[Item]],super1[Bairro],mercado8)+SUMIFS(supercb[Qtde],supercb[Item],tab_higiene[[#This Row],[Item]],supercb[Bairro],mercado8)</f>
        <v>0</v>
      </c>
      <c r="AS271" s="61">
        <f>SUMIFS(super1[Qtde],super1[Item],tab_higiene[[#This Row],[Item]],super1[Bairro],mercado9)+SUMIFS(supercb[Qtde],supercb[Item],tab_higiene[[#This Row],[Item]],supercb[Bairro],mercado9)</f>
        <v>0</v>
      </c>
      <c r="AT271" s="61">
        <f>SUMIFS(super1[Qtde],super1[Item],tab_higiene[[#This Row],[Item]],super1[Bairro],mercado10)+SUMIFS(supercb[Qtde],supercb[Item],tab_higiene[[#This Row],[Item]],supercb[Bairro],mercado10)</f>
        <v>0</v>
      </c>
      <c r="AU271" s="61">
        <f>SUMIFS(super1[Qtde],super1[Item],tab_higiene[[#This Row],[Item]],super1[Bairro],mercado11)+SUMIFS(supercb[Qtde],supercb[Item],tab_higiene[[#This Row],[Item]],supercb[Bairro],mercado11)</f>
        <v>0</v>
      </c>
      <c r="AV271" s="61">
        <f>SUMIFS(super1[Qtde],super1[Item],tab_higiene[[#This Row],[Item]],super1[Bairro],mercado12)+SUMIFS(supercb[Qtde],supercb[Item],tab_higiene[[#This Row],[Item]],supercb[Bairro],mercado12)</f>
        <v>0</v>
      </c>
      <c r="AW271" s="61">
        <f>SUMIFS(super1[Qtde],super1[Item],tab_higiene[[#This Row],[Item]],super1[Bairro],mercado13)+SUMIFS(supercb[Qtde],supercb[Item],tab_higiene[[#This Row],[Item]],supercb[Bairro],mercado13)</f>
        <v>0</v>
      </c>
      <c r="AX271" s="61">
        <f>SUMIFS(super1[Qtde],super1[Item],tab_higiene[[#This Row],[Item]],super1[Bairro],mercado14)+SUMIFS(supercb[Qtde],supercb[Item],tab_higiene[[#This Row],[Item]],supercb[Bairro],mercado14)</f>
        <v>0</v>
      </c>
      <c r="AY271" s="61">
        <f>SUMIFS(super1[Qtde],super1[Item],tab_higiene[[#This Row],[Item]],super1[Bairro],mercado15)+SUMIFS(supercb[Qtde],supercb[Item],tab_higiene[[#This Row],[Item]],supercb[Bairro],mercado15)</f>
        <v>0</v>
      </c>
      <c r="AZ271" s="61">
        <f>SUMIFS(super1[Qtde],super1[Item],tab_higiene[[#This Row],[Item]],super1[Bairro],mercado16)+SUMIFS(supercb[Qtde],supercb[Item],tab_higiene[[#This Row],[Item]],supercb[Bairro],mercado16)</f>
        <v>0</v>
      </c>
      <c r="BA271" s="61">
        <f>SUMIFS(super1[Qtde],super1[Item],tab_higiene[[#This Row],[Item]],super1[Bairro],mercado17)+SUMIFS(supercb[Qtde],supercb[Item],tab_higiene[[#This Row],[Item]],supercb[Bairro],mercado17)</f>
        <v>0</v>
      </c>
      <c r="BB271" s="61">
        <f>SUMIFS(super1[Qtde],super1[Item],tab_higiene[[#This Row],[Item]],super1[Bairro],mercado18)+SUMIFS(supercb[Qtde],supercb[Item],tab_higiene[[#This Row],[Item]],supercb[Bairro],mercado18)</f>
        <v>0</v>
      </c>
      <c r="BC271" s="51">
        <f>SUMIFS(super1[Qtde],super1[Item],tab_higiene[[#This Row],[Item]],super1[Bairro],extras)+SUMIFS(supercb[Qtde],supercb[Item],tab_higiene[[#This Row],[Item]],supercb[Bairro],extras)</f>
        <v>0</v>
      </c>
      <c r="BD271" s="8">
        <f t="shared" si="85"/>
        <v>0</v>
      </c>
      <c r="BE271" s="8">
        <f t="shared" si="86"/>
        <v>0</v>
      </c>
      <c r="BF271" s="23">
        <f t="shared" si="87"/>
        <v>0</v>
      </c>
    </row>
    <row r="272" spans="9:58" ht="15.75" thickBot="1" x14ac:dyDescent="0.3">
      <c r="I272" s="65" t="e">
        <f>alimentos[[#This Row],[Item]]</f>
        <v>#VALUE!</v>
      </c>
      <c r="J272" s="61">
        <f>IFERROR(alimentos[[#This Row],[kg/embalagem]],0)</f>
        <v>0</v>
      </c>
      <c r="K272" s="64">
        <f>IFERROR(alimentos[[#This Row],[Preço]],0)</f>
        <v>0</v>
      </c>
      <c r="L272" s="64">
        <f>SUMIFS(super1[Qtde],super1[Item],tab_alimentos[[#This Row],[Item]],super1[Bairro],mercado1)+SUMIFS(supercb[Qtde],supercb[Item],tab_alimentos[[#This Row],[Item]],supercb[Bairro],mercado1)</f>
        <v>0</v>
      </c>
      <c r="M272" s="64">
        <f>SUMIFS(super1[Qtde],super1[Item],tab_alimentos[[#This Row],[Item]],super1[Bairro],mercado2)+SUMIFS(supercb[Qtde],supercb[Item],tab_alimentos[[#This Row],[Item]],supercb[Bairro],mercado2)</f>
        <v>0</v>
      </c>
      <c r="N272" s="61">
        <f>SUMIFS(super1[Qtde],super1[Item],tab_alimentos[[#This Row],[Item]],super1[Bairro],mercado3)+SUMIFS(supercb[Qtde],supercb[Item],tab_alimentos[[#This Row],[Item]],supercb[Bairro],mercado3)</f>
        <v>0</v>
      </c>
      <c r="O272" s="64">
        <f>SUMIFS(super1[Qtde],super1[Item],tab_alimentos[[#This Row],[Item]],super1[Bairro],mercado4)+SUMIFS(supercb[Qtde],supercb[Item],tab_alimentos[[#This Row],[Item]],supercb[Bairro],mercado4)</f>
        <v>0</v>
      </c>
      <c r="P272" s="64">
        <f>SUMIFS(super1[Qtde],super1[Item],tab_alimentos[[#This Row],[Item]],super1[Bairro],mercado5)+SUMIFS(supercb[Qtde],supercb[Item],tab_alimentos[[#This Row],[Item]],supercb[Bairro],mercado5)</f>
        <v>0</v>
      </c>
      <c r="Q272" s="64">
        <f>SUMIFS(super1[Qtde],super1[Item],tab_alimentos[[#This Row],[Item]],super1[Bairro],mercado6)+SUMIFS(supercb[Qtde],supercb[Item],tab_alimentos[[#This Row],[Item]],supercb[Bairro],mercado6)</f>
        <v>0</v>
      </c>
      <c r="R272" s="64">
        <f>SUMIFS(super1[Qtde],super1[Item],tab_alimentos[[#This Row],[Item]],super1[Bairro],mercado7)+SUMIFS(supercb[Qtde],supercb[Item],tab_alimentos[[#This Row],[Item]],supercb[Bairro],mercado7)</f>
        <v>0</v>
      </c>
      <c r="S272" s="64">
        <f>SUMIFS(super1[Qtde],super1[Item],tab_alimentos[[#This Row],[Item]],super1[Bairro],mercado8)+SUMIFS(supercb[Qtde],supercb[Item],tab_alimentos[[#This Row],[Item]],supercb[Bairro],mercado8)</f>
        <v>0</v>
      </c>
      <c r="T272" s="64">
        <f>SUMIFS(super1[Qtde],super1[Item],tab_alimentos[[#This Row],[Item]],super1[Bairro],mercado9)+SUMIFS(supercb[Qtde],supercb[Item],tab_alimentos[[#This Row],[Item]],supercb[Bairro],mercado9)</f>
        <v>0</v>
      </c>
      <c r="U272" s="64">
        <f>SUMIFS(super1[Qtde],super1[Item],tab_alimentos[[#This Row],[Item]],super1[Bairro],mercado10)+SUMIFS(supercb[Qtde],supercb[Item],tab_alimentos[[#This Row],[Item]],supercb[Bairro],mercado10)</f>
        <v>0</v>
      </c>
      <c r="V272" s="64">
        <f>SUMIFS(super1[Qtde],super1[Item],tab_alimentos[[#This Row],[Item]],super1[Bairro],mercado11)+SUMIFS(supercb[Qtde],supercb[Item],tab_alimentos[[#This Row],[Item]],supercb[Bairro],mercado11)</f>
        <v>0</v>
      </c>
      <c r="W272" s="64">
        <f>SUMIFS(super1[Qtde],super1[Item],tab_alimentos[[#This Row],[Item]],super1[Bairro],mercado12)+SUMIFS(supercb[Qtde],supercb[Item],tab_alimentos[[#This Row],[Item]],supercb[Bairro],mercado12)</f>
        <v>0</v>
      </c>
      <c r="X272" s="64">
        <f>SUMIFS(super1[Qtde],super1[Item],tab_alimentos[[#This Row],[Item]],super1[Bairro],mercado13)+SUMIFS(supercb[Qtde],supercb[Item],tab_alimentos[[#This Row],[Item]],supercb[Bairro],mercado13)</f>
        <v>0</v>
      </c>
      <c r="Y272" s="64">
        <f>SUMIFS(super1[Qtde],super1[Item],tab_alimentos[[#This Row],[Item]],super1[Bairro],mercado14)+SUMIFS(supercb[Qtde],supercb[Item],tab_alimentos[[#This Row],[Item]],supercb[Bairro],mercado14)</f>
        <v>0</v>
      </c>
      <c r="Z272" s="64">
        <f>SUMIFS(super1[Qtde],super1[Item],tab_alimentos[[#This Row],[Item]],super1[Bairro],mercado15)+SUMIFS(supercb[Qtde],supercb[Item],tab_alimentos[[#This Row],[Item]],supercb[Bairro],mercado15)</f>
        <v>0</v>
      </c>
      <c r="AA272" s="64">
        <f>SUMIFS(super1[Qtde],super1[Item],tab_alimentos[[#This Row],[Item]],super1[Bairro],mercado16)+SUMIFS(supercb[Qtde],supercb[Item],tab_alimentos[[#This Row],[Item]],supercb[Bairro],mercado16)</f>
        <v>0</v>
      </c>
      <c r="AB272" s="64">
        <f>SUMIFS(super1[Qtde],super1[Item],tab_alimentos[[#This Row],[Item]],super1[Bairro],mercado17)+SUMIFS(supercb[Qtde],supercb[Item],tab_alimentos[[#This Row],[Item]],supercb[Bairro],mercado17)</f>
        <v>0</v>
      </c>
      <c r="AC272" s="64">
        <f>SUMIFS(super1[Qtde],super1[Item],tab_alimentos[[#This Row],[Item]],super1[Bairro],mercado18)+SUMIFS(supercb[Qtde],supercb[Item],tab_alimentos[[#This Row],[Item]],supercb[Bairro],mercado18)</f>
        <v>0</v>
      </c>
      <c r="AD272" s="64">
        <f>SUMIFS(super1[Qtde],super1[Item],tab_alimentos[[#This Row],[Item]],super1[Bairro],extras)+SUMIFS(supercb[Qtde],supercb[Item],tab_alimentos[[#This Row],[Item]],supercb[Bairro],extras)</f>
        <v>0</v>
      </c>
      <c r="AE272" s="61">
        <f t="shared" si="82"/>
        <v>0</v>
      </c>
      <c r="AF272" s="61">
        <f t="shared" si="83"/>
        <v>0</v>
      </c>
      <c r="AG272" s="62">
        <f t="shared" si="84"/>
        <v>0</v>
      </c>
      <c r="AH272" s="15" t="e">
        <f>higiene[[#This Row],[Item]]</f>
        <v>#VALUE!</v>
      </c>
      <c r="AI272" s="8">
        <f>IFERROR(higiene[[#This Row],[Kg equivalente]],0)</f>
        <v>0</v>
      </c>
      <c r="AJ272" s="8">
        <f>IFERROR(higiene[[#This Row],[Preço por produto]],0)</f>
        <v>0</v>
      </c>
      <c r="AK272" s="61">
        <f>SUMIFS(super1[Qtde],super1[Item],tab_higiene[[#This Row],[Item]],super1[Bairro],mercado1)+SUMIFS(supercb[Qtde],supercb[Item],tab_higiene[[#This Row],[Item]],supercb[Bairro],mercado1)</f>
        <v>0</v>
      </c>
      <c r="AL272" s="61">
        <f>SUMIFS(super1[Qtde],super1[Item],tab_higiene[[#This Row],[Item]],super1[Bairro],mercado2)+SUMIFS(supercb[Qtde],supercb[Item],tab_higiene[[#This Row],[Item]],supercb[Bairro],mercado2)</f>
        <v>0</v>
      </c>
      <c r="AM272" s="61">
        <f>SUMIFS(super1[Qtde],super1[Item],tab_higiene[[#This Row],[Item]],super1[Bairro],mercado3)+SUMIFS(supercb[Qtde],supercb[Item],tab_higiene[[#This Row],[Item]],supercb[Bairro],mercado3)</f>
        <v>0</v>
      </c>
      <c r="AN272" s="61">
        <f>SUMIFS(super1[Qtde],super1[Item],tab_higiene[[#This Row],[Item]],super1[Bairro],mercado4)+SUMIFS(supercb[Qtde],supercb[Item],tab_higiene[[#This Row],[Item]],supercb[Bairro],mercado4)</f>
        <v>0</v>
      </c>
      <c r="AO272" s="61">
        <f>SUMIFS(super1[Qtde],super1[Item],tab_higiene[[#This Row],[Item]],super1[Bairro],mercado5)+SUMIFS(supercb[Qtde],supercb[Item],tab_higiene[[#This Row],[Item]],supercb[Bairro],mercado5)</f>
        <v>0</v>
      </c>
      <c r="AP272" s="61">
        <f>SUMIFS(super1[Qtde],super1[Item],tab_higiene[[#This Row],[Item]],super1[Bairro],mercado6)+SUMIFS(supercb[Qtde],supercb[Item],tab_higiene[[#This Row],[Item]],supercb[Bairro],mercado6)</f>
        <v>0</v>
      </c>
      <c r="AQ272" s="61">
        <f>SUMIFS(super1[Qtde],super1[Item],tab_higiene[[#This Row],[Item]],super1[Bairro],mercado7)+SUMIFS(supercb[Qtde],supercb[Item],tab_higiene[[#This Row],[Item]],supercb[Bairro],mercado7)</f>
        <v>0</v>
      </c>
      <c r="AR272" s="61">
        <f>SUMIFS(super1[Qtde],super1[Item],tab_higiene[[#This Row],[Item]],super1[Bairro],mercado8)+SUMIFS(supercb[Qtde],supercb[Item],tab_higiene[[#This Row],[Item]],supercb[Bairro],mercado8)</f>
        <v>0</v>
      </c>
      <c r="AS272" s="61">
        <f>SUMIFS(super1[Qtde],super1[Item],tab_higiene[[#This Row],[Item]],super1[Bairro],mercado9)+SUMIFS(supercb[Qtde],supercb[Item],tab_higiene[[#This Row],[Item]],supercb[Bairro],mercado9)</f>
        <v>0</v>
      </c>
      <c r="AT272" s="61">
        <f>SUMIFS(super1[Qtde],super1[Item],tab_higiene[[#This Row],[Item]],super1[Bairro],mercado10)+SUMIFS(supercb[Qtde],supercb[Item],tab_higiene[[#This Row],[Item]],supercb[Bairro],mercado10)</f>
        <v>0</v>
      </c>
      <c r="AU272" s="61">
        <f>SUMIFS(super1[Qtde],super1[Item],tab_higiene[[#This Row],[Item]],super1[Bairro],mercado11)+SUMIFS(supercb[Qtde],supercb[Item],tab_higiene[[#This Row],[Item]],supercb[Bairro],mercado11)</f>
        <v>0</v>
      </c>
      <c r="AV272" s="61">
        <f>SUMIFS(super1[Qtde],super1[Item],tab_higiene[[#This Row],[Item]],super1[Bairro],mercado12)+SUMIFS(supercb[Qtde],supercb[Item],tab_higiene[[#This Row],[Item]],supercb[Bairro],mercado12)</f>
        <v>0</v>
      </c>
      <c r="AW272" s="61">
        <f>SUMIFS(super1[Qtde],super1[Item],tab_higiene[[#This Row],[Item]],super1[Bairro],mercado13)+SUMIFS(supercb[Qtde],supercb[Item],tab_higiene[[#This Row],[Item]],supercb[Bairro],mercado13)</f>
        <v>0</v>
      </c>
      <c r="AX272" s="61">
        <f>SUMIFS(super1[Qtde],super1[Item],tab_higiene[[#This Row],[Item]],super1[Bairro],mercado14)+SUMIFS(supercb[Qtde],supercb[Item],tab_higiene[[#This Row],[Item]],supercb[Bairro],mercado14)</f>
        <v>0</v>
      </c>
      <c r="AY272" s="61">
        <f>SUMIFS(super1[Qtde],super1[Item],tab_higiene[[#This Row],[Item]],super1[Bairro],mercado15)+SUMIFS(supercb[Qtde],supercb[Item],tab_higiene[[#This Row],[Item]],supercb[Bairro],mercado15)</f>
        <v>0</v>
      </c>
      <c r="AZ272" s="61">
        <f>SUMIFS(super1[Qtde],super1[Item],tab_higiene[[#This Row],[Item]],super1[Bairro],mercado16)+SUMIFS(supercb[Qtde],supercb[Item],tab_higiene[[#This Row],[Item]],supercb[Bairro],mercado16)</f>
        <v>0</v>
      </c>
      <c r="BA272" s="61">
        <f>SUMIFS(super1[Qtde],super1[Item],tab_higiene[[#This Row],[Item]],super1[Bairro],mercado17)+SUMIFS(supercb[Qtde],supercb[Item],tab_higiene[[#This Row],[Item]],supercb[Bairro],mercado17)</f>
        <v>0</v>
      </c>
      <c r="BB272" s="61">
        <f>SUMIFS(super1[Qtde],super1[Item],tab_higiene[[#This Row],[Item]],super1[Bairro],mercado18)+SUMIFS(supercb[Qtde],supercb[Item],tab_higiene[[#This Row],[Item]],supercb[Bairro],mercado18)</f>
        <v>0</v>
      </c>
      <c r="BC272" s="51">
        <f>SUMIFS(super1[Qtde],super1[Item],tab_higiene[[#This Row],[Item]],super1[Bairro],extras)+SUMIFS(supercb[Qtde],supercb[Item],tab_higiene[[#This Row],[Item]],supercb[Bairro],extras)</f>
        <v>0</v>
      </c>
      <c r="BD272" s="8">
        <f t="shared" si="85"/>
        <v>0</v>
      </c>
      <c r="BE272" s="8">
        <f t="shared" si="86"/>
        <v>0</v>
      </c>
      <c r="BF272" s="23">
        <f t="shared" si="87"/>
        <v>0</v>
      </c>
    </row>
    <row r="273" spans="9:58" ht="15.75" thickBot="1" x14ac:dyDescent="0.3">
      <c r="I273" s="65" t="e">
        <f>alimentos[[#This Row],[Item]]</f>
        <v>#VALUE!</v>
      </c>
      <c r="J273" s="61">
        <f>IFERROR(alimentos[[#This Row],[kg/embalagem]],0)</f>
        <v>0</v>
      </c>
      <c r="K273" s="64">
        <f>IFERROR(alimentos[[#This Row],[Preço]],0)</f>
        <v>0</v>
      </c>
      <c r="L273" s="64">
        <f>SUMIFS(super1[Qtde],super1[Item],tab_alimentos[[#This Row],[Item]],super1[Bairro],mercado1)+SUMIFS(supercb[Qtde],supercb[Item],tab_alimentos[[#This Row],[Item]],supercb[Bairro],mercado1)</f>
        <v>0</v>
      </c>
      <c r="M273" s="64">
        <f>SUMIFS(super1[Qtde],super1[Item],tab_alimentos[[#This Row],[Item]],super1[Bairro],mercado2)+SUMIFS(supercb[Qtde],supercb[Item],tab_alimentos[[#This Row],[Item]],supercb[Bairro],mercado2)</f>
        <v>0</v>
      </c>
      <c r="N273" s="61">
        <f>SUMIFS(super1[Qtde],super1[Item],tab_alimentos[[#This Row],[Item]],super1[Bairro],mercado3)+SUMIFS(supercb[Qtde],supercb[Item],tab_alimentos[[#This Row],[Item]],supercb[Bairro],mercado3)</f>
        <v>0</v>
      </c>
      <c r="O273" s="64">
        <f>SUMIFS(super1[Qtde],super1[Item],tab_alimentos[[#This Row],[Item]],super1[Bairro],mercado4)+SUMIFS(supercb[Qtde],supercb[Item],tab_alimentos[[#This Row],[Item]],supercb[Bairro],mercado4)</f>
        <v>0</v>
      </c>
      <c r="P273" s="64">
        <f>SUMIFS(super1[Qtde],super1[Item],tab_alimentos[[#This Row],[Item]],super1[Bairro],mercado5)+SUMIFS(supercb[Qtde],supercb[Item],tab_alimentos[[#This Row],[Item]],supercb[Bairro],mercado5)</f>
        <v>0</v>
      </c>
      <c r="Q273" s="64">
        <f>SUMIFS(super1[Qtde],super1[Item],tab_alimentos[[#This Row],[Item]],super1[Bairro],mercado6)+SUMIFS(supercb[Qtde],supercb[Item],tab_alimentos[[#This Row],[Item]],supercb[Bairro],mercado6)</f>
        <v>0</v>
      </c>
      <c r="R273" s="64">
        <f>SUMIFS(super1[Qtde],super1[Item],tab_alimentos[[#This Row],[Item]],super1[Bairro],mercado7)+SUMIFS(supercb[Qtde],supercb[Item],tab_alimentos[[#This Row],[Item]],supercb[Bairro],mercado7)</f>
        <v>0</v>
      </c>
      <c r="S273" s="64">
        <f>SUMIFS(super1[Qtde],super1[Item],tab_alimentos[[#This Row],[Item]],super1[Bairro],mercado8)+SUMIFS(supercb[Qtde],supercb[Item],tab_alimentos[[#This Row],[Item]],supercb[Bairro],mercado8)</f>
        <v>0</v>
      </c>
      <c r="T273" s="64">
        <f>SUMIFS(super1[Qtde],super1[Item],tab_alimentos[[#This Row],[Item]],super1[Bairro],mercado9)+SUMIFS(supercb[Qtde],supercb[Item],tab_alimentos[[#This Row],[Item]],supercb[Bairro],mercado9)</f>
        <v>0</v>
      </c>
      <c r="U273" s="64">
        <f>SUMIFS(super1[Qtde],super1[Item],tab_alimentos[[#This Row],[Item]],super1[Bairro],mercado10)+SUMIFS(supercb[Qtde],supercb[Item],tab_alimentos[[#This Row],[Item]],supercb[Bairro],mercado10)</f>
        <v>0</v>
      </c>
      <c r="V273" s="64">
        <f>SUMIFS(super1[Qtde],super1[Item],tab_alimentos[[#This Row],[Item]],super1[Bairro],mercado11)+SUMIFS(supercb[Qtde],supercb[Item],tab_alimentos[[#This Row],[Item]],supercb[Bairro],mercado11)</f>
        <v>0</v>
      </c>
      <c r="W273" s="64">
        <f>SUMIFS(super1[Qtde],super1[Item],tab_alimentos[[#This Row],[Item]],super1[Bairro],mercado12)+SUMIFS(supercb[Qtde],supercb[Item],tab_alimentos[[#This Row],[Item]],supercb[Bairro],mercado12)</f>
        <v>0</v>
      </c>
      <c r="X273" s="64">
        <f>SUMIFS(super1[Qtde],super1[Item],tab_alimentos[[#This Row],[Item]],super1[Bairro],mercado13)+SUMIFS(supercb[Qtde],supercb[Item],tab_alimentos[[#This Row],[Item]],supercb[Bairro],mercado13)</f>
        <v>0</v>
      </c>
      <c r="Y273" s="64">
        <f>SUMIFS(super1[Qtde],super1[Item],tab_alimentos[[#This Row],[Item]],super1[Bairro],mercado14)+SUMIFS(supercb[Qtde],supercb[Item],tab_alimentos[[#This Row],[Item]],supercb[Bairro],mercado14)</f>
        <v>0</v>
      </c>
      <c r="Z273" s="64">
        <f>SUMIFS(super1[Qtde],super1[Item],tab_alimentos[[#This Row],[Item]],super1[Bairro],mercado15)+SUMIFS(supercb[Qtde],supercb[Item],tab_alimentos[[#This Row],[Item]],supercb[Bairro],mercado15)</f>
        <v>0</v>
      </c>
      <c r="AA273" s="64">
        <f>SUMIFS(super1[Qtde],super1[Item],tab_alimentos[[#This Row],[Item]],super1[Bairro],mercado16)+SUMIFS(supercb[Qtde],supercb[Item],tab_alimentos[[#This Row],[Item]],supercb[Bairro],mercado16)</f>
        <v>0</v>
      </c>
      <c r="AB273" s="64">
        <f>SUMIFS(super1[Qtde],super1[Item],tab_alimentos[[#This Row],[Item]],super1[Bairro],mercado17)+SUMIFS(supercb[Qtde],supercb[Item],tab_alimentos[[#This Row],[Item]],supercb[Bairro],mercado17)</f>
        <v>0</v>
      </c>
      <c r="AC273" s="64">
        <f>SUMIFS(super1[Qtde],super1[Item],tab_alimentos[[#This Row],[Item]],super1[Bairro],mercado18)+SUMIFS(supercb[Qtde],supercb[Item],tab_alimentos[[#This Row],[Item]],supercb[Bairro],mercado18)</f>
        <v>0</v>
      </c>
      <c r="AD273" s="64">
        <f>SUMIFS(super1[Qtde],super1[Item],tab_alimentos[[#This Row],[Item]],super1[Bairro],extras)+SUMIFS(supercb[Qtde],supercb[Item],tab_alimentos[[#This Row],[Item]],supercb[Bairro],extras)</f>
        <v>0</v>
      </c>
      <c r="AE273" s="61">
        <f t="shared" si="82"/>
        <v>0</v>
      </c>
      <c r="AF273" s="61">
        <f t="shared" si="83"/>
        <v>0</v>
      </c>
      <c r="AG273" s="62">
        <f t="shared" si="84"/>
        <v>0</v>
      </c>
      <c r="AH273" s="15" t="e">
        <f>higiene[[#This Row],[Item]]</f>
        <v>#VALUE!</v>
      </c>
      <c r="AI273" s="8">
        <f>IFERROR(higiene[[#This Row],[Kg equivalente]],0)</f>
        <v>0</v>
      </c>
      <c r="AJ273" s="8">
        <f>IFERROR(higiene[[#This Row],[Preço por produto]],0)</f>
        <v>0</v>
      </c>
      <c r="AK273" s="61">
        <f>SUMIFS(super1[Qtde],super1[Item],tab_higiene[[#This Row],[Item]],super1[Bairro],mercado1)+SUMIFS(supercb[Qtde],supercb[Item],tab_higiene[[#This Row],[Item]],supercb[Bairro],mercado1)</f>
        <v>0</v>
      </c>
      <c r="AL273" s="61">
        <f>SUMIFS(super1[Qtde],super1[Item],tab_higiene[[#This Row],[Item]],super1[Bairro],mercado2)+SUMIFS(supercb[Qtde],supercb[Item],tab_higiene[[#This Row],[Item]],supercb[Bairro],mercado2)</f>
        <v>0</v>
      </c>
      <c r="AM273" s="61">
        <f>SUMIFS(super1[Qtde],super1[Item],tab_higiene[[#This Row],[Item]],super1[Bairro],mercado3)+SUMIFS(supercb[Qtde],supercb[Item],tab_higiene[[#This Row],[Item]],supercb[Bairro],mercado3)</f>
        <v>0</v>
      </c>
      <c r="AN273" s="61">
        <f>SUMIFS(super1[Qtde],super1[Item],tab_higiene[[#This Row],[Item]],super1[Bairro],mercado4)+SUMIFS(supercb[Qtde],supercb[Item],tab_higiene[[#This Row],[Item]],supercb[Bairro],mercado4)</f>
        <v>0</v>
      </c>
      <c r="AO273" s="61">
        <f>SUMIFS(super1[Qtde],super1[Item],tab_higiene[[#This Row],[Item]],super1[Bairro],mercado5)+SUMIFS(supercb[Qtde],supercb[Item],tab_higiene[[#This Row],[Item]],supercb[Bairro],mercado5)</f>
        <v>0</v>
      </c>
      <c r="AP273" s="61">
        <f>SUMIFS(super1[Qtde],super1[Item],tab_higiene[[#This Row],[Item]],super1[Bairro],mercado6)+SUMIFS(supercb[Qtde],supercb[Item],tab_higiene[[#This Row],[Item]],supercb[Bairro],mercado6)</f>
        <v>0</v>
      </c>
      <c r="AQ273" s="61">
        <f>SUMIFS(super1[Qtde],super1[Item],tab_higiene[[#This Row],[Item]],super1[Bairro],mercado7)+SUMIFS(supercb[Qtde],supercb[Item],tab_higiene[[#This Row],[Item]],supercb[Bairro],mercado7)</f>
        <v>0</v>
      </c>
      <c r="AR273" s="61">
        <f>SUMIFS(super1[Qtde],super1[Item],tab_higiene[[#This Row],[Item]],super1[Bairro],mercado8)+SUMIFS(supercb[Qtde],supercb[Item],tab_higiene[[#This Row],[Item]],supercb[Bairro],mercado8)</f>
        <v>0</v>
      </c>
      <c r="AS273" s="61">
        <f>SUMIFS(super1[Qtde],super1[Item],tab_higiene[[#This Row],[Item]],super1[Bairro],mercado9)+SUMIFS(supercb[Qtde],supercb[Item],tab_higiene[[#This Row],[Item]],supercb[Bairro],mercado9)</f>
        <v>0</v>
      </c>
      <c r="AT273" s="61">
        <f>SUMIFS(super1[Qtde],super1[Item],tab_higiene[[#This Row],[Item]],super1[Bairro],mercado10)+SUMIFS(supercb[Qtde],supercb[Item],tab_higiene[[#This Row],[Item]],supercb[Bairro],mercado10)</f>
        <v>0</v>
      </c>
      <c r="AU273" s="61">
        <f>SUMIFS(super1[Qtde],super1[Item],tab_higiene[[#This Row],[Item]],super1[Bairro],mercado11)+SUMIFS(supercb[Qtde],supercb[Item],tab_higiene[[#This Row],[Item]],supercb[Bairro],mercado11)</f>
        <v>0</v>
      </c>
      <c r="AV273" s="61">
        <f>SUMIFS(super1[Qtde],super1[Item],tab_higiene[[#This Row],[Item]],super1[Bairro],mercado12)+SUMIFS(supercb[Qtde],supercb[Item],tab_higiene[[#This Row],[Item]],supercb[Bairro],mercado12)</f>
        <v>0</v>
      </c>
      <c r="AW273" s="61">
        <f>SUMIFS(super1[Qtde],super1[Item],tab_higiene[[#This Row],[Item]],super1[Bairro],mercado13)+SUMIFS(supercb[Qtde],supercb[Item],tab_higiene[[#This Row],[Item]],supercb[Bairro],mercado13)</f>
        <v>0</v>
      </c>
      <c r="AX273" s="61">
        <f>SUMIFS(super1[Qtde],super1[Item],tab_higiene[[#This Row],[Item]],super1[Bairro],mercado14)+SUMIFS(supercb[Qtde],supercb[Item],tab_higiene[[#This Row],[Item]],supercb[Bairro],mercado14)</f>
        <v>0</v>
      </c>
      <c r="AY273" s="61">
        <f>SUMIFS(super1[Qtde],super1[Item],tab_higiene[[#This Row],[Item]],super1[Bairro],mercado15)+SUMIFS(supercb[Qtde],supercb[Item],tab_higiene[[#This Row],[Item]],supercb[Bairro],mercado15)</f>
        <v>0</v>
      </c>
      <c r="AZ273" s="61">
        <f>SUMIFS(super1[Qtde],super1[Item],tab_higiene[[#This Row],[Item]],super1[Bairro],mercado16)+SUMIFS(supercb[Qtde],supercb[Item],tab_higiene[[#This Row],[Item]],supercb[Bairro],mercado16)</f>
        <v>0</v>
      </c>
      <c r="BA273" s="61">
        <f>SUMIFS(super1[Qtde],super1[Item],tab_higiene[[#This Row],[Item]],super1[Bairro],mercado17)+SUMIFS(supercb[Qtde],supercb[Item],tab_higiene[[#This Row],[Item]],supercb[Bairro],mercado17)</f>
        <v>0</v>
      </c>
      <c r="BB273" s="61">
        <f>SUMIFS(super1[Qtde],super1[Item],tab_higiene[[#This Row],[Item]],super1[Bairro],mercado18)+SUMIFS(supercb[Qtde],supercb[Item],tab_higiene[[#This Row],[Item]],supercb[Bairro],mercado18)</f>
        <v>0</v>
      </c>
      <c r="BC273" s="51">
        <f>SUMIFS(super1[Qtde],super1[Item],tab_higiene[[#This Row],[Item]],super1[Bairro],extras)+SUMIFS(supercb[Qtde],supercb[Item],tab_higiene[[#This Row],[Item]],supercb[Bairro],extras)</f>
        <v>0</v>
      </c>
      <c r="BD273" s="8">
        <f t="shared" si="85"/>
        <v>0</v>
      </c>
      <c r="BE273" s="8">
        <f t="shared" si="86"/>
        <v>0</v>
      </c>
      <c r="BF273" s="23">
        <f t="shared" si="87"/>
        <v>0</v>
      </c>
    </row>
    <row r="274" spans="9:58" ht="15.75" thickBot="1" x14ac:dyDescent="0.3">
      <c r="I274" s="65" t="e">
        <f>alimentos[[#This Row],[Item]]</f>
        <v>#VALUE!</v>
      </c>
      <c r="J274" s="61">
        <f>IFERROR(alimentos[[#This Row],[kg/embalagem]],0)</f>
        <v>0</v>
      </c>
      <c r="K274" s="64">
        <f>IFERROR(alimentos[[#This Row],[Preço]],0)</f>
        <v>0</v>
      </c>
      <c r="L274" s="64">
        <f>SUMIFS(super1[Qtde],super1[Item],tab_alimentos[[#This Row],[Item]],super1[Bairro],mercado1)+SUMIFS(supercb[Qtde],supercb[Item],tab_alimentos[[#This Row],[Item]],supercb[Bairro],mercado1)</f>
        <v>0</v>
      </c>
      <c r="M274" s="64">
        <f>SUMIFS(super1[Qtde],super1[Item],tab_alimentos[[#This Row],[Item]],super1[Bairro],mercado2)+SUMIFS(supercb[Qtde],supercb[Item],tab_alimentos[[#This Row],[Item]],supercb[Bairro],mercado2)</f>
        <v>0</v>
      </c>
      <c r="N274" s="61">
        <f>SUMIFS(super1[Qtde],super1[Item],tab_alimentos[[#This Row],[Item]],super1[Bairro],mercado3)+SUMIFS(supercb[Qtde],supercb[Item],tab_alimentos[[#This Row],[Item]],supercb[Bairro],mercado3)</f>
        <v>0</v>
      </c>
      <c r="O274" s="64">
        <f>SUMIFS(super1[Qtde],super1[Item],tab_alimentos[[#This Row],[Item]],super1[Bairro],mercado4)+SUMIFS(supercb[Qtde],supercb[Item],tab_alimentos[[#This Row],[Item]],supercb[Bairro],mercado4)</f>
        <v>0</v>
      </c>
      <c r="P274" s="64">
        <f>SUMIFS(super1[Qtde],super1[Item],tab_alimentos[[#This Row],[Item]],super1[Bairro],mercado5)+SUMIFS(supercb[Qtde],supercb[Item],tab_alimentos[[#This Row],[Item]],supercb[Bairro],mercado5)</f>
        <v>0</v>
      </c>
      <c r="Q274" s="64">
        <f>SUMIFS(super1[Qtde],super1[Item],tab_alimentos[[#This Row],[Item]],super1[Bairro],mercado6)+SUMIFS(supercb[Qtde],supercb[Item],tab_alimentos[[#This Row],[Item]],supercb[Bairro],mercado6)</f>
        <v>0</v>
      </c>
      <c r="R274" s="64">
        <f>SUMIFS(super1[Qtde],super1[Item],tab_alimentos[[#This Row],[Item]],super1[Bairro],mercado7)+SUMIFS(supercb[Qtde],supercb[Item],tab_alimentos[[#This Row],[Item]],supercb[Bairro],mercado7)</f>
        <v>0</v>
      </c>
      <c r="S274" s="64">
        <f>SUMIFS(super1[Qtde],super1[Item],tab_alimentos[[#This Row],[Item]],super1[Bairro],mercado8)+SUMIFS(supercb[Qtde],supercb[Item],tab_alimentos[[#This Row],[Item]],supercb[Bairro],mercado8)</f>
        <v>0</v>
      </c>
      <c r="T274" s="64">
        <f>SUMIFS(super1[Qtde],super1[Item],tab_alimentos[[#This Row],[Item]],super1[Bairro],mercado9)+SUMIFS(supercb[Qtde],supercb[Item],tab_alimentos[[#This Row],[Item]],supercb[Bairro],mercado9)</f>
        <v>0</v>
      </c>
      <c r="U274" s="64">
        <f>SUMIFS(super1[Qtde],super1[Item],tab_alimentos[[#This Row],[Item]],super1[Bairro],mercado10)+SUMIFS(supercb[Qtde],supercb[Item],tab_alimentos[[#This Row],[Item]],supercb[Bairro],mercado10)</f>
        <v>0</v>
      </c>
      <c r="V274" s="64">
        <f>SUMIFS(super1[Qtde],super1[Item],tab_alimentos[[#This Row],[Item]],super1[Bairro],mercado11)+SUMIFS(supercb[Qtde],supercb[Item],tab_alimentos[[#This Row],[Item]],supercb[Bairro],mercado11)</f>
        <v>0</v>
      </c>
      <c r="W274" s="64">
        <f>SUMIFS(super1[Qtde],super1[Item],tab_alimentos[[#This Row],[Item]],super1[Bairro],mercado12)+SUMIFS(supercb[Qtde],supercb[Item],tab_alimentos[[#This Row],[Item]],supercb[Bairro],mercado12)</f>
        <v>0</v>
      </c>
      <c r="X274" s="64">
        <f>SUMIFS(super1[Qtde],super1[Item],tab_alimentos[[#This Row],[Item]],super1[Bairro],mercado13)+SUMIFS(supercb[Qtde],supercb[Item],tab_alimentos[[#This Row],[Item]],supercb[Bairro],mercado13)</f>
        <v>0</v>
      </c>
      <c r="Y274" s="64">
        <f>SUMIFS(super1[Qtde],super1[Item],tab_alimentos[[#This Row],[Item]],super1[Bairro],mercado14)+SUMIFS(supercb[Qtde],supercb[Item],tab_alimentos[[#This Row],[Item]],supercb[Bairro],mercado14)</f>
        <v>0</v>
      </c>
      <c r="Z274" s="64">
        <f>SUMIFS(super1[Qtde],super1[Item],tab_alimentos[[#This Row],[Item]],super1[Bairro],mercado15)+SUMIFS(supercb[Qtde],supercb[Item],tab_alimentos[[#This Row],[Item]],supercb[Bairro],mercado15)</f>
        <v>0</v>
      </c>
      <c r="AA274" s="64">
        <f>SUMIFS(super1[Qtde],super1[Item],tab_alimentos[[#This Row],[Item]],super1[Bairro],mercado16)+SUMIFS(supercb[Qtde],supercb[Item],tab_alimentos[[#This Row],[Item]],supercb[Bairro],mercado16)</f>
        <v>0</v>
      </c>
      <c r="AB274" s="64">
        <f>SUMIFS(super1[Qtde],super1[Item],tab_alimentos[[#This Row],[Item]],super1[Bairro],mercado17)+SUMIFS(supercb[Qtde],supercb[Item],tab_alimentos[[#This Row],[Item]],supercb[Bairro],mercado17)</f>
        <v>0</v>
      </c>
      <c r="AC274" s="64">
        <f>SUMIFS(super1[Qtde],super1[Item],tab_alimentos[[#This Row],[Item]],super1[Bairro],mercado18)+SUMIFS(supercb[Qtde],supercb[Item],tab_alimentos[[#This Row],[Item]],supercb[Bairro],mercado18)</f>
        <v>0</v>
      </c>
      <c r="AD274" s="64">
        <f>SUMIFS(super1[Qtde],super1[Item],tab_alimentos[[#This Row],[Item]],super1[Bairro],extras)+SUMIFS(supercb[Qtde],supercb[Item],tab_alimentos[[#This Row],[Item]],supercb[Bairro],extras)</f>
        <v>0</v>
      </c>
      <c r="AE274" s="61">
        <f t="shared" si="82"/>
        <v>0</v>
      </c>
      <c r="AF274" s="61">
        <f t="shared" si="83"/>
        <v>0</v>
      </c>
      <c r="AG274" s="62">
        <f t="shared" si="84"/>
        <v>0</v>
      </c>
      <c r="AH274" s="15" t="e">
        <f>higiene[[#This Row],[Item]]</f>
        <v>#VALUE!</v>
      </c>
      <c r="AI274" s="8">
        <f>IFERROR(higiene[[#This Row],[Kg equivalente]],0)</f>
        <v>0</v>
      </c>
      <c r="AJ274" s="8">
        <f>IFERROR(higiene[[#This Row],[Preço por produto]],0)</f>
        <v>0</v>
      </c>
      <c r="AK274" s="61">
        <f>SUMIFS(super1[Qtde],super1[Item],tab_higiene[[#This Row],[Item]],super1[Bairro],mercado1)+SUMIFS(supercb[Qtde],supercb[Item],tab_higiene[[#This Row],[Item]],supercb[Bairro],mercado1)</f>
        <v>0</v>
      </c>
      <c r="AL274" s="61">
        <f>SUMIFS(super1[Qtde],super1[Item],tab_higiene[[#This Row],[Item]],super1[Bairro],mercado2)+SUMIFS(supercb[Qtde],supercb[Item],tab_higiene[[#This Row],[Item]],supercb[Bairro],mercado2)</f>
        <v>0</v>
      </c>
      <c r="AM274" s="61">
        <f>SUMIFS(super1[Qtde],super1[Item],tab_higiene[[#This Row],[Item]],super1[Bairro],mercado3)+SUMIFS(supercb[Qtde],supercb[Item],tab_higiene[[#This Row],[Item]],supercb[Bairro],mercado3)</f>
        <v>0</v>
      </c>
      <c r="AN274" s="61">
        <f>SUMIFS(super1[Qtde],super1[Item],tab_higiene[[#This Row],[Item]],super1[Bairro],mercado4)+SUMIFS(supercb[Qtde],supercb[Item],tab_higiene[[#This Row],[Item]],supercb[Bairro],mercado4)</f>
        <v>0</v>
      </c>
      <c r="AO274" s="61">
        <f>SUMIFS(super1[Qtde],super1[Item],tab_higiene[[#This Row],[Item]],super1[Bairro],mercado5)+SUMIFS(supercb[Qtde],supercb[Item],tab_higiene[[#This Row],[Item]],supercb[Bairro],mercado5)</f>
        <v>0</v>
      </c>
      <c r="AP274" s="61">
        <f>SUMIFS(super1[Qtde],super1[Item],tab_higiene[[#This Row],[Item]],super1[Bairro],mercado6)+SUMIFS(supercb[Qtde],supercb[Item],tab_higiene[[#This Row],[Item]],supercb[Bairro],mercado6)</f>
        <v>0</v>
      </c>
      <c r="AQ274" s="61">
        <f>SUMIFS(super1[Qtde],super1[Item],tab_higiene[[#This Row],[Item]],super1[Bairro],mercado7)+SUMIFS(supercb[Qtde],supercb[Item],tab_higiene[[#This Row],[Item]],supercb[Bairro],mercado7)</f>
        <v>0</v>
      </c>
      <c r="AR274" s="61">
        <f>SUMIFS(super1[Qtde],super1[Item],tab_higiene[[#This Row],[Item]],super1[Bairro],mercado8)+SUMIFS(supercb[Qtde],supercb[Item],tab_higiene[[#This Row],[Item]],supercb[Bairro],mercado8)</f>
        <v>0</v>
      </c>
      <c r="AS274" s="61">
        <f>SUMIFS(super1[Qtde],super1[Item],tab_higiene[[#This Row],[Item]],super1[Bairro],mercado9)+SUMIFS(supercb[Qtde],supercb[Item],tab_higiene[[#This Row],[Item]],supercb[Bairro],mercado9)</f>
        <v>0</v>
      </c>
      <c r="AT274" s="61">
        <f>SUMIFS(super1[Qtde],super1[Item],tab_higiene[[#This Row],[Item]],super1[Bairro],mercado10)+SUMIFS(supercb[Qtde],supercb[Item],tab_higiene[[#This Row],[Item]],supercb[Bairro],mercado10)</f>
        <v>0</v>
      </c>
      <c r="AU274" s="61">
        <f>SUMIFS(super1[Qtde],super1[Item],tab_higiene[[#This Row],[Item]],super1[Bairro],mercado11)+SUMIFS(supercb[Qtde],supercb[Item],tab_higiene[[#This Row],[Item]],supercb[Bairro],mercado11)</f>
        <v>0</v>
      </c>
      <c r="AV274" s="61">
        <f>SUMIFS(super1[Qtde],super1[Item],tab_higiene[[#This Row],[Item]],super1[Bairro],mercado12)+SUMIFS(supercb[Qtde],supercb[Item],tab_higiene[[#This Row],[Item]],supercb[Bairro],mercado12)</f>
        <v>0</v>
      </c>
      <c r="AW274" s="61">
        <f>SUMIFS(super1[Qtde],super1[Item],tab_higiene[[#This Row],[Item]],super1[Bairro],mercado13)+SUMIFS(supercb[Qtde],supercb[Item],tab_higiene[[#This Row],[Item]],supercb[Bairro],mercado13)</f>
        <v>0</v>
      </c>
      <c r="AX274" s="61">
        <f>SUMIFS(super1[Qtde],super1[Item],tab_higiene[[#This Row],[Item]],super1[Bairro],mercado14)+SUMIFS(supercb[Qtde],supercb[Item],tab_higiene[[#This Row],[Item]],supercb[Bairro],mercado14)</f>
        <v>0</v>
      </c>
      <c r="AY274" s="61">
        <f>SUMIFS(super1[Qtde],super1[Item],tab_higiene[[#This Row],[Item]],super1[Bairro],mercado15)+SUMIFS(supercb[Qtde],supercb[Item],tab_higiene[[#This Row],[Item]],supercb[Bairro],mercado15)</f>
        <v>0</v>
      </c>
      <c r="AZ274" s="61">
        <f>SUMIFS(super1[Qtde],super1[Item],tab_higiene[[#This Row],[Item]],super1[Bairro],mercado16)+SUMIFS(supercb[Qtde],supercb[Item],tab_higiene[[#This Row],[Item]],supercb[Bairro],mercado16)</f>
        <v>0</v>
      </c>
      <c r="BA274" s="61">
        <f>SUMIFS(super1[Qtde],super1[Item],tab_higiene[[#This Row],[Item]],super1[Bairro],mercado17)+SUMIFS(supercb[Qtde],supercb[Item],tab_higiene[[#This Row],[Item]],supercb[Bairro],mercado17)</f>
        <v>0</v>
      </c>
      <c r="BB274" s="61">
        <f>SUMIFS(super1[Qtde],super1[Item],tab_higiene[[#This Row],[Item]],super1[Bairro],mercado18)+SUMIFS(supercb[Qtde],supercb[Item],tab_higiene[[#This Row],[Item]],supercb[Bairro],mercado18)</f>
        <v>0</v>
      </c>
      <c r="BC274" s="51">
        <f>SUMIFS(super1[Qtde],super1[Item],tab_higiene[[#This Row],[Item]],super1[Bairro],extras)+SUMIFS(supercb[Qtde],supercb[Item],tab_higiene[[#This Row],[Item]],supercb[Bairro],extras)</f>
        <v>0</v>
      </c>
      <c r="BD274" s="8">
        <f t="shared" si="85"/>
        <v>0</v>
      </c>
      <c r="BE274" s="8">
        <f t="shared" si="86"/>
        <v>0</v>
      </c>
      <c r="BF274" s="23">
        <f t="shared" si="87"/>
        <v>0</v>
      </c>
    </row>
    <row r="275" spans="9:58" ht="15.75" thickBot="1" x14ac:dyDescent="0.3">
      <c r="I275" s="65" t="e">
        <f>alimentos[[#This Row],[Item]]</f>
        <v>#VALUE!</v>
      </c>
      <c r="J275" s="61">
        <f>IFERROR(alimentos[[#This Row],[kg/embalagem]],0)</f>
        <v>0</v>
      </c>
      <c r="K275" s="64">
        <f>IFERROR(alimentos[[#This Row],[Preço]],0)</f>
        <v>0</v>
      </c>
      <c r="L275" s="64">
        <f>SUMIFS(super1[Qtde],super1[Item],tab_alimentos[[#This Row],[Item]],super1[Bairro],mercado1)+SUMIFS(supercb[Qtde],supercb[Item],tab_alimentos[[#This Row],[Item]],supercb[Bairro],mercado1)</f>
        <v>0</v>
      </c>
      <c r="M275" s="64">
        <f>SUMIFS(super1[Qtde],super1[Item],tab_alimentos[[#This Row],[Item]],super1[Bairro],mercado2)+SUMIFS(supercb[Qtde],supercb[Item],tab_alimentos[[#This Row],[Item]],supercb[Bairro],mercado2)</f>
        <v>0</v>
      </c>
      <c r="N275" s="61">
        <f>SUMIFS(super1[Qtde],super1[Item],tab_alimentos[[#This Row],[Item]],super1[Bairro],mercado3)+SUMIFS(supercb[Qtde],supercb[Item],tab_alimentos[[#This Row],[Item]],supercb[Bairro],mercado3)</f>
        <v>0</v>
      </c>
      <c r="O275" s="64">
        <f>SUMIFS(super1[Qtde],super1[Item],tab_alimentos[[#This Row],[Item]],super1[Bairro],mercado4)+SUMIFS(supercb[Qtde],supercb[Item],tab_alimentos[[#This Row],[Item]],supercb[Bairro],mercado4)</f>
        <v>0</v>
      </c>
      <c r="P275" s="64">
        <f>SUMIFS(super1[Qtde],super1[Item],tab_alimentos[[#This Row],[Item]],super1[Bairro],mercado5)+SUMIFS(supercb[Qtde],supercb[Item],tab_alimentos[[#This Row],[Item]],supercb[Bairro],mercado5)</f>
        <v>0</v>
      </c>
      <c r="Q275" s="64">
        <f>SUMIFS(super1[Qtde],super1[Item],tab_alimentos[[#This Row],[Item]],super1[Bairro],mercado6)+SUMIFS(supercb[Qtde],supercb[Item],tab_alimentos[[#This Row],[Item]],supercb[Bairro],mercado6)</f>
        <v>0</v>
      </c>
      <c r="R275" s="64">
        <f>SUMIFS(super1[Qtde],super1[Item],tab_alimentos[[#This Row],[Item]],super1[Bairro],mercado7)+SUMIFS(supercb[Qtde],supercb[Item],tab_alimentos[[#This Row],[Item]],supercb[Bairro],mercado7)</f>
        <v>0</v>
      </c>
      <c r="S275" s="64">
        <f>SUMIFS(super1[Qtde],super1[Item],tab_alimentos[[#This Row],[Item]],super1[Bairro],mercado8)+SUMIFS(supercb[Qtde],supercb[Item],tab_alimentos[[#This Row],[Item]],supercb[Bairro],mercado8)</f>
        <v>0</v>
      </c>
      <c r="T275" s="64">
        <f>SUMIFS(super1[Qtde],super1[Item],tab_alimentos[[#This Row],[Item]],super1[Bairro],mercado9)+SUMIFS(supercb[Qtde],supercb[Item],tab_alimentos[[#This Row],[Item]],supercb[Bairro],mercado9)</f>
        <v>0</v>
      </c>
      <c r="U275" s="64">
        <f>SUMIFS(super1[Qtde],super1[Item],tab_alimentos[[#This Row],[Item]],super1[Bairro],mercado10)+SUMIFS(supercb[Qtde],supercb[Item],tab_alimentos[[#This Row],[Item]],supercb[Bairro],mercado10)</f>
        <v>0</v>
      </c>
      <c r="V275" s="64">
        <f>SUMIFS(super1[Qtde],super1[Item],tab_alimentos[[#This Row],[Item]],super1[Bairro],mercado11)+SUMIFS(supercb[Qtde],supercb[Item],tab_alimentos[[#This Row],[Item]],supercb[Bairro],mercado11)</f>
        <v>0</v>
      </c>
      <c r="W275" s="64">
        <f>SUMIFS(super1[Qtde],super1[Item],tab_alimentos[[#This Row],[Item]],super1[Bairro],mercado12)+SUMIFS(supercb[Qtde],supercb[Item],tab_alimentos[[#This Row],[Item]],supercb[Bairro],mercado12)</f>
        <v>0</v>
      </c>
      <c r="X275" s="64">
        <f>SUMIFS(super1[Qtde],super1[Item],tab_alimentos[[#This Row],[Item]],super1[Bairro],mercado13)+SUMIFS(supercb[Qtde],supercb[Item],tab_alimentos[[#This Row],[Item]],supercb[Bairro],mercado13)</f>
        <v>0</v>
      </c>
      <c r="Y275" s="64">
        <f>SUMIFS(super1[Qtde],super1[Item],tab_alimentos[[#This Row],[Item]],super1[Bairro],mercado14)+SUMIFS(supercb[Qtde],supercb[Item],tab_alimentos[[#This Row],[Item]],supercb[Bairro],mercado14)</f>
        <v>0</v>
      </c>
      <c r="Z275" s="64">
        <f>SUMIFS(super1[Qtde],super1[Item],tab_alimentos[[#This Row],[Item]],super1[Bairro],mercado15)+SUMIFS(supercb[Qtde],supercb[Item],tab_alimentos[[#This Row],[Item]],supercb[Bairro],mercado15)</f>
        <v>0</v>
      </c>
      <c r="AA275" s="64">
        <f>SUMIFS(super1[Qtde],super1[Item],tab_alimentos[[#This Row],[Item]],super1[Bairro],mercado16)+SUMIFS(supercb[Qtde],supercb[Item],tab_alimentos[[#This Row],[Item]],supercb[Bairro],mercado16)</f>
        <v>0</v>
      </c>
      <c r="AB275" s="64">
        <f>SUMIFS(super1[Qtde],super1[Item],tab_alimentos[[#This Row],[Item]],super1[Bairro],mercado17)+SUMIFS(supercb[Qtde],supercb[Item],tab_alimentos[[#This Row],[Item]],supercb[Bairro],mercado17)</f>
        <v>0</v>
      </c>
      <c r="AC275" s="64">
        <f>SUMIFS(super1[Qtde],super1[Item],tab_alimentos[[#This Row],[Item]],super1[Bairro],mercado18)+SUMIFS(supercb[Qtde],supercb[Item],tab_alimentos[[#This Row],[Item]],supercb[Bairro],mercado18)</f>
        <v>0</v>
      </c>
      <c r="AD275" s="64">
        <f>SUMIFS(super1[Qtde],super1[Item],tab_alimentos[[#This Row],[Item]],super1[Bairro],extras)+SUMIFS(supercb[Qtde],supercb[Item],tab_alimentos[[#This Row],[Item]],supercb[Bairro],extras)</f>
        <v>0</v>
      </c>
      <c r="AE275" s="61">
        <f t="shared" si="82"/>
        <v>0</v>
      </c>
      <c r="AF275" s="61">
        <f t="shared" si="83"/>
        <v>0</v>
      </c>
      <c r="AG275" s="62">
        <f t="shared" si="84"/>
        <v>0</v>
      </c>
      <c r="AH275" s="15" t="e">
        <f>higiene[[#This Row],[Item]]</f>
        <v>#VALUE!</v>
      </c>
      <c r="AI275" s="8">
        <f>IFERROR(higiene[[#This Row],[Kg equivalente]],0)</f>
        <v>0</v>
      </c>
      <c r="AJ275" s="8">
        <f>IFERROR(higiene[[#This Row],[Preço por produto]],0)</f>
        <v>0</v>
      </c>
      <c r="AK275" s="61">
        <f>SUMIFS(super1[Qtde],super1[Item],tab_higiene[[#This Row],[Item]],super1[Bairro],mercado1)+SUMIFS(supercb[Qtde],supercb[Item],tab_higiene[[#This Row],[Item]],supercb[Bairro],mercado1)</f>
        <v>0</v>
      </c>
      <c r="AL275" s="61">
        <f>SUMIFS(super1[Qtde],super1[Item],tab_higiene[[#This Row],[Item]],super1[Bairro],mercado2)+SUMIFS(supercb[Qtde],supercb[Item],tab_higiene[[#This Row],[Item]],supercb[Bairro],mercado2)</f>
        <v>0</v>
      </c>
      <c r="AM275" s="61">
        <f>SUMIFS(super1[Qtde],super1[Item],tab_higiene[[#This Row],[Item]],super1[Bairro],mercado3)+SUMIFS(supercb[Qtde],supercb[Item],tab_higiene[[#This Row],[Item]],supercb[Bairro],mercado3)</f>
        <v>0</v>
      </c>
      <c r="AN275" s="61">
        <f>SUMIFS(super1[Qtde],super1[Item],tab_higiene[[#This Row],[Item]],super1[Bairro],mercado4)+SUMIFS(supercb[Qtde],supercb[Item],tab_higiene[[#This Row],[Item]],supercb[Bairro],mercado4)</f>
        <v>0</v>
      </c>
      <c r="AO275" s="61">
        <f>SUMIFS(super1[Qtde],super1[Item],tab_higiene[[#This Row],[Item]],super1[Bairro],mercado5)+SUMIFS(supercb[Qtde],supercb[Item],tab_higiene[[#This Row],[Item]],supercb[Bairro],mercado5)</f>
        <v>0</v>
      </c>
      <c r="AP275" s="61">
        <f>SUMIFS(super1[Qtde],super1[Item],tab_higiene[[#This Row],[Item]],super1[Bairro],mercado6)+SUMIFS(supercb[Qtde],supercb[Item],tab_higiene[[#This Row],[Item]],supercb[Bairro],mercado6)</f>
        <v>0</v>
      </c>
      <c r="AQ275" s="61">
        <f>SUMIFS(super1[Qtde],super1[Item],tab_higiene[[#This Row],[Item]],super1[Bairro],mercado7)+SUMIFS(supercb[Qtde],supercb[Item],tab_higiene[[#This Row],[Item]],supercb[Bairro],mercado7)</f>
        <v>0</v>
      </c>
      <c r="AR275" s="61">
        <f>SUMIFS(super1[Qtde],super1[Item],tab_higiene[[#This Row],[Item]],super1[Bairro],mercado8)+SUMIFS(supercb[Qtde],supercb[Item],tab_higiene[[#This Row],[Item]],supercb[Bairro],mercado8)</f>
        <v>0</v>
      </c>
      <c r="AS275" s="61">
        <f>SUMIFS(super1[Qtde],super1[Item],tab_higiene[[#This Row],[Item]],super1[Bairro],mercado9)+SUMIFS(supercb[Qtde],supercb[Item],tab_higiene[[#This Row],[Item]],supercb[Bairro],mercado9)</f>
        <v>0</v>
      </c>
      <c r="AT275" s="61">
        <f>SUMIFS(super1[Qtde],super1[Item],tab_higiene[[#This Row],[Item]],super1[Bairro],mercado10)+SUMIFS(supercb[Qtde],supercb[Item],tab_higiene[[#This Row],[Item]],supercb[Bairro],mercado10)</f>
        <v>0</v>
      </c>
      <c r="AU275" s="61">
        <f>SUMIFS(super1[Qtde],super1[Item],tab_higiene[[#This Row],[Item]],super1[Bairro],mercado11)+SUMIFS(supercb[Qtde],supercb[Item],tab_higiene[[#This Row],[Item]],supercb[Bairro],mercado11)</f>
        <v>0</v>
      </c>
      <c r="AV275" s="61">
        <f>SUMIFS(super1[Qtde],super1[Item],tab_higiene[[#This Row],[Item]],super1[Bairro],mercado12)+SUMIFS(supercb[Qtde],supercb[Item],tab_higiene[[#This Row],[Item]],supercb[Bairro],mercado12)</f>
        <v>0</v>
      </c>
      <c r="AW275" s="61">
        <f>SUMIFS(super1[Qtde],super1[Item],tab_higiene[[#This Row],[Item]],super1[Bairro],mercado13)+SUMIFS(supercb[Qtde],supercb[Item],tab_higiene[[#This Row],[Item]],supercb[Bairro],mercado13)</f>
        <v>0</v>
      </c>
      <c r="AX275" s="61">
        <f>SUMIFS(super1[Qtde],super1[Item],tab_higiene[[#This Row],[Item]],super1[Bairro],mercado14)+SUMIFS(supercb[Qtde],supercb[Item],tab_higiene[[#This Row],[Item]],supercb[Bairro],mercado14)</f>
        <v>0</v>
      </c>
      <c r="AY275" s="61">
        <f>SUMIFS(super1[Qtde],super1[Item],tab_higiene[[#This Row],[Item]],super1[Bairro],mercado15)+SUMIFS(supercb[Qtde],supercb[Item],tab_higiene[[#This Row],[Item]],supercb[Bairro],mercado15)</f>
        <v>0</v>
      </c>
      <c r="AZ275" s="61">
        <f>SUMIFS(super1[Qtde],super1[Item],tab_higiene[[#This Row],[Item]],super1[Bairro],mercado16)+SUMIFS(supercb[Qtde],supercb[Item],tab_higiene[[#This Row],[Item]],supercb[Bairro],mercado16)</f>
        <v>0</v>
      </c>
      <c r="BA275" s="61">
        <f>SUMIFS(super1[Qtde],super1[Item],tab_higiene[[#This Row],[Item]],super1[Bairro],mercado17)+SUMIFS(supercb[Qtde],supercb[Item],tab_higiene[[#This Row],[Item]],supercb[Bairro],mercado17)</f>
        <v>0</v>
      </c>
      <c r="BB275" s="61">
        <f>SUMIFS(super1[Qtde],super1[Item],tab_higiene[[#This Row],[Item]],super1[Bairro],mercado18)+SUMIFS(supercb[Qtde],supercb[Item],tab_higiene[[#This Row],[Item]],supercb[Bairro],mercado18)</f>
        <v>0</v>
      </c>
      <c r="BC275" s="51">
        <f>SUMIFS(super1[Qtde],super1[Item],tab_higiene[[#This Row],[Item]],super1[Bairro],extras)+SUMIFS(supercb[Qtde],supercb[Item],tab_higiene[[#This Row],[Item]],supercb[Bairro],extras)</f>
        <v>0</v>
      </c>
      <c r="BD275" s="8">
        <f t="shared" si="85"/>
        <v>0</v>
      </c>
      <c r="BE275" s="8">
        <f t="shared" si="86"/>
        <v>0</v>
      </c>
      <c r="BF275" s="23">
        <f t="shared" si="87"/>
        <v>0</v>
      </c>
    </row>
    <row r="276" spans="9:58" ht="15.75" thickBot="1" x14ac:dyDescent="0.3">
      <c r="I276" s="65" t="e">
        <f>alimentos[[#This Row],[Item]]</f>
        <v>#VALUE!</v>
      </c>
      <c r="J276" s="61">
        <f>IFERROR(alimentos[[#This Row],[kg/embalagem]],0)</f>
        <v>0</v>
      </c>
      <c r="K276" s="64">
        <f>IFERROR(alimentos[[#This Row],[Preço]],0)</f>
        <v>0</v>
      </c>
      <c r="L276" s="64">
        <f>SUMIFS(super1[Qtde],super1[Item],tab_alimentos[[#This Row],[Item]],super1[Bairro],mercado1)+SUMIFS(supercb[Qtde],supercb[Item],tab_alimentos[[#This Row],[Item]],supercb[Bairro],mercado1)</f>
        <v>0</v>
      </c>
      <c r="M276" s="64">
        <f>SUMIFS(super1[Qtde],super1[Item],tab_alimentos[[#This Row],[Item]],super1[Bairro],mercado2)+SUMIFS(supercb[Qtde],supercb[Item],tab_alimentos[[#This Row],[Item]],supercb[Bairro],mercado2)</f>
        <v>0</v>
      </c>
      <c r="N276" s="61">
        <f>SUMIFS(super1[Qtde],super1[Item],tab_alimentos[[#This Row],[Item]],super1[Bairro],mercado3)+SUMIFS(supercb[Qtde],supercb[Item],tab_alimentos[[#This Row],[Item]],supercb[Bairro],mercado3)</f>
        <v>0</v>
      </c>
      <c r="O276" s="64">
        <f>SUMIFS(super1[Qtde],super1[Item],tab_alimentos[[#This Row],[Item]],super1[Bairro],mercado4)+SUMIFS(supercb[Qtde],supercb[Item],tab_alimentos[[#This Row],[Item]],supercb[Bairro],mercado4)</f>
        <v>0</v>
      </c>
      <c r="P276" s="64">
        <f>SUMIFS(super1[Qtde],super1[Item],tab_alimentos[[#This Row],[Item]],super1[Bairro],mercado5)+SUMIFS(supercb[Qtde],supercb[Item],tab_alimentos[[#This Row],[Item]],supercb[Bairro],mercado5)</f>
        <v>0</v>
      </c>
      <c r="Q276" s="64">
        <f>SUMIFS(super1[Qtde],super1[Item],tab_alimentos[[#This Row],[Item]],super1[Bairro],mercado6)+SUMIFS(supercb[Qtde],supercb[Item],tab_alimentos[[#This Row],[Item]],supercb[Bairro],mercado6)</f>
        <v>0</v>
      </c>
      <c r="R276" s="64">
        <f>SUMIFS(super1[Qtde],super1[Item],tab_alimentos[[#This Row],[Item]],super1[Bairro],mercado7)+SUMIFS(supercb[Qtde],supercb[Item],tab_alimentos[[#This Row],[Item]],supercb[Bairro],mercado7)</f>
        <v>0</v>
      </c>
      <c r="S276" s="64">
        <f>SUMIFS(super1[Qtde],super1[Item],tab_alimentos[[#This Row],[Item]],super1[Bairro],mercado8)+SUMIFS(supercb[Qtde],supercb[Item],tab_alimentos[[#This Row],[Item]],supercb[Bairro],mercado8)</f>
        <v>0</v>
      </c>
      <c r="T276" s="64">
        <f>SUMIFS(super1[Qtde],super1[Item],tab_alimentos[[#This Row],[Item]],super1[Bairro],mercado9)+SUMIFS(supercb[Qtde],supercb[Item],tab_alimentos[[#This Row],[Item]],supercb[Bairro],mercado9)</f>
        <v>0</v>
      </c>
      <c r="U276" s="64">
        <f>SUMIFS(super1[Qtde],super1[Item],tab_alimentos[[#This Row],[Item]],super1[Bairro],mercado10)+SUMIFS(supercb[Qtde],supercb[Item],tab_alimentos[[#This Row],[Item]],supercb[Bairro],mercado10)</f>
        <v>0</v>
      </c>
      <c r="V276" s="64">
        <f>SUMIFS(super1[Qtde],super1[Item],tab_alimentos[[#This Row],[Item]],super1[Bairro],mercado11)+SUMIFS(supercb[Qtde],supercb[Item],tab_alimentos[[#This Row],[Item]],supercb[Bairro],mercado11)</f>
        <v>0</v>
      </c>
      <c r="W276" s="64">
        <f>SUMIFS(super1[Qtde],super1[Item],tab_alimentos[[#This Row],[Item]],super1[Bairro],mercado12)+SUMIFS(supercb[Qtde],supercb[Item],tab_alimentos[[#This Row],[Item]],supercb[Bairro],mercado12)</f>
        <v>0</v>
      </c>
      <c r="X276" s="64">
        <f>SUMIFS(super1[Qtde],super1[Item],tab_alimentos[[#This Row],[Item]],super1[Bairro],mercado13)+SUMIFS(supercb[Qtde],supercb[Item],tab_alimentos[[#This Row],[Item]],supercb[Bairro],mercado13)</f>
        <v>0</v>
      </c>
      <c r="Y276" s="64">
        <f>SUMIFS(super1[Qtde],super1[Item],tab_alimentos[[#This Row],[Item]],super1[Bairro],mercado14)+SUMIFS(supercb[Qtde],supercb[Item],tab_alimentos[[#This Row],[Item]],supercb[Bairro],mercado14)</f>
        <v>0</v>
      </c>
      <c r="Z276" s="64">
        <f>SUMIFS(super1[Qtde],super1[Item],tab_alimentos[[#This Row],[Item]],super1[Bairro],mercado15)+SUMIFS(supercb[Qtde],supercb[Item],tab_alimentos[[#This Row],[Item]],supercb[Bairro],mercado15)</f>
        <v>0</v>
      </c>
      <c r="AA276" s="64">
        <f>SUMIFS(super1[Qtde],super1[Item],tab_alimentos[[#This Row],[Item]],super1[Bairro],mercado16)+SUMIFS(supercb[Qtde],supercb[Item],tab_alimentos[[#This Row],[Item]],supercb[Bairro],mercado16)</f>
        <v>0</v>
      </c>
      <c r="AB276" s="64">
        <f>SUMIFS(super1[Qtde],super1[Item],tab_alimentos[[#This Row],[Item]],super1[Bairro],mercado17)+SUMIFS(supercb[Qtde],supercb[Item],tab_alimentos[[#This Row],[Item]],supercb[Bairro],mercado17)</f>
        <v>0</v>
      </c>
      <c r="AC276" s="64">
        <f>SUMIFS(super1[Qtde],super1[Item],tab_alimentos[[#This Row],[Item]],super1[Bairro],mercado18)+SUMIFS(supercb[Qtde],supercb[Item],tab_alimentos[[#This Row],[Item]],supercb[Bairro],mercado18)</f>
        <v>0</v>
      </c>
      <c r="AD276" s="64">
        <f>SUMIFS(super1[Qtde],super1[Item],tab_alimentos[[#This Row],[Item]],super1[Bairro],extras)+SUMIFS(supercb[Qtde],supercb[Item],tab_alimentos[[#This Row],[Item]],supercb[Bairro],extras)</f>
        <v>0</v>
      </c>
      <c r="AE276" s="61">
        <f t="shared" ref="AE276:AE339" si="88">SUM(L276:AC276)</f>
        <v>0</v>
      </c>
      <c r="AF276" s="61">
        <f t="shared" ref="AF276:AF339" si="89">IFERROR(AE276*K276,0)</f>
        <v>0</v>
      </c>
      <c r="AG276" s="62">
        <f t="shared" ref="AG276:AG339" si="90">IFERROR(J276*AE276,0)</f>
        <v>0</v>
      </c>
      <c r="AH276" s="15" t="e">
        <f>higiene[[#This Row],[Item]]</f>
        <v>#VALUE!</v>
      </c>
      <c r="AI276" s="8">
        <f>IFERROR(higiene[[#This Row],[Kg equivalente]],0)</f>
        <v>0</v>
      </c>
      <c r="AJ276" s="8">
        <f>IFERROR(higiene[[#This Row],[Preço por produto]],0)</f>
        <v>0</v>
      </c>
      <c r="AK276" s="61">
        <f>SUMIFS(super1[Qtde],super1[Item],tab_higiene[[#This Row],[Item]],super1[Bairro],mercado1)+SUMIFS(supercb[Qtde],supercb[Item],tab_higiene[[#This Row],[Item]],supercb[Bairro],mercado1)</f>
        <v>0</v>
      </c>
      <c r="AL276" s="61">
        <f>SUMIFS(super1[Qtde],super1[Item],tab_higiene[[#This Row],[Item]],super1[Bairro],mercado2)+SUMIFS(supercb[Qtde],supercb[Item],tab_higiene[[#This Row],[Item]],supercb[Bairro],mercado2)</f>
        <v>0</v>
      </c>
      <c r="AM276" s="61">
        <f>SUMIFS(super1[Qtde],super1[Item],tab_higiene[[#This Row],[Item]],super1[Bairro],mercado3)+SUMIFS(supercb[Qtde],supercb[Item],tab_higiene[[#This Row],[Item]],supercb[Bairro],mercado3)</f>
        <v>0</v>
      </c>
      <c r="AN276" s="61">
        <f>SUMIFS(super1[Qtde],super1[Item],tab_higiene[[#This Row],[Item]],super1[Bairro],mercado4)+SUMIFS(supercb[Qtde],supercb[Item],tab_higiene[[#This Row],[Item]],supercb[Bairro],mercado4)</f>
        <v>0</v>
      </c>
      <c r="AO276" s="61">
        <f>SUMIFS(super1[Qtde],super1[Item],tab_higiene[[#This Row],[Item]],super1[Bairro],mercado5)+SUMIFS(supercb[Qtde],supercb[Item],tab_higiene[[#This Row],[Item]],supercb[Bairro],mercado5)</f>
        <v>0</v>
      </c>
      <c r="AP276" s="61">
        <f>SUMIFS(super1[Qtde],super1[Item],tab_higiene[[#This Row],[Item]],super1[Bairro],mercado6)+SUMIFS(supercb[Qtde],supercb[Item],tab_higiene[[#This Row],[Item]],supercb[Bairro],mercado6)</f>
        <v>0</v>
      </c>
      <c r="AQ276" s="61">
        <f>SUMIFS(super1[Qtde],super1[Item],tab_higiene[[#This Row],[Item]],super1[Bairro],mercado7)+SUMIFS(supercb[Qtde],supercb[Item],tab_higiene[[#This Row],[Item]],supercb[Bairro],mercado7)</f>
        <v>0</v>
      </c>
      <c r="AR276" s="61">
        <f>SUMIFS(super1[Qtde],super1[Item],tab_higiene[[#This Row],[Item]],super1[Bairro],mercado8)+SUMIFS(supercb[Qtde],supercb[Item],tab_higiene[[#This Row],[Item]],supercb[Bairro],mercado8)</f>
        <v>0</v>
      </c>
      <c r="AS276" s="61">
        <f>SUMIFS(super1[Qtde],super1[Item],tab_higiene[[#This Row],[Item]],super1[Bairro],mercado9)+SUMIFS(supercb[Qtde],supercb[Item],tab_higiene[[#This Row],[Item]],supercb[Bairro],mercado9)</f>
        <v>0</v>
      </c>
      <c r="AT276" s="61">
        <f>SUMIFS(super1[Qtde],super1[Item],tab_higiene[[#This Row],[Item]],super1[Bairro],mercado10)+SUMIFS(supercb[Qtde],supercb[Item],tab_higiene[[#This Row],[Item]],supercb[Bairro],mercado10)</f>
        <v>0</v>
      </c>
      <c r="AU276" s="61">
        <f>SUMIFS(super1[Qtde],super1[Item],tab_higiene[[#This Row],[Item]],super1[Bairro],mercado11)+SUMIFS(supercb[Qtde],supercb[Item],tab_higiene[[#This Row],[Item]],supercb[Bairro],mercado11)</f>
        <v>0</v>
      </c>
      <c r="AV276" s="61">
        <f>SUMIFS(super1[Qtde],super1[Item],tab_higiene[[#This Row],[Item]],super1[Bairro],mercado12)+SUMIFS(supercb[Qtde],supercb[Item],tab_higiene[[#This Row],[Item]],supercb[Bairro],mercado12)</f>
        <v>0</v>
      </c>
      <c r="AW276" s="61">
        <f>SUMIFS(super1[Qtde],super1[Item],tab_higiene[[#This Row],[Item]],super1[Bairro],mercado13)+SUMIFS(supercb[Qtde],supercb[Item],tab_higiene[[#This Row],[Item]],supercb[Bairro],mercado13)</f>
        <v>0</v>
      </c>
      <c r="AX276" s="61">
        <f>SUMIFS(super1[Qtde],super1[Item],tab_higiene[[#This Row],[Item]],super1[Bairro],mercado14)+SUMIFS(supercb[Qtde],supercb[Item],tab_higiene[[#This Row],[Item]],supercb[Bairro],mercado14)</f>
        <v>0</v>
      </c>
      <c r="AY276" s="61">
        <f>SUMIFS(super1[Qtde],super1[Item],tab_higiene[[#This Row],[Item]],super1[Bairro],mercado15)+SUMIFS(supercb[Qtde],supercb[Item],tab_higiene[[#This Row],[Item]],supercb[Bairro],mercado15)</f>
        <v>0</v>
      </c>
      <c r="AZ276" s="61">
        <f>SUMIFS(super1[Qtde],super1[Item],tab_higiene[[#This Row],[Item]],super1[Bairro],mercado16)+SUMIFS(supercb[Qtde],supercb[Item],tab_higiene[[#This Row],[Item]],supercb[Bairro],mercado16)</f>
        <v>0</v>
      </c>
      <c r="BA276" s="61">
        <f>SUMIFS(super1[Qtde],super1[Item],tab_higiene[[#This Row],[Item]],super1[Bairro],mercado17)+SUMIFS(supercb[Qtde],supercb[Item],tab_higiene[[#This Row],[Item]],supercb[Bairro],mercado17)</f>
        <v>0</v>
      </c>
      <c r="BB276" s="61">
        <f>SUMIFS(super1[Qtde],super1[Item],tab_higiene[[#This Row],[Item]],super1[Bairro],mercado18)+SUMIFS(supercb[Qtde],supercb[Item],tab_higiene[[#This Row],[Item]],supercb[Bairro],mercado18)</f>
        <v>0</v>
      </c>
      <c r="BC276" s="51">
        <f>SUMIFS(super1[Qtde],super1[Item],tab_higiene[[#This Row],[Item]],super1[Bairro],extras)+SUMIFS(supercb[Qtde],supercb[Item],tab_higiene[[#This Row],[Item]],supercb[Bairro],extras)</f>
        <v>0</v>
      </c>
      <c r="BD276" s="8">
        <f t="shared" si="85"/>
        <v>0</v>
      </c>
      <c r="BE276" s="8">
        <f t="shared" si="86"/>
        <v>0</v>
      </c>
      <c r="BF276" s="23">
        <f t="shared" si="87"/>
        <v>0</v>
      </c>
    </row>
    <row r="277" spans="9:58" ht="15.75" thickBot="1" x14ac:dyDescent="0.3">
      <c r="I277" s="65" t="e">
        <f>alimentos[[#This Row],[Item]]</f>
        <v>#VALUE!</v>
      </c>
      <c r="J277" s="61">
        <f>IFERROR(alimentos[[#This Row],[kg/embalagem]],0)</f>
        <v>0</v>
      </c>
      <c r="K277" s="64">
        <f>IFERROR(alimentos[[#This Row],[Preço]],0)</f>
        <v>0</v>
      </c>
      <c r="L277" s="64">
        <f>SUMIFS(super1[Qtde],super1[Item],tab_alimentos[[#This Row],[Item]],super1[Bairro],mercado1)+SUMIFS(supercb[Qtde],supercb[Item],tab_alimentos[[#This Row],[Item]],supercb[Bairro],mercado1)</f>
        <v>0</v>
      </c>
      <c r="M277" s="64">
        <f>SUMIFS(super1[Qtde],super1[Item],tab_alimentos[[#This Row],[Item]],super1[Bairro],mercado2)+SUMIFS(supercb[Qtde],supercb[Item],tab_alimentos[[#This Row],[Item]],supercb[Bairro],mercado2)</f>
        <v>0</v>
      </c>
      <c r="N277" s="61">
        <f>SUMIFS(super1[Qtde],super1[Item],tab_alimentos[[#This Row],[Item]],super1[Bairro],mercado3)+SUMIFS(supercb[Qtde],supercb[Item],tab_alimentos[[#This Row],[Item]],supercb[Bairro],mercado3)</f>
        <v>0</v>
      </c>
      <c r="O277" s="64">
        <f>SUMIFS(super1[Qtde],super1[Item],tab_alimentos[[#This Row],[Item]],super1[Bairro],mercado4)+SUMIFS(supercb[Qtde],supercb[Item],tab_alimentos[[#This Row],[Item]],supercb[Bairro],mercado4)</f>
        <v>0</v>
      </c>
      <c r="P277" s="64">
        <f>SUMIFS(super1[Qtde],super1[Item],tab_alimentos[[#This Row],[Item]],super1[Bairro],mercado5)+SUMIFS(supercb[Qtde],supercb[Item],tab_alimentos[[#This Row],[Item]],supercb[Bairro],mercado5)</f>
        <v>0</v>
      </c>
      <c r="Q277" s="64">
        <f>SUMIFS(super1[Qtde],super1[Item],tab_alimentos[[#This Row],[Item]],super1[Bairro],mercado6)+SUMIFS(supercb[Qtde],supercb[Item],tab_alimentos[[#This Row],[Item]],supercb[Bairro],mercado6)</f>
        <v>0</v>
      </c>
      <c r="R277" s="64">
        <f>SUMIFS(super1[Qtde],super1[Item],tab_alimentos[[#This Row],[Item]],super1[Bairro],mercado7)+SUMIFS(supercb[Qtde],supercb[Item],tab_alimentos[[#This Row],[Item]],supercb[Bairro],mercado7)</f>
        <v>0</v>
      </c>
      <c r="S277" s="64">
        <f>SUMIFS(super1[Qtde],super1[Item],tab_alimentos[[#This Row],[Item]],super1[Bairro],mercado8)+SUMIFS(supercb[Qtde],supercb[Item],tab_alimentos[[#This Row],[Item]],supercb[Bairro],mercado8)</f>
        <v>0</v>
      </c>
      <c r="T277" s="64">
        <f>SUMIFS(super1[Qtde],super1[Item],tab_alimentos[[#This Row],[Item]],super1[Bairro],mercado9)+SUMIFS(supercb[Qtde],supercb[Item],tab_alimentos[[#This Row],[Item]],supercb[Bairro],mercado9)</f>
        <v>0</v>
      </c>
      <c r="U277" s="64">
        <f>SUMIFS(super1[Qtde],super1[Item],tab_alimentos[[#This Row],[Item]],super1[Bairro],mercado10)+SUMIFS(supercb[Qtde],supercb[Item],tab_alimentos[[#This Row],[Item]],supercb[Bairro],mercado10)</f>
        <v>0</v>
      </c>
      <c r="V277" s="64">
        <f>SUMIFS(super1[Qtde],super1[Item],tab_alimentos[[#This Row],[Item]],super1[Bairro],mercado11)+SUMIFS(supercb[Qtde],supercb[Item],tab_alimentos[[#This Row],[Item]],supercb[Bairro],mercado11)</f>
        <v>0</v>
      </c>
      <c r="W277" s="64">
        <f>SUMIFS(super1[Qtde],super1[Item],tab_alimentos[[#This Row],[Item]],super1[Bairro],mercado12)+SUMIFS(supercb[Qtde],supercb[Item],tab_alimentos[[#This Row],[Item]],supercb[Bairro],mercado12)</f>
        <v>0</v>
      </c>
      <c r="X277" s="64">
        <f>SUMIFS(super1[Qtde],super1[Item],tab_alimentos[[#This Row],[Item]],super1[Bairro],mercado13)+SUMIFS(supercb[Qtde],supercb[Item],tab_alimentos[[#This Row],[Item]],supercb[Bairro],mercado13)</f>
        <v>0</v>
      </c>
      <c r="Y277" s="64">
        <f>SUMIFS(super1[Qtde],super1[Item],tab_alimentos[[#This Row],[Item]],super1[Bairro],mercado14)+SUMIFS(supercb[Qtde],supercb[Item],tab_alimentos[[#This Row],[Item]],supercb[Bairro],mercado14)</f>
        <v>0</v>
      </c>
      <c r="Z277" s="64">
        <f>SUMIFS(super1[Qtde],super1[Item],tab_alimentos[[#This Row],[Item]],super1[Bairro],mercado15)+SUMIFS(supercb[Qtde],supercb[Item],tab_alimentos[[#This Row],[Item]],supercb[Bairro],mercado15)</f>
        <v>0</v>
      </c>
      <c r="AA277" s="64">
        <f>SUMIFS(super1[Qtde],super1[Item],tab_alimentos[[#This Row],[Item]],super1[Bairro],mercado16)+SUMIFS(supercb[Qtde],supercb[Item],tab_alimentos[[#This Row],[Item]],supercb[Bairro],mercado16)</f>
        <v>0</v>
      </c>
      <c r="AB277" s="64">
        <f>SUMIFS(super1[Qtde],super1[Item],tab_alimentos[[#This Row],[Item]],super1[Bairro],mercado17)+SUMIFS(supercb[Qtde],supercb[Item],tab_alimentos[[#This Row],[Item]],supercb[Bairro],mercado17)</f>
        <v>0</v>
      </c>
      <c r="AC277" s="64">
        <f>SUMIFS(super1[Qtde],super1[Item],tab_alimentos[[#This Row],[Item]],super1[Bairro],mercado18)+SUMIFS(supercb[Qtde],supercb[Item],tab_alimentos[[#This Row],[Item]],supercb[Bairro],mercado18)</f>
        <v>0</v>
      </c>
      <c r="AD277" s="64">
        <f>SUMIFS(super1[Qtde],super1[Item],tab_alimentos[[#This Row],[Item]],super1[Bairro],extras)+SUMIFS(supercb[Qtde],supercb[Item],tab_alimentos[[#This Row],[Item]],supercb[Bairro],extras)</f>
        <v>0</v>
      </c>
      <c r="AE277" s="61">
        <f t="shared" si="88"/>
        <v>0</v>
      </c>
      <c r="AF277" s="61">
        <f t="shared" si="89"/>
        <v>0</v>
      </c>
      <c r="AG277" s="62">
        <f t="shared" si="90"/>
        <v>0</v>
      </c>
      <c r="AH277" s="15" t="e">
        <f>higiene[[#This Row],[Item]]</f>
        <v>#VALUE!</v>
      </c>
      <c r="AI277" s="8">
        <f>IFERROR(higiene[[#This Row],[Kg equivalente]],0)</f>
        <v>0</v>
      </c>
      <c r="AJ277" s="8">
        <f>IFERROR(higiene[[#This Row],[Preço por produto]],0)</f>
        <v>0</v>
      </c>
      <c r="AK277" s="61">
        <f>SUMIFS(super1[Qtde],super1[Item],tab_higiene[[#This Row],[Item]],super1[Bairro],mercado1)+SUMIFS(supercb[Qtde],supercb[Item],tab_higiene[[#This Row],[Item]],supercb[Bairro],mercado1)</f>
        <v>0</v>
      </c>
      <c r="AL277" s="61">
        <f>SUMIFS(super1[Qtde],super1[Item],tab_higiene[[#This Row],[Item]],super1[Bairro],mercado2)+SUMIFS(supercb[Qtde],supercb[Item],tab_higiene[[#This Row],[Item]],supercb[Bairro],mercado2)</f>
        <v>0</v>
      </c>
      <c r="AM277" s="61">
        <f>SUMIFS(super1[Qtde],super1[Item],tab_higiene[[#This Row],[Item]],super1[Bairro],mercado3)+SUMIFS(supercb[Qtde],supercb[Item],tab_higiene[[#This Row],[Item]],supercb[Bairro],mercado3)</f>
        <v>0</v>
      </c>
      <c r="AN277" s="61">
        <f>SUMIFS(super1[Qtde],super1[Item],tab_higiene[[#This Row],[Item]],super1[Bairro],mercado4)+SUMIFS(supercb[Qtde],supercb[Item],tab_higiene[[#This Row],[Item]],supercb[Bairro],mercado4)</f>
        <v>0</v>
      </c>
      <c r="AO277" s="61">
        <f>SUMIFS(super1[Qtde],super1[Item],tab_higiene[[#This Row],[Item]],super1[Bairro],mercado5)+SUMIFS(supercb[Qtde],supercb[Item],tab_higiene[[#This Row],[Item]],supercb[Bairro],mercado5)</f>
        <v>0</v>
      </c>
      <c r="AP277" s="61">
        <f>SUMIFS(super1[Qtde],super1[Item],tab_higiene[[#This Row],[Item]],super1[Bairro],mercado6)+SUMIFS(supercb[Qtde],supercb[Item],tab_higiene[[#This Row],[Item]],supercb[Bairro],mercado6)</f>
        <v>0</v>
      </c>
      <c r="AQ277" s="61">
        <f>SUMIFS(super1[Qtde],super1[Item],tab_higiene[[#This Row],[Item]],super1[Bairro],mercado7)+SUMIFS(supercb[Qtde],supercb[Item],tab_higiene[[#This Row],[Item]],supercb[Bairro],mercado7)</f>
        <v>0</v>
      </c>
      <c r="AR277" s="61">
        <f>SUMIFS(super1[Qtde],super1[Item],tab_higiene[[#This Row],[Item]],super1[Bairro],mercado8)+SUMIFS(supercb[Qtde],supercb[Item],tab_higiene[[#This Row],[Item]],supercb[Bairro],mercado8)</f>
        <v>0</v>
      </c>
      <c r="AS277" s="61">
        <f>SUMIFS(super1[Qtde],super1[Item],tab_higiene[[#This Row],[Item]],super1[Bairro],mercado9)+SUMIFS(supercb[Qtde],supercb[Item],tab_higiene[[#This Row],[Item]],supercb[Bairro],mercado9)</f>
        <v>0</v>
      </c>
      <c r="AT277" s="61">
        <f>SUMIFS(super1[Qtde],super1[Item],tab_higiene[[#This Row],[Item]],super1[Bairro],mercado10)+SUMIFS(supercb[Qtde],supercb[Item],tab_higiene[[#This Row],[Item]],supercb[Bairro],mercado10)</f>
        <v>0</v>
      </c>
      <c r="AU277" s="61">
        <f>SUMIFS(super1[Qtde],super1[Item],tab_higiene[[#This Row],[Item]],super1[Bairro],mercado11)+SUMIFS(supercb[Qtde],supercb[Item],tab_higiene[[#This Row],[Item]],supercb[Bairro],mercado11)</f>
        <v>0</v>
      </c>
      <c r="AV277" s="61">
        <f>SUMIFS(super1[Qtde],super1[Item],tab_higiene[[#This Row],[Item]],super1[Bairro],mercado12)+SUMIFS(supercb[Qtde],supercb[Item],tab_higiene[[#This Row],[Item]],supercb[Bairro],mercado12)</f>
        <v>0</v>
      </c>
      <c r="AW277" s="61">
        <f>SUMIFS(super1[Qtde],super1[Item],tab_higiene[[#This Row],[Item]],super1[Bairro],mercado13)+SUMIFS(supercb[Qtde],supercb[Item],tab_higiene[[#This Row],[Item]],supercb[Bairro],mercado13)</f>
        <v>0</v>
      </c>
      <c r="AX277" s="61">
        <f>SUMIFS(super1[Qtde],super1[Item],tab_higiene[[#This Row],[Item]],super1[Bairro],mercado14)+SUMIFS(supercb[Qtde],supercb[Item],tab_higiene[[#This Row],[Item]],supercb[Bairro],mercado14)</f>
        <v>0</v>
      </c>
      <c r="AY277" s="61">
        <f>SUMIFS(super1[Qtde],super1[Item],tab_higiene[[#This Row],[Item]],super1[Bairro],mercado15)+SUMIFS(supercb[Qtde],supercb[Item],tab_higiene[[#This Row],[Item]],supercb[Bairro],mercado15)</f>
        <v>0</v>
      </c>
      <c r="AZ277" s="61">
        <f>SUMIFS(super1[Qtde],super1[Item],tab_higiene[[#This Row],[Item]],super1[Bairro],mercado16)+SUMIFS(supercb[Qtde],supercb[Item],tab_higiene[[#This Row],[Item]],supercb[Bairro],mercado16)</f>
        <v>0</v>
      </c>
      <c r="BA277" s="61">
        <f>SUMIFS(super1[Qtde],super1[Item],tab_higiene[[#This Row],[Item]],super1[Bairro],mercado17)+SUMIFS(supercb[Qtde],supercb[Item],tab_higiene[[#This Row],[Item]],supercb[Bairro],mercado17)</f>
        <v>0</v>
      </c>
      <c r="BB277" s="61">
        <f>SUMIFS(super1[Qtde],super1[Item],tab_higiene[[#This Row],[Item]],super1[Bairro],mercado18)+SUMIFS(supercb[Qtde],supercb[Item],tab_higiene[[#This Row],[Item]],supercb[Bairro],mercado18)</f>
        <v>0</v>
      </c>
      <c r="BC277" s="51">
        <f>SUMIFS(super1[Qtde],super1[Item],tab_higiene[[#This Row],[Item]],super1[Bairro],extras)+SUMIFS(supercb[Qtde],supercb[Item],tab_higiene[[#This Row],[Item]],supercb[Bairro],extras)</f>
        <v>0</v>
      </c>
      <c r="BD277" s="8">
        <f t="shared" si="85"/>
        <v>0</v>
      </c>
      <c r="BE277" s="8">
        <f t="shared" si="86"/>
        <v>0</v>
      </c>
      <c r="BF277" s="23">
        <f t="shared" si="87"/>
        <v>0</v>
      </c>
    </row>
    <row r="278" spans="9:58" ht="15.75" thickBot="1" x14ac:dyDescent="0.3">
      <c r="I278" s="65" t="e">
        <f>alimentos[[#This Row],[Item]]</f>
        <v>#VALUE!</v>
      </c>
      <c r="J278" s="61">
        <f>IFERROR(alimentos[[#This Row],[kg/embalagem]],0)</f>
        <v>0</v>
      </c>
      <c r="K278" s="64">
        <f>IFERROR(alimentos[[#This Row],[Preço]],0)</f>
        <v>0</v>
      </c>
      <c r="L278" s="64">
        <f>SUMIFS(super1[Qtde],super1[Item],tab_alimentos[[#This Row],[Item]],super1[Bairro],mercado1)+SUMIFS(supercb[Qtde],supercb[Item],tab_alimentos[[#This Row],[Item]],supercb[Bairro],mercado1)</f>
        <v>0</v>
      </c>
      <c r="M278" s="64">
        <f>SUMIFS(super1[Qtde],super1[Item],tab_alimentos[[#This Row],[Item]],super1[Bairro],mercado2)+SUMIFS(supercb[Qtde],supercb[Item],tab_alimentos[[#This Row],[Item]],supercb[Bairro],mercado2)</f>
        <v>0</v>
      </c>
      <c r="N278" s="61">
        <f>SUMIFS(super1[Qtde],super1[Item],tab_alimentos[[#This Row],[Item]],super1[Bairro],mercado3)+SUMIFS(supercb[Qtde],supercb[Item],tab_alimentos[[#This Row],[Item]],supercb[Bairro],mercado3)</f>
        <v>0</v>
      </c>
      <c r="O278" s="64">
        <f>SUMIFS(super1[Qtde],super1[Item],tab_alimentos[[#This Row],[Item]],super1[Bairro],mercado4)+SUMIFS(supercb[Qtde],supercb[Item],tab_alimentos[[#This Row],[Item]],supercb[Bairro],mercado4)</f>
        <v>0</v>
      </c>
      <c r="P278" s="64">
        <f>SUMIFS(super1[Qtde],super1[Item],tab_alimentos[[#This Row],[Item]],super1[Bairro],mercado5)+SUMIFS(supercb[Qtde],supercb[Item],tab_alimentos[[#This Row],[Item]],supercb[Bairro],mercado5)</f>
        <v>0</v>
      </c>
      <c r="Q278" s="64">
        <f>SUMIFS(super1[Qtde],super1[Item],tab_alimentos[[#This Row],[Item]],super1[Bairro],mercado6)+SUMIFS(supercb[Qtde],supercb[Item],tab_alimentos[[#This Row],[Item]],supercb[Bairro],mercado6)</f>
        <v>0</v>
      </c>
      <c r="R278" s="64">
        <f>SUMIFS(super1[Qtde],super1[Item],tab_alimentos[[#This Row],[Item]],super1[Bairro],mercado7)+SUMIFS(supercb[Qtde],supercb[Item],tab_alimentos[[#This Row],[Item]],supercb[Bairro],mercado7)</f>
        <v>0</v>
      </c>
      <c r="S278" s="64">
        <f>SUMIFS(super1[Qtde],super1[Item],tab_alimentos[[#This Row],[Item]],super1[Bairro],mercado8)+SUMIFS(supercb[Qtde],supercb[Item],tab_alimentos[[#This Row],[Item]],supercb[Bairro],mercado8)</f>
        <v>0</v>
      </c>
      <c r="T278" s="64">
        <f>SUMIFS(super1[Qtde],super1[Item],tab_alimentos[[#This Row],[Item]],super1[Bairro],mercado9)+SUMIFS(supercb[Qtde],supercb[Item],tab_alimentos[[#This Row],[Item]],supercb[Bairro],mercado9)</f>
        <v>0</v>
      </c>
      <c r="U278" s="64">
        <f>SUMIFS(super1[Qtde],super1[Item],tab_alimentos[[#This Row],[Item]],super1[Bairro],mercado10)+SUMIFS(supercb[Qtde],supercb[Item],tab_alimentos[[#This Row],[Item]],supercb[Bairro],mercado10)</f>
        <v>0</v>
      </c>
      <c r="V278" s="64">
        <f>SUMIFS(super1[Qtde],super1[Item],tab_alimentos[[#This Row],[Item]],super1[Bairro],mercado11)+SUMIFS(supercb[Qtde],supercb[Item],tab_alimentos[[#This Row],[Item]],supercb[Bairro],mercado11)</f>
        <v>0</v>
      </c>
      <c r="W278" s="64">
        <f>SUMIFS(super1[Qtde],super1[Item],tab_alimentos[[#This Row],[Item]],super1[Bairro],mercado12)+SUMIFS(supercb[Qtde],supercb[Item],tab_alimentos[[#This Row],[Item]],supercb[Bairro],mercado12)</f>
        <v>0</v>
      </c>
      <c r="X278" s="64">
        <f>SUMIFS(super1[Qtde],super1[Item],tab_alimentos[[#This Row],[Item]],super1[Bairro],mercado13)+SUMIFS(supercb[Qtde],supercb[Item],tab_alimentos[[#This Row],[Item]],supercb[Bairro],mercado13)</f>
        <v>0</v>
      </c>
      <c r="Y278" s="64">
        <f>SUMIFS(super1[Qtde],super1[Item],tab_alimentos[[#This Row],[Item]],super1[Bairro],mercado14)+SUMIFS(supercb[Qtde],supercb[Item],tab_alimentos[[#This Row],[Item]],supercb[Bairro],mercado14)</f>
        <v>0</v>
      </c>
      <c r="Z278" s="64">
        <f>SUMIFS(super1[Qtde],super1[Item],tab_alimentos[[#This Row],[Item]],super1[Bairro],mercado15)+SUMIFS(supercb[Qtde],supercb[Item],tab_alimentos[[#This Row],[Item]],supercb[Bairro],mercado15)</f>
        <v>0</v>
      </c>
      <c r="AA278" s="64">
        <f>SUMIFS(super1[Qtde],super1[Item],tab_alimentos[[#This Row],[Item]],super1[Bairro],mercado16)+SUMIFS(supercb[Qtde],supercb[Item],tab_alimentos[[#This Row],[Item]],supercb[Bairro],mercado16)</f>
        <v>0</v>
      </c>
      <c r="AB278" s="64">
        <f>SUMIFS(super1[Qtde],super1[Item],tab_alimentos[[#This Row],[Item]],super1[Bairro],mercado17)+SUMIFS(supercb[Qtde],supercb[Item],tab_alimentos[[#This Row],[Item]],supercb[Bairro],mercado17)</f>
        <v>0</v>
      </c>
      <c r="AC278" s="64">
        <f>SUMIFS(super1[Qtde],super1[Item],tab_alimentos[[#This Row],[Item]],super1[Bairro],mercado18)+SUMIFS(supercb[Qtde],supercb[Item],tab_alimentos[[#This Row],[Item]],supercb[Bairro],mercado18)</f>
        <v>0</v>
      </c>
      <c r="AD278" s="64">
        <f>SUMIFS(super1[Qtde],super1[Item],tab_alimentos[[#This Row],[Item]],super1[Bairro],extras)+SUMIFS(supercb[Qtde],supercb[Item],tab_alimentos[[#This Row],[Item]],supercb[Bairro],extras)</f>
        <v>0</v>
      </c>
      <c r="AE278" s="61">
        <f t="shared" si="88"/>
        <v>0</v>
      </c>
      <c r="AF278" s="61">
        <f t="shared" si="89"/>
        <v>0</v>
      </c>
      <c r="AG278" s="62">
        <f t="shared" si="90"/>
        <v>0</v>
      </c>
      <c r="AH278" s="15" t="e">
        <f>higiene[[#This Row],[Item]]</f>
        <v>#VALUE!</v>
      </c>
      <c r="AI278" s="8">
        <f>IFERROR(higiene[[#This Row],[Kg equivalente]],0)</f>
        <v>0</v>
      </c>
      <c r="AJ278" s="8">
        <f>IFERROR(higiene[[#This Row],[Preço por produto]],0)</f>
        <v>0</v>
      </c>
      <c r="AK278" s="61">
        <f>SUMIFS(super1[Qtde],super1[Item],tab_higiene[[#This Row],[Item]],super1[Bairro],mercado1)+SUMIFS(supercb[Qtde],supercb[Item],tab_higiene[[#This Row],[Item]],supercb[Bairro],mercado1)</f>
        <v>0</v>
      </c>
      <c r="AL278" s="61">
        <f>SUMIFS(super1[Qtde],super1[Item],tab_higiene[[#This Row],[Item]],super1[Bairro],mercado2)+SUMIFS(supercb[Qtde],supercb[Item],tab_higiene[[#This Row],[Item]],supercb[Bairro],mercado2)</f>
        <v>0</v>
      </c>
      <c r="AM278" s="61">
        <f>SUMIFS(super1[Qtde],super1[Item],tab_higiene[[#This Row],[Item]],super1[Bairro],mercado3)+SUMIFS(supercb[Qtde],supercb[Item],tab_higiene[[#This Row],[Item]],supercb[Bairro],mercado3)</f>
        <v>0</v>
      </c>
      <c r="AN278" s="61">
        <f>SUMIFS(super1[Qtde],super1[Item],tab_higiene[[#This Row],[Item]],super1[Bairro],mercado4)+SUMIFS(supercb[Qtde],supercb[Item],tab_higiene[[#This Row],[Item]],supercb[Bairro],mercado4)</f>
        <v>0</v>
      </c>
      <c r="AO278" s="61">
        <f>SUMIFS(super1[Qtde],super1[Item],tab_higiene[[#This Row],[Item]],super1[Bairro],mercado5)+SUMIFS(supercb[Qtde],supercb[Item],tab_higiene[[#This Row],[Item]],supercb[Bairro],mercado5)</f>
        <v>0</v>
      </c>
      <c r="AP278" s="61">
        <f>SUMIFS(super1[Qtde],super1[Item],tab_higiene[[#This Row],[Item]],super1[Bairro],mercado6)+SUMIFS(supercb[Qtde],supercb[Item],tab_higiene[[#This Row],[Item]],supercb[Bairro],mercado6)</f>
        <v>0</v>
      </c>
      <c r="AQ278" s="61">
        <f>SUMIFS(super1[Qtde],super1[Item],tab_higiene[[#This Row],[Item]],super1[Bairro],mercado7)+SUMIFS(supercb[Qtde],supercb[Item],tab_higiene[[#This Row],[Item]],supercb[Bairro],mercado7)</f>
        <v>0</v>
      </c>
      <c r="AR278" s="61">
        <f>SUMIFS(super1[Qtde],super1[Item],tab_higiene[[#This Row],[Item]],super1[Bairro],mercado8)+SUMIFS(supercb[Qtde],supercb[Item],tab_higiene[[#This Row],[Item]],supercb[Bairro],mercado8)</f>
        <v>0</v>
      </c>
      <c r="AS278" s="61">
        <f>SUMIFS(super1[Qtde],super1[Item],tab_higiene[[#This Row],[Item]],super1[Bairro],mercado9)+SUMIFS(supercb[Qtde],supercb[Item],tab_higiene[[#This Row],[Item]],supercb[Bairro],mercado9)</f>
        <v>0</v>
      </c>
      <c r="AT278" s="61">
        <f>SUMIFS(super1[Qtde],super1[Item],tab_higiene[[#This Row],[Item]],super1[Bairro],mercado10)+SUMIFS(supercb[Qtde],supercb[Item],tab_higiene[[#This Row],[Item]],supercb[Bairro],mercado10)</f>
        <v>0</v>
      </c>
      <c r="AU278" s="61">
        <f>SUMIFS(super1[Qtde],super1[Item],tab_higiene[[#This Row],[Item]],super1[Bairro],mercado11)+SUMIFS(supercb[Qtde],supercb[Item],tab_higiene[[#This Row],[Item]],supercb[Bairro],mercado11)</f>
        <v>0</v>
      </c>
      <c r="AV278" s="61">
        <f>SUMIFS(super1[Qtde],super1[Item],tab_higiene[[#This Row],[Item]],super1[Bairro],mercado12)+SUMIFS(supercb[Qtde],supercb[Item],tab_higiene[[#This Row],[Item]],supercb[Bairro],mercado12)</f>
        <v>0</v>
      </c>
      <c r="AW278" s="61">
        <f>SUMIFS(super1[Qtde],super1[Item],tab_higiene[[#This Row],[Item]],super1[Bairro],mercado13)+SUMIFS(supercb[Qtde],supercb[Item],tab_higiene[[#This Row],[Item]],supercb[Bairro],mercado13)</f>
        <v>0</v>
      </c>
      <c r="AX278" s="61">
        <f>SUMIFS(super1[Qtde],super1[Item],tab_higiene[[#This Row],[Item]],super1[Bairro],mercado14)+SUMIFS(supercb[Qtde],supercb[Item],tab_higiene[[#This Row],[Item]],supercb[Bairro],mercado14)</f>
        <v>0</v>
      </c>
      <c r="AY278" s="61">
        <f>SUMIFS(super1[Qtde],super1[Item],tab_higiene[[#This Row],[Item]],super1[Bairro],mercado15)+SUMIFS(supercb[Qtde],supercb[Item],tab_higiene[[#This Row],[Item]],supercb[Bairro],mercado15)</f>
        <v>0</v>
      </c>
      <c r="AZ278" s="61">
        <f>SUMIFS(super1[Qtde],super1[Item],tab_higiene[[#This Row],[Item]],super1[Bairro],mercado16)+SUMIFS(supercb[Qtde],supercb[Item],tab_higiene[[#This Row],[Item]],supercb[Bairro],mercado16)</f>
        <v>0</v>
      </c>
      <c r="BA278" s="61">
        <f>SUMIFS(super1[Qtde],super1[Item],tab_higiene[[#This Row],[Item]],super1[Bairro],mercado17)+SUMIFS(supercb[Qtde],supercb[Item],tab_higiene[[#This Row],[Item]],supercb[Bairro],mercado17)</f>
        <v>0</v>
      </c>
      <c r="BB278" s="61">
        <f>SUMIFS(super1[Qtde],super1[Item],tab_higiene[[#This Row],[Item]],super1[Bairro],mercado18)+SUMIFS(supercb[Qtde],supercb[Item],tab_higiene[[#This Row],[Item]],supercb[Bairro],mercado18)</f>
        <v>0</v>
      </c>
      <c r="BC278" s="51">
        <f>SUMIFS(super1[Qtde],super1[Item],tab_higiene[[#This Row],[Item]],super1[Bairro],extras)+SUMIFS(supercb[Qtde],supercb[Item],tab_higiene[[#This Row],[Item]],supercb[Bairro],extras)</f>
        <v>0</v>
      </c>
      <c r="BD278" s="8">
        <f t="shared" si="85"/>
        <v>0</v>
      </c>
      <c r="BE278" s="8">
        <f t="shared" si="86"/>
        <v>0</v>
      </c>
      <c r="BF278" s="23">
        <f t="shared" si="87"/>
        <v>0</v>
      </c>
    </row>
    <row r="279" spans="9:58" ht="15.75" thickBot="1" x14ac:dyDescent="0.3">
      <c r="I279" s="65" t="e">
        <f>alimentos[[#This Row],[Item]]</f>
        <v>#VALUE!</v>
      </c>
      <c r="J279" s="61">
        <f>IFERROR(alimentos[[#This Row],[kg/embalagem]],0)</f>
        <v>0</v>
      </c>
      <c r="K279" s="64">
        <f>IFERROR(alimentos[[#This Row],[Preço]],0)</f>
        <v>0</v>
      </c>
      <c r="L279" s="64">
        <f>SUMIFS(super1[Qtde],super1[Item],tab_alimentos[[#This Row],[Item]],super1[Bairro],mercado1)+SUMIFS(supercb[Qtde],supercb[Item],tab_alimentos[[#This Row],[Item]],supercb[Bairro],mercado1)</f>
        <v>0</v>
      </c>
      <c r="M279" s="64">
        <f>SUMIFS(super1[Qtde],super1[Item],tab_alimentos[[#This Row],[Item]],super1[Bairro],mercado2)+SUMIFS(supercb[Qtde],supercb[Item],tab_alimentos[[#This Row],[Item]],supercb[Bairro],mercado2)</f>
        <v>0</v>
      </c>
      <c r="N279" s="61">
        <f>SUMIFS(super1[Qtde],super1[Item],tab_alimentos[[#This Row],[Item]],super1[Bairro],mercado3)+SUMIFS(supercb[Qtde],supercb[Item],tab_alimentos[[#This Row],[Item]],supercb[Bairro],mercado3)</f>
        <v>0</v>
      </c>
      <c r="O279" s="64">
        <f>SUMIFS(super1[Qtde],super1[Item],tab_alimentos[[#This Row],[Item]],super1[Bairro],mercado4)+SUMIFS(supercb[Qtde],supercb[Item],tab_alimentos[[#This Row],[Item]],supercb[Bairro],mercado4)</f>
        <v>0</v>
      </c>
      <c r="P279" s="64">
        <f>SUMIFS(super1[Qtde],super1[Item],tab_alimentos[[#This Row],[Item]],super1[Bairro],mercado5)+SUMIFS(supercb[Qtde],supercb[Item],tab_alimentos[[#This Row],[Item]],supercb[Bairro],mercado5)</f>
        <v>0</v>
      </c>
      <c r="Q279" s="64">
        <f>SUMIFS(super1[Qtde],super1[Item],tab_alimentos[[#This Row],[Item]],super1[Bairro],mercado6)+SUMIFS(supercb[Qtde],supercb[Item],tab_alimentos[[#This Row],[Item]],supercb[Bairro],mercado6)</f>
        <v>0</v>
      </c>
      <c r="R279" s="64">
        <f>SUMIFS(super1[Qtde],super1[Item],tab_alimentos[[#This Row],[Item]],super1[Bairro],mercado7)+SUMIFS(supercb[Qtde],supercb[Item],tab_alimentos[[#This Row],[Item]],supercb[Bairro],mercado7)</f>
        <v>0</v>
      </c>
      <c r="S279" s="64">
        <f>SUMIFS(super1[Qtde],super1[Item],tab_alimentos[[#This Row],[Item]],super1[Bairro],mercado8)+SUMIFS(supercb[Qtde],supercb[Item],tab_alimentos[[#This Row],[Item]],supercb[Bairro],mercado8)</f>
        <v>0</v>
      </c>
      <c r="T279" s="64">
        <f>SUMIFS(super1[Qtde],super1[Item],tab_alimentos[[#This Row],[Item]],super1[Bairro],mercado9)+SUMIFS(supercb[Qtde],supercb[Item],tab_alimentos[[#This Row],[Item]],supercb[Bairro],mercado9)</f>
        <v>0</v>
      </c>
      <c r="U279" s="64">
        <f>SUMIFS(super1[Qtde],super1[Item],tab_alimentos[[#This Row],[Item]],super1[Bairro],mercado10)+SUMIFS(supercb[Qtde],supercb[Item],tab_alimentos[[#This Row],[Item]],supercb[Bairro],mercado10)</f>
        <v>0</v>
      </c>
      <c r="V279" s="64">
        <f>SUMIFS(super1[Qtde],super1[Item],tab_alimentos[[#This Row],[Item]],super1[Bairro],mercado11)+SUMIFS(supercb[Qtde],supercb[Item],tab_alimentos[[#This Row],[Item]],supercb[Bairro],mercado11)</f>
        <v>0</v>
      </c>
      <c r="W279" s="64">
        <f>SUMIFS(super1[Qtde],super1[Item],tab_alimentos[[#This Row],[Item]],super1[Bairro],mercado12)+SUMIFS(supercb[Qtde],supercb[Item],tab_alimentos[[#This Row],[Item]],supercb[Bairro],mercado12)</f>
        <v>0</v>
      </c>
      <c r="X279" s="64">
        <f>SUMIFS(super1[Qtde],super1[Item],tab_alimentos[[#This Row],[Item]],super1[Bairro],mercado13)+SUMIFS(supercb[Qtde],supercb[Item],tab_alimentos[[#This Row],[Item]],supercb[Bairro],mercado13)</f>
        <v>0</v>
      </c>
      <c r="Y279" s="64">
        <f>SUMIFS(super1[Qtde],super1[Item],tab_alimentos[[#This Row],[Item]],super1[Bairro],mercado14)+SUMIFS(supercb[Qtde],supercb[Item],tab_alimentos[[#This Row],[Item]],supercb[Bairro],mercado14)</f>
        <v>0</v>
      </c>
      <c r="Z279" s="64">
        <f>SUMIFS(super1[Qtde],super1[Item],tab_alimentos[[#This Row],[Item]],super1[Bairro],mercado15)+SUMIFS(supercb[Qtde],supercb[Item],tab_alimentos[[#This Row],[Item]],supercb[Bairro],mercado15)</f>
        <v>0</v>
      </c>
      <c r="AA279" s="64">
        <f>SUMIFS(super1[Qtde],super1[Item],tab_alimentos[[#This Row],[Item]],super1[Bairro],mercado16)+SUMIFS(supercb[Qtde],supercb[Item],tab_alimentos[[#This Row],[Item]],supercb[Bairro],mercado16)</f>
        <v>0</v>
      </c>
      <c r="AB279" s="64">
        <f>SUMIFS(super1[Qtde],super1[Item],tab_alimentos[[#This Row],[Item]],super1[Bairro],mercado17)+SUMIFS(supercb[Qtde],supercb[Item],tab_alimentos[[#This Row],[Item]],supercb[Bairro],mercado17)</f>
        <v>0</v>
      </c>
      <c r="AC279" s="64">
        <f>SUMIFS(super1[Qtde],super1[Item],tab_alimentos[[#This Row],[Item]],super1[Bairro],mercado18)+SUMIFS(supercb[Qtde],supercb[Item],tab_alimentos[[#This Row],[Item]],supercb[Bairro],mercado18)</f>
        <v>0</v>
      </c>
      <c r="AD279" s="64">
        <f>SUMIFS(super1[Qtde],super1[Item],tab_alimentos[[#This Row],[Item]],super1[Bairro],extras)+SUMIFS(supercb[Qtde],supercb[Item],tab_alimentos[[#This Row],[Item]],supercb[Bairro],extras)</f>
        <v>0</v>
      </c>
      <c r="AE279" s="61">
        <f t="shared" si="88"/>
        <v>0</v>
      </c>
      <c r="AF279" s="61">
        <f t="shared" si="89"/>
        <v>0</v>
      </c>
      <c r="AG279" s="62">
        <f t="shared" si="90"/>
        <v>0</v>
      </c>
      <c r="AH279" s="15" t="e">
        <f>higiene[[#This Row],[Item]]</f>
        <v>#VALUE!</v>
      </c>
      <c r="AI279" s="8">
        <f>IFERROR(higiene[[#This Row],[Kg equivalente]],0)</f>
        <v>0</v>
      </c>
      <c r="AJ279" s="8">
        <f>IFERROR(higiene[[#This Row],[Preço por produto]],0)</f>
        <v>0</v>
      </c>
      <c r="AK279" s="61">
        <f>SUMIFS(super1[Qtde],super1[Item],tab_higiene[[#This Row],[Item]],super1[Bairro],mercado1)+SUMIFS(supercb[Qtde],supercb[Item],tab_higiene[[#This Row],[Item]],supercb[Bairro],mercado1)</f>
        <v>0</v>
      </c>
      <c r="AL279" s="61">
        <f>SUMIFS(super1[Qtde],super1[Item],tab_higiene[[#This Row],[Item]],super1[Bairro],mercado2)+SUMIFS(supercb[Qtde],supercb[Item],tab_higiene[[#This Row],[Item]],supercb[Bairro],mercado2)</f>
        <v>0</v>
      </c>
      <c r="AM279" s="61">
        <f>SUMIFS(super1[Qtde],super1[Item],tab_higiene[[#This Row],[Item]],super1[Bairro],mercado3)+SUMIFS(supercb[Qtde],supercb[Item],tab_higiene[[#This Row],[Item]],supercb[Bairro],mercado3)</f>
        <v>0</v>
      </c>
      <c r="AN279" s="61">
        <f>SUMIFS(super1[Qtde],super1[Item],tab_higiene[[#This Row],[Item]],super1[Bairro],mercado4)+SUMIFS(supercb[Qtde],supercb[Item],tab_higiene[[#This Row],[Item]],supercb[Bairro],mercado4)</f>
        <v>0</v>
      </c>
      <c r="AO279" s="61">
        <f>SUMIFS(super1[Qtde],super1[Item],tab_higiene[[#This Row],[Item]],super1[Bairro],mercado5)+SUMIFS(supercb[Qtde],supercb[Item],tab_higiene[[#This Row],[Item]],supercb[Bairro],mercado5)</f>
        <v>0</v>
      </c>
      <c r="AP279" s="61">
        <f>SUMIFS(super1[Qtde],super1[Item],tab_higiene[[#This Row],[Item]],super1[Bairro],mercado6)+SUMIFS(supercb[Qtde],supercb[Item],tab_higiene[[#This Row],[Item]],supercb[Bairro],mercado6)</f>
        <v>0</v>
      </c>
      <c r="AQ279" s="61">
        <f>SUMIFS(super1[Qtde],super1[Item],tab_higiene[[#This Row],[Item]],super1[Bairro],mercado7)+SUMIFS(supercb[Qtde],supercb[Item],tab_higiene[[#This Row],[Item]],supercb[Bairro],mercado7)</f>
        <v>0</v>
      </c>
      <c r="AR279" s="61">
        <f>SUMIFS(super1[Qtde],super1[Item],tab_higiene[[#This Row],[Item]],super1[Bairro],mercado8)+SUMIFS(supercb[Qtde],supercb[Item],tab_higiene[[#This Row],[Item]],supercb[Bairro],mercado8)</f>
        <v>0</v>
      </c>
      <c r="AS279" s="61">
        <f>SUMIFS(super1[Qtde],super1[Item],tab_higiene[[#This Row],[Item]],super1[Bairro],mercado9)+SUMIFS(supercb[Qtde],supercb[Item],tab_higiene[[#This Row],[Item]],supercb[Bairro],mercado9)</f>
        <v>0</v>
      </c>
      <c r="AT279" s="61">
        <f>SUMIFS(super1[Qtde],super1[Item],tab_higiene[[#This Row],[Item]],super1[Bairro],mercado10)+SUMIFS(supercb[Qtde],supercb[Item],tab_higiene[[#This Row],[Item]],supercb[Bairro],mercado10)</f>
        <v>0</v>
      </c>
      <c r="AU279" s="61">
        <f>SUMIFS(super1[Qtde],super1[Item],tab_higiene[[#This Row],[Item]],super1[Bairro],mercado11)+SUMIFS(supercb[Qtde],supercb[Item],tab_higiene[[#This Row],[Item]],supercb[Bairro],mercado11)</f>
        <v>0</v>
      </c>
      <c r="AV279" s="61">
        <f>SUMIFS(super1[Qtde],super1[Item],tab_higiene[[#This Row],[Item]],super1[Bairro],mercado12)+SUMIFS(supercb[Qtde],supercb[Item],tab_higiene[[#This Row],[Item]],supercb[Bairro],mercado12)</f>
        <v>0</v>
      </c>
      <c r="AW279" s="61">
        <f>SUMIFS(super1[Qtde],super1[Item],tab_higiene[[#This Row],[Item]],super1[Bairro],mercado13)+SUMIFS(supercb[Qtde],supercb[Item],tab_higiene[[#This Row],[Item]],supercb[Bairro],mercado13)</f>
        <v>0</v>
      </c>
      <c r="AX279" s="61">
        <f>SUMIFS(super1[Qtde],super1[Item],tab_higiene[[#This Row],[Item]],super1[Bairro],mercado14)+SUMIFS(supercb[Qtde],supercb[Item],tab_higiene[[#This Row],[Item]],supercb[Bairro],mercado14)</f>
        <v>0</v>
      </c>
      <c r="AY279" s="61">
        <f>SUMIFS(super1[Qtde],super1[Item],tab_higiene[[#This Row],[Item]],super1[Bairro],mercado15)+SUMIFS(supercb[Qtde],supercb[Item],tab_higiene[[#This Row],[Item]],supercb[Bairro],mercado15)</f>
        <v>0</v>
      </c>
      <c r="AZ279" s="61">
        <f>SUMIFS(super1[Qtde],super1[Item],tab_higiene[[#This Row],[Item]],super1[Bairro],mercado16)+SUMIFS(supercb[Qtde],supercb[Item],tab_higiene[[#This Row],[Item]],supercb[Bairro],mercado16)</f>
        <v>0</v>
      </c>
      <c r="BA279" s="61">
        <f>SUMIFS(super1[Qtde],super1[Item],tab_higiene[[#This Row],[Item]],super1[Bairro],mercado17)+SUMIFS(supercb[Qtde],supercb[Item],tab_higiene[[#This Row],[Item]],supercb[Bairro],mercado17)</f>
        <v>0</v>
      </c>
      <c r="BB279" s="61">
        <f>SUMIFS(super1[Qtde],super1[Item],tab_higiene[[#This Row],[Item]],super1[Bairro],mercado18)+SUMIFS(supercb[Qtde],supercb[Item],tab_higiene[[#This Row],[Item]],supercb[Bairro],mercado18)</f>
        <v>0</v>
      </c>
      <c r="BC279" s="51">
        <f>SUMIFS(super1[Qtde],super1[Item],tab_higiene[[#This Row],[Item]],super1[Bairro],extras)+SUMIFS(supercb[Qtde],supercb[Item],tab_higiene[[#This Row],[Item]],supercb[Bairro],extras)</f>
        <v>0</v>
      </c>
      <c r="BD279" s="8">
        <f t="shared" si="85"/>
        <v>0</v>
      </c>
      <c r="BE279" s="8">
        <f t="shared" si="86"/>
        <v>0</v>
      </c>
      <c r="BF279" s="23">
        <f t="shared" si="87"/>
        <v>0</v>
      </c>
    </row>
    <row r="280" spans="9:58" ht="15.75" thickBot="1" x14ac:dyDescent="0.3">
      <c r="I280" s="65" t="e">
        <f>alimentos[[#This Row],[Item]]</f>
        <v>#VALUE!</v>
      </c>
      <c r="J280" s="61">
        <f>IFERROR(alimentos[[#This Row],[kg/embalagem]],0)</f>
        <v>0</v>
      </c>
      <c r="K280" s="64">
        <f>IFERROR(alimentos[[#This Row],[Preço]],0)</f>
        <v>0</v>
      </c>
      <c r="L280" s="64">
        <f>SUMIFS(super1[Qtde],super1[Item],tab_alimentos[[#This Row],[Item]],super1[Bairro],mercado1)+SUMIFS(supercb[Qtde],supercb[Item],tab_alimentos[[#This Row],[Item]],supercb[Bairro],mercado1)</f>
        <v>0</v>
      </c>
      <c r="M280" s="64">
        <f>SUMIFS(super1[Qtde],super1[Item],tab_alimentos[[#This Row],[Item]],super1[Bairro],mercado2)+SUMIFS(supercb[Qtde],supercb[Item],tab_alimentos[[#This Row],[Item]],supercb[Bairro],mercado2)</f>
        <v>0</v>
      </c>
      <c r="N280" s="61">
        <f>SUMIFS(super1[Qtde],super1[Item],tab_alimentos[[#This Row],[Item]],super1[Bairro],mercado3)+SUMIFS(supercb[Qtde],supercb[Item],tab_alimentos[[#This Row],[Item]],supercb[Bairro],mercado3)</f>
        <v>0</v>
      </c>
      <c r="O280" s="64">
        <f>SUMIFS(super1[Qtde],super1[Item],tab_alimentos[[#This Row],[Item]],super1[Bairro],mercado4)+SUMIFS(supercb[Qtde],supercb[Item],tab_alimentos[[#This Row],[Item]],supercb[Bairro],mercado4)</f>
        <v>0</v>
      </c>
      <c r="P280" s="64">
        <f>SUMIFS(super1[Qtde],super1[Item],tab_alimentos[[#This Row],[Item]],super1[Bairro],mercado5)+SUMIFS(supercb[Qtde],supercb[Item],tab_alimentos[[#This Row],[Item]],supercb[Bairro],mercado5)</f>
        <v>0</v>
      </c>
      <c r="Q280" s="64">
        <f>SUMIFS(super1[Qtde],super1[Item],tab_alimentos[[#This Row],[Item]],super1[Bairro],mercado6)+SUMIFS(supercb[Qtde],supercb[Item],tab_alimentos[[#This Row],[Item]],supercb[Bairro],mercado6)</f>
        <v>0</v>
      </c>
      <c r="R280" s="64">
        <f>SUMIFS(super1[Qtde],super1[Item],tab_alimentos[[#This Row],[Item]],super1[Bairro],mercado7)+SUMIFS(supercb[Qtde],supercb[Item],tab_alimentos[[#This Row],[Item]],supercb[Bairro],mercado7)</f>
        <v>0</v>
      </c>
      <c r="S280" s="64">
        <f>SUMIFS(super1[Qtde],super1[Item],tab_alimentos[[#This Row],[Item]],super1[Bairro],mercado8)+SUMIFS(supercb[Qtde],supercb[Item],tab_alimentos[[#This Row],[Item]],supercb[Bairro],mercado8)</f>
        <v>0</v>
      </c>
      <c r="T280" s="64">
        <f>SUMIFS(super1[Qtde],super1[Item],tab_alimentos[[#This Row],[Item]],super1[Bairro],mercado9)+SUMIFS(supercb[Qtde],supercb[Item],tab_alimentos[[#This Row],[Item]],supercb[Bairro],mercado9)</f>
        <v>0</v>
      </c>
      <c r="U280" s="64">
        <f>SUMIFS(super1[Qtde],super1[Item],tab_alimentos[[#This Row],[Item]],super1[Bairro],mercado10)+SUMIFS(supercb[Qtde],supercb[Item],tab_alimentos[[#This Row],[Item]],supercb[Bairro],mercado10)</f>
        <v>0</v>
      </c>
      <c r="V280" s="64">
        <f>SUMIFS(super1[Qtde],super1[Item],tab_alimentos[[#This Row],[Item]],super1[Bairro],mercado11)+SUMIFS(supercb[Qtde],supercb[Item],tab_alimentos[[#This Row],[Item]],supercb[Bairro],mercado11)</f>
        <v>0</v>
      </c>
      <c r="W280" s="64">
        <f>SUMIFS(super1[Qtde],super1[Item],tab_alimentos[[#This Row],[Item]],super1[Bairro],mercado12)+SUMIFS(supercb[Qtde],supercb[Item],tab_alimentos[[#This Row],[Item]],supercb[Bairro],mercado12)</f>
        <v>0</v>
      </c>
      <c r="X280" s="64">
        <f>SUMIFS(super1[Qtde],super1[Item],tab_alimentos[[#This Row],[Item]],super1[Bairro],mercado13)+SUMIFS(supercb[Qtde],supercb[Item],tab_alimentos[[#This Row],[Item]],supercb[Bairro],mercado13)</f>
        <v>0</v>
      </c>
      <c r="Y280" s="64">
        <f>SUMIFS(super1[Qtde],super1[Item],tab_alimentos[[#This Row],[Item]],super1[Bairro],mercado14)+SUMIFS(supercb[Qtde],supercb[Item],tab_alimentos[[#This Row],[Item]],supercb[Bairro],mercado14)</f>
        <v>0</v>
      </c>
      <c r="Z280" s="64">
        <f>SUMIFS(super1[Qtde],super1[Item],tab_alimentos[[#This Row],[Item]],super1[Bairro],mercado15)+SUMIFS(supercb[Qtde],supercb[Item],tab_alimentos[[#This Row],[Item]],supercb[Bairro],mercado15)</f>
        <v>0</v>
      </c>
      <c r="AA280" s="64">
        <f>SUMIFS(super1[Qtde],super1[Item],tab_alimentos[[#This Row],[Item]],super1[Bairro],mercado16)+SUMIFS(supercb[Qtde],supercb[Item],tab_alimentos[[#This Row],[Item]],supercb[Bairro],mercado16)</f>
        <v>0</v>
      </c>
      <c r="AB280" s="64">
        <f>SUMIFS(super1[Qtde],super1[Item],tab_alimentos[[#This Row],[Item]],super1[Bairro],mercado17)+SUMIFS(supercb[Qtde],supercb[Item],tab_alimentos[[#This Row],[Item]],supercb[Bairro],mercado17)</f>
        <v>0</v>
      </c>
      <c r="AC280" s="64">
        <f>SUMIFS(super1[Qtde],super1[Item],tab_alimentos[[#This Row],[Item]],super1[Bairro],mercado18)+SUMIFS(supercb[Qtde],supercb[Item],tab_alimentos[[#This Row],[Item]],supercb[Bairro],mercado18)</f>
        <v>0</v>
      </c>
      <c r="AD280" s="64">
        <f>SUMIFS(super1[Qtde],super1[Item],tab_alimentos[[#This Row],[Item]],super1[Bairro],extras)+SUMIFS(supercb[Qtde],supercb[Item],tab_alimentos[[#This Row],[Item]],supercb[Bairro],extras)</f>
        <v>0</v>
      </c>
      <c r="AE280" s="61">
        <f t="shared" si="88"/>
        <v>0</v>
      </c>
      <c r="AF280" s="61">
        <f t="shared" si="89"/>
        <v>0</v>
      </c>
      <c r="AG280" s="62">
        <f t="shared" si="90"/>
        <v>0</v>
      </c>
      <c r="AH280" s="15" t="e">
        <f>higiene[[#This Row],[Item]]</f>
        <v>#VALUE!</v>
      </c>
      <c r="AI280" s="8">
        <f>IFERROR(higiene[[#This Row],[Kg equivalente]],0)</f>
        <v>0</v>
      </c>
      <c r="AJ280" s="8">
        <f>IFERROR(higiene[[#This Row],[Preço por produto]],0)</f>
        <v>0</v>
      </c>
      <c r="AK280" s="61">
        <f>SUMIFS(super1[Qtde],super1[Item],tab_higiene[[#This Row],[Item]],super1[Bairro],mercado1)+SUMIFS(supercb[Qtde],supercb[Item],tab_higiene[[#This Row],[Item]],supercb[Bairro],mercado1)</f>
        <v>0</v>
      </c>
      <c r="AL280" s="61">
        <f>SUMIFS(super1[Qtde],super1[Item],tab_higiene[[#This Row],[Item]],super1[Bairro],mercado2)+SUMIFS(supercb[Qtde],supercb[Item],tab_higiene[[#This Row],[Item]],supercb[Bairro],mercado2)</f>
        <v>0</v>
      </c>
      <c r="AM280" s="61">
        <f>SUMIFS(super1[Qtde],super1[Item],tab_higiene[[#This Row],[Item]],super1[Bairro],mercado3)+SUMIFS(supercb[Qtde],supercb[Item],tab_higiene[[#This Row],[Item]],supercb[Bairro],mercado3)</f>
        <v>0</v>
      </c>
      <c r="AN280" s="61">
        <f>SUMIFS(super1[Qtde],super1[Item],tab_higiene[[#This Row],[Item]],super1[Bairro],mercado4)+SUMIFS(supercb[Qtde],supercb[Item],tab_higiene[[#This Row],[Item]],supercb[Bairro],mercado4)</f>
        <v>0</v>
      </c>
      <c r="AO280" s="61">
        <f>SUMIFS(super1[Qtde],super1[Item],tab_higiene[[#This Row],[Item]],super1[Bairro],mercado5)+SUMIFS(supercb[Qtde],supercb[Item],tab_higiene[[#This Row],[Item]],supercb[Bairro],mercado5)</f>
        <v>0</v>
      </c>
      <c r="AP280" s="61">
        <f>SUMIFS(super1[Qtde],super1[Item],tab_higiene[[#This Row],[Item]],super1[Bairro],mercado6)+SUMIFS(supercb[Qtde],supercb[Item],tab_higiene[[#This Row],[Item]],supercb[Bairro],mercado6)</f>
        <v>0</v>
      </c>
      <c r="AQ280" s="61">
        <f>SUMIFS(super1[Qtde],super1[Item],tab_higiene[[#This Row],[Item]],super1[Bairro],mercado7)+SUMIFS(supercb[Qtde],supercb[Item],tab_higiene[[#This Row],[Item]],supercb[Bairro],mercado7)</f>
        <v>0</v>
      </c>
      <c r="AR280" s="61">
        <f>SUMIFS(super1[Qtde],super1[Item],tab_higiene[[#This Row],[Item]],super1[Bairro],mercado8)+SUMIFS(supercb[Qtde],supercb[Item],tab_higiene[[#This Row],[Item]],supercb[Bairro],mercado8)</f>
        <v>0</v>
      </c>
      <c r="AS280" s="61">
        <f>SUMIFS(super1[Qtde],super1[Item],tab_higiene[[#This Row],[Item]],super1[Bairro],mercado9)+SUMIFS(supercb[Qtde],supercb[Item],tab_higiene[[#This Row],[Item]],supercb[Bairro],mercado9)</f>
        <v>0</v>
      </c>
      <c r="AT280" s="61">
        <f>SUMIFS(super1[Qtde],super1[Item],tab_higiene[[#This Row],[Item]],super1[Bairro],mercado10)+SUMIFS(supercb[Qtde],supercb[Item],tab_higiene[[#This Row],[Item]],supercb[Bairro],mercado10)</f>
        <v>0</v>
      </c>
      <c r="AU280" s="61">
        <f>SUMIFS(super1[Qtde],super1[Item],tab_higiene[[#This Row],[Item]],super1[Bairro],mercado11)+SUMIFS(supercb[Qtde],supercb[Item],tab_higiene[[#This Row],[Item]],supercb[Bairro],mercado11)</f>
        <v>0</v>
      </c>
      <c r="AV280" s="61">
        <f>SUMIFS(super1[Qtde],super1[Item],tab_higiene[[#This Row],[Item]],super1[Bairro],mercado12)+SUMIFS(supercb[Qtde],supercb[Item],tab_higiene[[#This Row],[Item]],supercb[Bairro],mercado12)</f>
        <v>0</v>
      </c>
      <c r="AW280" s="61">
        <f>SUMIFS(super1[Qtde],super1[Item],tab_higiene[[#This Row],[Item]],super1[Bairro],mercado13)+SUMIFS(supercb[Qtde],supercb[Item],tab_higiene[[#This Row],[Item]],supercb[Bairro],mercado13)</f>
        <v>0</v>
      </c>
      <c r="AX280" s="61">
        <f>SUMIFS(super1[Qtde],super1[Item],tab_higiene[[#This Row],[Item]],super1[Bairro],mercado14)+SUMIFS(supercb[Qtde],supercb[Item],tab_higiene[[#This Row],[Item]],supercb[Bairro],mercado14)</f>
        <v>0</v>
      </c>
      <c r="AY280" s="61">
        <f>SUMIFS(super1[Qtde],super1[Item],tab_higiene[[#This Row],[Item]],super1[Bairro],mercado15)+SUMIFS(supercb[Qtde],supercb[Item],tab_higiene[[#This Row],[Item]],supercb[Bairro],mercado15)</f>
        <v>0</v>
      </c>
      <c r="AZ280" s="61">
        <f>SUMIFS(super1[Qtde],super1[Item],tab_higiene[[#This Row],[Item]],super1[Bairro],mercado16)+SUMIFS(supercb[Qtde],supercb[Item],tab_higiene[[#This Row],[Item]],supercb[Bairro],mercado16)</f>
        <v>0</v>
      </c>
      <c r="BA280" s="61">
        <f>SUMIFS(super1[Qtde],super1[Item],tab_higiene[[#This Row],[Item]],super1[Bairro],mercado17)+SUMIFS(supercb[Qtde],supercb[Item],tab_higiene[[#This Row],[Item]],supercb[Bairro],mercado17)</f>
        <v>0</v>
      </c>
      <c r="BB280" s="61">
        <f>SUMIFS(super1[Qtde],super1[Item],tab_higiene[[#This Row],[Item]],super1[Bairro],mercado18)+SUMIFS(supercb[Qtde],supercb[Item],tab_higiene[[#This Row],[Item]],supercb[Bairro],mercado18)</f>
        <v>0</v>
      </c>
      <c r="BC280" s="51">
        <f>SUMIFS(super1[Qtde],super1[Item],tab_higiene[[#This Row],[Item]],super1[Bairro],extras)+SUMIFS(supercb[Qtde],supercb[Item],tab_higiene[[#This Row],[Item]],supercb[Bairro],extras)</f>
        <v>0</v>
      </c>
      <c r="BD280" s="8">
        <f t="shared" ref="BD280:BD315" si="91">SUM(AK280:BB280)</f>
        <v>0</v>
      </c>
      <c r="BE280" s="8">
        <f t="shared" ref="BE280:BE315" si="92">IFERROR(BD280*AJ280,0)</f>
        <v>0</v>
      </c>
      <c r="BF280" s="23">
        <f t="shared" ref="BF280:BF315" si="93">IFERROR(AI280*BD280,0)</f>
        <v>0</v>
      </c>
    </row>
    <row r="281" spans="9:58" ht="15.75" thickBot="1" x14ac:dyDescent="0.3">
      <c r="I281" s="65" t="e">
        <f>alimentos[[#This Row],[Item]]</f>
        <v>#VALUE!</v>
      </c>
      <c r="J281" s="61">
        <f>IFERROR(alimentos[[#This Row],[kg/embalagem]],0)</f>
        <v>0</v>
      </c>
      <c r="K281" s="64">
        <f>IFERROR(alimentos[[#This Row],[Preço]],0)</f>
        <v>0</v>
      </c>
      <c r="L281" s="64">
        <f>SUMIFS(super1[Qtde],super1[Item],tab_alimentos[[#This Row],[Item]],super1[Bairro],mercado1)+SUMIFS(supercb[Qtde],supercb[Item],tab_alimentos[[#This Row],[Item]],supercb[Bairro],mercado1)</f>
        <v>0</v>
      </c>
      <c r="M281" s="64">
        <f>SUMIFS(super1[Qtde],super1[Item],tab_alimentos[[#This Row],[Item]],super1[Bairro],mercado2)+SUMIFS(supercb[Qtde],supercb[Item],tab_alimentos[[#This Row],[Item]],supercb[Bairro],mercado2)</f>
        <v>0</v>
      </c>
      <c r="N281" s="61">
        <f>SUMIFS(super1[Qtde],super1[Item],tab_alimentos[[#This Row],[Item]],super1[Bairro],mercado3)+SUMIFS(supercb[Qtde],supercb[Item],tab_alimentos[[#This Row],[Item]],supercb[Bairro],mercado3)</f>
        <v>0</v>
      </c>
      <c r="O281" s="64">
        <f>SUMIFS(super1[Qtde],super1[Item],tab_alimentos[[#This Row],[Item]],super1[Bairro],mercado4)+SUMIFS(supercb[Qtde],supercb[Item],tab_alimentos[[#This Row],[Item]],supercb[Bairro],mercado4)</f>
        <v>0</v>
      </c>
      <c r="P281" s="64">
        <f>SUMIFS(super1[Qtde],super1[Item],tab_alimentos[[#This Row],[Item]],super1[Bairro],mercado5)+SUMIFS(supercb[Qtde],supercb[Item],tab_alimentos[[#This Row],[Item]],supercb[Bairro],mercado5)</f>
        <v>0</v>
      </c>
      <c r="Q281" s="64">
        <f>SUMIFS(super1[Qtde],super1[Item],tab_alimentos[[#This Row],[Item]],super1[Bairro],mercado6)+SUMIFS(supercb[Qtde],supercb[Item],tab_alimentos[[#This Row],[Item]],supercb[Bairro],mercado6)</f>
        <v>0</v>
      </c>
      <c r="R281" s="64">
        <f>SUMIFS(super1[Qtde],super1[Item],tab_alimentos[[#This Row],[Item]],super1[Bairro],mercado7)+SUMIFS(supercb[Qtde],supercb[Item],tab_alimentos[[#This Row],[Item]],supercb[Bairro],mercado7)</f>
        <v>0</v>
      </c>
      <c r="S281" s="64">
        <f>SUMIFS(super1[Qtde],super1[Item],tab_alimentos[[#This Row],[Item]],super1[Bairro],mercado8)+SUMIFS(supercb[Qtde],supercb[Item],tab_alimentos[[#This Row],[Item]],supercb[Bairro],mercado8)</f>
        <v>0</v>
      </c>
      <c r="T281" s="64">
        <f>SUMIFS(super1[Qtde],super1[Item],tab_alimentos[[#This Row],[Item]],super1[Bairro],mercado9)+SUMIFS(supercb[Qtde],supercb[Item],tab_alimentos[[#This Row],[Item]],supercb[Bairro],mercado9)</f>
        <v>0</v>
      </c>
      <c r="U281" s="64">
        <f>SUMIFS(super1[Qtde],super1[Item],tab_alimentos[[#This Row],[Item]],super1[Bairro],mercado10)+SUMIFS(supercb[Qtde],supercb[Item],tab_alimentos[[#This Row],[Item]],supercb[Bairro],mercado10)</f>
        <v>0</v>
      </c>
      <c r="V281" s="64">
        <f>SUMIFS(super1[Qtde],super1[Item],tab_alimentos[[#This Row],[Item]],super1[Bairro],mercado11)+SUMIFS(supercb[Qtde],supercb[Item],tab_alimentos[[#This Row],[Item]],supercb[Bairro],mercado11)</f>
        <v>0</v>
      </c>
      <c r="W281" s="64">
        <f>SUMIFS(super1[Qtde],super1[Item],tab_alimentos[[#This Row],[Item]],super1[Bairro],mercado12)+SUMIFS(supercb[Qtde],supercb[Item],tab_alimentos[[#This Row],[Item]],supercb[Bairro],mercado12)</f>
        <v>0</v>
      </c>
      <c r="X281" s="64">
        <f>SUMIFS(super1[Qtde],super1[Item],tab_alimentos[[#This Row],[Item]],super1[Bairro],mercado13)+SUMIFS(supercb[Qtde],supercb[Item],tab_alimentos[[#This Row],[Item]],supercb[Bairro],mercado13)</f>
        <v>0</v>
      </c>
      <c r="Y281" s="64">
        <f>SUMIFS(super1[Qtde],super1[Item],tab_alimentos[[#This Row],[Item]],super1[Bairro],mercado14)+SUMIFS(supercb[Qtde],supercb[Item],tab_alimentos[[#This Row],[Item]],supercb[Bairro],mercado14)</f>
        <v>0</v>
      </c>
      <c r="Z281" s="64">
        <f>SUMIFS(super1[Qtde],super1[Item],tab_alimentos[[#This Row],[Item]],super1[Bairro],mercado15)+SUMIFS(supercb[Qtde],supercb[Item],tab_alimentos[[#This Row],[Item]],supercb[Bairro],mercado15)</f>
        <v>0</v>
      </c>
      <c r="AA281" s="64">
        <f>SUMIFS(super1[Qtde],super1[Item],tab_alimentos[[#This Row],[Item]],super1[Bairro],mercado16)+SUMIFS(supercb[Qtde],supercb[Item],tab_alimentos[[#This Row],[Item]],supercb[Bairro],mercado16)</f>
        <v>0</v>
      </c>
      <c r="AB281" s="64">
        <f>SUMIFS(super1[Qtde],super1[Item],tab_alimentos[[#This Row],[Item]],super1[Bairro],mercado17)+SUMIFS(supercb[Qtde],supercb[Item],tab_alimentos[[#This Row],[Item]],supercb[Bairro],mercado17)</f>
        <v>0</v>
      </c>
      <c r="AC281" s="64">
        <f>SUMIFS(super1[Qtde],super1[Item],tab_alimentos[[#This Row],[Item]],super1[Bairro],mercado18)+SUMIFS(supercb[Qtde],supercb[Item],tab_alimentos[[#This Row],[Item]],supercb[Bairro],mercado18)</f>
        <v>0</v>
      </c>
      <c r="AD281" s="64">
        <f>SUMIFS(super1[Qtde],super1[Item],tab_alimentos[[#This Row],[Item]],super1[Bairro],extras)+SUMIFS(supercb[Qtde],supercb[Item],tab_alimentos[[#This Row],[Item]],supercb[Bairro],extras)</f>
        <v>0</v>
      </c>
      <c r="AE281" s="61">
        <f t="shared" si="88"/>
        <v>0</v>
      </c>
      <c r="AF281" s="61">
        <f t="shared" si="89"/>
        <v>0</v>
      </c>
      <c r="AG281" s="62">
        <f t="shared" si="90"/>
        <v>0</v>
      </c>
      <c r="AH281" s="15" t="e">
        <f>higiene[[#This Row],[Item]]</f>
        <v>#VALUE!</v>
      </c>
      <c r="AI281" s="8">
        <f>IFERROR(higiene[[#This Row],[Kg equivalente]],0)</f>
        <v>0</v>
      </c>
      <c r="AJ281" s="8">
        <f>IFERROR(higiene[[#This Row],[Preço por produto]],0)</f>
        <v>0</v>
      </c>
      <c r="AK281" s="61">
        <f>SUMIFS(super1[Qtde],super1[Item],tab_higiene[[#This Row],[Item]],super1[Bairro],mercado1)+SUMIFS(supercb[Qtde],supercb[Item],tab_higiene[[#This Row],[Item]],supercb[Bairro],mercado1)</f>
        <v>0</v>
      </c>
      <c r="AL281" s="61">
        <f>SUMIFS(super1[Qtde],super1[Item],tab_higiene[[#This Row],[Item]],super1[Bairro],mercado2)+SUMIFS(supercb[Qtde],supercb[Item],tab_higiene[[#This Row],[Item]],supercb[Bairro],mercado2)</f>
        <v>0</v>
      </c>
      <c r="AM281" s="61">
        <f>SUMIFS(super1[Qtde],super1[Item],tab_higiene[[#This Row],[Item]],super1[Bairro],mercado3)+SUMIFS(supercb[Qtde],supercb[Item],tab_higiene[[#This Row],[Item]],supercb[Bairro],mercado3)</f>
        <v>0</v>
      </c>
      <c r="AN281" s="61">
        <f>SUMIFS(super1[Qtde],super1[Item],tab_higiene[[#This Row],[Item]],super1[Bairro],mercado4)+SUMIFS(supercb[Qtde],supercb[Item],tab_higiene[[#This Row],[Item]],supercb[Bairro],mercado4)</f>
        <v>0</v>
      </c>
      <c r="AO281" s="61">
        <f>SUMIFS(super1[Qtde],super1[Item],tab_higiene[[#This Row],[Item]],super1[Bairro],mercado5)+SUMIFS(supercb[Qtde],supercb[Item],tab_higiene[[#This Row],[Item]],supercb[Bairro],mercado5)</f>
        <v>0</v>
      </c>
      <c r="AP281" s="61">
        <f>SUMIFS(super1[Qtde],super1[Item],tab_higiene[[#This Row],[Item]],super1[Bairro],mercado6)+SUMIFS(supercb[Qtde],supercb[Item],tab_higiene[[#This Row],[Item]],supercb[Bairro],mercado6)</f>
        <v>0</v>
      </c>
      <c r="AQ281" s="61">
        <f>SUMIFS(super1[Qtde],super1[Item],tab_higiene[[#This Row],[Item]],super1[Bairro],mercado7)+SUMIFS(supercb[Qtde],supercb[Item],tab_higiene[[#This Row],[Item]],supercb[Bairro],mercado7)</f>
        <v>0</v>
      </c>
      <c r="AR281" s="61">
        <f>SUMIFS(super1[Qtde],super1[Item],tab_higiene[[#This Row],[Item]],super1[Bairro],mercado8)+SUMIFS(supercb[Qtde],supercb[Item],tab_higiene[[#This Row],[Item]],supercb[Bairro],mercado8)</f>
        <v>0</v>
      </c>
      <c r="AS281" s="61">
        <f>SUMIFS(super1[Qtde],super1[Item],tab_higiene[[#This Row],[Item]],super1[Bairro],mercado9)+SUMIFS(supercb[Qtde],supercb[Item],tab_higiene[[#This Row],[Item]],supercb[Bairro],mercado9)</f>
        <v>0</v>
      </c>
      <c r="AT281" s="61">
        <f>SUMIFS(super1[Qtde],super1[Item],tab_higiene[[#This Row],[Item]],super1[Bairro],mercado10)+SUMIFS(supercb[Qtde],supercb[Item],tab_higiene[[#This Row],[Item]],supercb[Bairro],mercado10)</f>
        <v>0</v>
      </c>
      <c r="AU281" s="61">
        <f>SUMIFS(super1[Qtde],super1[Item],tab_higiene[[#This Row],[Item]],super1[Bairro],mercado11)+SUMIFS(supercb[Qtde],supercb[Item],tab_higiene[[#This Row],[Item]],supercb[Bairro],mercado11)</f>
        <v>0</v>
      </c>
      <c r="AV281" s="61">
        <f>SUMIFS(super1[Qtde],super1[Item],tab_higiene[[#This Row],[Item]],super1[Bairro],mercado12)+SUMIFS(supercb[Qtde],supercb[Item],tab_higiene[[#This Row],[Item]],supercb[Bairro],mercado12)</f>
        <v>0</v>
      </c>
      <c r="AW281" s="61">
        <f>SUMIFS(super1[Qtde],super1[Item],tab_higiene[[#This Row],[Item]],super1[Bairro],mercado13)+SUMIFS(supercb[Qtde],supercb[Item],tab_higiene[[#This Row],[Item]],supercb[Bairro],mercado13)</f>
        <v>0</v>
      </c>
      <c r="AX281" s="61">
        <f>SUMIFS(super1[Qtde],super1[Item],tab_higiene[[#This Row],[Item]],super1[Bairro],mercado14)+SUMIFS(supercb[Qtde],supercb[Item],tab_higiene[[#This Row],[Item]],supercb[Bairro],mercado14)</f>
        <v>0</v>
      </c>
      <c r="AY281" s="61">
        <f>SUMIFS(super1[Qtde],super1[Item],tab_higiene[[#This Row],[Item]],super1[Bairro],mercado15)+SUMIFS(supercb[Qtde],supercb[Item],tab_higiene[[#This Row],[Item]],supercb[Bairro],mercado15)</f>
        <v>0</v>
      </c>
      <c r="AZ281" s="61">
        <f>SUMIFS(super1[Qtde],super1[Item],tab_higiene[[#This Row],[Item]],super1[Bairro],mercado16)+SUMIFS(supercb[Qtde],supercb[Item],tab_higiene[[#This Row],[Item]],supercb[Bairro],mercado16)</f>
        <v>0</v>
      </c>
      <c r="BA281" s="61">
        <f>SUMIFS(super1[Qtde],super1[Item],tab_higiene[[#This Row],[Item]],super1[Bairro],mercado17)+SUMIFS(supercb[Qtde],supercb[Item],tab_higiene[[#This Row],[Item]],supercb[Bairro],mercado17)</f>
        <v>0</v>
      </c>
      <c r="BB281" s="61">
        <f>SUMIFS(super1[Qtde],super1[Item],tab_higiene[[#This Row],[Item]],super1[Bairro],mercado18)+SUMIFS(supercb[Qtde],supercb[Item],tab_higiene[[#This Row],[Item]],supercb[Bairro],mercado18)</f>
        <v>0</v>
      </c>
      <c r="BC281" s="51">
        <f>SUMIFS(super1[Qtde],super1[Item],tab_higiene[[#This Row],[Item]],super1[Bairro],extras)+SUMIFS(supercb[Qtde],supercb[Item],tab_higiene[[#This Row],[Item]],supercb[Bairro],extras)</f>
        <v>0</v>
      </c>
      <c r="BD281" s="8">
        <f t="shared" si="91"/>
        <v>0</v>
      </c>
      <c r="BE281" s="8">
        <f t="shared" si="92"/>
        <v>0</v>
      </c>
      <c r="BF281" s="23">
        <f t="shared" si="93"/>
        <v>0</v>
      </c>
    </row>
    <row r="282" spans="9:58" ht="15.75" thickBot="1" x14ac:dyDescent="0.3">
      <c r="I282" s="65" t="e">
        <f>alimentos[[#This Row],[Item]]</f>
        <v>#VALUE!</v>
      </c>
      <c r="J282" s="61">
        <f>IFERROR(alimentos[[#This Row],[kg/embalagem]],0)</f>
        <v>0</v>
      </c>
      <c r="K282" s="64">
        <f>IFERROR(alimentos[[#This Row],[Preço]],0)</f>
        <v>0</v>
      </c>
      <c r="L282" s="64">
        <f>SUMIFS(super1[Qtde],super1[Item],tab_alimentos[[#This Row],[Item]],super1[Bairro],mercado1)+SUMIFS(supercb[Qtde],supercb[Item],tab_alimentos[[#This Row],[Item]],supercb[Bairro],mercado1)</f>
        <v>0</v>
      </c>
      <c r="M282" s="64">
        <f>SUMIFS(super1[Qtde],super1[Item],tab_alimentos[[#This Row],[Item]],super1[Bairro],mercado2)+SUMIFS(supercb[Qtde],supercb[Item],tab_alimentos[[#This Row],[Item]],supercb[Bairro],mercado2)</f>
        <v>0</v>
      </c>
      <c r="N282" s="61">
        <f>SUMIFS(super1[Qtde],super1[Item],tab_alimentos[[#This Row],[Item]],super1[Bairro],mercado3)+SUMIFS(supercb[Qtde],supercb[Item],tab_alimentos[[#This Row],[Item]],supercb[Bairro],mercado3)</f>
        <v>0</v>
      </c>
      <c r="O282" s="64">
        <f>SUMIFS(super1[Qtde],super1[Item],tab_alimentos[[#This Row],[Item]],super1[Bairro],mercado4)+SUMIFS(supercb[Qtde],supercb[Item],tab_alimentos[[#This Row],[Item]],supercb[Bairro],mercado4)</f>
        <v>0</v>
      </c>
      <c r="P282" s="64">
        <f>SUMIFS(super1[Qtde],super1[Item],tab_alimentos[[#This Row],[Item]],super1[Bairro],mercado5)+SUMIFS(supercb[Qtde],supercb[Item],tab_alimentos[[#This Row],[Item]],supercb[Bairro],mercado5)</f>
        <v>0</v>
      </c>
      <c r="Q282" s="64">
        <f>SUMIFS(super1[Qtde],super1[Item],tab_alimentos[[#This Row],[Item]],super1[Bairro],mercado6)+SUMIFS(supercb[Qtde],supercb[Item],tab_alimentos[[#This Row],[Item]],supercb[Bairro],mercado6)</f>
        <v>0</v>
      </c>
      <c r="R282" s="64">
        <f>SUMIFS(super1[Qtde],super1[Item],tab_alimentos[[#This Row],[Item]],super1[Bairro],mercado7)+SUMIFS(supercb[Qtde],supercb[Item],tab_alimentos[[#This Row],[Item]],supercb[Bairro],mercado7)</f>
        <v>0</v>
      </c>
      <c r="S282" s="64">
        <f>SUMIFS(super1[Qtde],super1[Item],tab_alimentos[[#This Row],[Item]],super1[Bairro],mercado8)+SUMIFS(supercb[Qtde],supercb[Item],tab_alimentos[[#This Row],[Item]],supercb[Bairro],mercado8)</f>
        <v>0</v>
      </c>
      <c r="T282" s="64">
        <f>SUMIFS(super1[Qtde],super1[Item],tab_alimentos[[#This Row],[Item]],super1[Bairro],mercado9)+SUMIFS(supercb[Qtde],supercb[Item],tab_alimentos[[#This Row],[Item]],supercb[Bairro],mercado9)</f>
        <v>0</v>
      </c>
      <c r="U282" s="64">
        <f>SUMIFS(super1[Qtde],super1[Item],tab_alimentos[[#This Row],[Item]],super1[Bairro],mercado10)+SUMIFS(supercb[Qtde],supercb[Item],tab_alimentos[[#This Row],[Item]],supercb[Bairro],mercado10)</f>
        <v>0</v>
      </c>
      <c r="V282" s="64">
        <f>SUMIFS(super1[Qtde],super1[Item],tab_alimentos[[#This Row],[Item]],super1[Bairro],mercado11)+SUMIFS(supercb[Qtde],supercb[Item],tab_alimentos[[#This Row],[Item]],supercb[Bairro],mercado11)</f>
        <v>0</v>
      </c>
      <c r="W282" s="64">
        <f>SUMIFS(super1[Qtde],super1[Item],tab_alimentos[[#This Row],[Item]],super1[Bairro],mercado12)+SUMIFS(supercb[Qtde],supercb[Item],tab_alimentos[[#This Row],[Item]],supercb[Bairro],mercado12)</f>
        <v>0</v>
      </c>
      <c r="X282" s="64">
        <f>SUMIFS(super1[Qtde],super1[Item],tab_alimentos[[#This Row],[Item]],super1[Bairro],mercado13)+SUMIFS(supercb[Qtde],supercb[Item],tab_alimentos[[#This Row],[Item]],supercb[Bairro],mercado13)</f>
        <v>0</v>
      </c>
      <c r="Y282" s="64">
        <f>SUMIFS(super1[Qtde],super1[Item],tab_alimentos[[#This Row],[Item]],super1[Bairro],mercado14)+SUMIFS(supercb[Qtde],supercb[Item],tab_alimentos[[#This Row],[Item]],supercb[Bairro],mercado14)</f>
        <v>0</v>
      </c>
      <c r="Z282" s="64">
        <f>SUMIFS(super1[Qtde],super1[Item],tab_alimentos[[#This Row],[Item]],super1[Bairro],mercado15)+SUMIFS(supercb[Qtde],supercb[Item],tab_alimentos[[#This Row],[Item]],supercb[Bairro],mercado15)</f>
        <v>0</v>
      </c>
      <c r="AA282" s="64">
        <f>SUMIFS(super1[Qtde],super1[Item],tab_alimentos[[#This Row],[Item]],super1[Bairro],mercado16)+SUMIFS(supercb[Qtde],supercb[Item],tab_alimentos[[#This Row],[Item]],supercb[Bairro],mercado16)</f>
        <v>0</v>
      </c>
      <c r="AB282" s="64">
        <f>SUMIFS(super1[Qtde],super1[Item],tab_alimentos[[#This Row],[Item]],super1[Bairro],mercado17)+SUMIFS(supercb[Qtde],supercb[Item],tab_alimentos[[#This Row],[Item]],supercb[Bairro],mercado17)</f>
        <v>0</v>
      </c>
      <c r="AC282" s="64">
        <f>SUMIFS(super1[Qtde],super1[Item],tab_alimentos[[#This Row],[Item]],super1[Bairro],mercado18)+SUMIFS(supercb[Qtde],supercb[Item],tab_alimentos[[#This Row],[Item]],supercb[Bairro],mercado18)</f>
        <v>0</v>
      </c>
      <c r="AD282" s="64">
        <f>SUMIFS(super1[Qtde],super1[Item],tab_alimentos[[#This Row],[Item]],super1[Bairro],extras)+SUMIFS(supercb[Qtde],supercb[Item],tab_alimentos[[#This Row],[Item]],supercb[Bairro],extras)</f>
        <v>0</v>
      </c>
      <c r="AE282" s="61">
        <f t="shared" si="88"/>
        <v>0</v>
      </c>
      <c r="AF282" s="61">
        <f t="shared" si="89"/>
        <v>0</v>
      </c>
      <c r="AG282" s="62">
        <f t="shared" si="90"/>
        <v>0</v>
      </c>
      <c r="AH282" s="15" t="e">
        <f>higiene[[#This Row],[Item]]</f>
        <v>#VALUE!</v>
      </c>
      <c r="AI282" s="8">
        <f>IFERROR(higiene[[#This Row],[Kg equivalente]],0)</f>
        <v>0</v>
      </c>
      <c r="AJ282" s="8">
        <f>IFERROR(higiene[[#This Row],[Preço por produto]],0)</f>
        <v>0</v>
      </c>
      <c r="AK282" s="61">
        <f>SUMIFS(super1[Qtde],super1[Item],tab_higiene[[#This Row],[Item]],super1[Bairro],mercado1)+SUMIFS(supercb[Qtde],supercb[Item],tab_higiene[[#This Row],[Item]],supercb[Bairro],mercado1)</f>
        <v>0</v>
      </c>
      <c r="AL282" s="61">
        <f>SUMIFS(super1[Qtde],super1[Item],tab_higiene[[#This Row],[Item]],super1[Bairro],mercado2)+SUMIFS(supercb[Qtde],supercb[Item],tab_higiene[[#This Row],[Item]],supercb[Bairro],mercado2)</f>
        <v>0</v>
      </c>
      <c r="AM282" s="61">
        <f>SUMIFS(super1[Qtde],super1[Item],tab_higiene[[#This Row],[Item]],super1[Bairro],mercado3)+SUMIFS(supercb[Qtde],supercb[Item],tab_higiene[[#This Row],[Item]],supercb[Bairro],mercado3)</f>
        <v>0</v>
      </c>
      <c r="AN282" s="61">
        <f>SUMIFS(super1[Qtde],super1[Item],tab_higiene[[#This Row],[Item]],super1[Bairro],mercado4)+SUMIFS(supercb[Qtde],supercb[Item],tab_higiene[[#This Row],[Item]],supercb[Bairro],mercado4)</f>
        <v>0</v>
      </c>
      <c r="AO282" s="61">
        <f>SUMIFS(super1[Qtde],super1[Item],tab_higiene[[#This Row],[Item]],super1[Bairro],mercado5)+SUMIFS(supercb[Qtde],supercb[Item],tab_higiene[[#This Row],[Item]],supercb[Bairro],mercado5)</f>
        <v>0</v>
      </c>
      <c r="AP282" s="61">
        <f>SUMIFS(super1[Qtde],super1[Item],tab_higiene[[#This Row],[Item]],super1[Bairro],mercado6)+SUMIFS(supercb[Qtde],supercb[Item],tab_higiene[[#This Row],[Item]],supercb[Bairro],mercado6)</f>
        <v>0</v>
      </c>
      <c r="AQ282" s="61">
        <f>SUMIFS(super1[Qtde],super1[Item],tab_higiene[[#This Row],[Item]],super1[Bairro],mercado7)+SUMIFS(supercb[Qtde],supercb[Item],tab_higiene[[#This Row],[Item]],supercb[Bairro],mercado7)</f>
        <v>0</v>
      </c>
      <c r="AR282" s="61">
        <f>SUMIFS(super1[Qtde],super1[Item],tab_higiene[[#This Row],[Item]],super1[Bairro],mercado8)+SUMIFS(supercb[Qtde],supercb[Item],tab_higiene[[#This Row],[Item]],supercb[Bairro],mercado8)</f>
        <v>0</v>
      </c>
      <c r="AS282" s="61">
        <f>SUMIFS(super1[Qtde],super1[Item],tab_higiene[[#This Row],[Item]],super1[Bairro],mercado9)+SUMIFS(supercb[Qtde],supercb[Item],tab_higiene[[#This Row],[Item]],supercb[Bairro],mercado9)</f>
        <v>0</v>
      </c>
      <c r="AT282" s="61">
        <f>SUMIFS(super1[Qtde],super1[Item],tab_higiene[[#This Row],[Item]],super1[Bairro],mercado10)+SUMIFS(supercb[Qtde],supercb[Item],tab_higiene[[#This Row],[Item]],supercb[Bairro],mercado10)</f>
        <v>0</v>
      </c>
      <c r="AU282" s="61">
        <f>SUMIFS(super1[Qtde],super1[Item],tab_higiene[[#This Row],[Item]],super1[Bairro],mercado11)+SUMIFS(supercb[Qtde],supercb[Item],tab_higiene[[#This Row],[Item]],supercb[Bairro],mercado11)</f>
        <v>0</v>
      </c>
      <c r="AV282" s="61">
        <f>SUMIFS(super1[Qtde],super1[Item],tab_higiene[[#This Row],[Item]],super1[Bairro],mercado12)+SUMIFS(supercb[Qtde],supercb[Item],tab_higiene[[#This Row],[Item]],supercb[Bairro],mercado12)</f>
        <v>0</v>
      </c>
      <c r="AW282" s="61">
        <f>SUMIFS(super1[Qtde],super1[Item],tab_higiene[[#This Row],[Item]],super1[Bairro],mercado13)+SUMIFS(supercb[Qtde],supercb[Item],tab_higiene[[#This Row],[Item]],supercb[Bairro],mercado13)</f>
        <v>0</v>
      </c>
      <c r="AX282" s="61">
        <f>SUMIFS(super1[Qtde],super1[Item],tab_higiene[[#This Row],[Item]],super1[Bairro],mercado14)+SUMIFS(supercb[Qtde],supercb[Item],tab_higiene[[#This Row],[Item]],supercb[Bairro],mercado14)</f>
        <v>0</v>
      </c>
      <c r="AY282" s="61">
        <f>SUMIFS(super1[Qtde],super1[Item],tab_higiene[[#This Row],[Item]],super1[Bairro],mercado15)+SUMIFS(supercb[Qtde],supercb[Item],tab_higiene[[#This Row],[Item]],supercb[Bairro],mercado15)</f>
        <v>0</v>
      </c>
      <c r="AZ282" s="61">
        <f>SUMIFS(super1[Qtde],super1[Item],tab_higiene[[#This Row],[Item]],super1[Bairro],mercado16)+SUMIFS(supercb[Qtde],supercb[Item],tab_higiene[[#This Row],[Item]],supercb[Bairro],mercado16)</f>
        <v>0</v>
      </c>
      <c r="BA282" s="61">
        <f>SUMIFS(super1[Qtde],super1[Item],tab_higiene[[#This Row],[Item]],super1[Bairro],mercado17)+SUMIFS(supercb[Qtde],supercb[Item],tab_higiene[[#This Row],[Item]],supercb[Bairro],mercado17)</f>
        <v>0</v>
      </c>
      <c r="BB282" s="61">
        <f>SUMIFS(super1[Qtde],super1[Item],tab_higiene[[#This Row],[Item]],super1[Bairro],mercado18)+SUMIFS(supercb[Qtde],supercb[Item],tab_higiene[[#This Row],[Item]],supercb[Bairro],mercado18)</f>
        <v>0</v>
      </c>
      <c r="BC282" s="51">
        <f>SUMIFS(super1[Qtde],super1[Item],tab_higiene[[#This Row],[Item]],super1[Bairro],extras)+SUMIFS(supercb[Qtde],supercb[Item],tab_higiene[[#This Row],[Item]],supercb[Bairro],extras)</f>
        <v>0</v>
      </c>
      <c r="BD282" s="8">
        <f t="shared" si="91"/>
        <v>0</v>
      </c>
      <c r="BE282" s="8">
        <f t="shared" si="92"/>
        <v>0</v>
      </c>
      <c r="BF282" s="23">
        <f t="shared" si="93"/>
        <v>0</v>
      </c>
    </row>
    <row r="283" spans="9:58" ht="15.75" thickBot="1" x14ac:dyDescent="0.3">
      <c r="I283" s="65" t="e">
        <f>alimentos[[#This Row],[Item]]</f>
        <v>#VALUE!</v>
      </c>
      <c r="J283" s="61">
        <f>IFERROR(alimentos[[#This Row],[kg/embalagem]],0)</f>
        <v>0</v>
      </c>
      <c r="K283" s="64">
        <f>IFERROR(alimentos[[#This Row],[Preço]],0)</f>
        <v>0</v>
      </c>
      <c r="L283" s="64">
        <f>SUMIFS(super1[Qtde],super1[Item],tab_alimentos[[#This Row],[Item]],super1[Bairro],mercado1)+SUMIFS(supercb[Qtde],supercb[Item],tab_alimentos[[#This Row],[Item]],supercb[Bairro],mercado1)</f>
        <v>0</v>
      </c>
      <c r="M283" s="64">
        <f>SUMIFS(super1[Qtde],super1[Item],tab_alimentos[[#This Row],[Item]],super1[Bairro],mercado2)+SUMIFS(supercb[Qtde],supercb[Item],tab_alimentos[[#This Row],[Item]],supercb[Bairro],mercado2)</f>
        <v>0</v>
      </c>
      <c r="N283" s="61">
        <f>SUMIFS(super1[Qtde],super1[Item],tab_alimentos[[#This Row],[Item]],super1[Bairro],mercado3)+SUMIFS(supercb[Qtde],supercb[Item],tab_alimentos[[#This Row],[Item]],supercb[Bairro],mercado3)</f>
        <v>0</v>
      </c>
      <c r="O283" s="64">
        <f>SUMIFS(super1[Qtde],super1[Item],tab_alimentos[[#This Row],[Item]],super1[Bairro],mercado4)+SUMIFS(supercb[Qtde],supercb[Item],tab_alimentos[[#This Row],[Item]],supercb[Bairro],mercado4)</f>
        <v>0</v>
      </c>
      <c r="P283" s="64">
        <f>SUMIFS(super1[Qtde],super1[Item],tab_alimentos[[#This Row],[Item]],super1[Bairro],mercado5)+SUMIFS(supercb[Qtde],supercb[Item],tab_alimentos[[#This Row],[Item]],supercb[Bairro],mercado5)</f>
        <v>0</v>
      </c>
      <c r="Q283" s="64">
        <f>SUMIFS(super1[Qtde],super1[Item],tab_alimentos[[#This Row],[Item]],super1[Bairro],mercado6)+SUMIFS(supercb[Qtde],supercb[Item],tab_alimentos[[#This Row],[Item]],supercb[Bairro],mercado6)</f>
        <v>0</v>
      </c>
      <c r="R283" s="64">
        <f>SUMIFS(super1[Qtde],super1[Item],tab_alimentos[[#This Row],[Item]],super1[Bairro],mercado7)+SUMIFS(supercb[Qtde],supercb[Item],tab_alimentos[[#This Row],[Item]],supercb[Bairro],mercado7)</f>
        <v>0</v>
      </c>
      <c r="S283" s="64">
        <f>SUMIFS(super1[Qtde],super1[Item],tab_alimentos[[#This Row],[Item]],super1[Bairro],mercado8)+SUMIFS(supercb[Qtde],supercb[Item],tab_alimentos[[#This Row],[Item]],supercb[Bairro],mercado8)</f>
        <v>0</v>
      </c>
      <c r="T283" s="64">
        <f>SUMIFS(super1[Qtde],super1[Item],tab_alimentos[[#This Row],[Item]],super1[Bairro],mercado9)+SUMIFS(supercb[Qtde],supercb[Item],tab_alimentos[[#This Row],[Item]],supercb[Bairro],mercado9)</f>
        <v>0</v>
      </c>
      <c r="U283" s="64">
        <f>SUMIFS(super1[Qtde],super1[Item],tab_alimentos[[#This Row],[Item]],super1[Bairro],mercado10)+SUMIFS(supercb[Qtde],supercb[Item],tab_alimentos[[#This Row],[Item]],supercb[Bairro],mercado10)</f>
        <v>0</v>
      </c>
      <c r="V283" s="64">
        <f>SUMIFS(super1[Qtde],super1[Item],tab_alimentos[[#This Row],[Item]],super1[Bairro],mercado11)+SUMIFS(supercb[Qtde],supercb[Item],tab_alimentos[[#This Row],[Item]],supercb[Bairro],mercado11)</f>
        <v>0</v>
      </c>
      <c r="W283" s="64">
        <f>SUMIFS(super1[Qtde],super1[Item],tab_alimentos[[#This Row],[Item]],super1[Bairro],mercado12)+SUMIFS(supercb[Qtde],supercb[Item],tab_alimentos[[#This Row],[Item]],supercb[Bairro],mercado12)</f>
        <v>0</v>
      </c>
      <c r="X283" s="64">
        <f>SUMIFS(super1[Qtde],super1[Item],tab_alimentos[[#This Row],[Item]],super1[Bairro],mercado13)+SUMIFS(supercb[Qtde],supercb[Item],tab_alimentos[[#This Row],[Item]],supercb[Bairro],mercado13)</f>
        <v>0</v>
      </c>
      <c r="Y283" s="64">
        <f>SUMIFS(super1[Qtde],super1[Item],tab_alimentos[[#This Row],[Item]],super1[Bairro],mercado14)+SUMIFS(supercb[Qtde],supercb[Item],tab_alimentos[[#This Row],[Item]],supercb[Bairro],mercado14)</f>
        <v>0</v>
      </c>
      <c r="Z283" s="64">
        <f>SUMIFS(super1[Qtde],super1[Item],tab_alimentos[[#This Row],[Item]],super1[Bairro],mercado15)+SUMIFS(supercb[Qtde],supercb[Item],tab_alimentos[[#This Row],[Item]],supercb[Bairro],mercado15)</f>
        <v>0</v>
      </c>
      <c r="AA283" s="64">
        <f>SUMIFS(super1[Qtde],super1[Item],tab_alimentos[[#This Row],[Item]],super1[Bairro],mercado16)+SUMIFS(supercb[Qtde],supercb[Item],tab_alimentos[[#This Row],[Item]],supercb[Bairro],mercado16)</f>
        <v>0</v>
      </c>
      <c r="AB283" s="64">
        <f>SUMIFS(super1[Qtde],super1[Item],tab_alimentos[[#This Row],[Item]],super1[Bairro],mercado17)+SUMIFS(supercb[Qtde],supercb[Item],tab_alimentos[[#This Row],[Item]],supercb[Bairro],mercado17)</f>
        <v>0</v>
      </c>
      <c r="AC283" s="64">
        <f>SUMIFS(super1[Qtde],super1[Item],tab_alimentos[[#This Row],[Item]],super1[Bairro],mercado18)+SUMIFS(supercb[Qtde],supercb[Item],tab_alimentos[[#This Row],[Item]],supercb[Bairro],mercado18)</f>
        <v>0</v>
      </c>
      <c r="AD283" s="64">
        <f>SUMIFS(super1[Qtde],super1[Item],tab_alimentos[[#This Row],[Item]],super1[Bairro],extras)+SUMIFS(supercb[Qtde],supercb[Item],tab_alimentos[[#This Row],[Item]],supercb[Bairro],extras)</f>
        <v>0</v>
      </c>
      <c r="AE283" s="61">
        <f t="shared" si="88"/>
        <v>0</v>
      </c>
      <c r="AF283" s="61">
        <f t="shared" si="89"/>
        <v>0</v>
      </c>
      <c r="AG283" s="62">
        <f t="shared" si="90"/>
        <v>0</v>
      </c>
      <c r="AH283" s="15" t="e">
        <f>higiene[[#This Row],[Item]]</f>
        <v>#VALUE!</v>
      </c>
      <c r="AI283" s="8">
        <f>IFERROR(higiene[[#This Row],[Kg equivalente]],0)</f>
        <v>0</v>
      </c>
      <c r="AJ283" s="8">
        <f>IFERROR(higiene[[#This Row],[Preço por produto]],0)</f>
        <v>0</v>
      </c>
      <c r="AK283" s="61">
        <f>SUMIFS(super1[Qtde],super1[Item],tab_higiene[[#This Row],[Item]],super1[Bairro],mercado1)+SUMIFS(supercb[Qtde],supercb[Item],tab_higiene[[#This Row],[Item]],supercb[Bairro],mercado1)</f>
        <v>0</v>
      </c>
      <c r="AL283" s="61">
        <f>SUMIFS(super1[Qtde],super1[Item],tab_higiene[[#This Row],[Item]],super1[Bairro],mercado2)+SUMIFS(supercb[Qtde],supercb[Item],tab_higiene[[#This Row],[Item]],supercb[Bairro],mercado2)</f>
        <v>0</v>
      </c>
      <c r="AM283" s="61">
        <f>SUMIFS(super1[Qtde],super1[Item],tab_higiene[[#This Row],[Item]],super1[Bairro],mercado3)+SUMIFS(supercb[Qtde],supercb[Item],tab_higiene[[#This Row],[Item]],supercb[Bairro],mercado3)</f>
        <v>0</v>
      </c>
      <c r="AN283" s="61">
        <f>SUMIFS(super1[Qtde],super1[Item],tab_higiene[[#This Row],[Item]],super1[Bairro],mercado4)+SUMIFS(supercb[Qtde],supercb[Item],tab_higiene[[#This Row],[Item]],supercb[Bairro],mercado4)</f>
        <v>0</v>
      </c>
      <c r="AO283" s="61">
        <f>SUMIFS(super1[Qtde],super1[Item],tab_higiene[[#This Row],[Item]],super1[Bairro],mercado5)+SUMIFS(supercb[Qtde],supercb[Item],tab_higiene[[#This Row],[Item]],supercb[Bairro],mercado5)</f>
        <v>0</v>
      </c>
      <c r="AP283" s="61">
        <f>SUMIFS(super1[Qtde],super1[Item],tab_higiene[[#This Row],[Item]],super1[Bairro],mercado6)+SUMIFS(supercb[Qtde],supercb[Item],tab_higiene[[#This Row],[Item]],supercb[Bairro],mercado6)</f>
        <v>0</v>
      </c>
      <c r="AQ283" s="61">
        <f>SUMIFS(super1[Qtde],super1[Item],tab_higiene[[#This Row],[Item]],super1[Bairro],mercado7)+SUMIFS(supercb[Qtde],supercb[Item],tab_higiene[[#This Row],[Item]],supercb[Bairro],mercado7)</f>
        <v>0</v>
      </c>
      <c r="AR283" s="61">
        <f>SUMIFS(super1[Qtde],super1[Item],tab_higiene[[#This Row],[Item]],super1[Bairro],mercado8)+SUMIFS(supercb[Qtde],supercb[Item],tab_higiene[[#This Row],[Item]],supercb[Bairro],mercado8)</f>
        <v>0</v>
      </c>
      <c r="AS283" s="61">
        <f>SUMIFS(super1[Qtde],super1[Item],tab_higiene[[#This Row],[Item]],super1[Bairro],mercado9)+SUMIFS(supercb[Qtde],supercb[Item],tab_higiene[[#This Row],[Item]],supercb[Bairro],mercado9)</f>
        <v>0</v>
      </c>
      <c r="AT283" s="61">
        <f>SUMIFS(super1[Qtde],super1[Item],tab_higiene[[#This Row],[Item]],super1[Bairro],mercado10)+SUMIFS(supercb[Qtde],supercb[Item],tab_higiene[[#This Row],[Item]],supercb[Bairro],mercado10)</f>
        <v>0</v>
      </c>
      <c r="AU283" s="61">
        <f>SUMIFS(super1[Qtde],super1[Item],tab_higiene[[#This Row],[Item]],super1[Bairro],mercado11)+SUMIFS(supercb[Qtde],supercb[Item],tab_higiene[[#This Row],[Item]],supercb[Bairro],mercado11)</f>
        <v>0</v>
      </c>
      <c r="AV283" s="61">
        <f>SUMIFS(super1[Qtde],super1[Item],tab_higiene[[#This Row],[Item]],super1[Bairro],mercado12)+SUMIFS(supercb[Qtde],supercb[Item],tab_higiene[[#This Row],[Item]],supercb[Bairro],mercado12)</f>
        <v>0</v>
      </c>
      <c r="AW283" s="61">
        <f>SUMIFS(super1[Qtde],super1[Item],tab_higiene[[#This Row],[Item]],super1[Bairro],mercado13)+SUMIFS(supercb[Qtde],supercb[Item],tab_higiene[[#This Row],[Item]],supercb[Bairro],mercado13)</f>
        <v>0</v>
      </c>
      <c r="AX283" s="61">
        <f>SUMIFS(super1[Qtde],super1[Item],tab_higiene[[#This Row],[Item]],super1[Bairro],mercado14)+SUMIFS(supercb[Qtde],supercb[Item],tab_higiene[[#This Row],[Item]],supercb[Bairro],mercado14)</f>
        <v>0</v>
      </c>
      <c r="AY283" s="61">
        <f>SUMIFS(super1[Qtde],super1[Item],tab_higiene[[#This Row],[Item]],super1[Bairro],mercado15)+SUMIFS(supercb[Qtde],supercb[Item],tab_higiene[[#This Row],[Item]],supercb[Bairro],mercado15)</f>
        <v>0</v>
      </c>
      <c r="AZ283" s="61">
        <f>SUMIFS(super1[Qtde],super1[Item],tab_higiene[[#This Row],[Item]],super1[Bairro],mercado16)+SUMIFS(supercb[Qtde],supercb[Item],tab_higiene[[#This Row],[Item]],supercb[Bairro],mercado16)</f>
        <v>0</v>
      </c>
      <c r="BA283" s="61">
        <f>SUMIFS(super1[Qtde],super1[Item],tab_higiene[[#This Row],[Item]],super1[Bairro],mercado17)+SUMIFS(supercb[Qtde],supercb[Item],tab_higiene[[#This Row],[Item]],supercb[Bairro],mercado17)</f>
        <v>0</v>
      </c>
      <c r="BB283" s="61">
        <f>SUMIFS(super1[Qtde],super1[Item],tab_higiene[[#This Row],[Item]],super1[Bairro],mercado18)+SUMIFS(supercb[Qtde],supercb[Item],tab_higiene[[#This Row],[Item]],supercb[Bairro],mercado18)</f>
        <v>0</v>
      </c>
      <c r="BC283" s="51">
        <f>SUMIFS(super1[Qtde],super1[Item],tab_higiene[[#This Row],[Item]],super1[Bairro],extras)+SUMIFS(supercb[Qtde],supercb[Item],tab_higiene[[#This Row],[Item]],supercb[Bairro],extras)</f>
        <v>0</v>
      </c>
      <c r="BD283" s="8">
        <f t="shared" si="91"/>
        <v>0</v>
      </c>
      <c r="BE283" s="8">
        <f t="shared" si="92"/>
        <v>0</v>
      </c>
      <c r="BF283" s="23">
        <f t="shared" si="93"/>
        <v>0</v>
      </c>
    </row>
    <row r="284" spans="9:58" ht="15.75" thickBot="1" x14ac:dyDescent="0.3">
      <c r="I284" s="65" t="e">
        <f>alimentos[[#This Row],[Item]]</f>
        <v>#VALUE!</v>
      </c>
      <c r="J284" s="61">
        <f>IFERROR(alimentos[[#This Row],[kg/embalagem]],0)</f>
        <v>0</v>
      </c>
      <c r="K284" s="64">
        <f>IFERROR(alimentos[[#This Row],[Preço]],0)</f>
        <v>0</v>
      </c>
      <c r="L284" s="64">
        <f>SUMIFS(super1[Qtde],super1[Item],tab_alimentos[[#This Row],[Item]],super1[Bairro],mercado1)+SUMIFS(supercb[Qtde],supercb[Item],tab_alimentos[[#This Row],[Item]],supercb[Bairro],mercado1)</f>
        <v>0</v>
      </c>
      <c r="M284" s="64">
        <f>SUMIFS(super1[Qtde],super1[Item],tab_alimentos[[#This Row],[Item]],super1[Bairro],mercado2)+SUMIFS(supercb[Qtde],supercb[Item],tab_alimentos[[#This Row],[Item]],supercb[Bairro],mercado2)</f>
        <v>0</v>
      </c>
      <c r="N284" s="61">
        <f>SUMIFS(super1[Qtde],super1[Item],tab_alimentos[[#This Row],[Item]],super1[Bairro],mercado3)+SUMIFS(supercb[Qtde],supercb[Item],tab_alimentos[[#This Row],[Item]],supercb[Bairro],mercado3)</f>
        <v>0</v>
      </c>
      <c r="O284" s="64">
        <f>SUMIFS(super1[Qtde],super1[Item],tab_alimentos[[#This Row],[Item]],super1[Bairro],mercado4)+SUMIFS(supercb[Qtde],supercb[Item],tab_alimentos[[#This Row],[Item]],supercb[Bairro],mercado4)</f>
        <v>0</v>
      </c>
      <c r="P284" s="64">
        <f>SUMIFS(super1[Qtde],super1[Item],tab_alimentos[[#This Row],[Item]],super1[Bairro],mercado5)+SUMIFS(supercb[Qtde],supercb[Item],tab_alimentos[[#This Row],[Item]],supercb[Bairro],mercado5)</f>
        <v>0</v>
      </c>
      <c r="Q284" s="64">
        <f>SUMIFS(super1[Qtde],super1[Item],tab_alimentos[[#This Row],[Item]],super1[Bairro],mercado6)+SUMIFS(supercb[Qtde],supercb[Item],tab_alimentos[[#This Row],[Item]],supercb[Bairro],mercado6)</f>
        <v>0</v>
      </c>
      <c r="R284" s="64">
        <f>SUMIFS(super1[Qtde],super1[Item],tab_alimentos[[#This Row],[Item]],super1[Bairro],mercado7)+SUMIFS(supercb[Qtde],supercb[Item],tab_alimentos[[#This Row],[Item]],supercb[Bairro],mercado7)</f>
        <v>0</v>
      </c>
      <c r="S284" s="64">
        <f>SUMIFS(super1[Qtde],super1[Item],tab_alimentos[[#This Row],[Item]],super1[Bairro],mercado8)+SUMIFS(supercb[Qtde],supercb[Item],tab_alimentos[[#This Row],[Item]],supercb[Bairro],mercado8)</f>
        <v>0</v>
      </c>
      <c r="T284" s="64">
        <f>SUMIFS(super1[Qtde],super1[Item],tab_alimentos[[#This Row],[Item]],super1[Bairro],mercado9)+SUMIFS(supercb[Qtde],supercb[Item],tab_alimentos[[#This Row],[Item]],supercb[Bairro],mercado9)</f>
        <v>0</v>
      </c>
      <c r="U284" s="64">
        <f>SUMIFS(super1[Qtde],super1[Item],tab_alimentos[[#This Row],[Item]],super1[Bairro],mercado10)+SUMIFS(supercb[Qtde],supercb[Item],tab_alimentos[[#This Row],[Item]],supercb[Bairro],mercado10)</f>
        <v>0</v>
      </c>
      <c r="V284" s="64">
        <f>SUMIFS(super1[Qtde],super1[Item],tab_alimentos[[#This Row],[Item]],super1[Bairro],mercado11)+SUMIFS(supercb[Qtde],supercb[Item],tab_alimentos[[#This Row],[Item]],supercb[Bairro],mercado11)</f>
        <v>0</v>
      </c>
      <c r="W284" s="64">
        <f>SUMIFS(super1[Qtde],super1[Item],tab_alimentos[[#This Row],[Item]],super1[Bairro],mercado12)+SUMIFS(supercb[Qtde],supercb[Item],tab_alimentos[[#This Row],[Item]],supercb[Bairro],mercado12)</f>
        <v>0</v>
      </c>
      <c r="X284" s="64">
        <f>SUMIFS(super1[Qtde],super1[Item],tab_alimentos[[#This Row],[Item]],super1[Bairro],mercado13)+SUMIFS(supercb[Qtde],supercb[Item],tab_alimentos[[#This Row],[Item]],supercb[Bairro],mercado13)</f>
        <v>0</v>
      </c>
      <c r="Y284" s="64">
        <f>SUMIFS(super1[Qtde],super1[Item],tab_alimentos[[#This Row],[Item]],super1[Bairro],mercado14)+SUMIFS(supercb[Qtde],supercb[Item],tab_alimentos[[#This Row],[Item]],supercb[Bairro],mercado14)</f>
        <v>0</v>
      </c>
      <c r="Z284" s="64">
        <f>SUMIFS(super1[Qtde],super1[Item],tab_alimentos[[#This Row],[Item]],super1[Bairro],mercado15)+SUMIFS(supercb[Qtde],supercb[Item],tab_alimentos[[#This Row],[Item]],supercb[Bairro],mercado15)</f>
        <v>0</v>
      </c>
      <c r="AA284" s="64">
        <f>SUMIFS(super1[Qtde],super1[Item],tab_alimentos[[#This Row],[Item]],super1[Bairro],mercado16)+SUMIFS(supercb[Qtde],supercb[Item],tab_alimentos[[#This Row],[Item]],supercb[Bairro],mercado16)</f>
        <v>0</v>
      </c>
      <c r="AB284" s="64">
        <f>SUMIFS(super1[Qtde],super1[Item],tab_alimentos[[#This Row],[Item]],super1[Bairro],mercado17)+SUMIFS(supercb[Qtde],supercb[Item],tab_alimentos[[#This Row],[Item]],supercb[Bairro],mercado17)</f>
        <v>0</v>
      </c>
      <c r="AC284" s="64">
        <f>SUMIFS(super1[Qtde],super1[Item],tab_alimentos[[#This Row],[Item]],super1[Bairro],mercado18)+SUMIFS(supercb[Qtde],supercb[Item],tab_alimentos[[#This Row],[Item]],supercb[Bairro],mercado18)</f>
        <v>0</v>
      </c>
      <c r="AD284" s="64">
        <f>SUMIFS(super1[Qtde],super1[Item],tab_alimentos[[#This Row],[Item]],super1[Bairro],extras)+SUMIFS(supercb[Qtde],supercb[Item],tab_alimentos[[#This Row],[Item]],supercb[Bairro],extras)</f>
        <v>0</v>
      </c>
      <c r="AE284" s="61">
        <f t="shared" si="88"/>
        <v>0</v>
      </c>
      <c r="AF284" s="61">
        <f t="shared" si="89"/>
        <v>0</v>
      </c>
      <c r="AG284" s="62">
        <f t="shared" si="90"/>
        <v>0</v>
      </c>
      <c r="AH284" s="15" t="e">
        <f>higiene[[#This Row],[Item]]</f>
        <v>#VALUE!</v>
      </c>
      <c r="AI284" s="8">
        <f>IFERROR(higiene[[#This Row],[Kg equivalente]],0)</f>
        <v>0</v>
      </c>
      <c r="AJ284" s="8">
        <f>IFERROR(higiene[[#This Row],[Preço por produto]],0)</f>
        <v>0</v>
      </c>
      <c r="AK284" s="61">
        <f>SUMIFS(super1[Qtde],super1[Item],tab_higiene[[#This Row],[Item]],super1[Bairro],mercado1)+SUMIFS(supercb[Qtde],supercb[Item],tab_higiene[[#This Row],[Item]],supercb[Bairro],mercado1)</f>
        <v>0</v>
      </c>
      <c r="AL284" s="61">
        <f>SUMIFS(super1[Qtde],super1[Item],tab_higiene[[#This Row],[Item]],super1[Bairro],mercado2)+SUMIFS(supercb[Qtde],supercb[Item],tab_higiene[[#This Row],[Item]],supercb[Bairro],mercado2)</f>
        <v>0</v>
      </c>
      <c r="AM284" s="61">
        <f>SUMIFS(super1[Qtde],super1[Item],tab_higiene[[#This Row],[Item]],super1[Bairro],mercado3)+SUMIFS(supercb[Qtde],supercb[Item],tab_higiene[[#This Row],[Item]],supercb[Bairro],mercado3)</f>
        <v>0</v>
      </c>
      <c r="AN284" s="61">
        <f>SUMIFS(super1[Qtde],super1[Item],tab_higiene[[#This Row],[Item]],super1[Bairro],mercado4)+SUMIFS(supercb[Qtde],supercb[Item],tab_higiene[[#This Row],[Item]],supercb[Bairro],mercado4)</f>
        <v>0</v>
      </c>
      <c r="AO284" s="61">
        <f>SUMIFS(super1[Qtde],super1[Item],tab_higiene[[#This Row],[Item]],super1[Bairro],mercado5)+SUMIFS(supercb[Qtde],supercb[Item],tab_higiene[[#This Row],[Item]],supercb[Bairro],mercado5)</f>
        <v>0</v>
      </c>
      <c r="AP284" s="61">
        <f>SUMIFS(super1[Qtde],super1[Item],tab_higiene[[#This Row],[Item]],super1[Bairro],mercado6)+SUMIFS(supercb[Qtde],supercb[Item],tab_higiene[[#This Row],[Item]],supercb[Bairro],mercado6)</f>
        <v>0</v>
      </c>
      <c r="AQ284" s="61">
        <f>SUMIFS(super1[Qtde],super1[Item],tab_higiene[[#This Row],[Item]],super1[Bairro],mercado7)+SUMIFS(supercb[Qtde],supercb[Item],tab_higiene[[#This Row],[Item]],supercb[Bairro],mercado7)</f>
        <v>0</v>
      </c>
      <c r="AR284" s="61">
        <f>SUMIFS(super1[Qtde],super1[Item],tab_higiene[[#This Row],[Item]],super1[Bairro],mercado8)+SUMIFS(supercb[Qtde],supercb[Item],tab_higiene[[#This Row],[Item]],supercb[Bairro],mercado8)</f>
        <v>0</v>
      </c>
      <c r="AS284" s="61">
        <f>SUMIFS(super1[Qtde],super1[Item],tab_higiene[[#This Row],[Item]],super1[Bairro],mercado9)+SUMIFS(supercb[Qtde],supercb[Item],tab_higiene[[#This Row],[Item]],supercb[Bairro],mercado9)</f>
        <v>0</v>
      </c>
      <c r="AT284" s="61">
        <f>SUMIFS(super1[Qtde],super1[Item],tab_higiene[[#This Row],[Item]],super1[Bairro],mercado10)+SUMIFS(supercb[Qtde],supercb[Item],tab_higiene[[#This Row],[Item]],supercb[Bairro],mercado10)</f>
        <v>0</v>
      </c>
      <c r="AU284" s="61">
        <f>SUMIFS(super1[Qtde],super1[Item],tab_higiene[[#This Row],[Item]],super1[Bairro],mercado11)+SUMIFS(supercb[Qtde],supercb[Item],tab_higiene[[#This Row],[Item]],supercb[Bairro],mercado11)</f>
        <v>0</v>
      </c>
      <c r="AV284" s="61">
        <f>SUMIFS(super1[Qtde],super1[Item],tab_higiene[[#This Row],[Item]],super1[Bairro],mercado12)+SUMIFS(supercb[Qtde],supercb[Item],tab_higiene[[#This Row],[Item]],supercb[Bairro],mercado12)</f>
        <v>0</v>
      </c>
      <c r="AW284" s="61">
        <f>SUMIFS(super1[Qtde],super1[Item],tab_higiene[[#This Row],[Item]],super1[Bairro],mercado13)+SUMIFS(supercb[Qtde],supercb[Item],tab_higiene[[#This Row],[Item]],supercb[Bairro],mercado13)</f>
        <v>0</v>
      </c>
      <c r="AX284" s="61">
        <f>SUMIFS(super1[Qtde],super1[Item],tab_higiene[[#This Row],[Item]],super1[Bairro],mercado14)+SUMIFS(supercb[Qtde],supercb[Item],tab_higiene[[#This Row],[Item]],supercb[Bairro],mercado14)</f>
        <v>0</v>
      </c>
      <c r="AY284" s="61">
        <f>SUMIFS(super1[Qtde],super1[Item],tab_higiene[[#This Row],[Item]],super1[Bairro],mercado15)+SUMIFS(supercb[Qtde],supercb[Item],tab_higiene[[#This Row],[Item]],supercb[Bairro],mercado15)</f>
        <v>0</v>
      </c>
      <c r="AZ284" s="61">
        <f>SUMIFS(super1[Qtde],super1[Item],tab_higiene[[#This Row],[Item]],super1[Bairro],mercado16)+SUMIFS(supercb[Qtde],supercb[Item],tab_higiene[[#This Row],[Item]],supercb[Bairro],mercado16)</f>
        <v>0</v>
      </c>
      <c r="BA284" s="61">
        <f>SUMIFS(super1[Qtde],super1[Item],tab_higiene[[#This Row],[Item]],super1[Bairro],mercado17)+SUMIFS(supercb[Qtde],supercb[Item],tab_higiene[[#This Row],[Item]],supercb[Bairro],mercado17)</f>
        <v>0</v>
      </c>
      <c r="BB284" s="61">
        <f>SUMIFS(super1[Qtde],super1[Item],tab_higiene[[#This Row],[Item]],super1[Bairro],mercado18)+SUMIFS(supercb[Qtde],supercb[Item],tab_higiene[[#This Row],[Item]],supercb[Bairro],mercado18)</f>
        <v>0</v>
      </c>
      <c r="BC284" s="51">
        <f>SUMIFS(super1[Qtde],super1[Item],tab_higiene[[#This Row],[Item]],super1[Bairro],extras)+SUMIFS(supercb[Qtde],supercb[Item],tab_higiene[[#This Row],[Item]],supercb[Bairro],extras)</f>
        <v>0</v>
      </c>
      <c r="BD284" s="8">
        <f t="shared" si="91"/>
        <v>0</v>
      </c>
      <c r="BE284" s="8">
        <f t="shared" si="92"/>
        <v>0</v>
      </c>
      <c r="BF284" s="23">
        <f t="shared" si="93"/>
        <v>0</v>
      </c>
    </row>
    <row r="285" spans="9:58" ht="15.75" thickBot="1" x14ac:dyDescent="0.3">
      <c r="I285" s="65" t="e">
        <f>alimentos[[#This Row],[Item]]</f>
        <v>#VALUE!</v>
      </c>
      <c r="J285" s="61">
        <f>IFERROR(alimentos[[#This Row],[kg/embalagem]],0)</f>
        <v>0</v>
      </c>
      <c r="K285" s="64">
        <f>IFERROR(alimentos[[#This Row],[Preço]],0)</f>
        <v>0</v>
      </c>
      <c r="L285" s="64">
        <f>SUMIFS(super1[Qtde],super1[Item],tab_alimentos[[#This Row],[Item]],super1[Bairro],mercado1)+SUMIFS(supercb[Qtde],supercb[Item],tab_alimentos[[#This Row],[Item]],supercb[Bairro],mercado1)</f>
        <v>0</v>
      </c>
      <c r="M285" s="64">
        <f>SUMIFS(super1[Qtde],super1[Item],tab_alimentos[[#This Row],[Item]],super1[Bairro],mercado2)+SUMIFS(supercb[Qtde],supercb[Item],tab_alimentos[[#This Row],[Item]],supercb[Bairro],mercado2)</f>
        <v>0</v>
      </c>
      <c r="N285" s="61">
        <f>SUMIFS(super1[Qtde],super1[Item],tab_alimentos[[#This Row],[Item]],super1[Bairro],mercado3)+SUMIFS(supercb[Qtde],supercb[Item],tab_alimentos[[#This Row],[Item]],supercb[Bairro],mercado3)</f>
        <v>0</v>
      </c>
      <c r="O285" s="64">
        <f>SUMIFS(super1[Qtde],super1[Item],tab_alimentos[[#This Row],[Item]],super1[Bairro],mercado4)+SUMIFS(supercb[Qtde],supercb[Item],tab_alimentos[[#This Row],[Item]],supercb[Bairro],mercado4)</f>
        <v>0</v>
      </c>
      <c r="P285" s="64">
        <f>SUMIFS(super1[Qtde],super1[Item],tab_alimentos[[#This Row],[Item]],super1[Bairro],mercado5)+SUMIFS(supercb[Qtde],supercb[Item],tab_alimentos[[#This Row],[Item]],supercb[Bairro],mercado5)</f>
        <v>0</v>
      </c>
      <c r="Q285" s="64">
        <f>SUMIFS(super1[Qtde],super1[Item],tab_alimentos[[#This Row],[Item]],super1[Bairro],mercado6)+SUMIFS(supercb[Qtde],supercb[Item],tab_alimentos[[#This Row],[Item]],supercb[Bairro],mercado6)</f>
        <v>0</v>
      </c>
      <c r="R285" s="64">
        <f>SUMIFS(super1[Qtde],super1[Item],tab_alimentos[[#This Row],[Item]],super1[Bairro],mercado7)+SUMIFS(supercb[Qtde],supercb[Item],tab_alimentos[[#This Row],[Item]],supercb[Bairro],mercado7)</f>
        <v>0</v>
      </c>
      <c r="S285" s="64">
        <f>SUMIFS(super1[Qtde],super1[Item],tab_alimentos[[#This Row],[Item]],super1[Bairro],mercado8)+SUMIFS(supercb[Qtde],supercb[Item],tab_alimentos[[#This Row],[Item]],supercb[Bairro],mercado8)</f>
        <v>0</v>
      </c>
      <c r="T285" s="64">
        <f>SUMIFS(super1[Qtde],super1[Item],tab_alimentos[[#This Row],[Item]],super1[Bairro],mercado9)+SUMIFS(supercb[Qtde],supercb[Item],tab_alimentos[[#This Row],[Item]],supercb[Bairro],mercado9)</f>
        <v>0</v>
      </c>
      <c r="U285" s="64">
        <f>SUMIFS(super1[Qtde],super1[Item],tab_alimentos[[#This Row],[Item]],super1[Bairro],mercado10)+SUMIFS(supercb[Qtde],supercb[Item],tab_alimentos[[#This Row],[Item]],supercb[Bairro],mercado10)</f>
        <v>0</v>
      </c>
      <c r="V285" s="64">
        <f>SUMIFS(super1[Qtde],super1[Item],tab_alimentos[[#This Row],[Item]],super1[Bairro],mercado11)+SUMIFS(supercb[Qtde],supercb[Item],tab_alimentos[[#This Row],[Item]],supercb[Bairro],mercado11)</f>
        <v>0</v>
      </c>
      <c r="W285" s="64">
        <f>SUMIFS(super1[Qtde],super1[Item],tab_alimentos[[#This Row],[Item]],super1[Bairro],mercado12)+SUMIFS(supercb[Qtde],supercb[Item],tab_alimentos[[#This Row],[Item]],supercb[Bairro],mercado12)</f>
        <v>0</v>
      </c>
      <c r="X285" s="64">
        <f>SUMIFS(super1[Qtde],super1[Item],tab_alimentos[[#This Row],[Item]],super1[Bairro],mercado13)+SUMIFS(supercb[Qtde],supercb[Item],tab_alimentos[[#This Row],[Item]],supercb[Bairro],mercado13)</f>
        <v>0</v>
      </c>
      <c r="Y285" s="64">
        <f>SUMIFS(super1[Qtde],super1[Item],tab_alimentos[[#This Row],[Item]],super1[Bairro],mercado14)+SUMIFS(supercb[Qtde],supercb[Item],tab_alimentos[[#This Row],[Item]],supercb[Bairro],mercado14)</f>
        <v>0</v>
      </c>
      <c r="Z285" s="64">
        <f>SUMIFS(super1[Qtde],super1[Item],tab_alimentos[[#This Row],[Item]],super1[Bairro],mercado15)+SUMIFS(supercb[Qtde],supercb[Item],tab_alimentos[[#This Row],[Item]],supercb[Bairro],mercado15)</f>
        <v>0</v>
      </c>
      <c r="AA285" s="64">
        <f>SUMIFS(super1[Qtde],super1[Item],tab_alimentos[[#This Row],[Item]],super1[Bairro],mercado16)+SUMIFS(supercb[Qtde],supercb[Item],tab_alimentos[[#This Row],[Item]],supercb[Bairro],mercado16)</f>
        <v>0</v>
      </c>
      <c r="AB285" s="64">
        <f>SUMIFS(super1[Qtde],super1[Item],tab_alimentos[[#This Row],[Item]],super1[Bairro],mercado17)+SUMIFS(supercb[Qtde],supercb[Item],tab_alimentos[[#This Row],[Item]],supercb[Bairro],mercado17)</f>
        <v>0</v>
      </c>
      <c r="AC285" s="64">
        <f>SUMIFS(super1[Qtde],super1[Item],tab_alimentos[[#This Row],[Item]],super1[Bairro],mercado18)+SUMIFS(supercb[Qtde],supercb[Item],tab_alimentos[[#This Row],[Item]],supercb[Bairro],mercado18)</f>
        <v>0</v>
      </c>
      <c r="AD285" s="64">
        <f>SUMIFS(super1[Qtde],super1[Item],tab_alimentos[[#This Row],[Item]],super1[Bairro],extras)+SUMIFS(supercb[Qtde],supercb[Item],tab_alimentos[[#This Row],[Item]],supercb[Bairro],extras)</f>
        <v>0</v>
      </c>
      <c r="AE285" s="61">
        <f t="shared" si="88"/>
        <v>0</v>
      </c>
      <c r="AF285" s="61">
        <f t="shared" si="89"/>
        <v>0</v>
      </c>
      <c r="AG285" s="62">
        <f t="shared" si="90"/>
        <v>0</v>
      </c>
      <c r="AH285" s="15" t="e">
        <f>higiene[[#This Row],[Item]]</f>
        <v>#VALUE!</v>
      </c>
      <c r="AI285" s="8">
        <f>IFERROR(higiene[[#This Row],[Kg equivalente]],0)</f>
        <v>0</v>
      </c>
      <c r="AJ285" s="8">
        <f>IFERROR(higiene[[#This Row],[Preço por produto]],0)</f>
        <v>0</v>
      </c>
      <c r="AK285" s="61">
        <f>SUMIFS(super1[Qtde],super1[Item],tab_higiene[[#This Row],[Item]],super1[Bairro],mercado1)+SUMIFS(supercb[Qtde],supercb[Item],tab_higiene[[#This Row],[Item]],supercb[Bairro],mercado1)</f>
        <v>0</v>
      </c>
      <c r="AL285" s="61">
        <f>SUMIFS(super1[Qtde],super1[Item],tab_higiene[[#This Row],[Item]],super1[Bairro],mercado2)+SUMIFS(supercb[Qtde],supercb[Item],tab_higiene[[#This Row],[Item]],supercb[Bairro],mercado2)</f>
        <v>0</v>
      </c>
      <c r="AM285" s="61">
        <f>SUMIFS(super1[Qtde],super1[Item],tab_higiene[[#This Row],[Item]],super1[Bairro],mercado3)+SUMIFS(supercb[Qtde],supercb[Item],tab_higiene[[#This Row],[Item]],supercb[Bairro],mercado3)</f>
        <v>0</v>
      </c>
      <c r="AN285" s="61">
        <f>SUMIFS(super1[Qtde],super1[Item],tab_higiene[[#This Row],[Item]],super1[Bairro],mercado4)+SUMIFS(supercb[Qtde],supercb[Item],tab_higiene[[#This Row],[Item]],supercb[Bairro],mercado4)</f>
        <v>0</v>
      </c>
      <c r="AO285" s="61">
        <f>SUMIFS(super1[Qtde],super1[Item],tab_higiene[[#This Row],[Item]],super1[Bairro],mercado5)+SUMIFS(supercb[Qtde],supercb[Item],tab_higiene[[#This Row],[Item]],supercb[Bairro],mercado5)</f>
        <v>0</v>
      </c>
      <c r="AP285" s="61">
        <f>SUMIFS(super1[Qtde],super1[Item],tab_higiene[[#This Row],[Item]],super1[Bairro],mercado6)+SUMIFS(supercb[Qtde],supercb[Item],tab_higiene[[#This Row],[Item]],supercb[Bairro],mercado6)</f>
        <v>0</v>
      </c>
      <c r="AQ285" s="61">
        <f>SUMIFS(super1[Qtde],super1[Item],tab_higiene[[#This Row],[Item]],super1[Bairro],mercado7)+SUMIFS(supercb[Qtde],supercb[Item],tab_higiene[[#This Row],[Item]],supercb[Bairro],mercado7)</f>
        <v>0</v>
      </c>
      <c r="AR285" s="61">
        <f>SUMIFS(super1[Qtde],super1[Item],tab_higiene[[#This Row],[Item]],super1[Bairro],mercado8)+SUMIFS(supercb[Qtde],supercb[Item],tab_higiene[[#This Row],[Item]],supercb[Bairro],mercado8)</f>
        <v>0</v>
      </c>
      <c r="AS285" s="61">
        <f>SUMIFS(super1[Qtde],super1[Item],tab_higiene[[#This Row],[Item]],super1[Bairro],mercado9)+SUMIFS(supercb[Qtde],supercb[Item],tab_higiene[[#This Row],[Item]],supercb[Bairro],mercado9)</f>
        <v>0</v>
      </c>
      <c r="AT285" s="61">
        <f>SUMIFS(super1[Qtde],super1[Item],tab_higiene[[#This Row],[Item]],super1[Bairro],mercado10)+SUMIFS(supercb[Qtde],supercb[Item],tab_higiene[[#This Row],[Item]],supercb[Bairro],mercado10)</f>
        <v>0</v>
      </c>
      <c r="AU285" s="61">
        <f>SUMIFS(super1[Qtde],super1[Item],tab_higiene[[#This Row],[Item]],super1[Bairro],mercado11)+SUMIFS(supercb[Qtde],supercb[Item],tab_higiene[[#This Row],[Item]],supercb[Bairro],mercado11)</f>
        <v>0</v>
      </c>
      <c r="AV285" s="61">
        <f>SUMIFS(super1[Qtde],super1[Item],tab_higiene[[#This Row],[Item]],super1[Bairro],mercado12)+SUMIFS(supercb[Qtde],supercb[Item],tab_higiene[[#This Row],[Item]],supercb[Bairro],mercado12)</f>
        <v>0</v>
      </c>
      <c r="AW285" s="61">
        <f>SUMIFS(super1[Qtde],super1[Item],tab_higiene[[#This Row],[Item]],super1[Bairro],mercado13)+SUMIFS(supercb[Qtde],supercb[Item],tab_higiene[[#This Row],[Item]],supercb[Bairro],mercado13)</f>
        <v>0</v>
      </c>
      <c r="AX285" s="61">
        <f>SUMIFS(super1[Qtde],super1[Item],tab_higiene[[#This Row],[Item]],super1[Bairro],mercado14)+SUMIFS(supercb[Qtde],supercb[Item],tab_higiene[[#This Row],[Item]],supercb[Bairro],mercado14)</f>
        <v>0</v>
      </c>
      <c r="AY285" s="61">
        <f>SUMIFS(super1[Qtde],super1[Item],tab_higiene[[#This Row],[Item]],super1[Bairro],mercado15)+SUMIFS(supercb[Qtde],supercb[Item],tab_higiene[[#This Row],[Item]],supercb[Bairro],mercado15)</f>
        <v>0</v>
      </c>
      <c r="AZ285" s="61">
        <f>SUMIFS(super1[Qtde],super1[Item],tab_higiene[[#This Row],[Item]],super1[Bairro],mercado16)+SUMIFS(supercb[Qtde],supercb[Item],tab_higiene[[#This Row],[Item]],supercb[Bairro],mercado16)</f>
        <v>0</v>
      </c>
      <c r="BA285" s="61">
        <f>SUMIFS(super1[Qtde],super1[Item],tab_higiene[[#This Row],[Item]],super1[Bairro],mercado17)+SUMIFS(supercb[Qtde],supercb[Item],tab_higiene[[#This Row],[Item]],supercb[Bairro],mercado17)</f>
        <v>0</v>
      </c>
      <c r="BB285" s="61">
        <f>SUMIFS(super1[Qtde],super1[Item],tab_higiene[[#This Row],[Item]],super1[Bairro],mercado18)+SUMIFS(supercb[Qtde],supercb[Item],tab_higiene[[#This Row],[Item]],supercb[Bairro],mercado18)</f>
        <v>0</v>
      </c>
      <c r="BC285" s="51">
        <f>SUMIFS(super1[Qtde],super1[Item],tab_higiene[[#This Row],[Item]],super1[Bairro],extras)+SUMIFS(supercb[Qtde],supercb[Item],tab_higiene[[#This Row],[Item]],supercb[Bairro],extras)</f>
        <v>0</v>
      </c>
      <c r="BD285" s="8">
        <f t="shared" si="91"/>
        <v>0</v>
      </c>
      <c r="BE285" s="8">
        <f t="shared" si="92"/>
        <v>0</v>
      </c>
      <c r="BF285" s="23">
        <f t="shared" si="93"/>
        <v>0</v>
      </c>
    </row>
    <row r="286" spans="9:58" ht="15.75" thickBot="1" x14ac:dyDescent="0.3">
      <c r="I286" s="65" t="e">
        <f>alimentos[[#This Row],[Item]]</f>
        <v>#VALUE!</v>
      </c>
      <c r="J286" s="61">
        <f>IFERROR(alimentos[[#This Row],[kg/embalagem]],0)</f>
        <v>0</v>
      </c>
      <c r="K286" s="64">
        <f>IFERROR(alimentos[[#This Row],[Preço]],0)</f>
        <v>0</v>
      </c>
      <c r="L286" s="64">
        <f>SUMIFS(super1[Qtde],super1[Item],tab_alimentos[[#This Row],[Item]],super1[Bairro],mercado1)+SUMIFS(supercb[Qtde],supercb[Item],tab_alimentos[[#This Row],[Item]],supercb[Bairro],mercado1)</f>
        <v>0</v>
      </c>
      <c r="M286" s="64">
        <f>SUMIFS(super1[Qtde],super1[Item],tab_alimentos[[#This Row],[Item]],super1[Bairro],mercado2)+SUMIFS(supercb[Qtde],supercb[Item],tab_alimentos[[#This Row],[Item]],supercb[Bairro],mercado2)</f>
        <v>0</v>
      </c>
      <c r="N286" s="61">
        <f>SUMIFS(super1[Qtde],super1[Item],tab_alimentos[[#This Row],[Item]],super1[Bairro],mercado3)+SUMIFS(supercb[Qtde],supercb[Item],tab_alimentos[[#This Row],[Item]],supercb[Bairro],mercado3)</f>
        <v>0</v>
      </c>
      <c r="O286" s="64">
        <f>SUMIFS(super1[Qtde],super1[Item],tab_alimentos[[#This Row],[Item]],super1[Bairro],mercado4)+SUMIFS(supercb[Qtde],supercb[Item],tab_alimentos[[#This Row],[Item]],supercb[Bairro],mercado4)</f>
        <v>0</v>
      </c>
      <c r="P286" s="64">
        <f>SUMIFS(super1[Qtde],super1[Item],tab_alimentos[[#This Row],[Item]],super1[Bairro],mercado5)+SUMIFS(supercb[Qtde],supercb[Item],tab_alimentos[[#This Row],[Item]],supercb[Bairro],mercado5)</f>
        <v>0</v>
      </c>
      <c r="Q286" s="64">
        <f>SUMIFS(super1[Qtde],super1[Item],tab_alimentos[[#This Row],[Item]],super1[Bairro],mercado6)+SUMIFS(supercb[Qtde],supercb[Item],tab_alimentos[[#This Row],[Item]],supercb[Bairro],mercado6)</f>
        <v>0</v>
      </c>
      <c r="R286" s="64">
        <f>SUMIFS(super1[Qtde],super1[Item],tab_alimentos[[#This Row],[Item]],super1[Bairro],mercado7)+SUMIFS(supercb[Qtde],supercb[Item],tab_alimentos[[#This Row],[Item]],supercb[Bairro],mercado7)</f>
        <v>0</v>
      </c>
      <c r="S286" s="64">
        <f>SUMIFS(super1[Qtde],super1[Item],tab_alimentos[[#This Row],[Item]],super1[Bairro],mercado8)+SUMIFS(supercb[Qtde],supercb[Item],tab_alimentos[[#This Row],[Item]],supercb[Bairro],mercado8)</f>
        <v>0</v>
      </c>
      <c r="T286" s="64">
        <f>SUMIFS(super1[Qtde],super1[Item],tab_alimentos[[#This Row],[Item]],super1[Bairro],mercado9)+SUMIFS(supercb[Qtde],supercb[Item],tab_alimentos[[#This Row],[Item]],supercb[Bairro],mercado9)</f>
        <v>0</v>
      </c>
      <c r="U286" s="64">
        <f>SUMIFS(super1[Qtde],super1[Item],tab_alimentos[[#This Row],[Item]],super1[Bairro],mercado10)+SUMIFS(supercb[Qtde],supercb[Item],tab_alimentos[[#This Row],[Item]],supercb[Bairro],mercado10)</f>
        <v>0</v>
      </c>
      <c r="V286" s="64">
        <f>SUMIFS(super1[Qtde],super1[Item],tab_alimentos[[#This Row],[Item]],super1[Bairro],mercado11)+SUMIFS(supercb[Qtde],supercb[Item],tab_alimentos[[#This Row],[Item]],supercb[Bairro],mercado11)</f>
        <v>0</v>
      </c>
      <c r="W286" s="64">
        <f>SUMIFS(super1[Qtde],super1[Item],tab_alimentos[[#This Row],[Item]],super1[Bairro],mercado12)+SUMIFS(supercb[Qtde],supercb[Item],tab_alimentos[[#This Row],[Item]],supercb[Bairro],mercado12)</f>
        <v>0</v>
      </c>
      <c r="X286" s="64">
        <f>SUMIFS(super1[Qtde],super1[Item],tab_alimentos[[#This Row],[Item]],super1[Bairro],mercado13)+SUMIFS(supercb[Qtde],supercb[Item],tab_alimentos[[#This Row],[Item]],supercb[Bairro],mercado13)</f>
        <v>0</v>
      </c>
      <c r="Y286" s="64">
        <f>SUMIFS(super1[Qtde],super1[Item],tab_alimentos[[#This Row],[Item]],super1[Bairro],mercado14)+SUMIFS(supercb[Qtde],supercb[Item],tab_alimentos[[#This Row],[Item]],supercb[Bairro],mercado14)</f>
        <v>0</v>
      </c>
      <c r="Z286" s="64">
        <f>SUMIFS(super1[Qtde],super1[Item],tab_alimentos[[#This Row],[Item]],super1[Bairro],mercado15)+SUMIFS(supercb[Qtde],supercb[Item],tab_alimentos[[#This Row],[Item]],supercb[Bairro],mercado15)</f>
        <v>0</v>
      </c>
      <c r="AA286" s="64">
        <f>SUMIFS(super1[Qtde],super1[Item],tab_alimentos[[#This Row],[Item]],super1[Bairro],mercado16)+SUMIFS(supercb[Qtde],supercb[Item],tab_alimentos[[#This Row],[Item]],supercb[Bairro],mercado16)</f>
        <v>0</v>
      </c>
      <c r="AB286" s="64">
        <f>SUMIFS(super1[Qtde],super1[Item],tab_alimentos[[#This Row],[Item]],super1[Bairro],mercado17)+SUMIFS(supercb[Qtde],supercb[Item],tab_alimentos[[#This Row],[Item]],supercb[Bairro],mercado17)</f>
        <v>0</v>
      </c>
      <c r="AC286" s="64">
        <f>SUMIFS(super1[Qtde],super1[Item],tab_alimentos[[#This Row],[Item]],super1[Bairro],mercado18)+SUMIFS(supercb[Qtde],supercb[Item],tab_alimentos[[#This Row],[Item]],supercb[Bairro],mercado18)</f>
        <v>0</v>
      </c>
      <c r="AD286" s="64">
        <f>SUMIFS(super1[Qtde],super1[Item],tab_alimentos[[#This Row],[Item]],super1[Bairro],extras)+SUMIFS(supercb[Qtde],supercb[Item],tab_alimentos[[#This Row],[Item]],supercb[Bairro],extras)</f>
        <v>0</v>
      </c>
      <c r="AE286" s="61">
        <f t="shared" si="88"/>
        <v>0</v>
      </c>
      <c r="AF286" s="61">
        <f t="shared" si="89"/>
        <v>0</v>
      </c>
      <c r="AG286" s="62">
        <f t="shared" si="90"/>
        <v>0</v>
      </c>
      <c r="AH286" s="15" t="e">
        <f>higiene[[#This Row],[Item]]</f>
        <v>#VALUE!</v>
      </c>
      <c r="AI286" s="8">
        <f>IFERROR(higiene[[#This Row],[Kg equivalente]],0)</f>
        <v>0</v>
      </c>
      <c r="AJ286" s="8">
        <f>IFERROR(higiene[[#This Row],[Preço por produto]],0)</f>
        <v>0</v>
      </c>
      <c r="AK286" s="61">
        <f>SUMIFS(super1[Qtde],super1[Item],tab_higiene[[#This Row],[Item]],super1[Bairro],mercado1)+SUMIFS(supercb[Qtde],supercb[Item],tab_higiene[[#This Row],[Item]],supercb[Bairro],mercado1)</f>
        <v>0</v>
      </c>
      <c r="AL286" s="61">
        <f>SUMIFS(super1[Qtde],super1[Item],tab_higiene[[#This Row],[Item]],super1[Bairro],mercado2)+SUMIFS(supercb[Qtde],supercb[Item],tab_higiene[[#This Row],[Item]],supercb[Bairro],mercado2)</f>
        <v>0</v>
      </c>
      <c r="AM286" s="61">
        <f>SUMIFS(super1[Qtde],super1[Item],tab_higiene[[#This Row],[Item]],super1[Bairro],mercado3)+SUMIFS(supercb[Qtde],supercb[Item],tab_higiene[[#This Row],[Item]],supercb[Bairro],mercado3)</f>
        <v>0</v>
      </c>
      <c r="AN286" s="61">
        <f>SUMIFS(super1[Qtde],super1[Item],tab_higiene[[#This Row],[Item]],super1[Bairro],mercado4)+SUMIFS(supercb[Qtde],supercb[Item],tab_higiene[[#This Row],[Item]],supercb[Bairro],mercado4)</f>
        <v>0</v>
      </c>
      <c r="AO286" s="61">
        <f>SUMIFS(super1[Qtde],super1[Item],tab_higiene[[#This Row],[Item]],super1[Bairro],mercado5)+SUMIFS(supercb[Qtde],supercb[Item],tab_higiene[[#This Row],[Item]],supercb[Bairro],mercado5)</f>
        <v>0</v>
      </c>
      <c r="AP286" s="61">
        <f>SUMIFS(super1[Qtde],super1[Item],tab_higiene[[#This Row],[Item]],super1[Bairro],mercado6)+SUMIFS(supercb[Qtde],supercb[Item],tab_higiene[[#This Row],[Item]],supercb[Bairro],mercado6)</f>
        <v>0</v>
      </c>
      <c r="AQ286" s="61">
        <f>SUMIFS(super1[Qtde],super1[Item],tab_higiene[[#This Row],[Item]],super1[Bairro],mercado7)+SUMIFS(supercb[Qtde],supercb[Item],tab_higiene[[#This Row],[Item]],supercb[Bairro],mercado7)</f>
        <v>0</v>
      </c>
      <c r="AR286" s="61">
        <f>SUMIFS(super1[Qtde],super1[Item],tab_higiene[[#This Row],[Item]],super1[Bairro],mercado8)+SUMIFS(supercb[Qtde],supercb[Item],tab_higiene[[#This Row],[Item]],supercb[Bairro],mercado8)</f>
        <v>0</v>
      </c>
      <c r="AS286" s="61">
        <f>SUMIFS(super1[Qtde],super1[Item],tab_higiene[[#This Row],[Item]],super1[Bairro],mercado9)+SUMIFS(supercb[Qtde],supercb[Item],tab_higiene[[#This Row],[Item]],supercb[Bairro],mercado9)</f>
        <v>0</v>
      </c>
      <c r="AT286" s="61">
        <f>SUMIFS(super1[Qtde],super1[Item],tab_higiene[[#This Row],[Item]],super1[Bairro],mercado10)+SUMIFS(supercb[Qtde],supercb[Item],tab_higiene[[#This Row],[Item]],supercb[Bairro],mercado10)</f>
        <v>0</v>
      </c>
      <c r="AU286" s="61">
        <f>SUMIFS(super1[Qtde],super1[Item],tab_higiene[[#This Row],[Item]],super1[Bairro],mercado11)+SUMIFS(supercb[Qtde],supercb[Item],tab_higiene[[#This Row],[Item]],supercb[Bairro],mercado11)</f>
        <v>0</v>
      </c>
      <c r="AV286" s="61">
        <f>SUMIFS(super1[Qtde],super1[Item],tab_higiene[[#This Row],[Item]],super1[Bairro],mercado12)+SUMIFS(supercb[Qtde],supercb[Item],tab_higiene[[#This Row],[Item]],supercb[Bairro],mercado12)</f>
        <v>0</v>
      </c>
      <c r="AW286" s="61">
        <f>SUMIFS(super1[Qtde],super1[Item],tab_higiene[[#This Row],[Item]],super1[Bairro],mercado13)+SUMIFS(supercb[Qtde],supercb[Item],tab_higiene[[#This Row],[Item]],supercb[Bairro],mercado13)</f>
        <v>0</v>
      </c>
      <c r="AX286" s="61">
        <f>SUMIFS(super1[Qtde],super1[Item],tab_higiene[[#This Row],[Item]],super1[Bairro],mercado14)+SUMIFS(supercb[Qtde],supercb[Item],tab_higiene[[#This Row],[Item]],supercb[Bairro],mercado14)</f>
        <v>0</v>
      </c>
      <c r="AY286" s="61">
        <f>SUMIFS(super1[Qtde],super1[Item],tab_higiene[[#This Row],[Item]],super1[Bairro],mercado15)+SUMIFS(supercb[Qtde],supercb[Item],tab_higiene[[#This Row],[Item]],supercb[Bairro],mercado15)</f>
        <v>0</v>
      </c>
      <c r="AZ286" s="61">
        <f>SUMIFS(super1[Qtde],super1[Item],tab_higiene[[#This Row],[Item]],super1[Bairro],mercado16)+SUMIFS(supercb[Qtde],supercb[Item],tab_higiene[[#This Row],[Item]],supercb[Bairro],mercado16)</f>
        <v>0</v>
      </c>
      <c r="BA286" s="61">
        <f>SUMIFS(super1[Qtde],super1[Item],tab_higiene[[#This Row],[Item]],super1[Bairro],mercado17)+SUMIFS(supercb[Qtde],supercb[Item],tab_higiene[[#This Row],[Item]],supercb[Bairro],mercado17)</f>
        <v>0</v>
      </c>
      <c r="BB286" s="61">
        <f>SUMIFS(super1[Qtde],super1[Item],tab_higiene[[#This Row],[Item]],super1[Bairro],mercado18)+SUMIFS(supercb[Qtde],supercb[Item],tab_higiene[[#This Row],[Item]],supercb[Bairro],mercado18)</f>
        <v>0</v>
      </c>
      <c r="BC286" s="51">
        <f>SUMIFS(super1[Qtde],super1[Item],tab_higiene[[#This Row],[Item]],super1[Bairro],extras)+SUMIFS(supercb[Qtde],supercb[Item],tab_higiene[[#This Row],[Item]],supercb[Bairro],extras)</f>
        <v>0</v>
      </c>
      <c r="BD286" s="8">
        <f t="shared" si="91"/>
        <v>0</v>
      </c>
      <c r="BE286" s="8">
        <f t="shared" si="92"/>
        <v>0</v>
      </c>
      <c r="BF286" s="23">
        <f t="shared" si="93"/>
        <v>0</v>
      </c>
    </row>
    <row r="287" spans="9:58" ht="15.75" thickBot="1" x14ac:dyDescent="0.3">
      <c r="I287" s="65" t="e">
        <f>alimentos[[#This Row],[Item]]</f>
        <v>#VALUE!</v>
      </c>
      <c r="J287" s="61">
        <f>IFERROR(alimentos[[#This Row],[kg/embalagem]],0)</f>
        <v>0</v>
      </c>
      <c r="K287" s="64">
        <f>IFERROR(alimentos[[#This Row],[Preço]],0)</f>
        <v>0</v>
      </c>
      <c r="L287" s="64">
        <f>SUMIFS(super1[Qtde],super1[Item],tab_alimentos[[#This Row],[Item]],super1[Bairro],mercado1)+SUMIFS(supercb[Qtde],supercb[Item],tab_alimentos[[#This Row],[Item]],supercb[Bairro],mercado1)</f>
        <v>0</v>
      </c>
      <c r="M287" s="64">
        <f>SUMIFS(super1[Qtde],super1[Item],tab_alimentos[[#This Row],[Item]],super1[Bairro],mercado2)+SUMIFS(supercb[Qtde],supercb[Item],tab_alimentos[[#This Row],[Item]],supercb[Bairro],mercado2)</f>
        <v>0</v>
      </c>
      <c r="N287" s="61">
        <f>SUMIFS(super1[Qtde],super1[Item],tab_alimentos[[#This Row],[Item]],super1[Bairro],mercado3)+SUMIFS(supercb[Qtde],supercb[Item],tab_alimentos[[#This Row],[Item]],supercb[Bairro],mercado3)</f>
        <v>0</v>
      </c>
      <c r="O287" s="64">
        <f>SUMIFS(super1[Qtde],super1[Item],tab_alimentos[[#This Row],[Item]],super1[Bairro],mercado4)+SUMIFS(supercb[Qtde],supercb[Item],tab_alimentos[[#This Row],[Item]],supercb[Bairro],mercado4)</f>
        <v>0</v>
      </c>
      <c r="P287" s="64">
        <f>SUMIFS(super1[Qtde],super1[Item],tab_alimentos[[#This Row],[Item]],super1[Bairro],mercado5)+SUMIFS(supercb[Qtde],supercb[Item],tab_alimentos[[#This Row],[Item]],supercb[Bairro],mercado5)</f>
        <v>0</v>
      </c>
      <c r="Q287" s="64">
        <f>SUMIFS(super1[Qtde],super1[Item],tab_alimentos[[#This Row],[Item]],super1[Bairro],mercado6)+SUMIFS(supercb[Qtde],supercb[Item],tab_alimentos[[#This Row],[Item]],supercb[Bairro],mercado6)</f>
        <v>0</v>
      </c>
      <c r="R287" s="64">
        <f>SUMIFS(super1[Qtde],super1[Item],tab_alimentos[[#This Row],[Item]],super1[Bairro],mercado7)+SUMIFS(supercb[Qtde],supercb[Item],tab_alimentos[[#This Row],[Item]],supercb[Bairro],mercado7)</f>
        <v>0</v>
      </c>
      <c r="S287" s="64">
        <f>SUMIFS(super1[Qtde],super1[Item],tab_alimentos[[#This Row],[Item]],super1[Bairro],mercado8)+SUMIFS(supercb[Qtde],supercb[Item],tab_alimentos[[#This Row],[Item]],supercb[Bairro],mercado8)</f>
        <v>0</v>
      </c>
      <c r="T287" s="64">
        <f>SUMIFS(super1[Qtde],super1[Item],tab_alimentos[[#This Row],[Item]],super1[Bairro],mercado9)+SUMIFS(supercb[Qtde],supercb[Item],tab_alimentos[[#This Row],[Item]],supercb[Bairro],mercado9)</f>
        <v>0</v>
      </c>
      <c r="U287" s="64">
        <f>SUMIFS(super1[Qtde],super1[Item],tab_alimentos[[#This Row],[Item]],super1[Bairro],mercado10)+SUMIFS(supercb[Qtde],supercb[Item],tab_alimentos[[#This Row],[Item]],supercb[Bairro],mercado10)</f>
        <v>0</v>
      </c>
      <c r="V287" s="64">
        <f>SUMIFS(super1[Qtde],super1[Item],tab_alimentos[[#This Row],[Item]],super1[Bairro],mercado11)+SUMIFS(supercb[Qtde],supercb[Item],tab_alimentos[[#This Row],[Item]],supercb[Bairro],mercado11)</f>
        <v>0</v>
      </c>
      <c r="W287" s="64">
        <f>SUMIFS(super1[Qtde],super1[Item],tab_alimentos[[#This Row],[Item]],super1[Bairro],mercado12)+SUMIFS(supercb[Qtde],supercb[Item],tab_alimentos[[#This Row],[Item]],supercb[Bairro],mercado12)</f>
        <v>0</v>
      </c>
      <c r="X287" s="64">
        <f>SUMIFS(super1[Qtde],super1[Item],tab_alimentos[[#This Row],[Item]],super1[Bairro],mercado13)+SUMIFS(supercb[Qtde],supercb[Item],tab_alimentos[[#This Row],[Item]],supercb[Bairro],mercado13)</f>
        <v>0</v>
      </c>
      <c r="Y287" s="64">
        <f>SUMIFS(super1[Qtde],super1[Item],tab_alimentos[[#This Row],[Item]],super1[Bairro],mercado14)+SUMIFS(supercb[Qtde],supercb[Item],tab_alimentos[[#This Row],[Item]],supercb[Bairro],mercado14)</f>
        <v>0</v>
      </c>
      <c r="Z287" s="64">
        <f>SUMIFS(super1[Qtde],super1[Item],tab_alimentos[[#This Row],[Item]],super1[Bairro],mercado15)+SUMIFS(supercb[Qtde],supercb[Item],tab_alimentos[[#This Row],[Item]],supercb[Bairro],mercado15)</f>
        <v>0</v>
      </c>
      <c r="AA287" s="64">
        <f>SUMIFS(super1[Qtde],super1[Item],tab_alimentos[[#This Row],[Item]],super1[Bairro],mercado16)+SUMIFS(supercb[Qtde],supercb[Item],tab_alimentos[[#This Row],[Item]],supercb[Bairro],mercado16)</f>
        <v>0</v>
      </c>
      <c r="AB287" s="64">
        <f>SUMIFS(super1[Qtde],super1[Item],tab_alimentos[[#This Row],[Item]],super1[Bairro],mercado17)+SUMIFS(supercb[Qtde],supercb[Item],tab_alimentos[[#This Row],[Item]],supercb[Bairro],mercado17)</f>
        <v>0</v>
      </c>
      <c r="AC287" s="64">
        <f>SUMIFS(super1[Qtde],super1[Item],tab_alimentos[[#This Row],[Item]],super1[Bairro],mercado18)+SUMIFS(supercb[Qtde],supercb[Item],tab_alimentos[[#This Row],[Item]],supercb[Bairro],mercado18)</f>
        <v>0</v>
      </c>
      <c r="AD287" s="64">
        <f>SUMIFS(super1[Qtde],super1[Item],tab_alimentos[[#This Row],[Item]],super1[Bairro],extras)+SUMIFS(supercb[Qtde],supercb[Item],tab_alimentos[[#This Row],[Item]],supercb[Bairro],extras)</f>
        <v>0</v>
      </c>
      <c r="AE287" s="61">
        <f t="shared" si="88"/>
        <v>0</v>
      </c>
      <c r="AF287" s="61">
        <f t="shared" si="89"/>
        <v>0</v>
      </c>
      <c r="AG287" s="62">
        <f t="shared" si="90"/>
        <v>0</v>
      </c>
      <c r="AH287" s="15" t="e">
        <f>higiene[[#This Row],[Item]]</f>
        <v>#VALUE!</v>
      </c>
      <c r="AI287" s="8">
        <f>IFERROR(higiene[[#This Row],[Kg equivalente]],0)</f>
        <v>0</v>
      </c>
      <c r="AJ287" s="8">
        <f>IFERROR(higiene[[#This Row],[Preço por produto]],0)</f>
        <v>0</v>
      </c>
      <c r="AK287" s="61">
        <f>SUMIFS(super1[Qtde],super1[Item],tab_higiene[[#This Row],[Item]],super1[Bairro],mercado1)+SUMIFS(supercb[Qtde],supercb[Item],tab_higiene[[#This Row],[Item]],supercb[Bairro],mercado1)</f>
        <v>0</v>
      </c>
      <c r="AL287" s="61">
        <f>SUMIFS(super1[Qtde],super1[Item],tab_higiene[[#This Row],[Item]],super1[Bairro],mercado2)+SUMIFS(supercb[Qtde],supercb[Item],tab_higiene[[#This Row],[Item]],supercb[Bairro],mercado2)</f>
        <v>0</v>
      </c>
      <c r="AM287" s="61">
        <f>SUMIFS(super1[Qtde],super1[Item],tab_higiene[[#This Row],[Item]],super1[Bairro],mercado3)+SUMIFS(supercb[Qtde],supercb[Item],tab_higiene[[#This Row],[Item]],supercb[Bairro],mercado3)</f>
        <v>0</v>
      </c>
      <c r="AN287" s="61">
        <f>SUMIFS(super1[Qtde],super1[Item],tab_higiene[[#This Row],[Item]],super1[Bairro],mercado4)+SUMIFS(supercb[Qtde],supercb[Item],tab_higiene[[#This Row],[Item]],supercb[Bairro],mercado4)</f>
        <v>0</v>
      </c>
      <c r="AO287" s="61">
        <f>SUMIFS(super1[Qtde],super1[Item],tab_higiene[[#This Row],[Item]],super1[Bairro],mercado5)+SUMIFS(supercb[Qtde],supercb[Item],tab_higiene[[#This Row],[Item]],supercb[Bairro],mercado5)</f>
        <v>0</v>
      </c>
      <c r="AP287" s="61">
        <f>SUMIFS(super1[Qtde],super1[Item],tab_higiene[[#This Row],[Item]],super1[Bairro],mercado6)+SUMIFS(supercb[Qtde],supercb[Item],tab_higiene[[#This Row],[Item]],supercb[Bairro],mercado6)</f>
        <v>0</v>
      </c>
      <c r="AQ287" s="61">
        <f>SUMIFS(super1[Qtde],super1[Item],tab_higiene[[#This Row],[Item]],super1[Bairro],mercado7)+SUMIFS(supercb[Qtde],supercb[Item],tab_higiene[[#This Row],[Item]],supercb[Bairro],mercado7)</f>
        <v>0</v>
      </c>
      <c r="AR287" s="61">
        <f>SUMIFS(super1[Qtde],super1[Item],tab_higiene[[#This Row],[Item]],super1[Bairro],mercado8)+SUMIFS(supercb[Qtde],supercb[Item],tab_higiene[[#This Row],[Item]],supercb[Bairro],mercado8)</f>
        <v>0</v>
      </c>
      <c r="AS287" s="61">
        <f>SUMIFS(super1[Qtde],super1[Item],tab_higiene[[#This Row],[Item]],super1[Bairro],mercado9)+SUMIFS(supercb[Qtde],supercb[Item],tab_higiene[[#This Row],[Item]],supercb[Bairro],mercado9)</f>
        <v>0</v>
      </c>
      <c r="AT287" s="61">
        <f>SUMIFS(super1[Qtde],super1[Item],tab_higiene[[#This Row],[Item]],super1[Bairro],mercado10)+SUMIFS(supercb[Qtde],supercb[Item],tab_higiene[[#This Row],[Item]],supercb[Bairro],mercado10)</f>
        <v>0</v>
      </c>
      <c r="AU287" s="61">
        <f>SUMIFS(super1[Qtde],super1[Item],tab_higiene[[#This Row],[Item]],super1[Bairro],mercado11)+SUMIFS(supercb[Qtde],supercb[Item],tab_higiene[[#This Row],[Item]],supercb[Bairro],mercado11)</f>
        <v>0</v>
      </c>
      <c r="AV287" s="61">
        <f>SUMIFS(super1[Qtde],super1[Item],tab_higiene[[#This Row],[Item]],super1[Bairro],mercado12)+SUMIFS(supercb[Qtde],supercb[Item],tab_higiene[[#This Row],[Item]],supercb[Bairro],mercado12)</f>
        <v>0</v>
      </c>
      <c r="AW287" s="61">
        <f>SUMIFS(super1[Qtde],super1[Item],tab_higiene[[#This Row],[Item]],super1[Bairro],mercado13)+SUMIFS(supercb[Qtde],supercb[Item],tab_higiene[[#This Row],[Item]],supercb[Bairro],mercado13)</f>
        <v>0</v>
      </c>
      <c r="AX287" s="61">
        <f>SUMIFS(super1[Qtde],super1[Item],tab_higiene[[#This Row],[Item]],super1[Bairro],mercado14)+SUMIFS(supercb[Qtde],supercb[Item],tab_higiene[[#This Row],[Item]],supercb[Bairro],mercado14)</f>
        <v>0</v>
      </c>
      <c r="AY287" s="61">
        <f>SUMIFS(super1[Qtde],super1[Item],tab_higiene[[#This Row],[Item]],super1[Bairro],mercado15)+SUMIFS(supercb[Qtde],supercb[Item],tab_higiene[[#This Row],[Item]],supercb[Bairro],mercado15)</f>
        <v>0</v>
      </c>
      <c r="AZ287" s="61">
        <f>SUMIFS(super1[Qtde],super1[Item],tab_higiene[[#This Row],[Item]],super1[Bairro],mercado16)+SUMIFS(supercb[Qtde],supercb[Item],tab_higiene[[#This Row],[Item]],supercb[Bairro],mercado16)</f>
        <v>0</v>
      </c>
      <c r="BA287" s="61">
        <f>SUMIFS(super1[Qtde],super1[Item],tab_higiene[[#This Row],[Item]],super1[Bairro],mercado17)+SUMIFS(supercb[Qtde],supercb[Item],tab_higiene[[#This Row],[Item]],supercb[Bairro],mercado17)</f>
        <v>0</v>
      </c>
      <c r="BB287" s="61">
        <f>SUMIFS(super1[Qtde],super1[Item],tab_higiene[[#This Row],[Item]],super1[Bairro],mercado18)+SUMIFS(supercb[Qtde],supercb[Item],tab_higiene[[#This Row],[Item]],supercb[Bairro],mercado18)</f>
        <v>0</v>
      </c>
      <c r="BC287" s="51">
        <f>SUMIFS(super1[Qtde],super1[Item],tab_higiene[[#This Row],[Item]],super1[Bairro],extras)+SUMIFS(supercb[Qtde],supercb[Item],tab_higiene[[#This Row],[Item]],supercb[Bairro],extras)</f>
        <v>0</v>
      </c>
      <c r="BD287" s="8">
        <f t="shared" si="91"/>
        <v>0</v>
      </c>
      <c r="BE287" s="8">
        <f t="shared" si="92"/>
        <v>0</v>
      </c>
      <c r="BF287" s="23">
        <f t="shared" si="93"/>
        <v>0</v>
      </c>
    </row>
    <row r="288" spans="9:58" ht="15.75" thickBot="1" x14ac:dyDescent="0.3">
      <c r="I288" s="65" t="e">
        <f>alimentos[[#This Row],[Item]]</f>
        <v>#VALUE!</v>
      </c>
      <c r="J288" s="61">
        <f>IFERROR(alimentos[[#This Row],[kg/embalagem]],0)</f>
        <v>0</v>
      </c>
      <c r="K288" s="64">
        <f>IFERROR(alimentos[[#This Row],[Preço]],0)</f>
        <v>0</v>
      </c>
      <c r="L288" s="64">
        <f>SUMIFS(super1[Qtde],super1[Item],tab_alimentos[[#This Row],[Item]],super1[Bairro],mercado1)+SUMIFS(supercb[Qtde],supercb[Item],tab_alimentos[[#This Row],[Item]],supercb[Bairro],mercado1)</f>
        <v>0</v>
      </c>
      <c r="M288" s="64">
        <f>SUMIFS(super1[Qtde],super1[Item],tab_alimentos[[#This Row],[Item]],super1[Bairro],mercado2)+SUMIFS(supercb[Qtde],supercb[Item],tab_alimentos[[#This Row],[Item]],supercb[Bairro],mercado2)</f>
        <v>0</v>
      </c>
      <c r="N288" s="61">
        <f>SUMIFS(super1[Qtde],super1[Item],tab_alimentos[[#This Row],[Item]],super1[Bairro],mercado3)+SUMIFS(supercb[Qtde],supercb[Item],tab_alimentos[[#This Row],[Item]],supercb[Bairro],mercado3)</f>
        <v>0</v>
      </c>
      <c r="O288" s="64">
        <f>SUMIFS(super1[Qtde],super1[Item],tab_alimentos[[#This Row],[Item]],super1[Bairro],mercado4)+SUMIFS(supercb[Qtde],supercb[Item],tab_alimentos[[#This Row],[Item]],supercb[Bairro],mercado4)</f>
        <v>0</v>
      </c>
      <c r="P288" s="64">
        <f>SUMIFS(super1[Qtde],super1[Item],tab_alimentos[[#This Row],[Item]],super1[Bairro],mercado5)+SUMIFS(supercb[Qtde],supercb[Item],tab_alimentos[[#This Row],[Item]],supercb[Bairro],mercado5)</f>
        <v>0</v>
      </c>
      <c r="Q288" s="64">
        <f>SUMIFS(super1[Qtde],super1[Item],tab_alimentos[[#This Row],[Item]],super1[Bairro],mercado6)+SUMIFS(supercb[Qtde],supercb[Item],tab_alimentos[[#This Row],[Item]],supercb[Bairro],mercado6)</f>
        <v>0</v>
      </c>
      <c r="R288" s="64">
        <f>SUMIFS(super1[Qtde],super1[Item],tab_alimentos[[#This Row],[Item]],super1[Bairro],mercado7)+SUMIFS(supercb[Qtde],supercb[Item],tab_alimentos[[#This Row],[Item]],supercb[Bairro],mercado7)</f>
        <v>0</v>
      </c>
      <c r="S288" s="64">
        <f>SUMIFS(super1[Qtde],super1[Item],tab_alimentos[[#This Row],[Item]],super1[Bairro],mercado8)+SUMIFS(supercb[Qtde],supercb[Item],tab_alimentos[[#This Row],[Item]],supercb[Bairro],mercado8)</f>
        <v>0</v>
      </c>
      <c r="T288" s="64">
        <f>SUMIFS(super1[Qtde],super1[Item],tab_alimentos[[#This Row],[Item]],super1[Bairro],mercado9)+SUMIFS(supercb[Qtde],supercb[Item],tab_alimentos[[#This Row],[Item]],supercb[Bairro],mercado9)</f>
        <v>0</v>
      </c>
      <c r="U288" s="64">
        <f>SUMIFS(super1[Qtde],super1[Item],tab_alimentos[[#This Row],[Item]],super1[Bairro],mercado10)+SUMIFS(supercb[Qtde],supercb[Item],tab_alimentos[[#This Row],[Item]],supercb[Bairro],mercado10)</f>
        <v>0</v>
      </c>
      <c r="V288" s="64">
        <f>SUMIFS(super1[Qtde],super1[Item],tab_alimentos[[#This Row],[Item]],super1[Bairro],mercado11)+SUMIFS(supercb[Qtde],supercb[Item],tab_alimentos[[#This Row],[Item]],supercb[Bairro],mercado11)</f>
        <v>0</v>
      </c>
      <c r="W288" s="64">
        <f>SUMIFS(super1[Qtde],super1[Item],tab_alimentos[[#This Row],[Item]],super1[Bairro],mercado12)+SUMIFS(supercb[Qtde],supercb[Item],tab_alimentos[[#This Row],[Item]],supercb[Bairro],mercado12)</f>
        <v>0</v>
      </c>
      <c r="X288" s="64">
        <f>SUMIFS(super1[Qtde],super1[Item],tab_alimentos[[#This Row],[Item]],super1[Bairro],mercado13)+SUMIFS(supercb[Qtde],supercb[Item],tab_alimentos[[#This Row],[Item]],supercb[Bairro],mercado13)</f>
        <v>0</v>
      </c>
      <c r="Y288" s="64">
        <f>SUMIFS(super1[Qtde],super1[Item],tab_alimentos[[#This Row],[Item]],super1[Bairro],mercado14)+SUMIFS(supercb[Qtde],supercb[Item],tab_alimentos[[#This Row],[Item]],supercb[Bairro],mercado14)</f>
        <v>0</v>
      </c>
      <c r="Z288" s="64">
        <f>SUMIFS(super1[Qtde],super1[Item],tab_alimentos[[#This Row],[Item]],super1[Bairro],mercado15)+SUMIFS(supercb[Qtde],supercb[Item],tab_alimentos[[#This Row],[Item]],supercb[Bairro],mercado15)</f>
        <v>0</v>
      </c>
      <c r="AA288" s="64">
        <f>SUMIFS(super1[Qtde],super1[Item],tab_alimentos[[#This Row],[Item]],super1[Bairro],mercado16)+SUMIFS(supercb[Qtde],supercb[Item],tab_alimentos[[#This Row],[Item]],supercb[Bairro],mercado16)</f>
        <v>0</v>
      </c>
      <c r="AB288" s="64">
        <f>SUMIFS(super1[Qtde],super1[Item],tab_alimentos[[#This Row],[Item]],super1[Bairro],mercado17)+SUMIFS(supercb[Qtde],supercb[Item],tab_alimentos[[#This Row],[Item]],supercb[Bairro],mercado17)</f>
        <v>0</v>
      </c>
      <c r="AC288" s="64">
        <f>SUMIFS(super1[Qtde],super1[Item],tab_alimentos[[#This Row],[Item]],super1[Bairro],mercado18)+SUMIFS(supercb[Qtde],supercb[Item],tab_alimentos[[#This Row],[Item]],supercb[Bairro],mercado18)</f>
        <v>0</v>
      </c>
      <c r="AD288" s="64">
        <f>SUMIFS(super1[Qtde],super1[Item],tab_alimentos[[#This Row],[Item]],super1[Bairro],extras)+SUMIFS(supercb[Qtde],supercb[Item],tab_alimentos[[#This Row],[Item]],supercb[Bairro],extras)</f>
        <v>0</v>
      </c>
      <c r="AE288" s="61">
        <f t="shared" si="88"/>
        <v>0</v>
      </c>
      <c r="AF288" s="61">
        <f t="shared" si="89"/>
        <v>0</v>
      </c>
      <c r="AG288" s="62">
        <f t="shared" si="90"/>
        <v>0</v>
      </c>
      <c r="AH288" s="15" t="e">
        <f>higiene[[#This Row],[Item]]</f>
        <v>#VALUE!</v>
      </c>
      <c r="AI288" s="8">
        <f>IFERROR(higiene[[#This Row],[Kg equivalente]],0)</f>
        <v>0</v>
      </c>
      <c r="AJ288" s="8">
        <f>IFERROR(higiene[[#This Row],[Preço por produto]],0)</f>
        <v>0</v>
      </c>
      <c r="AK288" s="61">
        <f>SUMIFS(super1[Qtde],super1[Item],tab_higiene[[#This Row],[Item]],super1[Bairro],mercado1)+SUMIFS(supercb[Qtde],supercb[Item],tab_higiene[[#This Row],[Item]],supercb[Bairro],mercado1)</f>
        <v>0</v>
      </c>
      <c r="AL288" s="61">
        <f>SUMIFS(super1[Qtde],super1[Item],tab_higiene[[#This Row],[Item]],super1[Bairro],mercado2)+SUMIFS(supercb[Qtde],supercb[Item],tab_higiene[[#This Row],[Item]],supercb[Bairro],mercado2)</f>
        <v>0</v>
      </c>
      <c r="AM288" s="61">
        <f>SUMIFS(super1[Qtde],super1[Item],tab_higiene[[#This Row],[Item]],super1[Bairro],mercado3)+SUMIFS(supercb[Qtde],supercb[Item],tab_higiene[[#This Row],[Item]],supercb[Bairro],mercado3)</f>
        <v>0</v>
      </c>
      <c r="AN288" s="61">
        <f>SUMIFS(super1[Qtde],super1[Item],tab_higiene[[#This Row],[Item]],super1[Bairro],mercado4)+SUMIFS(supercb[Qtde],supercb[Item],tab_higiene[[#This Row],[Item]],supercb[Bairro],mercado4)</f>
        <v>0</v>
      </c>
      <c r="AO288" s="61">
        <f>SUMIFS(super1[Qtde],super1[Item],tab_higiene[[#This Row],[Item]],super1[Bairro],mercado5)+SUMIFS(supercb[Qtde],supercb[Item],tab_higiene[[#This Row],[Item]],supercb[Bairro],mercado5)</f>
        <v>0</v>
      </c>
      <c r="AP288" s="61">
        <f>SUMIFS(super1[Qtde],super1[Item],tab_higiene[[#This Row],[Item]],super1[Bairro],mercado6)+SUMIFS(supercb[Qtde],supercb[Item],tab_higiene[[#This Row],[Item]],supercb[Bairro],mercado6)</f>
        <v>0</v>
      </c>
      <c r="AQ288" s="61">
        <f>SUMIFS(super1[Qtde],super1[Item],tab_higiene[[#This Row],[Item]],super1[Bairro],mercado7)+SUMIFS(supercb[Qtde],supercb[Item],tab_higiene[[#This Row],[Item]],supercb[Bairro],mercado7)</f>
        <v>0</v>
      </c>
      <c r="AR288" s="61">
        <f>SUMIFS(super1[Qtde],super1[Item],tab_higiene[[#This Row],[Item]],super1[Bairro],mercado8)+SUMIFS(supercb[Qtde],supercb[Item],tab_higiene[[#This Row],[Item]],supercb[Bairro],mercado8)</f>
        <v>0</v>
      </c>
      <c r="AS288" s="61">
        <f>SUMIFS(super1[Qtde],super1[Item],tab_higiene[[#This Row],[Item]],super1[Bairro],mercado9)+SUMIFS(supercb[Qtde],supercb[Item],tab_higiene[[#This Row],[Item]],supercb[Bairro],mercado9)</f>
        <v>0</v>
      </c>
      <c r="AT288" s="61">
        <f>SUMIFS(super1[Qtde],super1[Item],tab_higiene[[#This Row],[Item]],super1[Bairro],mercado10)+SUMIFS(supercb[Qtde],supercb[Item],tab_higiene[[#This Row],[Item]],supercb[Bairro],mercado10)</f>
        <v>0</v>
      </c>
      <c r="AU288" s="61">
        <f>SUMIFS(super1[Qtde],super1[Item],tab_higiene[[#This Row],[Item]],super1[Bairro],mercado11)+SUMIFS(supercb[Qtde],supercb[Item],tab_higiene[[#This Row],[Item]],supercb[Bairro],mercado11)</f>
        <v>0</v>
      </c>
      <c r="AV288" s="61">
        <f>SUMIFS(super1[Qtde],super1[Item],tab_higiene[[#This Row],[Item]],super1[Bairro],mercado12)+SUMIFS(supercb[Qtde],supercb[Item],tab_higiene[[#This Row],[Item]],supercb[Bairro],mercado12)</f>
        <v>0</v>
      </c>
      <c r="AW288" s="61">
        <f>SUMIFS(super1[Qtde],super1[Item],tab_higiene[[#This Row],[Item]],super1[Bairro],mercado13)+SUMIFS(supercb[Qtde],supercb[Item],tab_higiene[[#This Row],[Item]],supercb[Bairro],mercado13)</f>
        <v>0</v>
      </c>
      <c r="AX288" s="61">
        <f>SUMIFS(super1[Qtde],super1[Item],tab_higiene[[#This Row],[Item]],super1[Bairro],mercado14)+SUMIFS(supercb[Qtde],supercb[Item],tab_higiene[[#This Row],[Item]],supercb[Bairro],mercado14)</f>
        <v>0</v>
      </c>
      <c r="AY288" s="61">
        <f>SUMIFS(super1[Qtde],super1[Item],tab_higiene[[#This Row],[Item]],super1[Bairro],mercado15)+SUMIFS(supercb[Qtde],supercb[Item],tab_higiene[[#This Row],[Item]],supercb[Bairro],mercado15)</f>
        <v>0</v>
      </c>
      <c r="AZ288" s="61">
        <f>SUMIFS(super1[Qtde],super1[Item],tab_higiene[[#This Row],[Item]],super1[Bairro],mercado16)+SUMIFS(supercb[Qtde],supercb[Item],tab_higiene[[#This Row],[Item]],supercb[Bairro],mercado16)</f>
        <v>0</v>
      </c>
      <c r="BA288" s="61">
        <f>SUMIFS(super1[Qtde],super1[Item],tab_higiene[[#This Row],[Item]],super1[Bairro],mercado17)+SUMIFS(supercb[Qtde],supercb[Item],tab_higiene[[#This Row],[Item]],supercb[Bairro],mercado17)</f>
        <v>0</v>
      </c>
      <c r="BB288" s="61">
        <f>SUMIFS(super1[Qtde],super1[Item],tab_higiene[[#This Row],[Item]],super1[Bairro],mercado18)+SUMIFS(supercb[Qtde],supercb[Item],tab_higiene[[#This Row],[Item]],supercb[Bairro],mercado18)</f>
        <v>0</v>
      </c>
      <c r="BC288" s="51">
        <f>SUMIFS(super1[Qtde],super1[Item],tab_higiene[[#This Row],[Item]],super1[Bairro],extras)+SUMIFS(supercb[Qtde],supercb[Item],tab_higiene[[#This Row],[Item]],supercb[Bairro],extras)</f>
        <v>0</v>
      </c>
      <c r="BD288" s="8">
        <f t="shared" si="91"/>
        <v>0</v>
      </c>
      <c r="BE288" s="8">
        <f t="shared" si="92"/>
        <v>0</v>
      </c>
      <c r="BF288" s="23">
        <f t="shared" si="93"/>
        <v>0</v>
      </c>
    </row>
    <row r="289" spans="9:58" ht="15.75" thickBot="1" x14ac:dyDescent="0.3">
      <c r="I289" s="65" t="e">
        <f>alimentos[[#This Row],[Item]]</f>
        <v>#VALUE!</v>
      </c>
      <c r="J289" s="61">
        <f>IFERROR(alimentos[[#This Row],[kg/embalagem]],0)</f>
        <v>0</v>
      </c>
      <c r="K289" s="64">
        <f>IFERROR(alimentos[[#This Row],[Preço]],0)</f>
        <v>0</v>
      </c>
      <c r="L289" s="64">
        <f>SUMIFS(super1[Qtde],super1[Item],tab_alimentos[[#This Row],[Item]],super1[Bairro],mercado1)+SUMIFS(supercb[Qtde],supercb[Item],tab_alimentos[[#This Row],[Item]],supercb[Bairro],mercado1)</f>
        <v>0</v>
      </c>
      <c r="M289" s="64">
        <f>SUMIFS(super1[Qtde],super1[Item],tab_alimentos[[#This Row],[Item]],super1[Bairro],mercado2)+SUMIFS(supercb[Qtde],supercb[Item],tab_alimentos[[#This Row],[Item]],supercb[Bairro],mercado2)</f>
        <v>0</v>
      </c>
      <c r="N289" s="61">
        <f>SUMIFS(super1[Qtde],super1[Item],tab_alimentos[[#This Row],[Item]],super1[Bairro],mercado3)+SUMIFS(supercb[Qtde],supercb[Item],tab_alimentos[[#This Row],[Item]],supercb[Bairro],mercado3)</f>
        <v>0</v>
      </c>
      <c r="O289" s="64">
        <f>SUMIFS(super1[Qtde],super1[Item],tab_alimentos[[#This Row],[Item]],super1[Bairro],mercado4)+SUMIFS(supercb[Qtde],supercb[Item],tab_alimentos[[#This Row],[Item]],supercb[Bairro],mercado4)</f>
        <v>0</v>
      </c>
      <c r="P289" s="64">
        <f>SUMIFS(super1[Qtde],super1[Item],tab_alimentos[[#This Row],[Item]],super1[Bairro],mercado5)+SUMIFS(supercb[Qtde],supercb[Item],tab_alimentos[[#This Row],[Item]],supercb[Bairro],mercado5)</f>
        <v>0</v>
      </c>
      <c r="Q289" s="64">
        <f>SUMIFS(super1[Qtde],super1[Item],tab_alimentos[[#This Row],[Item]],super1[Bairro],mercado6)+SUMIFS(supercb[Qtde],supercb[Item],tab_alimentos[[#This Row],[Item]],supercb[Bairro],mercado6)</f>
        <v>0</v>
      </c>
      <c r="R289" s="64">
        <f>SUMIFS(super1[Qtde],super1[Item],tab_alimentos[[#This Row],[Item]],super1[Bairro],mercado7)+SUMIFS(supercb[Qtde],supercb[Item],tab_alimentos[[#This Row],[Item]],supercb[Bairro],mercado7)</f>
        <v>0</v>
      </c>
      <c r="S289" s="64">
        <f>SUMIFS(super1[Qtde],super1[Item],tab_alimentos[[#This Row],[Item]],super1[Bairro],mercado8)+SUMIFS(supercb[Qtde],supercb[Item],tab_alimentos[[#This Row],[Item]],supercb[Bairro],mercado8)</f>
        <v>0</v>
      </c>
      <c r="T289" s="64">
        <f>SUMIFS(super1[Qtde],super1[Item],tab_alimentos[[#This Row],[Item]],super1[Bairro],mercado9)+SUMIFS(supercb[Qtde],supercb[Item],tab_alimentos[[#This Row],[Item]],supercb[Bairro],mercado9)</f>
        <v>0</v>
      </c>
      <c r="U289" s="64">
        <f>SUMIFS(super1[Qtde],super1[Item],tab_alimentos[[#This Row],[Item]],super1[Bairro],mercado10)+SUMIFS(supercb[Qtde],supercb[Item],tab_alimentos[[#This Row],[Item]],supercb[Bairro],mercado10)</f>
        <v>0</v>
      </c>
      <c r="V289" s="64">
        <f>SUMIFS(super1[Qtde],super1[Item],tab_alimentos[[#This Row],[Item]],super1[Bairro],mercado11)+SUMIFS(supercb[Qtde],supercb[Item],tab_alimentos[[#This Row],[Item]],supercb[Bairro],mercado11)</f>
        <v>0</v>
      </c>
      <c r="W289" s="64">
        <f>SUMIFS(super1[Qtde],super1[Item],tab_alimentos[[#This Row],[Item]],super1[Bairro],mercado12)+SUMIFS(supercb[Qtde],supercb[Item],tab_alimentos[[#This Row],[Item]],supercb[Bairro],mercado12)</f>
        <v>0</v>
      </c>
      <c r="X289" s="64">
        <f>SUMIFS(super1[Qtde],super1[Item],tab_alimentos[[#This Row],[Item]],super1[Bairro],mercado13)+SUMIFS(supercb[Qtde],supercb[Item],tab_alimentos[[#This Row],[Item]],supercb[Bairro],mercado13)</f>
        <v>0</v>
      </c>
      <c r="Y289" s="64">
        <f>SUMIFS(super1[Qtde],super1[Item],tab_alimentos[[#This Row],[Item]],super1[Bairro],mercado14)+SUMIFS(supercb[Qtde],supercb[Item],tab_alimentos[[#This Row],[Item]],supercb[Bairro],mercado14)</f>
        <v>0</v>
      </c>
      <c r="Z289" s="64">
        <f>SUMIFS(super1[Qtde],super1[Item],tab_alimentos[[#This Row],[Item]],super1[Bairro],mercado15)+SUMIFS(supercb[Qtde],supercb[Item],tab_alimentos[[#This Row],[Item]],supercb[Bairro],mercado15)</f>
        <v>0</v>
      </c>
      <c r="AA289" s="64">
        <f>SUMIFS(super1[Qtde],super1[Item],tab_alimentos[[#This Row],[Item]],super1[Bairro],mercado16)+SUMIFS(supercb[Qtde],supercb[Item],tab_alimentos[[#This Row],[Item]],supercb[Bairro],mercado16)</f>
        <v>0</v>
      </c>
      <c r="AB289" s="64">
        <f>SUMIFS(super1[Qtde],super1[Item],tab_alimentos[[#This Row],[Item]],super1[Bairro],mercado17)+SUMIFS(supercb[Qtde],supercb[Item],tab_alimentos[[#This Row],[Item]],supercb[Bairro],mercado17)</f>
        <v>0</v>
      </c>
      <c r="AC289" s="64">
        <f>SUMIFS(super1[Qtde],super1[Item],tab_alimentos[[#This Row],[Item]],super1[Bairro],mercado18)+SUMIFS(supercb[Qtde],supercb[Item],tab_alimentos[[#This Row],[Item]],supercb[Bairro],mercado18)</f>
        <v>0</v>
      </c>
      <c r="AD289" s="64">
        <f>SUMIFS(super1[Qtde],super1[Item],tab_alimentos[[#This Row],[Item]],super1[Bairro],extras)+SUMIFS(supercb[Qtde],supercb[Item],tab_alimentos[[#This Row],[Item]],supercb[Bairro],extras)</f>
        <v>0</v>
      </c>
      <c r="AE289" s="61">
        <f t="shared" si="88"/>
        <v>0</v>
      </c>
      <c r="AF289" s="61">
        <f t="shared" si="89"/>
        <v>0</v>
      </c>
      <c r="AG289" s="62">
        <f t="shared" si="90"/>
        <v>0</v>
      </c>
      <c r="AH289" s="15" t="e">
        <f>higiene[[#This Row],[Item]]</f>
        <v>#VALUE!</v>
      </c>
      <c r="AI289" s="8">
        <f>IFERROR(higiene[[#This Row],[Kg equivalente]],0)</f>
        <v>0</v>
      </c>
      <c r="AJ289" s="8">
        <f>IFERROR(higiene[[#This Row],[Preço por produto]],0)</f>
        <v>0</v>
      </c>
      <c r="AK289" s="61">
        <f>SUMIFS(super1[Qtde],super1[Item],tab_higiene[[#This Row],[Item]],super1[Bairro],mercado1)+SUMIFS(supercb[Qtde],supercb[Item],tab_higiene[[#This Row],[Item]],supercb[Bairro],mercado1)</f>
        <v>0</v>
      </c>
      <c r="AL289" s="61">
        <f>SUMIFS(super1[Qtde],super1[Item],tab_higiene[[#This Row],[Item]],super1[Bairro],mercado2)+SUMIFS(supercb[Qtde],supercb[Item],tab_higiene[[#This Row],[Item]],supercb[Bairro],mercado2)</f>
        <v>0</v>
      </c>
      <c r="AM289" s="61">
        <f>SUMIFS(super1[Qtde],super1[Item],tab_higiene[[#This Row],[Item]],super1[Bairro],mercado3)+SUMIFS(supercb[Qtde],supercb[Item],tab_higiene[[#This Row],[Item]],supercb[Bairro],mercado3)</f>
        <v>0</v>
      </c>
      <c r="AN289" s="61">
        <f>SUMIFS(super1[Qtde],super1[Item],tab_higiene[[#This Row],[Item]],super1[Bairro],mercado4)+SUMIFS(supercb[Qtde],supercb[Item],tab_higiene[[#This Row],[Item]],supercb[Bairro],mercado4)</f>
        <v>0</v>
      </c>
      <c r="AO289" s="61">
        <f>SUMIFS(super1[Qtde],super1[Item],tab_higiene[[#This Row],[Item]],super1[Bairro],mercado5)+SUMIFS(supercb[Qtde],supercb[Item],tab_higiene[[#This Row],[Item]],supercb[Bairro],mercado5)</f>
        <v>0</v>
      </c>
      <c r="AP289" s="61">
        <f>SUMIFS(super1[Qtde],super1[Item],tab_higiene[[#This Row],[Item]],super1[Bairro],mercado6)+SUMIFS(supercb[Qtde],supercb[Item],tab_higiene[[#This Row],[Item]],supercb[Bairro],mercado6)</f>
        <v>0</v>
      </c>
      <c r="AQ289" s="61">
        <f>SUMIFS(super1[Qtde],super1[Item],tab_higiene[[#This Row],[Item]],super1[Bairro],mercado7)+SUMIFS(supercb[Qtde],supercb[Item],tab_higiene[[#This Row],[Item]],supercb[Bairro],mercado7)</f>
        <v>0</v>
      </c>
      <c r="AR289" s="61">
        <f>SUMIFS(super1[Qtde],super1[Item],tab_higiene[[#This Row],[Item]],super1[Bairro],mercado8)+SUMIFS(supercb[Qtde],supercb[Item],tab_higiene[[#This Row],[Item]],supercb[Bairro],mercado8)</f>
        <v>0</v>
      </c>
      <c r="AS289" s="61">
        <f>SUMIFS(super1[Qtde],super1[Item],tab_higiene[[#This Row],[Item]],super1[Bairro],mercado9)+SUMIFS(supercb[Qtde],supercb[Item],tab_higiene[[#This Row],[Item]],supercb[Bairro],mercado9)</f>
        <v>0</v>
      </c>
      <c r="AT289" s="61">
        <f>SUMIFS(super1[Qtde],super1[Item],tab_higiene[[#This Row],[Item]],super1[Bairro],mercado10)+SUMIFS(supercb[Qtde],supercb[Item],tab_higiene[[#This Row],[Item]],supercb[Bairro],mercado10)</f>
        <v>0</v>
      </c>
      <c r="AU289" s="61">
        <f>SUMIFS(super1[Qtde],super1[Item],tab_higiene[[#This Row],[Item]],super1[Bairro],mercado11)+SUMIFS(supercb[Qtde],supercb[Item],tab_higiene[[#This Row],[Item]],supercb[Bairro],mercado11)</f>
        <v>0</v>
      </c>
      <c r="AV289" s="61">
        <f>SUMIFS(super1[Qtde],super1[Item],tab_higiene[[#This Row],[Item]],super1[Bairro],mercado12)+SUMIFS(supercb[Qtde],supercb[Item],tab_higiene[[#This Row],[Item]],supercb[Bairro],mercado12)</f>
        <v>0</v>
      </c>
      <c r="AW289" s="61">
        <f>SUMIFS(super1[Qtde],super1[Item],tab_higiene[[#This Row],[Item]],super1[Bairro],mercado13)+SUMIFS(supercb[Qtde],supercb[Item],tab_higiene[[#This Row],[Item]],supercb[Bairro],mercado13)</f>
        <v>0</v>
      </c>
      <c r="AX289" s="61">
        <f>SUMIFS(super1[Qtde],super1[Item],tab_higiene[[#This Row],[Item]],super1[Bairro],mercado14)+SUMIFS(supercb[Qtde],supercb[Item],tab_higiene[[#This Row],[Item]],supercb[Bairro],mercado14)</f>
        <v>0</v>
      </c>
      <c r="AY289" s="61">
        <f>SUMIFS(super1[Qtde],super1[Item],tab_higiene[[#This Row],[Item]],super1[Bairro],mercado15)+SUMIFS(supercb[Qtde],supercb[Item],tab_higiene[[#This Row],[Item]],supercb[Bairro],mercado15)</f>
        <v>0</v>
      </c>
      <c r="AZ289" s="61">
        <f>SUMIFS(super1[Qtde],super1[Item],tab_higiene[[#This Row],[Item]],super1[Bairro],mercado16)+SUMIFS(supercb[Qtde],supercb[Item],tab_higiene[[#This Row],[Item]],supercb[Bairro],mercado16)</f>
        <v>0</v>
      </c>
      <c r="BA289" s="61">
        <f>SUMIFS(super1[Qtde],super1[Item],tab_higiene[[#This Row],[Item]],super1[Bairro],mercado17)+SUMIFS(supercb[Qtde],supercb[Item],tab_higiene[[#This Row],[Item]],supercb[Bairro],mercado17)</f>
        <v>0</v>
      </c>
      <c r="BB289" s="61">
        <f>SUMIFS(super1[Qtde],super1[Item],tab_higiene[[#This Row],[Item]],super1[Bairro],mercado18)+SUMIFS(supercb[Qtde],supercb[Item],tab_higiene[[#This Row],[Item]],supercb[Bairro],mercado18)</f>
        <v>0</v>
      </c>
      <c r="BC289" s="51">
        <f>SUMIFS(super1[Qtde],super1[Item],tab_higiene[[#This Row],[Item]],super1[Bairro],extras)+SUMIFS(supercb[Qtde],supercb[Item],tab_higiene[[#This Row],[Item]],supercb[Bairro],extras)</f>
        <v>0</v>
      </c>
      <c r="BD289" s="8">
        <f t="shared" si="91"/>
        <v>0</v>
      </c>
      <c r="BE289" s="8">
        <f t="shared" si="92"/>
        <v>0</v>
      </c>
      <c r="BF289" s="23">
        <f t="shared" si="93"/>
        <v>0</v>
      </c>
    </row>
    <row r="290" spans="9:58" ht="15.75" thickBot="1" x14ac:dyDescent="0.3">
      <c r="I290" s="65" t="e">
        <f>alimentos[[#This Row],[Item]]</f>
        <v>#VALUE!</v>
      </c>
      <c r="J290" s="61">
        <f>IFERROR(alimentos[[#This Row],[kg/embalagem]],0)</f>
        <v>0</v>
      </c>
      <c r="K290" s="64">
        <f>IFERROR(alimentos[[#This Row],[Preço]],0)</f>
        <v>0</v>
      </c>
      <c r="L290" s="64">
        <f>SUMIFS(super1[Qtde],super1[Item],tab_alimentos[[#This Row],[Item]],super1[Bairro],mercado1)+SUMIFS(supercb[Qtde],supercb[Item],tab_alimentos[[#This Row],[Item]],supercb[Bairro],mercado1)</f>
        <v>0</v>
      </c>
      <c r="M290" s="64">
        <f>SUMIFS(super1[Qtde],super1[Item],tab_alimentos[[#This Row],[Item]],super1[Bairro],mercado2)+SUMIFS(supercb[Qtde],supercb[Item],tab_alimentos[[#This Row],[Item]],supercb[Bairro],mercado2)</f>
        <v>0</v>
      </c>
      <c r="N290" s="61">
        <f>SUMIFS(super1[Qtde],super1[Item],tab_alimentos[[#This Row],[Item]],super1[Bairro],mercado3)+SUMIFS(supercb[Qtde],supercb[Item],tab_alimentos[[#This Row],[Item]],supercb[Bairro],mercado3)</f>
        <v>0</v>
      </c>
      <c r="O290" s="64">
        <f>SUMIFS(super1[Qtde],super1[Item],tab_alimentos[[#This Row],[Item]],super1[Bairro],mercado4)+SUMIFS(supercb[Qtde],supercb[Item],tab_alimentos[[#This Row],[Item]],supercb[Bairro],mercado4)</f>
        <v>0</v>
      </c>
      <c r="P290" s="64">
        <f>SUMIFS(super1[Qtde],super1[Item],tab_alimentos[[#This Row],[Item]],super1[Bairro],mercado5)+SUMIFS(supercb[Qtde],supercb[Item],tab_alimentos[[#This Row],[Item]],supercb[Bairro],mercado5)</f>
        <v>0</v>
      </c>
      <c r="Q290" s="64">
        <f>SUMIFS(super1[Qtde],super1[Item],tab_alimentos[[#This Row],[Item]],super1[Bairro],mercado6)+SUMIFS(supercb[Qtde],supercb[Item],tab_alimentos[[#This Row],[Item]],supercb[Bairro],mercado6)</f>
        <v>0</v>
      </c>
      <c r="R290" s="64">
        <f>SUMIFS(super1[Qtde],super1[Item],tab_alimentos[[#This Row],[Item]],super1[Bairro],mercado7)+SUMIFS(supercb[Qtde],supercb[Item],tab_alimentos[[#This Row],[Item]],supercb[Bairro],mercado7)</f>
        <v>0</v>
      </c>
      <c r="S290" s="64">
        <f>SUMIFS(super1[Qtde],super1[Item],tab_alimentos[[#This Row],[Item]],super1[Bairro],mercado8)+SUMIFS(supercb[Qtde],supercb[Item],tab_alimentos[[#This Row],[Item]],supercb[Bairro],mercado8)</f>
        <v>0</v>
      </c>
      <c r="T290" s="64">
        <f>SUMIFS(super1[Qtde],super1[Item],tab_alimentos[[#This Row],[Item]],super1[Bairro],mercado9)+SUMIFS(supercb[Qtde],supercb[Item],tab_alimentos[[#This Row],[Item]],supercb[Bairro],mercado9)</f>
        <v>0</v>
      </c>
      <c r="U290" s="64">
        <f>SUMIFS(super1[Qtde],super1[Item],tab_alimentos[[#This Row],[Item]],super1[Bairro],mercado10)+SUMIFS(supercb[Qtde],supercb[Item],tab_alimentos[[#This Row],[Item]],supercb[Bairro],mercado10)</f>
        <v>0</v>
      </c>
      <c r="V290" s="64">
        <f>SUMIFS(super1[Qtde],super1[Item],tab_alimentos[[#This Row],[Item]],super1[Bairro],mercado11)+SUMIFS(supercb[Qtde],supercb[Item],tab_alimentos[[#This Row],[Item]],supercb[Bairro],mercado11)</f>
        <v>0</v>
      </c>
      <c r="W290" s="64">
        <f>SUMIFS(super1[Qtde],super1[Item],tab_alimentos[[#This Row],[Item]],super1[Bairro],mercado12)+SUMIFS(supercb[Qtde],supercb[Item],tab_alimentos[[#This Row],[Item]],supercb[Bairro],mercado12)</f>
        <v>0</v>
      </c>
      <c r="X290" s="64">
        <f>SUMIFS(super1[Qtde],super1[Item],tab_alimentos[[#This Row],[Item]],super1[Bairro],mercado13)+SUMIFS(supercb[Qtde],supercb[Item],tab_alimentos[[#This Row],[Item]],supercb[Bairro],mercado13)</f>
        <v>0</v>
      </c>
      <c r="Y290" s="64">
        <f>SUMIFS(super1[Qtde],super1[Item],tab_alimentos[[#This Row],[Item]],super1[Bairro],mercado14)+SUMIFS(supercb[Qtde],supercb[Item],tab_alimentos[[#This Row],[Item]],supercb[Bairro],mercado14)</f>
        <v>0</v>
      </c>
      <c r="Z290" s="64">
        <f>SUMIFS(super1[Qtde],super1[Item],tab_alimentos[[#This Row],[Item]],super1[Bairro],mercado15)+SUMIFS(supercb[Qtde],supercb[Item],tab_alimentos[[#This Row],[Item]],supercb[Bairro],mercado15)</f>
        <v>0</v>
      </c>
      <c r="AA290" s="64">
        <f>SUMIFS(super1[Qtde],super1[Item],tab_alimentos[[#This Row],[Item]],super1[Bairro],mercado16)+SUMIFS(supercb[Qtde],supercb[Item],tab_alimentos[[#This Row],[Item]],supercb[Bairro],mercado16)</f>
        <v>0</v>
      </c>
      <c r="AB290" s="64">
        <f>SUMIFS(super1[Qtde],super1[Item],tab_alimentos[[#This Row],[Item]],super1[Bairro],mercado17)+SUMIFS(supercb[Qtde],supercb[Item],tab_alimentos[[#This Row],[Item]],supercb[Bairro],mercado17)</f>
        <v>0</v>
      </c>
      <c r="AC290" s="64">
        <f>SUMIFS(super1[Qtde],super1[Item],tab_alimentos[[#This Row],[Item]],super1[Bairro],mercado18)+SUMIFS(supercb[Qtde],supercb[Item],tab_alimentos[[#This Row],[Item]],supercb[Bairro],mercado18)</f>
        <v>0</v>
      </c>
      <c r="AD290" s="64">
        <f>SUMIFS(super1[Qtde],super1[Item],tab_alimentos[[#This Row],[Item]],super1[Bairro],extras)+SUMIFS(supercb[Qtde],supercb[Item],tab_alimentos[[#This Row],[Item]],supercb[Bairro],extras)</f>
        <v>0</v>
      </c>
      <c r="AE290" s="61">
        <f t="shared" si="88"/>
        <v>0</v>
      </c>
      <c r="AF290" s="61">
        <f t="shared" si="89"/>
        <v>0</v>
      </c>
      <c r="AG290" s="62">
        <f t="shared" si="90"/>
        <v>0</v>
      </c>
      <c r="AH290" s="15" t="e">
        <f>higiene[[#This Row],[Item]]</f>
        <v>#VALUE!</v>
      </c>
      <c r="AI290" s="8">
        <f>IFERROR(higiene[[#This Row],[Kg equivalente]],0)</f>
        <v>0</v>
      </c>
      <c r="AJ290" s="8">
        <f>IFERROR(higiene[[#This Row],[Preço por produto]],0)</f>
        <v>0</v>
      </c>
      <c r="AK290" s="61">
        <f>SUMIFS(super1[Qtde],super1[Item],tab_higiene[[#This Row],[Item]],super1[Bairro],mercado1)+SUMIFS(supercb[Qtde],supercb[Item],tab_higiene[[#This Row],[Item]],supercb[Bairro],mercado1)</f>
        <v>0</v>
      </c>
      <c r="AL290" s="61">
        <f>SUMIFS(super1[Qtde],super1[Item],tab_higiene[[#This Row],[Item]],super1[Bairro],mercado2)+SUMIFS(supercb[Qtde],supercb[Item],tab_higiene[[#This Row],[Item]],supercb[Bairro],mercado2)</f>
        <v>0</v>
      </c>
      <c r="AM290" s="61">
        <f>SUMIFS(super1[Qtde],super1[Item],tab_higiene[[#This Row],[Item]],super1[Bairro],mercado3)+SUMIFS(supercb[Qtde],supercb[Item],tab_higiene[[#This Row],[Item]],supercb[Bairro],mercado3)</f>
        <v>0</v>
      </c>
      <c r="AN290" s="61">
        <f>SUMIFS(super1[Qtde],super1[Item],tab_higiene[[#This Row],[Item]],super1[Bairro],mercado4)+SUMIFS(supercb[Qtde],supercb[Item],tab_higiene[[#This Row],[Item]],supercb[Bairro],mercado4)</f>
        <v>0</v>
      </c>
      <c r="AO290" s="61">
        <f>SUMIFS(super1[Qtde],super1[Item],tab_higiene[[#This Row],[Item]],super1[Bairro],mercado5)+SUMIFS(supercb[Qtde],supercb[Item],tab_higiene[[#This Row],[Item]],supercb[Bairro],mercado5)</f>
        <v>0</v>
      </c>
      <c r="AP290" s="61">
        <f>SUMIFS(super1[Qtde],super1[Item],tab_higiene[[#This Row],[Item]],super1[Bairro],mercado6)+SUMIFS(supercb[Qtde],supercb[Item],tab_higiene[[#This Row],[Item]],supercb[Bairro],mercado6)</f>
        <v>0</v>
      </c>
      <c r="AQ290" s="61">
        <f>SUMIFS(super1[Qtde],super1[Item],tab_higiene[[#This Row],[Item]],super1[Bairro],mercado7)+SUMIFS(supercb[Qtde],supercb[Item],tab_higiene[[#This Row],[Item]],supercb[Bairro],mercado7)</f>
        <v>0</v>
      </c>
      <c r="AR290" s="61">
        <f>SUMIFS(super1[Qtde],super1[Item],tab_higiene[[#This Row],[Item]],super1[Bairro],mercado8)+SUMIFS(supercb[Qtde],supercb[Item],tab_higiene[[#This Row],[Item]],supercb[Bairro],mercado8)</f>
        <v>0</v>
      </c>
      <c r="AS290" s="61">
        <f>SUMIFS(super1[Qtde],super1[Item],tab_higiene[[#This Row],[Item]],super1[Bairro],mercado9)+SUMIFS(supercb[Qtde],supercb[Item],tab_higiene[[#This Row],[Item]],supercb[Bairro],mercado9)</f>
        <v>0</v>
      </c>
      <c r="AT290" s="61">
        <f>SUMIFS(super1[Qtde],super1[Item],tab_higiene[[#This Row],[Item]],super1[Bairro],mercado10)+SUMIFS(supercb[Qtde],supercb[Item],tab_higiene[[#This Row],[Item]],supercb[Bairro],mercado10)</f>
        <v>0</v>
      </c>
      <c r="AU290" s="61">
        <f>SUMIFS(super1[Qtde],super1[Item],tab_higiene[[#This Row],[Item]],super1[Bairro],mercado11)+SUMIFS(supercb[Qtde],supercb[Item],tab_higiene[[#This Row],[Item]],supercb[Bairro],mercado11)</f>
        <v>0</v>
      </c>
      <c r="AV290" s="61">
        <f>SUMIFS(super1[Qtde],super1[Item],tab_higiene[[#This Row],[Item]],super1[Bairro],mercado12)+SUMIFS(supercb[Qtde],supercb[Item],tab_higiene[[#This Row],[Item]],supercb[Bairro],mercado12)</f>
        <v>0</v>
      </c>
      <c r="AW290" s="61">
        <f>SUMIFS(super1[Qtde],super1[Item],tab_higiene[[#This Row],[Item]],super1[Bairro],mercado13)+SUMIFS(supercb[Qtde],supercb[Item],tab_higiene[[#This Row],[Item]],supercb[Bairro],mercado13)</f>
        <v>0</v>
      </c>
      <c r="AX290" s="61">
        <f>SUMIFS(super1[Qtde],super1[Item],tab_higiene[[#This Row],[Item]],super1[Bairro],mercado14)+SUMIFS(supercb[Qtde],supercb[Item],tab_higiene[[#This Row],[Item]],supercb[Bairro],mercado14)</f>
        <v>0</v>
      </c>
      <c r="AY290" s="61">
        <f>SUMIFS(super1[Qtde],super1[Item],tab_higiene[[#This Row],[Item]],super1[Bairro],mercado15)+SUMIFS(supercb[Qtde],supercb[Item],tab_higiene[[#This Row],[Item]],supercb[Bairro],mercado15)</f>
        <v>0</v>
      </c>
      <c r="AZ290" s="61">
        <f>SUMIFS(super1[Qtde],super1[Item],tab_higiene[[#This Row],[Item]],super1[Bairro],mercado16)+SUMIFS(supercb[Qtde],supercb[Item],tab_higiene[[#This Row],[Item]],supercb[Bairro],mercado16)</f>
        <v>0</v>
      </c>
      <c r="BA290" s="61">
        <f>SUMIFS(super1[Qtde],super1[Item],tab_higiene[[#This Row],[Item]],super1[Bairro],mercado17)+SUMIFS(supercb[Qtde],supercb[Item],tab_higiene[[#This Row],[Item]],supercb[Bairro],mercado17)</f>
        <v>0</v>
      </c>
      <c r="BB290" s="61">
        <f>SUMIFS(super1[Qtde],super1[Item],tab_higiene[[#This Row],[Item]],super1[Bairro],mercado18)+SUMIFS(supercb[Qtde],supercb[Item],tab_higiene[[#This Row],[Item]],supercb[Bairro],mercado18)</f>
        <v>0</v>
      </c>
      <c r="BC290" s="51">
        <f>SUMIFS(super1[Qtde],super1[Item],tab_higiene[[#This Row],[Item]],super1[Bairro],extras)+SUMIFS(supercb[Qtde],supercb[Item],tab_higiene[[#This Row],[Item]],supercb[Bairro],extras)</f>
        <v>0</v>
      </c>
      <c r="BD290" s="8">
        <f t="shared" si="91"/>
        <v>0</v>
      </c>
      <c r="BE290" s="8">
        <f t="shared" si="92"/>
        <v>0</v>
      </c>
      <c r="BF290" s="23">
        <f t="shared" si="93"/>
        <v>0</v>
      </c>
    </row>
    <row r="291" spans="9:58" ht="15.75" thickBot="1" x14ac:dyDescent="0.3">
      <c r="I291" s="65" t="e">
        <f>alimentos[[#This Row],[Item]]</f>
        <v>#VALUE!</v>
      </c>
      <c r="J291" s="61">
        <f>IFERROR(alimentos[[#This Row],[kg/embalagem]],0)</f>
        <v>0</v>
      </c>
      <c r="K291" s="64">
        <f>IFERROR(alimentos[[#This Row],[Preço]],0)</f>
        <v>0</v>
      </c>
      <c r="L291" s="64">
        <f>SUMIFS(super1[Qtde],super1[Item],tab_alimentos[[#This Row],[Item]],super1[Bairro],mercado1)+SUMIFS(supercb[Qtde],supercb[Item],tab_alimentos[[#This Row],[Item]],supercb[Bairro],mercado1)</f>
        <v>0</v>
      </c>
      <c r="M291" s="64">
        <f>SUMIFS(super1[Qtde],super1[Item],tab_alimentos[[#This Row],[Item]],super1[Bairro],mercado2)+SUMIFS(supercb[Qtde],supercb[Item],tab_alimentos[[#This Row],[Item]],supercb[Bairro],mercado2)</f>
        <v>0</v>
      </c>
      <c r="N291" s="61">
        <f>SUMIFS(super1[Qtde],super1[Item],tab_alimentos[[#This Row],[Item]],super1[Bairro],mercado3)+SUMIFS(supercb[Qtde],supercb[Item],tab_alimentos[[#This Row],[Item]],supercb[Bairro],mercado3)</f>
        <v>0</v>
      </c>
      <c r="O291" s="64">
        <f>SUMIFS(super1[Qtde],super1[Item],tab_alimentos[[#This Row],[Item]],super1[Bairro],mercado4)+SUMIFS(supercb[Qtde],supercb[Item],tab_alimentos[[#This Row],[Item]],supercb[Bairro],mercado4)</f>
        <v>0</v>
      </c>
      <c r="P291" s="64">
        <f>SUMIFS(super1[Qtde],super1[Item],tab_alimentos[[#This Row],[Item]],super1[Bairro],mercado5)+SUMIFS(supercb[Qtde],supercb[Item],tab_alimentos[[#This Row],[Item]],supercb[Bairro],mercado5)</f>
        <v>0</v>
      </c>
      <c r="Q291" s="64">
        <f>SUMIFS(super1[Qtde],super1[Item],tab_alimentos[[#This Row],[Item]],super1[Bairro],mercado6)+SUMIFS(supercb[Qtde],supercb[Item],tab_alimentos[[#This Row],[Item]],supercb[Bairro],mercado6)</f>
        <v>0</v>
      </c>
      <c r="R291" s="64">
        <f>SUMIFS(super1[Qtde],super1[Item],tab_alimentos[[#This Row],[Item]],super1[Bairro],mercado7)+SUMIFS(supercb[Qtde],supercb[Item],tab_alimentos[[#This Row],[Item]],supercb[Bairro],mercado7)</f>
        <v>0</v>
      </c>
      <c r="S291" s="64">
        <f>SUMIFS(super1[Qtde],super1[Item],tab_alimentos[[#This Row],[Item]],super1[Bairro],mercado8)+SUMIFS(supercb[Qtde],supercb[Item],tab_alimentos[[#This Row],[Item]],supercb[Bairro],mercado8)</f>
        <v>0</v>
      </c>
      <c r="T291" s="64">
        <f>SUMIFS(super1[Qtde],super1[Item],tab_alimentos[[#This Row],[Item]],super1[Bairro],mercado9)+SUMIFS(supercb[Qtde],supercb[Item],tab_alimentos[[#This Row],[Item]],supercb[Bairro],mercado9)</f>
        <v>0</v>
      </c>
      <c r="U291" s="64">
        <f>SUMIFS(super1[Qtde],super1[Item],tab_alimentos[[#This Row],[Item]],super1[Bairro],mercado10)+SUMIFS(supercb[Qtde],supercb[Item],tab_alimentos[[#This Row],[Item]],supercb[Bairro],mercado10)</f>
        <v>0</v>
      </c>
      <c r="V291" s="64">
        <f>SUMIFS(super1[Qtde],super1[Item],tab_alimentos[[#This Row],[Item]],super1[Bairro],mercado11)+SUMIFS(supercb[Qtde],supercb[Item],tab_alimentos[[#This Row],[Item]],supercb[Bairro],mercado11)</f>
        <v>0</v>
      </c>
      <c r="W291" s="64">
        <f>SUMIFS(super1[Qtde],super1[Item],tab_alimentos[[#This Row],[Item]],super1[Bairro],mercado12)+SUMIFS(supercb[Qtde],supercb[Item],tab_alimentos[[#This Row],[Item]],supercb[Bairro],mercado12)</f>
        <v>0</v>
      </c>
      <c r="X291" s="64">
        <f>SUMIFS(super1[Qtde],super1[Item],tab_alimentos[[#This Row],[Item]],super1[Bairro],mercado13)+SUMIFS(supercb[Qtde],supercb[Item],tab_alimentos[[#This Row],[Item]],supercb[Bairro],mercado13)</f>
        <v>0</v>
      </c>
      <c r="Y291" s="64">
        <f>SUMIFS(super1[Qtde],super1[Item],tab_alimentos[[#This Row],[Item]],super1[Bairro],mercado14)+SUMIFS(supercb[Qtde],supercb[Item],tab_alimentos[[#This Row],[Item]],supercb[Bairro],mercado14)</f>
        <v>0</v>
      </c>
      <c r="Z291" s="64">
        <f>SUMIFS(super1[Qtde],super1[Item],tab_alimentos[[#This Row],[Item]],super1[Bairro],mercado15)+SUMIFS(supercb[Qtde],supercb[Item],tab_alimentos[[#This Row],[Item]],supercb[Bairro],mercado15)</f>
        <v>0</v>
      </c>
      <c r="AA291" s="64">
        <f>SUMIFS(super1[Qtde],super1[Item],tab_alimentos[[#This Row],[Item]],super1[Bairro],mercado16)+SUMIFS(supercb[Qtde],supercb[Item],tab_alimentos[[#This Row],[Item]],supercb[Bairro],mercado16)</f>
        <v>0</v>
      </c>
      <c r="AB291" s="64">
        <f>SUMIFS(super1[Qtde],super1[Item],tab_alimentos[[#This Row],[Item]],super1[Bairro],mercado17)+SUMIFS(supercb[Qtde],supercb[Item],tab_alimentos[[#This Row],[Item]],supercb[Bairro],mercado17)</f>
        <v>0</v>
      </c>
      <c r="AC291" s="64">
        <f>SUMIFS(super1[Qtde],super1[Item],tab_alimentos[[#This Row],[Item]],super1[Bairro],mercado18)+SUMIFS(supercb[Qtde],supercb[Item],tab_alimentos[[#This Row],[Item]],supercb[Bairro],mercado18)</f>
        <v>0</v>
      </c>
      <c r="AD291" s="64">
        <f>SUMIFS(super1[Qtde],super1[Item],tab_alimentos[[#This Row],[Item]],super1[Bairro],extras)+SUMIFS(supercb[Qtde],supercb[Item],tab_alimentos[[#This Row],[Item]],supercb[Bairro],extras)</f>
        <v>0</v>
      </c>
      <c r="AE291" s="61">
        <f t="shared" si="88"/>
        <v>0</v>
      </c>
      <c r="AF291" s="61">
        <f t="shared" si="89"/>
        <v>0</v>
      </c>
      <c r="AG291" s="62">
        <f t="shared" si="90"/>
        <v>0</v>
      </c>
      <c r="AH291" s="15" t="e">
        <f>higiene[[#This Row],[Item]]</f>
        <v>#VALUE!</v>
      </c>
      <c r="AI291" s="8">
        <f>IFERROR(higiene[[#This Row],[Kg equivalente]],0)</f>
        <v>0</v>
      </c>
      <c r="AJ291" s="8">
        <f>IFERROR(higiene[[#This Row],[Preço por produto]],0)</f>
        <v>0</v>
      </c>
      <c r="AK291" s="61">
        <f>SUMIFS(super1[Qtde],super1[Item],tab_higiene[[#This Row],[Item]],super1[Bairro],mercado1)+SUMIFS(supercb[Qtde],supercb[Item],tab_higiene[[#This Row],[Item]],supercb[Bairro],mercado1)</f>
        <v>0</v>
      </c>
      <c r="AL291" s="61">
        <f>SUMIFS(super1[Qtde],super1[Item],tab_higiene[[#This Row],[Item]],super1[Bairro],mercado2)+SUMIFS(supercb[Qtde],supercb[Item],tab_higiene[[#This Row],[Item]],supercb[Bairro],mercado2)</f>
        <v>0</v>
      </c>
      <c r="AM291" s="61">
        <f>SUMIFS(super1[Qtde],super1[Item],tab_higiene[[#This Row],[Item]],super1[Bairro],mercado3)+SUMIFS(supercb[Qtde],supercb[Item],tab_higiene[[#This Row],[Item]],supercb[Bairro],mercado3)</f>
        <v>0</v>
      </c>
      <c r="AN291" s="61">
        <f>SUMIFS(super1[Qtde],super1[Item],tab_higiene[[#This Row],[Item]],super1[Bairro],mercado4)+SUMIFS(supercb[Qtde],supercb[Item],tab_higiene[[#This Row],[Item]],supercb[Bairro],mercado4)</f>
        <v>0</v>
      </c>
      <c r="AO291" s="61">
        <f>SUMIFS(super1[Qtde],super1[Item],tab_higiene[[#This Row],[Item]],super1[Bairro],mercado5)+SUMIFS(supercb[Qtde],supercb[Item],tab_higiene[[#This Row],[Item]],supercb[Bairro],mercado5)</f>
        <v>0</v>
      </c>
      <c r="AP291" s="61">
        <f>SUMIFS(super1[Qtde],super1[Item],tab_higiene[[#This Row],[Item]],super1[Bairro],mercado6)+SUMIFS(supercb[Qtde],supercb[Item],tab_higiene[[#This Row],[Item]],supercb[Bairro],mercado6)</f>
        <v>0</v>
      </c>
      <c r="AQ291" s="61">
        <f>SUMIFS(super1[Qtde],super1[Item],tab_higiene[[#This Row],[Item]],super1[Bairro],mercado7)+SUMIFS(supercb[Qtde],supercb[Item],tab_higiene[[#This Row],[Item]],supercb[Bairro],mercado7)</f>
        <v>0</v>
      </c>
      <c r="AR291" s="61">
        <f>SUMIFS(super1[Qtde],super1[Item],tab_higiene[[#This Row],[Item]],super1[Bairro],mercado8)+SUMIFS(supercb[Qtde],supercb[Item],tab_higiene[[#This Row],[Item]],supercb[Bairro],mercado8)</f>
        <v>0</v>
      </c>
      <c r="AS291" s="61">
        <f>SUMIFS(super1[Qtde],super1[Item],tab_higiene[[#This Row],[Item]],super1[Bairro],mercado9)+SUMIFS(supercb[Qtde],supercb[Item],tab_higiene[[#This Row],[Item]],supercb[Bairro],mercado9)</f>
        <v>0</v>
      </c>
      <c r="AT291" s="61">
        <f>SUMIFS(super1[Qtde],super1[Item],tab_higiene[[#This Row],[Item]],super1[Bairro],mercado10)+SUMIFS(supercb[Qtde],supercb[Item],tab_higiene[[#This Row],[Item]],supercb[Bairro],mercado10)</f>
        <v>0</v>
      </c>
      <c r="AU291" s="61">
        <f>SUMIFS(super1[Qtde],super1[Item],tab_higiene[[#This Row],[Item]],super1[Bairro],mercado11)+SUMIFS(supercb[Qtde],supercb[Item],tab_higiene[[#This Row],[Item]],supercb[Bairro],mercado11)</f>
        <v>0</v>
      </c>
      <c r="AV291" s="61">
        <f>SUMIFS(super1[Qtde],super1[Item],tab_higiene[[#This Row],[Item]],super1[Bairro],mercado12)+SUMIFS(supercb[Qtde],supercb[Item],tab_higiene[[#This Row],[Item]],supercb[Bairro],mercado12)</f>
        <v>0</v>
      </c>
      <c r="AW291" s="61">
        <f>SUMIFS(super1[Qtde],super1[Item],tab_higiene[[#This Row],[Item]],super1[Bairro],mercado13)+SUMIFS(supercb[Qtde],supercb[Item],tab_higiene[[#This Row],[Item]],supercb[Bairro],mercado13)</f>
        <v>0</v>
      </c>
      <c r="AX291" s="61">
        <f>SUMIFS(super1[Qtde],super1[Item],tab_higiene[[#This Row],[Item]],super1[Bairro],mercado14)+SUMIFS(supercb[Qtde],supercb[Item],tab_higiene[[#This Row],[Item]],supercb[Bairro],mercado14)</f>
        <v>0</v>
      </c>
      <c r="AY291" s="61">
        <f>SUMIFS(super1[Qtde],super1[Item],tab_higiene[[#This Row],[Item]],super1[Bairro],mercado15)+SUMIFS(supercb[Qtde],supercb[Item],tab_higiene[[#This Row],[Item]],supercb[Bairro],mercado15)</f>
        <v>0</v>
      </c>
      <c r="AZ291" s="61">
        <f>SUMIFS(super1[Qtde],super1[Item],tab_higiene[[#This Row],[Item]],super1[Bairro],mercado16)+SUMIFS(supercb[Qtde],supercb[Item],tab_higiene[[#This Row],[Item]],supercb[Bairro],mercado16)</f>
        <v>0</v>
      </c>
      <c r="BA291" s="61">
        <f>SUMIFS(super1[Qtde],super1[Item],tab_higiene[[#This Row],[Item]],super1[Bairro],mercado17)+SUMIFS(supercb[Qtde],supercb[Item],tab_higiene[[#This Row],[Item]],supercb[Bairro],mercado17)</f>
        <v>0</v>
      </c>
      <c r="BB291" s="61">
        <f>SUMIFS(super1[Qtde],super1[Item],tab_higiene[[#This Row],[Item]],super1[Bairro],mercado18)+SUMIFS(supercb[Qtde],supercb[Item],tab_higiene[[#This Row],[Item]],supercb[Bairro],mercado18)</f>
        <v>0</v>
      </c>
      <c r="BC291" s="51">
        <f>SUMIFS(super1[Qtde],super1[Item],tab_higiene[[#This Row],[Item]],super1[Bairro],extras)+SUMIFS(supercb[Qtde],supercb[Item],tab_higiene[[#This Row],[Item]],supercb[Bairro],extras)</f>
        <v>0</v>
      </c>
      <c r="BD291" s="8">
        <f t="shared" si="91"/>
        <v>0</v>
      </c>
      <c r="BE291" s="8">
        <f t="shared" si="92"/>
        <v>0</v>
      </c>
      <c r="BF291" s="23">
        <f t="shared" si="93"/>
        <v>0</v>
      </c>
    </row>
    <row r="292" spans="9:58" ht="15.75" thickBot="1" x14ac:dyDescent="0.3">
      <c r="I292" s="65" t="e">
        <f>alimentos[[#This Row],[Item]]</f>
        <v>#VALUE!</v>
      </c>
      <c r="J292" s="61">
        <f>IFERROR(alimentos[[#This Row],[kg/embalagem]],0)</f>
        <v>0</v>
      </c>
      <c r="K292" s="64">
        <f>IFERROR(alimentos[[#This Row],[Preço]],0)</f>
        <v>0</v>
      </c>
      <c r="L292" s="64">
        <f>SUMIFS(super1[Qtde],super1[Item],tab_alimentos[[#This Row],[Item]],super1[Bairro],mercado1)+SUMIFS(supercb[Qtde],supercb[Item],tab_alimentos[[#This Row],[Item]],supercb[Bairro],mercado1)</f>
        <v>0</v>
      </c>
      <c r="M292" s="64">
        <f>SUMIFS(super1[Qtde],super1[Item],tab_alimentos[[#This Row],[Item]],super1[Bairro],mercado2)+SUMIFS(supercb[Qtde],supercb[Item],tab_alimentos[[#This Row],[Item]],supercb[Bairro],mercado2)</f>
        <v>0</v>
      </c>
      <c r="N292" s="61">
        <f>SUMIFS(super1[Qtde],super1[Item],tab_alimentos[[#This Row],[Item]],super1[Bairro],mercado3)+SUMIFS(supercb[Qtde],supercb[Item],tab_alimentos[[#This Row],[Item]],supercb[Bairro],mercado3)</f>
        <v>0</v>
      </c>
      <c r="O292" s="64">
        <f>SUMIFS(super1[Qtde],super1[Item],tab_alimentos[[#This Row],[Item]],super1[Bairro],mercado4)+SUMIFS(supercb[Qtde],supercb[Item],tab_alimentos[[#This Row],[Item]],supercb[Bairro],mercado4)</f>
        <v>0</v>
      </c>
      <c r="P292" s="64">
        <f>SUMIFS(super1[Qtde],super1[Item],tab_alimentos[[#This Row],[Item]],super1[Bairro],mercado5)+SUMIFS(supercb[Qtde],supercb[Item],tab_alimentos[[#This Row],[Item]],supercb[Bairro],mercado5)</f>
        <v>0</v>
      </c>
      <c r="Q292" s="64">
        <f>SUMIFS(super1[Qtde],super1[Item],tab_alimentos[[#This Row],[Item]],super1[Bairro],mercado6)+SUMIFS(supercb[Qtde],supercb[Item],tab_alimentos[[#This Row],[Item]],supercb[Bairro],mercado6)</f>
        <v>0</v>
      </c>
      <c r="R292" s="64">
        <f>SUMIFS(super1[Qtde],super1[Item],tab_alimentos[[#This Row],[Item]],super1[Bairro],mercado7)+SUMIFS(supercb[Qtde],supercb[Item],tab_alimentos[[#This Row],[Item]],supercb[Bairro],mercado7)</f>
        <v>0</v>
      </c>
      <c r="S292" s="64">
        <f>SUMIFS(super1[Qtde],super1[Item],tab_alimentos[[#This Row],[Item]],super1[Bairro],mercado8)+SUMIFS(supercb[Qtde],supercb[Item],tab_alimentos[[#This Row],[Item]],supercb[Bairro],mercado8)</f>
        <v>0</v>
      </c>
      <c r="T292" s="64">
        <f>SUMIFS(super1[Qtde],super1[Item],tab_alimentos[[#This Row],[Item]],super1[Bairro],mercado9)+SUMIFS(supercb[Qtde],supercb[Item],tab_alimentos[[#This Row],[Item]],supercb[Bairro],mercado9)</f>
        <v>0</v>
      </c>
      <c r="U292" s="64">
        <f>SUMIFS(super1[Qtde],super1[Item],tab_alimentos[[#This Row],[Item]],super1[Bairro],mercado10)+SUMIFS(supercb[Qtde],supercb[Item],tab_alimentos[[#This Row],[Item]],supercb[Bairro],mercado10)</f>
        <v>0</v>
      </c>
      <c r="V292" s="64">
        <f>SUMIFS(super1[Qtde],super1[Item],tab_alimentos[[#This Row],[Item]],super1[Bairro],mercado11)+SUMIFS(supercb[Qtde],supercb[Item],tab_alimentos[[#This Row],[Item]],supercb[Bairro],mercado11)</f>
        <v>0</v>
      </c>
      <c r="W292" s="64">
        <f>SUMIFS(super1[Qtde],super1[Item],tab_alimentos[[#This Row],[Item]],super1[Bairro],mercado12)+SUMIFS(supercb[Qtde],supercb[Item],tab_alimentos[[#This Row],[Item]],supercb[Bairro],mercado12)</f>
        <v>0</v>
      </c>
      <c r="X292" s="64">
        <f>SUMIFS(super1[Qtde],super1[Item],tab_alimentos[[#This Row],[Item]],super1[Bairro],mercado13)+SUMIFS(supercb[Qtde],supercb[Item],tab_alimentos[[#This Row],[Item]],supercb[Bairro],mercado13)</f>
        <v>0</v>
      </c>
      <c r="Y292" s="64">
        <f>SUMIFS(super1[Qtde],super1[Item],tab_alimentos[[#This Row],[Item]],super1[Bairro],mercado14)+SUMIFS(supercb[Qtde],supercb[Item],tab_alimentos[[#This Row],[Item]],supercb[Bairro],mercado14)</f>
        <v>0</v>
      </c>
      <c r="Z292" s="64">
        <f>SUMIFS(super1[Qtde],super1[Item],tab_alimentos[[#This Row],[Item]],super1[Bairro],mercado15)+SUMIFS(supercb[Qtde],supercb[Item],tab_alimentos[[#This Row],[Item]],supercb[Bairro],mercado15)</f>
        <v>0</v>
      </c>
      <c r="AA292" s="64">
        <f>SUMIFS(super1[Qtde],super1[Item],tab_alimentos[[#This Row],[Item]],super1[Bairro],mercado16)+SUMIFS(supercb[Qtde],supercb[Item],tab_alimentos[[#This Row],[Item]],supercb[Bairro],mercado16)</f>
        <v>0</v>
      </c>
      <c r="AB292" s="64">
        <f>SUMIFS(super1[Qtde],super1[Item],tab_alimentos[[#This Row],[Item]],super1[Bairro],mercado17)+SUMIFS(supercb[Qtde],supercb[Item],tab_alimentos[[#This Row],[Item]],supercb[Bairro],mercado17)</f>
        <v>0</v>
      </c>
      <c r="AC292" s="64">
        <f>SUMIFS(super1[Qtde],super1[Item],tab_alimentos[[#This Row],[Item]],super1[Bairro],mercado18)+SUMIFS(supercb[Qtde],supercb[Item],tab_alimentos[[#This Row],[Item]],supercb[Bairro],mercado18)</f>
        <v>0</v>
      </c>
      <c r="AD292" s="64">
        <f>SUMIFS(super1[Qtde],super1[Item],tab_alimentos[[#This Row],[Item]],super1[Bairro],extras)+SUMIFS(supercb[Qtde],supercb[Item],tab_alimentos[[#This Row],[Item]],supercb[Bairro],extras)</f>
        <v>0</v>
      </c>
      <c r="AE292" s="61">
        <f t="shared" si="88"/>
        <v>0</v>
      </c>
      <c r="AF292" s="61">
        <f t="shared" si="89"/>
        <v>0</v>
      </c>
      <c r="AG292" s="62">
        <f t="shared" si="90"/>
        <v>0</v>
      </c>
      <c r="AH292" s="15" t="e">
        <f>higiene[[#This Row],[Item]]</f>
        <v>#VALUE!</v>
      </c>
      <c r="AI292" s="8">
        <f>IFERROR(higiene[[#This Row],[Kg equivalente]],0)</f>
        <v>0</v>
      </c>
      <c r="AJ292" s="8">
        <f>IFERROR(higiene[[#This Row],[Preço por produto]],0)</f>
        <v>0</v>
      </c>
      <c r="AK292" s="61">
        <f>SUMIFS(super1[Qtde],super1[Item],tab_higiene[[#This Row],[Item]],super1[Bairro],mercado1)+SUMIFS(supercb[Qtde],supercb[Item],tab_higiene[[#This Row],[Item]],supercb[Bairro],mercado1)</f>
        <v>0</v>
      </c>
      <c r="AL292" s="61">
        <f>SUMIFS(super1[Qtde],super1[Item],tab_higiene[[#This Row],[Item]],super1[Bairro],mercado2)+SUMIFS(supercb[Qtde],supercb[Item],tab_higiene[[#This Row],[Item]],supercb[Bairro],mercado2)</f>
        <v>0</v>
      </c>
      <c r="AM292" s="61">
        <f>SUMIFS(super1[Qtde],super1[Item],tab_higiene[[#This Row],[Item]],super1[Bairro],mercado3)+SUMIFS(supercb[Qtde],supercb[Item],tab_higiene[[#This Row],[Item]],supercb[Bairro],mercado3)</f>
        <v>0</v>
      </c>
      <c r="AN292" s="61">
        <f>SUMIFS(super1[Qtde],super1[Item],tab_higiene[[#This Row],[Item]],super1[Bairro],mercado4)+SUMIFS(supercb[Qtde],supercb[Item],tab_higiene[[#This Row],[Item]],supercb[Bairro],mercado4)</f>
        <v>0</v>
      </c>
      <c r="AO292" s="61">
        <f>SUMIFS(super1[Qtde],super1[Item],tab_higiene[[#This Row],[Item]],super1[Bairro],mercado5)+SUMIFS(supercb[Qtde],supercb[Item],tab_higiene[[#This Row],[Item]],supercb[Bairro],mercado5)</f>
        <v>0</v>
      </c>
      <c r="AP292" s="61">
        <f>SUMIFS(super1[Qtde],super1[Item],tab_higiene[[#This Row],[Item]],super1[Bairro],mercado6)+SUMIFS(supercb[Qtde],supercb[Item],tab_higiene[[#This Row],[Item]],supercb[Bairro],mercado6)</f>
        <v>0</v>
      </c>
      <c r="AQ292" s="61">
        <f>SUMIFS(super1[Qtde],super1[Item],tab_higiene[[#This Row],[Item]],super1[Bairro],mercado7)+SUMIFS(supercb[Qtde],supercb[Item],tab_higiene[[#This Row],[Item]],supercb[Bairro],mercado7)</f>
        <v>0</v>
      </c>
      <c r="AR292" s="61">
        <f>SUMIFS(super1[Qtde],super1[Item],tab_higiene[[#This Row],[Item]],super1[Bairro],mercado8)+SUMIFS(supercb[Qtde],supercb[Item],tab_higiene[[#This Row],[Item]],supercb[Bairro],mercado8)</f>
        <v>0</v>
      </c>
      <c r="AS292" s="61">
        <f>SUMIFS(super1[Qtde],super1[Item],tab_higiene[[#This Row],[Item]],super1[Bairro],mercado9)+SUMIFS(supercb[Qtde],supercb[Item],tab_higiene[[#This Row],[Item]],supercb[Bairro],mercado9)</f>
        <v>0</v>
      </c>
      <c r="AT292" s="61">
        <f>SUMIFS(super1[Qtde],super1[Item],tab_higiene[[#This Row],[Item]],super1[Bairro],mercado10)+SUMIFS(supercb[Qtde],supercb[Item],tab_higiene[[#This Row],[Item]],supercb[Bairro],mercado10)</f>
        <v>0</v>
      </c>
      <c r="AU292" s="61">
        <f>SUMIFS(super1[Qtde],super1[Item],tab_higiene[[#This Row],[Item]],super1[Bairro],mercado11)+SUMIFS(supercb[Qtde],supercb[Item],tab_higiene[[#This Row],[Item]],supercb[Bairro],mercado11)</f>
        <v>0</v>
      </c>
      <c r="AV292" s="61">
        <f>SUMIFS(super1[Qtde],super1[Item],tab_higiene[[#This Row],[Item]],super1[Bairro],mercado12)+SUMIFS(supercb[Qtde],supercb[Item],tab_higiene[[#This Row],[Item]],supercb[Bairro],mercado12)</f>
        <v>0</v>
      </c>
      <c r="AW292" s="61">
        <f>SUMIFS(super1[Qtde],super1[Item],tab_higiene[[#This Row],[Item]],super1[Bairro],mercado13)+SUMIFS(supercb[Qtde],supercb[Item],tab_higiene[[#This Row],[Item]],supercb[Bairro],mercado13)</f>
        <v>0</v>
      </c>
      <c r="AX292" s="61">
        <f>SUMIFS(super1[Qtde],super1[Item],tab_higiene[[#This Row],[Item]],super1[Bairro],mercado14)+SUMIFS(supercb[Qtde],supercb[Item],tab_higiene[[#This Row],[Item]],supercb[Bairro],mercado14)</f>
        <v>0</v>
      </c>
      <c r="AY292" s="61">
        <f>SUMIFS(super1[Qtde],super1[Item],tab_higiene[[#This Row],[Item]],super1[Bairro],mercado15)+SUMIFS(supercb[Qtde],supercb[Item],tab_higiene[[#This Row],[Item]],supercb[Bairro],mercado15)</f>
        <v>0</v>
      </c>
      <c r="AZ292" s="61">
        <f>SUMIFS(super1[Qtde],super1[Item],tab_higiene[[#This Row],[Item]],super1[Bairro],mercado16)+SUMIFS(supercb[Qtde],supercb[Item],tab_higiene[[#This Row],[Item]],supercb[Bairro],mercado16)</f>
        <v>0</v>
      </c>
      <c r="BA292" s="61">
        <f>SUMIFS(super1[Qtde],super1[Item],tab_higiene[[#This Row],[Item]],super1[Bairro],mercado17)+SUMIFS(supercb[Qtde],supercb[Item],tab_higiene[[#This Row],[Item]],supercb[Bairro],mercado17)</f>
        <v>0</v>
      </c>
      <c r="BB292" s="61">
        <f>SUMIFS(super1[Qtde],super1[Item],tab_higiene[[#This Row],[Item]],super1[Bairro],mercado18)+SUMIFS(supercb[Qtde],supercb[Item],tab_higiene[[#This Row],[Item]],supercb[Bairro],mercado18)</f>
        <v>0</v>
      </c>
      <c r="BC292" s="51">
        <f>SUMIFS(super1[Qtde],super1[Item],tab_higiene[[#This Row],[Item]],super1[Bairro],extras)+SUMIFS(supercb[Qtde],supercb[Item],tab_higiene[[#This Row],[Item]],supercb[Bairro],extras)</f>
        <v>0</v>
      </c>
      <c r="BD292" s="8">
        <f t="shared" si="91"/>
        <v>0</v>
      </c>
      <c r="BE292" s="8">
        <f t="shared" si="92"/>
        <v>0</v>
      </c>
      <c r="BF292" s="23">
        <f t="shared" si="93"/>
        <v>0</v>
      </c>
    </row>
    <row r="293" spans="9:58" ht="15.75" thickBot="1" x14ac:dyDescent="0.3">
      <c r="I293" s="65" t="e">
        <f>alimentos[[#This Row],[Item]]</f>
        <v>#VALUE!</v>
      </c>
      <c r="J293" s="61">
        <f>IFERROR(alimentos[[#This Row],[kg/embalagem]],0)</f>
        <v>0</v>
      </c>
      <c r="K293" s="64">
        <f>IFERROR(alimentos[[#This Row],[Preço]],0)</f>
        <v>0</v>
      </c>
      <c r="L293" s="64">
        <f>SUMIFS(super1[Qtde],super1[Item],tab_alimentos[[#This Row],[Item]],super1[Bairro],mercado1)+SUMIFS(supercb[Qtde],supercb[Item],tab_alimentos[[#This Row],[Item]],supercb[Bairro],mercado1)</f>
        <v>0</v>
      </c>
      <c r="M293" s="64">
        <f>SUMIFS(super1[Qtde],super1[Item],tab_alimentos[[#This Row],[Item]],super1[Bairro],mercado2)+SUMIFS(supercb[Qtde],supercb[Item],tab_alimentos[[#This Row],[Item]],supercb[Bairro],mercado2)</f>
        <v>0</v>
      </c>
      <c r="N293" s="61">
        <f>SUMIFS(super1[Qtde],super1[Item],tab_alimentos[[#This Row],[Item]],super1[Bairro],mercado3)+SUMIFS(supercb[Qtde],supercb[Item],tab_alimentos[[#This Row],[Item]],supercb[Bairro],mercado3)</f>
        <v>0</v>
      </c>
      <c r="O293" s="64">
        <f>SUMIFS(super1[Qtde],super1[Item],tab_alimentos[[#This Row],[Item]],super1[Bairro],mercado4)+SUMIFS(supercb[Qtde],supercb[Item],tab_alimentos[[#This Row],[Item]],supercb[Bairro],mercado4)</f>
        <v>0</v>
      </c>
      <c r="P293" s="64">
        <f>SUMIFS(super1[Qtde],super1[Item],tab_alimentos[[#This Row],[Item]],super1[Bairro],mercado5)+SUMIFS(supercb[Qtde],supercb[Item],tab_alimentos[[#This Row],[Item]],supercb[Bairro],mercado5)</f>
        <v>0</v>
      </c>
      <c r="Q293" s="64">
        <f>SUMIFS(super1[Qtde],super1[Item],tab_alimentos[[#This Row],[Item]],super1[Bairro],mercado6)+SUMIFS(supercb[Qtde],supercb[Item],tab_alimentos[[#This Row],[Item]],supercb[Bairro],mercado6)</f>
        <v>0</v>
      </c>
      <c r="R293" s="64">
        <f>SUMIFS(super1[Qtde],super1[Item],tab_alimentos[[#This Row],[Item]],super1[Bairro],mercado7)+SUMIFS(supercb[Qtde],supercb[Item],tab_alimentos[[#This Row],[Item]],supercb[Bairro],mercado7)</f>
        <v>0</v>
      </c>
      <c r="S293" s="64">
        <f>SUMIFS(super1[Qtde],super1[Item],tab_alimentos[[#This Row],[Item]],super1[Bairro],mercado8)+SUMIFS(supercb[Qtde],supercb[Item],tab_alimentos[[#This Row],[Item]],supercb[Bairro],mercado8)</f>
        <v>0</v>
      </c>
      <c r="T293" s="64">
        <f>SUMIFS(super1[Qtde],super1[Item],tab_alimentos[[#This Row],[Item]],super1[Bairro],mercado9)+SUMIFS(supercb[Qtde],supercb[Item],tab_alimentos[[#This Row],[Item]],supercb[Bairro],mercado9)</f>
        <v>0</v>
      </c>
      <c r="U293" s="64">
        <f>SUMIFS(super1[Qtde],super1[Item],tab_alimentos[[#This Row],[Item]],super1[Bairro],mercado10)+SUMIFS(supercb[Qtde],supercb[Item],tab_alimentos[[#This Row],[Item]],supercb[Bairro],mercado10)</f>
        <v>0</v>
      </c>
      <c r="V293" s="64">
        <f>SUMIFS(super1[Qtde],super1[Item],tab_alimentos[[#This Row],[Item]],super1[Bairro],mercado11)+SUMIFS(supercb[Qtde],supercb[Item],tab_alimentos[[#This Row],[Item]],supercb[Bairro],mercado11)</f>
        <v>0</v>
      </c>
      <c r="W293" s="64">
        <f>SUMIFS(super1[Qtde],super1[Item],tab_alimentos[[#This Row],[Item]],super1[Bairro],mercado12)+SUMIFS(supercb[Qtde],supercb[Item],tab_alimentos[[#This Row],[Item]],supercb[Bairro],mercado12)</f>
        <v>0</v>
      </c>
      <c r="X293" s="64">
        <f>SUMIFS(super1[Qtde],super1[Item],tab_alimentos[[#This Row],[Item]],super1[Bairro],mercado13)+SUMIFS(supercb[Qtde],supercb[Item],tab_alimentos[[#This Row],[Item]],supercb[Bairro],mercado13)</f>
        <v>0</v>
      </c>
      <c r="Y293" s="64">
        <f>SUMIFS(super1[Qtde],super1[Item],tab_alimentos[[#This Row],[Item]],super1[Bairro],mercado14)+SUMIFS(supercb[Qtde],supercb[Item],tab_alimentos[[#This Row],[Item]],supercb[Bairro],mercado14)</f>
        <v>0</v>
      </c>
      <c r="Z293" s="64">
        <f>SUMIFS(super1[Qtde],super1[Item],tab_alimentos[[#This Row],[Item]],super1[Bairro],mercado15)+SUMIFS(supercb[Qtde],supercb[Item],tab_alimentos[[#This Row],[Item]],supercb[Bairro],mercado15)</f>
        <v>0</v>
      </c>
      <c r="AA293" s="64">
        <f>SUMIFS(super1[Qtde],super1[Item],tab_alimentos[[#This Row],[Item]],super1[Bairro],mercado16)+SUMIFS(supercb[Qtde],supercb[Item],tab_alimentos[[#This Row],[Item]],supercb[Bairro],mercado16)</f>
        <v>0</v>
      </c>
      <c r="AB293" s="64">
        <f>SUMIFS(super1[Qtde],super1[Item],tab_alimentos[[#This Row],[Item]],super1[Bairro],mercado17)+SUMIFS(supercb[Qtde],supercb[Item],tab_alimentos[[#This Row],[Item]],supercb[Bairro],mercado17)</f>
        <v>0</v>
      </c>
      <c r="AC293" s="64">
        <f>SUMIFS(super1[Qtde],super1[Item],tab_alimentos[[#This Row],[Item]],super1[Bairro],mercado18)+SUMIFS(supercb[Qtde],supercb[Item],tab_alimentos[[#This Row],[Item]],supercb[Bairro],mercado18)</f>
        <v>0</v>
      </c>
      <c r="AD293" s="64">
        <f>SUMIFS(super1[Qtde],super1[Item],tab_alimentos[[#This Row],[Item]],super1[Bairro],extras)+SUMIFS(supercb[Qtde],supercb[Item],tab_alimentos[[#This Row],[Item]],supercb[Bairro],extras)</f>
        <v>0</v>
      </c>
      <c r="AE293" s="61">
        <f t="shared" si="88"/>
        <v>0</v>
      </c>
      <c r="AF293" s="61">
        <f t="shared" si="89"/>
        <v>0</v>
      </c>
      <c r="AG293" s="62">
        <f t="shared" si="90"/>
        <v>0</v>
      </c>
      <c r="AH293" s="15" t="e">
        <f>higiene[[#This Row],[Item]]</f>
        <v>#VALUE!</v>
      </c>
      <c r="AI293" s="8">
        <f>IFERROR(higiene[[#This Row],[Kg equivalente]],0)</f>
        <v>0</v>
      </c>
      <c r="AJ293" s="8">
        <f>IFERROR(higiene[[#This Row],[Preço por produto]],0)</f>
        <v>0</v>
      </c>
      <c r="AK293" s="61">
        <f>SUMIFS(super1[Qtde],super1[Item],tab_higiene[[#This Row],[Item]],super1[Bairro],mercado1)+SUMIFS(supercb[Qtde],supercb[Item],tab_higiene[[#This Row],[Item]],supercb[Bairro],mercado1)</f>
        <v>0</v>
      </c>
      <c r="AL293" s="61">
        <f>SUMIFS(super1[Qtde],super1[Item],tab_higiene[[#This Row],[Item]],super1[Bairro],mercado2)+SUMIFS(supercb[Qtde],supercb[Item],tab_higiene[[#This Row],[Item]],supercb[Bairro],mercado2)</f>
        <v>0</v>
      </c>
      <c r="AM293" s="61">
        <f>SUMIFS(super1[Qtde],super1[Item],tab_higiene[[#This Row],[Item]],super1[Bairro],mercado3)+SUMIFS(supercb[Qtde],supercb[Item],tab_higiene[[#This Row],[Item]],supercb[Bairro],mercado3)</f>
        <v>0</v>
      </c>
      <c r="AN293" s="61">
        <f>SUMIFS(super1[Qtde],super1[Item],tab_higiene[[#This Row],[Item]],super1[Bairro],mercado4)+SUMIFS(supercb[Qtde],supercb[Item],tab_higiene[[#This Row],[Item]],supercb[Bairro],mercado4)</f>
        <v>0</v>
      </c>
      <c r="AO293" s="61">
        <f>SUMIFS(super1[Qtde],super1[Item],tab_higiene[[#This Row],[Item]],super1[Bairro],mercado5)+SUMIFS(supercb[Qtde],supercb[Item],tab_higiene[[#This Row],[Item]],supercb[Bairro],mercado5)</f>
        <v>0</v>
      </c>
      <c r="AP293" s="61">
        <f>SUMIFS(super1[Qtde],super1[Item],tab_higiene[[#This Row],[Item]],super1[Bairro],mercado6)+SUMIFS(supercb[Qtde],supercb[Item],tab_higiene[[#This Row],[Item]],supercb[Bairro],mercado6)</f>
        <v>0</v>
      </c>
      <c r="AQ293" s="61">
        <f>SUMIFS(super1[Qtde],super1[Item],tab_higiene[[#This Row],[Item]],super1[Bairro],mercado7)+SUMIFS(supercb[Qtde],supercb[Item],tab_higiene[[#This Row],[Item]],supercb[Bairro],mercado7)</f>
        <v>0</v>
      </c>
      <c r="AR293" s="61">
        <f>SUMIFS(super1[Qtde],super1[Item],tab_higiene[[#This Row],[Item]],super1[Bairro],mercado8)+SUMIFS(supercb[Qtde],supercb[Item],tab_higiene[[#This Row],[Item]],supercb[Bairro],mercado8)</f>
        <v>0</v>
      </c>
      <c r="AS293" s="61">
        <f>SUMIFS(super1[Qtde],super1[Item],tab_higiene[[#This Row],[Item]],super1[Bairro],mercado9)+SUMIFS(supercb[Qtde],supercb[Item],tab_higiene[[#This Row],[Item]],supercb[Bairro],mercado9)</f>
        <v>0</v>
      </c>
      <c r="AT293" s="61">
        <f>SUMIFS(super1[Qtde],super1[Item],tab_higiene[[#This Row],[Item]],super1[Bairro],mercado10)+SUMIFS(supercb[Qtde],supercb[Item],tab_higiene[[#This Row],[Item]],supercb[Bairro],mercado10)</f>
        <v>0</v>
      </c>
      <c r="AU293" s="61">
        <f>SUMIFS(super1[Qtde],super1[Item],tab_higiene[[#This Row],[Item]],super1[Bairro],mercado11)+SUMIFS(supercb[Qtde],supercb[Item],tab_higiene[[#This Row],[Item]],supercb[Bairro],mercado11)</f>
        <v>0</v>
      </c>
      <c r="AV293" s="61">
        <f>SUMIFS(super1[Qtde],super1[Item],tab_higiene[[#This Row],[Item]],super1[Bairro],mercado12)+SUMIFS(supercb[Qtde],supercb[Item],tab_higiene[[#This Row],[Item]],supercb[Bairro],mercado12)</f>
        <v>0</v>
      </c>
      <c r="AW293" s="61">
        <f>SUMIFS(super1[Qtde],super1[Item],tab_higiene[[#This Row],[Item]],super1[Bairro],mercado13)+SUMIFS(supercb[Qtde],supercb[Item],tab_higiene[[#This Row],[Item]],supercb[Bairro],mercado13)</f>
        <v>0</v>
      </c>
      <c r="AX293" s="61">
        <f>SUMIFS(super1[Qtde],super1[Item],tab_higiene[[#This Row],[Item]],super1[Bairro],mercado14)+SUMIFS(supercb[Qtde],supercb[Item],tab_higiene[[#This Row],[Item]],supercb[Bairro],mercado14)</f>
        <v>0</v>
      </c>
      <c r="AY293" s="61">
        <f>SUMIFS(super1[Qtde],super1[Item],tab_higiene[[#This Row],[Item]],super1[Bairro],mercado15)+SUMIFS(supercb[Qtde],supercb[Item],tab_higiene[[#This Row],[Item]],supercb[Bairro],mercado15)</f>
        <v>0</v>
      </c>
      <c r="AZ293" s="61">
        <f>SUMIFS(super1[Qtde],super1[Item],tab_higiene[[#This Row],[Item]],super1[Bairro],mercado16)+SUMIFS(supercb[Qtde],supercb[Item],tab_higiene[[#This Row],[Item]],supercb[Bairro],mercado16)</f>
        <v>0</v>
      </c>
      <c r="BA293" s="61">
        <f>SUMIFS(super1[Qtde],super1[Item],tab_higiene[[#This Row],[Item]],super1[Bairro],mercado17)+SUMIFS(supercb[Qtde],supercb[Item],tab_higiene[[#This Row],[Item]],supercb[Bairro],mercado17)</f>
        <v>0</v>
      </c>
      <c r="BB293" s="61">
        <f>SUMIFS(super1[Qtde],super1[Item],tab_higiene[[#This Row],[Item]],super1[Bairro],mercado18)+SUMIFS(supercb[Qtde],supercb[Item],tab_higiene[[#This Row],[Item]],supercb[Bairro],mercado18)</f>
        <v>0</v>
      </c>
      <c r="BC293" s="51">
        <f>SUMIFS(super1[Qtde],super1[Item],tab_higiene[[#This Row],[Item]],super1[Bairro],extras)+SUMIFS(supercb[Qtde],supercb[Item],tab_higiene[[#This Row],[Item]],supercb[Bairro],extras)</f>
        <v>0</v>
      </c>
      <c r="BD293" s="8">
        <f t="shared" si="91"/>
        <v>0</v>
      </c>
      <c r="BE293" s="8">
        <f t="shared" si="92"/>
        <v>0</v>
      </c>
      <c r="BF293" s="23">
        <f t="shared" si="93"/>
        <v>0</v>
      </c>
    </row>
    <row r="294" spans="9:58" ht="15.75" thickBot="1" x14ac:dyDescent="0.3">
      <c r="I294" s="65" t="e">
        <f>alimentos[[#This Row],[Item]]</f>
        <v>#VALUE!</v>
      </c>
      <c r="J294" s="61">
        <f>IFERROR(alimentos[[#This Row],[kg/embalagem]],0)</f>
        <v>0</v>
      </c>
      <c r="K294" s="64">
        <f>IFERROR(alimentos[[#This Row],[Preço]],0)</f>
        <v>0</v>
      </c>
      <c r="L294" s="64">
        <f>SUMIFS(super1[Qtde],super1[Item],tab_alimentos[[#This Row],[Item]],super1[Bairro],mercado1)+SUMIFS(supercb[Qtde],supercb[Item],tab_alimentos[[#This Row],[Item]],supercb[Bairro],mercado1)</f>
        <v>0</v>
      </c>
      <c r="M294" s="64">
        <f>SUMIFS(super1[Qtde],super1[Item],tab_alimentos[[#This Row],[Item]],super1[Bairro],mercado2)+SUMIFS(supercb[Qtde],supercb[Item],tab_alimentos[[#This Row],[Item]],supercb[Bairro],mercado2)</f>
        <v>0</v>
      </c>
      <c r="N294" s="61">
        <f>SUMIFS(super1[Qtde],super1[Item],tab_alimentos[[#This Row],[Item]],super1[Bairro],mercado3)+SUMIFS(supercb[Qtde],supercb[Item],tab_alimentos[[#This Row],[Item]],supercb[Bairro],mercado3)</f>
        <v>0</v>
      </c>
      <c r="O294" s="64">
        <f>SUMIFS(super1[Qtde],super1[Item],tab_alimentos[[#This Row],[Item]],super1[Bairro],mercado4)+SUMIFS(supercb[Qtde],supercb[Item],tab_alimentos[[#This Row],[Item]],supercb[Bairro],mercado4)</f>
        <v>0</v>
      </c>
      <c r="P294" s="64">
        <f>SUMIFS(super1[Qtde],super1[Item],tab_alimentos[[#This Row],[Item]],super1[Bairro],mercado5)+SUMIFS(supercb[Qtde],supercb[Item],tab_alimentos[[#This Row],[Item]],supercb[Bairro],mercado5)</f>
        <v>0</v>
      </c>
      <c r="Q294" s="64">
        <f>SUMIFS(super1[Qtde],super1[Item],tab_alimentos[[#This Row],[Item]],super1[Bairro],mercado6)+SUMIFS(supercb[Qtde],supercb[Item],tab_alimentos[[#This Row],[Item]],supercb[Bairro],mercado6)</f>
        <v>0</v>
      </c>
      <c r="R294" s="64">
        <f>SUMIFS(super1[Qtde],super1[Item],tab_alimentos[[#This Row],[Item]],super1[Bairro],mercado7)+SUMIFS(supercb[Qtde],supercb[Item],tab_alimentos[[#This Row],[Item]],supercb[Bairro],mercado7)</f>
        <v>0</v>
      </c>
      <c r="S294" s="64">
        <f>SUMIFS(super1[Qtde],super1[Item],tab_alimentos[[#This Row],[Item]],super1[Bairro],mercado8)+SUMIFS(supercb[Qtde],supercb[Item],tab_alimentos[[#This Row],[Item]],supercb[Bairro],mercado8)</f>
        <v>0</v>
      </c>
      <c r="T294" s="64">
        <f>SUMIFS(super1[Qtde],super1[Item],tab_alimentos[[#This Row],[Item]],super1[Bairro],mercado9)+SUMIFS(supercb[Qtde],supercb[Item],tab_alimentos[[#This Row],[Item]],supercb[Bairro],mercado9)</f>
        <v>0</v>
      </c>
      <c r="U294" s="64">
        <f>SUMIFS(super1[Qtde],super1[Item],tab_alimentos[[#This Row],[Item]],super1[Bairro],mercado10)+SUMIFS(supercb[Qtde],supercb[Item],tab_alimentos[[#This Row],[Item]],supercb[Bairro],mercado10)</f>
        <v>0</v>
      </c>
      <c r="V294" s="64">
        <f>SUMIFS(super1[Qtde],super1[Item],tab_alimentos[[#This Row],[Item]],super1[Bairro],mercado11)+SUMIFS(supercb[Qtde],supercb[Item],tab_alimentos[[#This Row],[Item]],supercb[Bairro],mercado11)</f>
        <v>0</v>
      </c>
      <c r="W294" s="64">
        <f>SUMIFS(super1[Qtde],super1[Item],tab_alimentos[[#This Row],[Item]],super1[Bairro],mercado12)+SUMIFS(supercb[Qtde],supercb[Item],tab_alimentos[[#This Row],[Item]],supercb[Bairro],mercado12)</f>
        <v>0</v>
      </c>
      <c r="X294" s="64">
        <f>SUMIFS(super1[Qtde],super1[Item],tab_alimentos[[#This Row],[Item]],super1[Bairro],mercado13)+SUMIFS(supercb[Qtde],supercb[Item],tab_alimentos[[#This Row],[Item]],supercb[Bairro],mercado13)</f>
        <v>0</v>
      </c>
      <c r="Y294" s="64">
        <f>SUMIFS(super1[Qtde],super1[Item],tab_alimentos[[#This Row],[Item]],super1[Bairro],mercado14)+SUMIFS(supercb[Qtde],supercb[Item],tab_alimentos[[#This Row],[Item]],supercb[Bairro],mercado14)</f>
        <v>0</v>
      </c>
      <c r="Z294" s="64">
        <f>SUMIFS(super1[Qtde],super1[Item],tab_alimentos[[#This Row],[Item]],super1[Bairro],mercado15)+SUMIFS(supercb[Qtde],supercb[Item],tab_alimentos[[#This Row],[Item]],supercb[Bairro],mercado15)</f>
        <v>0</v>
      </c>
      <c r="AA294" s="64">
        <f>SUMIFS(super1[Qtde],super1[Item],tab_alimentos[[#This Row],[Item]],super1[Bairro],mercado16)+SUMIFS(supercb[Qtde],supercb[Item],tab_alimentos[[#This Row],[Item]],supercb[Bairro],mercado16)</f>
        <v>0</v>
      </c>
      <c r="AB294" s="64">
        <f>SUMIFS(super1[Qtde],super1[Item],tab_alimentos[[#This Row],[Item]],super1[Bairro],mercado17)+SUMIFS(supercb[Qtde],supercb[Item],tab_alimentos[[#This Row],[Item]],supercb[Bairro],mercado17)</f>
        <v>0</v>
      </c>
      <c r="AC294" s="64">
        <f>SUMIFS(super1[Qtde],super1[Item],tab_alimentos[[#This Row],[Item]],super1[Bairro],mercado18)+SUMIFS(supercb[Qtde],supercb[Item],tab_alimentos[[#This Row],[Item]],supercb[Bairro],mercado18)</f>
        <v>0</v>
      </c>
      <c r="AD294" s="64">
        <f>SUMIFS(super1[Qtde],super1[Item],tab_alimentos[[#This Row],[Item]],super1[Bairro],extras)+SUMIFS(supercb[Qtde],supercb[Item],tab_alimentos[[#This Row],[Item]],supercb[Bairro],extras)</f>
        <v>0</v>
      </c>
      <c r="AE294" s="61">
        <f t="shared" si="88"/>
        <v>0</v>
      </c>
      <c r="AF294" s="61">
        <f t="shared" si="89"/>
        <v>0</v>
      </c>
      <c r="AG294" s="62">
        <f t="shared" si="90"/>
        <v>0</v>
      </c>
      <c r="AH294" s="15" t="e">
        <f>higiene[[#This Row],[Item]]</f>
        <v>#VALUE!</v>
      </c>
      <c r="AI294" s="8">
        <f>IFERROR(higiene[[#This Row],[Kg equivalente]],0)</f>
        <v>0</v>
      </c>
      <c r="AJ294" s="8">
        <f>IFERROR(higiene[[#This Row],[Preço por produto]],0)</f>
        <v>0</v>
      </c>
      <c r="AK294" s="61">
        <f>SUMIFS(super1[Qtde],super1[Item],tab_higiene[[#This Row],[Item]],super1[Bairro],mercado1)+SUMIFS(supercb[Qtde],supercb[Item],tab_higiene[[#This Row],[Item]],supercb[Bairro],mercado1)</f>
        <v>0</v>
      </c>
      <c r="AL294" s="61">
        <f>SUMIFS(super1[Qtde],super1[Item],tab_higiene[[#This Row],[Item]],super1[Bairro],mercado2)+SUMIFS(supercb[Qtde],supercb[Item],tab_higiene[[#This Row],[Item]],supercb[Bairro],mercado2)</f>
        <v>0</v>
      </c>
      <c r="AM294" s="61">
        <f>SUMIFS(super1[Qtde],super1[Item],tab_higiene[[#This Row],[Item]],super1[Bairro],mercado3)+SUMIFS(supercb[Qtde],supercb[Item],tab_higiene[[#This Row],[Item]],supercb[Bairro],mercado3)</f>
        <v>0</v>
      </c>
      <c r="AN294" s="61">
        <f>SUMIFS(super1[Qtde],super1[Item],tab_higiene[[#This Row],[Item]],super1[Bairro],mercado4)+SUMIFS(supercb[Qtde],supercb[Item],tab_higiene[[#This Row],[Item]],supercb[Bairro],mercado4)</f>
        <v>0</v>
      </c>
      <c r="AO294" s="61">
        <f>SUMIFS(super1[Qtde],super1[Item],tab_higiene[[#This Row],[Item]],super1[Bairro],mercado5)+SUMIFS(supercb[Qtde],supercb[Item],tab_higiene[[#This Row],[Item]],supercb[Bairro],mercado5)</f>
        <v>0</v>
      </c>
      <c r="AP294" s="61">
        <f>SUMIFS(super1[Qtde],super1[Item],tab_higiene[[#This Row],[Item]],super1[Bairro],mercado6)+SUMIFS(supercb[Qtde],supercb[Item],tab_higiene[[#This Row],[Item]],supercb[Bairro],mercado6)</f>
        <v>0</v>
      </c>
      <c r="AQ294" s="61">
        <f>SUMIFS(super1[Qtde],super1[Item],tab_higiene[[#This Row],[Item]],super1[Bairro],mercado7)+SUMIFS(supercb[Qtde],supercb[Item],tab_higiene[[#This Row],[Item]],supercb[Bairro],mercado7)</f>
        <v>0</v>
      </c>
      <c r="AR294" s="61">
        <f>SUMIFS(super1[Qtde],super1[Item],tab_higiene[[#This Row],[Item]],super1[Bairro],mercado8)+SUMIFS(supercb[Qtde],supercb[Item],tab_higiene[[#This Row],[Item]],supercb[Bairro],mercado8)</f>
        <v>0</v>
      </c>
      <c r="AS294" s="61">
        <f>SUMIFS(super1[Qtde],super1[Item],tab_higiene[[#This Row],[Item]],super1[Bairro],mercado9)+SUMIFS(supercb[Qtde],supercb[Item],tab_higiene[[#This Row],[Item]],supercb[Bairro],mercado9)</f>
        <v>0</v>
      </c>
      <c r="AT294" s="61">
        <f>SUMIFS(super1[Qtde],super1[Item],tab_higiene[[#This Row],[Item]],super1[Bairro],mercado10)+SUMIFS(supercb[Qtde],supercb[Item],tab_higiene[[#This Row],[Item]],supercb[Bairro],mercado10)</f>
        <v>0</v>
      </c>
      <c r="AU294" s="61">
        <f>SUMIFS(super1[Qtde],super1[Item],tab_higiene[[#This Row],[Item]],super1[Bairro],mercado11)+SUMIFS(supercb[Qtde],supercb[Item],tab_higiene[[#This Row],[Item]],supercb[Bairro],mercado11)</f>
        <v>0</v>
      </c>
      <c r="AV294" s="61">
        <f>SUMIFS(super1[Qtde],super1[Item],tab_higiene[[#This Row],[Item]],super1[Bairro],mercado12)+SUMIFS(supercb[Qtde],supercb[Item],tab_higiene[[#This Row],[Item]],supercb[Bairro],mercado12)</f>
        <v>0</v>
      </c>
      <c r="AW294" s="61">
        <f>SUMIFS(super1[Qtde],super1[Item],tab_higiene[[#This Row],[Item]],super1[Bairro],mercado13)+SUMIFS(supercb[Qtde],supercb[Item],tab_higiene[[#This Row],[Item]],supercb[Bairro],mercado13)</f>
        <v>0</v>
      </c>
      <c r="AX294" s="61">
        <f>SUMIFS(super1[Qtde],super1[Item],tab_higiene[[#This Row],[Item]],super1[Bairro],mercado14)+SUMIFS(supercb[Qtde],supercb[Item],tab_higiene[[#This Row],[Item]],supercb[Bairro],mercado14)</f>
        <v>0</v>
      </c>
      <c r="AY294" s="61">
        <f>SUMIFS(super1[Qtde],super1[Item],tab_higiene[[#This Row],[Item]],super1[Bairro],mercado15)+SUMIFS(supercb[Qtde],supercb[Item],tab_higiene[[#This Row],[Item]],supercb[Bairro],mercado15)</f>
        <v>0</v>
      </c>
      <c r="AZ294" s="61">
        <f>SUMIFS(super1[Qtde],super1[Item],tab_higiene[[#This Row],[Item]],super1[Bairro],mercado16)+SUMIFS(supercb[Qtde],supercb[Item],tab_higiene[[#This Row],[Item]],supercb[Bairro],mercado16)</f>
        <v>0</v>
      </c>
      <c r="BA294" s="61">
        <f>SUMIFS(super1[Qtde],super1[Item],tab_higiene[[#This Row],[Item]],super1[Bairro],mercado17)+SUMIFS(supercb[Qtde],supercb[Item],tab_higiene[[#This Row],[Item]],supercb[Bairro],mercado17)</f>
        <v>0</v>
      </c>
      <c r="BB294" s="61">
        <f>SUMIFS(super1[Qtde],super1[Item],tab_higiene[[#This Row],[Item]],super1[Bairro],mercado18)+SUMIFS(supercb[Qtde],supercb[Item],tab_higiene[[#This Row],[Item]],supercb[Bairro],mercado18)</f>
        <v>0</v>
      </c>
      <c r="BC294" s="51">
        <f>SUMIFS(super1[Qtde],super1[Item],tab_higiene[[#This Row],[Item]],super1[Bairro],extras)+SUMIFS(supercb[Qtde],supercb[Item],tab_higiene[[#This Row],[Item]],supercb[Bairro],extras)</f>
        <v>0</v>
      </c>
      <c r="BD294" s="8">
        <f t="shared" si="91"/>
        <v>0</v>
      </c>
      <c r="BE294" s="8">
        <f t="shared" si="92"/>
        <v>0</v>
      </c>
      <c r="BF294" s="23">
        <f t="shared" si="93"/>
        <v>0</v>
      </c>
    </row>
    <row r="295" spans="9:58" ht="15.75" thickBot="1" x14ac:dyDescent="0.3">
      <c r="I295" s="65" t="e">
        <f>alimentos[[#This Row],[Item]]</f>
        <v>#VALUE!</v>
      </c>
      <c r="J295" s="61">
        <f>IFERROR(alimentos[[#This Row],[kg/embalagem]],0)</f>
        <v>0</v>
      </c>
      <c r="K295" s="64">
        <f>IFERROR(alimentos[[#This Row],[Preço]],0)</f>
        <v>0</v>
      </c>
      <c r="L295" s="64">
        <f>SUMIFS(super1[Qtde],super1[Item],tab_alimentos[[#This Row],[Item]],super1[Bairro],mercado1)+SUMIFS(supercb[Qtde],supercb[Item],tab_alimentos[[#This Row],[Item]],supercb[Bairro],mercado1)</f>
        <v>0</v>
      </c>
      <c r="M295" s="64">
        <f>SUMIFS(super1[Qtde],super1[Item],tab_alimentos[[#This Row],[Item]],super1[Bairro],mercado2)+SUMIFS(supercb[Qtde],supercb[Item],tab_alimentos[[#This Row],[Item]],supercb[Bairro],mercado2)</f>
        <v>0</v>
      </c>
      <c r="N295" s="61">
        <f>SUMIFS(super1[Qtde],super1[Item],tab_alimentos[[#This Row],[Item]],super1[Bairro],mercado3)+SUMIFS(supercb[Qtde],supercb[Item],tab_alimentos[[#This Row],[Item]],supercb[Bairro],mercado3)</f>
        <v>0</v>
      </c>
      <c r="O295" s="64">
        <f>SUMIFS(super1[Qtde],super1[Item],tab_alimentos[[#This Row],[Item]],super1[Bairro],mercado4)+SUMIFS(supercb[Qtde],supercb[Item],tab_alimentos[[#This Row],[Item]],supercb[Bairro],mercado4)</f>
        <v>0</v>
      </c>
      <c r="P295" s="64">
        <f>SUMIFS(super1[Qtde],super1[Item],tab_alimentos[[#This Row],[Item]],super1[Bairro],mercado5)+SUMIFS(supercb[Qtde],supercb[Item],tab_alimentos[[#This Row],[Item]],supercb[Bairro],mercado5)</f>
        <v>0</v>
      </c>
      <c r="Q295" s="64">
        <f>SUMIFS(super1[Qtde],super1[Item],tab_alimentos[[#This Row],[Item]],super1[Bairro],mercado6)+SUMIFS(supercb[Qtde],supercb[Item],tab_alimentos[[#This Row],[Item]],supercb[Bairro],mercado6)</f>
        <v>0</v>
      </c>
      <c r="R295" s="64">
        <f>SUMIFS(super1[Qtde],super1[Item],tab_alimentos[[#This Row],[Item]],super1[Bairro],mercado7)+SUMIFS(supercb[Qtde],supercb[Item],tab_alimentos[[#This Row],[Item]],supercb[Bairro],mercado7)</f>
        <v>0</v>
      </c>
      <c r="S295" s="64">
        <f>SUMIFS(super1[Qtde],super1[Item],tab_alimentos[[#This Row],[Item]],super1[Bairro],mercado8)+SUMIFS(supercb[Qtde],supercb[Item],tab_alimentos[[#This Row],[Item]],supercb[Bairro],mercado8)</f>
        <v>0</v>
      </c>
      <c r="T295" s="64">
        <f>SUMIFS(super1[Qtde],super1[Item],tab_alimentos[[#This Row],[Item]],super1[Bairro],mercado9)+SUMIFS(supercb[Qtde],supercb[Item],tab_alimentos[[#This Row],[Item]],supercb[Bairro],mercado9)</f>
        <v>0</v>
      </c>
      <c r="U295" s="64">
        <f>SUMIFS(super1[Qtde],super1[Item],tab_alimentos[[#This Row],[Item]],super1[Bairro],mercado10)+SUMIFS(supercb[Qtde],supercb[Item],tab_alimentos[[#This Row],[Item]],supercb[Bairro],mercado10)</f>
        <v>0</v>
      </c>
      <c r="V295" s="64">
        <f>SUMIFS(super1[Qtde],super1[Item],tab_alimentos[[#This Row],[Item]],super1[Bairro],mercado11)+SUMIFS(supercb[Qtde],supercb[Item],tab_alimentos[[#This Row],[Item]],supercb[Bairro],mercado11)</f>
        <v>0</v>
      </c>
      <c r="W295" s="64">
        <f>SUMIFS(super1[Qtde],super1[Item],tab_alimentos[[#This Row],[Item]],super1[Bairro],mercado12)+SUMIFS(supercb[Qtde],supercb[Item],tab_alimentos[[#This Row],[Item]],supercb[Bairro],mercado12)</f>
        <v>0</v>
      </c>
      <c r="X295" s="64">
        <f>SUMIFS(super1[Qtde],super1[Item],tab_alimentos[[#This Row],[Item]],super1[Bairro],mercado13)+SUMIFS(supercb[Qtde],supercb[Item],tab_alimentos[[#This Row],[Item]],supercb[Bairro],mercado13)</f>
        <v>0</v>
      </c>
      <c r="Y295" s="64">
        <f>SUMIFS(super1[Qtde],super1[Item],tab_alimentos[[#This Row],[Item]],super1[Bairro],mercado14)+SUMIFS(supercb[Qtde],supercb[Item],tab_alimentos[[#This Row],[Item]],supercb[Bairro],mercado14)</f>
        <v>0</v>
      </c>
      <c r="Z295" s="64">
        <f>SUMIFS(super1[Qtde],super1[Item],tab_alimentos[[#This Row],[Item]],super1[Bairro],mercado15)+SUMIFS(supercb[Qtde],supercb[Item],tab_alimentos[[#This Row],[Item]],supercb[Bairro],mercado15)</f>
        <v>0</v>
      </c>
      <c r="AA295" s="64">
        <f>SUMIFS(super1[Qtde],super1[Item],tab_alimentos[[#This Row],[Item]],super1[Bairro],mercado16)+SUMIFS(supercb[Qtde],supercb[Item],tab_alimentos[[#This Row],[Item]],supercb[Bairro],mercado16)</f>
        <v>0</v>
      </c>
      <c r="AB295" s="64">
        <f>SUMIFS(super1[Qtde],super1[Item],tab_alimentos[[#This Row],[Item]],super1[Bairro],mercado17)+SUMIFS(supercb[Qtde],supercb[Item],tab_alimentos[[#This Row],[Item]],supercb[Bairro],mercado17)</f>
        <v>0</v>
      </c>
      <c r="AC295" s="64">
        <f>SUMIFS(super1[Qtde],super1[Item],tab_alimentos[[#This Row],[Item]],super1[Bairro],mercado18)+SUMIFS(supercb[Qtde],supercb[Item],tab_alimentos[[#This Row],[Item]],supercb[Bairro],mercado18)</f>
        <v>0</v>
      </c>
      <c r="AD295" s="64">
        <f>SUMIFS(super1[Qtde],super1[Item],tab_alimentos[[#This Row],[Item]],super1[Bairro],extras)+SUMIFS(supercb[Qtde],supercb[Item],tab_alimentos[[#This Row],[Item]],supercb[Bairro],extras)</f>
        <v>0</v>
      </c>
      <c r="AE295" s="61">
        <f t="shared" si="88"/>
        <v>0</v>
      </c>
      <c r="AF295" s="61">
        <f t="shared" si="89"/>
        <v>0</v>
      </c>
      <c r="AG295" s="62">
        <f t="shared" si="90"/>
        <v>0</v>
      </c>
      <c r="AH295" s="15" t="e">
        <f>higiene[[#This Row],[Item]]</f>
        <v>#VALUE!</v>
      </c>
      <c r="AI295" s="8">
        <f>IFERROR(higiene[[#This Row],[Kg equivalente]],0)</f>
        <v>0</v>
      </c>
      <c r="AJ295" s="8">
        <f>IFERROR(higiene[[#This Row],[Preço por produto]],0)</f>
        <v>0</v>
      </c>
      <c r="AK295" s="61">
        <f>SUMIFS(super1[Qtde],super1[Item],tab_higiene[[#This Row],[Item]],super1[Bairro],mercado1)+SUMIFS(supercb[Qtde],supercb[Item],tab_higiene[[#This Row],[Item]],supercb[Bairro],mercado1)</f>
        <v>0</v>
      </c>
      <c r="AL295" s="61">
        <f>SUMIFS(super1[Qtde],super1[Item],tab_higiene[[#This Row],[Item]],super1[Bairro],mercado2)+SUMIFS(supercb[Qtde],supercb[Item],tab_higiene[[#This Row],[Item]],supercb[Bairro],mercado2)</f>
        <v>0</v>
      </c>
      <c r="AM295" s="61">
        <f>SUMIFS(super1[Qtde],super1[Item],tab_higiene[[#This Row],[Item]],super1[Bairro],mercado3)+SUMIFS(supercb[Qtde],supercb[Item],tab_higiene[[#This Row],[Item]],supercb[Bairro],mercado3)</f>
        <v>0</v>
      </c>
      <c r="AN295" s="61">
        <f>SUMIFS(super1[Qtde],super1[Item],tab_higiene[[#This Row],[Item]],super1[Bairro],mercado4)+SUMIFS(supercb[Qtde],supercb[Item],tab_higiene[[#This Row],[Item]],supercb[Bairro],mercado4)</f>
        <v>0</v>
      </c>
      <c r="AO295" s="61">
        <f>SUMIFS(super1[Qtde],super1[Item],tab_higiene[[#This Row],[Item]],super1[Bairro],mercado5)+SUMIFS(supercb[Qtde],supercb[Item],tab_higiene[[#This Row],[Item]],supercb[Bairro],mercado5)</f>
        <v>0</v>
      </c>
      <c r="AP295" s="61">
        <f>SUMIFS(super1[Qtde],super1[Item],tab_higiene[[#This Row],[Item]],super1[Bairro],mercado6)+SUMIFS(supercb[Qtde],supercb[Item],tab_higiene[[#This Row],[Item]],supercb[Bairro],mercado6)</f>
        <v>0</v>
      </c>
      <c r="AQ295" s="61">
        <f>SUMIFS(super1[Qtde],super1[Item],tab_higiene[[#This Row],[Item]],super1[Bairro],mercado7)+SUMIFS(supercb[Qtde],supercb[Item],tab_higiene[[#This Row],[Item]],supercb[Bairro],mercado7)</f>
        <v>0</v>
      </c>
      <c r="AR295" s="61">
        <f>SUMIFS(super1[Qtde],super1[Item],tab_higiene[[#This Row],[Item]],super1[Bairro],mercado8)+SUMIFS(supercb[Qtde],supercb[Item],tab_higiene[[#This Row],[Item]],supercb[Bairro],mercado8)</f>
        <v>0</v>
      </c>
      <c r="AS295" s="61">
        <f>SUMIFS(super1[Qtde],super1[Item],tab_higiene[[#This Row],[Item]],super1[Bairro],mercado9)+SUMIFS(supercb[Qtde],supercb[Item],tab_higiene[[#This Row],[Item]],supercb[Bairro],mercado9)</f>
        <v>0</v>
      </c>
      <c r="AT295" s="61">
        <f>SUMIFS(super1[Qtde],super1[Item],tab_higiene[[#This Row],[Item]],super1[Bairro],mercado10)+SUMIFS(supercb[Qtde],supercb[Item],tab_higiene[[#This Row],[Item]],supercb[Bairro],mercado10)</f>
        <v>0</v>
      </c>
      <c r="AU295" s="61">
        <f>SUMIFS(super1[Qtde],super1[Item],tab_higiene[[#This Row],[Item]],super1[Bairro],mercado11)+SUMIFS(supercb[Qtde],supercb[Item],tab_higiene[[#This Row],[Item]],supercb[Bairro],mercado11)</f>
        <v>0</v>
      </c>
      <c r="AV295" s="61">
        <f>SUMIFS(super1[Qtde],super1[Item],tab_higiene[[#This Row],[Item]],super1[Bairro],mercado12)+SUMIFS(supercb[Qtde],supercb[Item],tab_higiene[[#This Row],[Item]],supercb[Bairro],mercado12)</f>
        <v>0</v>
      </c>
      <c r="AW295" s="61">
        <f>SUMIFS(super1[Qtde],super1[Item],tab_higiene[[#This Row],[Item]],super1[Bairro],mercado13)+SUMIFS(supercb[Qtde],supercb[Item],tab_higiene[[#This Row],[Item]],supercb[Bairro],mercado13)</f>
        <v>0</v>
      </c>
      <c r="AX295" s="61">
        <f>SUMIFS(super1[Qtde],super1[Item],tab_higiene[[#This Row],[Item]],super1[Bairro],mercado14)+SUMIFS(supercb[Qtde],supercb[Item],tab_higiene[[#This Row],[Item]],supercb[Bairro],mercado14)</f>
        <v>0</v>
      </c>
      <c r="AY295" s="61">
        <f>SUMIFS(super1[Qtde],super1[Item],tab_higiene[[#This Row],[Item]],super1[Bairro],mercado15)+SUMIFS(supercb[Qtde],supercb[Item],tab_higiene[[#This Row],[Item]],supercb[Bairro],mercado15)</f>
        <v>0</v>
      </c>
      <c r="AZ295" s="61">
        <f>SUMIFS(super1[Qtde],super1[Item],tab_higiene[[#This Row],[Item]],super1[Bairro],mercado16)+SUMIFS(supercb[Qtde],supercb[Item],tab_higiene[[#This Row],[Item]],supercb[Bairro],mercado16)</f>
        <v>0</v>
      </c>
      <c r="BA295" s="61">
        <f>SUMIFS(super1[Qtde],super1[Item],tab_higiene[[#This Row],[Item]],super1[Bairro],mercado17)+SUMIFS(supercb[Qtde],supercb[Item],tab_higiene[[#This Row],[Item]],supercb[Bairro],mercado17)</f>
        <v>0</v>
      </c>
      <c r="BB295" s="61">
        <f>SUMIFS(super1[Qtde],super1[Item],tab_higiene[[#This Row],[Item]],super1[Bairro],mercado18)+SUMIFS(supercb[Qtde],supercb[Item],tab_higiene[[#This Row],[Item]],supercb[Bairro],mercado18)</f>
        <v>0</v>
      </c>
      <c r="BC295" s="51">
        <f>SUMIFS(super1[Qtde],super1[Item],tab_higiene[[#This Row],[Item]],super1[Bairro],extras)+SUMIFS(supercb[Qtde],supercb[Item],tab_higiene[[#This Row],[Item]],supercb[Bairro],extras)</f>
        <v>0</v>
      </c>
      <c r="BD295" s="8">
        <f t="shared" si="91"/>
        <v>0</v>
      </c>
      <c r="BE295" s="8">
        <f t="shared" si="92"/>
        <v>0</v>
      </c>
      <c r="BF295" s="23">
        <f t="shared" si="93"/>
        <v>0</v>
      </c>
    </row>
    <row r="296" spans="9:58" ht="15.75" thickBot="1" x14ac:dyDescent="0.3">
      <c r="I296" s="65" t="e">
        <f>alimentos[[#This Row],[Item]]</f>
        <v>#VALUE!</v>
      </c>
      <c r="J296" s="61">
        <f>IFERROR(alimentos[[#This Row],[kg/embalagem]],0)</f>
        <v>0</v>
      </c>
      <c r="K296" s="64">
        <f>IFERROR(alimentos[[#This Row],[Preço]],0)</f>
        <v>0</v>
      </c>
      <c r="L296" s="64">
        <f>SUMIFS(super1[Qtde],super1[Item],tab_alimentos[[#This Row],[Item]],super1[Bairro],mercado1)+SUMIFS(supercb[Qtde],supercb[Item],tab_alimentos[[#This Row],[Item]],supercb[Bairro],mercado1)</f>
        <v>0</v>
      </c>
      <c r="M296" s="64">
        <f>SUMIFS(super1[Qtde],super1[Item],tab_alimentos[[#This Row],[Item]],super1[Bairro],mercado2)+SUMIFS(supercb[Qtde],supercb[Item],tab_alimentos[[#This Row],[Item]],supercb[Bairro],mercado2)</f>
        <v>0</v>
      </c>
      <c r="N296" s="61">
        <f>SUMIFS(super1[Qtde],super1[Item],tab_alimentos[[#This Row],[Item]],super1[Bairro],mercado3)+SUMIFS(supercb[Qtde],supercb[Item],tab_alimentos[[#This Row],[Item]],supercb[Bairro],mercado3)</f>
        <v>0</v>
      </c>
      <c r="O296" s="64">
        <f>SUMIFS(super1[Qtde],super1[Item],tab_alimentos[[#This Row],[Item]],super1[Bairro],mercado4)+SUMIFS(supercb[Qtde],supercb[Item],tab_alimentos[[#This Row],[Item]],supercb[Bairro],mercado4)</f>
        <v>0</v>
      </c>
      <c r="P296" s="64">
        <f>SUMIFS(super1[Qtde],super1[Item],tab_alimentos[[#This Row],[Item]],super1[Bairro],mercado5)+SUMIFS(supercb[Qtde],supercb[Item],tab_alimentos[[#This Row],[Item]],supercb[Bairro],mercado5)</f>
        <v>0</v>
      </c>
      <c r="Q296" s="64">
        <f>SUMIFS(super1[Qtde],super1[Item],tab_alimentos[[#This Row],[Item]],super1[Bairro],mercado6)+SUMIFS(supercb[Qtde],supercb[Item],tab_alimentos[[#This Row],[Item]],supercb[Bairro],mercado6)</f>
        <v>0</v>
      </c>
      <c r="R296" s="64">
        <f>SUMIFS(super1[Qtde],super1[Item],tab_alimentos[[#This Row],[Item]],super1[Bairro],mercado7)+SUMIFS(supercb[Qtde],supercb[Item],tab_alimentos[[#This Row],[Item]],supercb[Bairro],mercado7)</f>
        <v>0</v>
      </c>
      <c r="S296" s="64">
        <f>SUMIFS(super1[Qtde],super1[Item],tab_alimentos[[#This Row],[Item]],super1[Bairro],mercado8)+SUMIFS(supercb[Qtde],supercb[Item],tab_alimentos[[#This Row],[Item]],supercb[Bairro],mercado8)</f>
        <v>0</v>
      </c>
      <c r="T296" s="64">
        <f>SUMIFS(super1[Qtde],super1[Item],tab_alimentos[[#This Row],[Item]],super1[Bairro],mercado9)+SUMIFS(supercb[Qtde],supercb[Item],tab_alimentos[[#This Row],[Item]],supercb[Bairro],mercado9)</f>
        <v>0</v>
      </c>
      <c r="U296" s="64">
        <f>SUMIFS(super1[Qtde],super1[Item],tab_alimentos[[#This Row],[Item]],super1[Bairro],mercado10)+SUMIFS(supercb[Qtde],supercb[Item],tab_alimentos[[#This Row],[Item]],supercb[Bairro],mercado10)</f>
        <v>0</v>
      </c>
      <c r="V296" s="64">
        <f>SUMIFS(super1[Qtde],super1[Item],tab_alimentos[[#This Row],[Item]],super1[Bairro],mercado11)+SUMIFS(supercb[Qtde],supercb[Item],tab_alimentos[[#This Row],[Item]],supercb[Bairro],mercado11)</f>
        <v>0</v>
      </c>
      <c r="W296" s="64">
        <f>SUMIFS(super1[Qtde],super1[Item],tab_alimentos[[#This Row],[Item]],super1[Bairro],mercado12)+SUMIFS(supercb[Qtde],supercb[Item],tab_alimentos[[#This Row],[Item]],supercb[Bairro],mercado12)</f>
        <v>0</v>
      </c>
      <c r="X296" s="64">
        <f>SUMIFS(super1[Qtde],super1[Item],tab_alimentos[[#This Row],[Item]],super1[Bairro],mercado13)+SUMIFS(supercb[Qtde],supercb[Item],tab_alimentos[[#This Row],[Item]],supercb[Bairro],mercado13)</f>
        <v>0</v>
      </c>
      <c r="Y296" s="64">
        <f>SUMIFS(super1[Qtde],super1[Item],tab_alimentos[[#This Row],[Item]],super1[Bairro],mercado14)+SUMIFS(supercb[Qtde],supercb[Item],tab_alimentos[[#This Row],[Item]],supercb[Bairro],mercado14)</f>
        <v>0</v>
      </c>
      <c r="Z296" s="64">
        <f>SUMIFS(super1[Qtde],super1[Item],tab_alimentos[[#This Row],[Item]],super1[Bairro],mercado15)+SUMIFS(supercb[Qtde],supercb[Item],tab_alimentos[[#This Row],[Item]],supercb[Bairro],mercado15)</f>
        <v>0</v>
      </c>
      <c r="AA296" s="64">
        <f>SUMIFS(super1[Qtde],super1[Item],tab_alimentos[[#This Row],[Item]],super1[Bairro],mercado16)+SUMIFS(supercb[Qtde],supercb[Item],tab_alimentos[[#This Row],[Item]],supercb[Bairro],mercado16)</f>
        <v>0</v>
      </c>
      <c r="AB296" s="64">
        <f>SUMIFS(super1[Qtde],super1[Item],tab_alimentos[[#This Row],[Item]],super1[Bairro],mercado17)+SUMIFS(supercb[Qtde],supercb[Item],tab_alimentos[[#This Row],[Item]],supercb[Bairro],mercado17)</f>
        <v>0</v>
      </c>
      <c r="AC296" s="64">
        <f>SUMIFS(super1[Qtde],super1[Item],tab_alimentos[[#This Row],[Item]],super1[Bairro],mercado18)+SUMIFS(supercb[Qtde],supercb[Item],tab_alimentos[[#This Row],[Item]],supercb[Bairro],mercado18)</f>
        <v>0</v>
      </c>
      <c r="AD296" s="64">
        <f>SUMIFS(super1[Qtde],super1[Item],tab_alimentos[[#This Row],[Item]],super1[Bairro],extras)+SUMIFS(supercb[Qtde],supercb[Item],tab_alimentos[[#This Row],[Item]],supercb[Bairro],extras)</f>
        <v>0</v>
      </c>
      <c r="AE296" s="61">
        <f t="shared" si="88"/>
        <v>0</v>
      </c>
      <c r="AF296" s="61">
        <f t="shared" si="89"/>
        <v>0</v>
      </c>
      <c r="AG296" s="62">
        <f t="shared" si="90"/>
        <v>0</v>
      </c>
      <c r="AH296" s="15" t="e">
        <f>higiene[[#This Row],[Item]]</f>
        <v>#VALUE!</v>
      </c>
      <c r="AI296" s="8">
        <f>IFERROR(higiene[[#This Row],[Kg equivalente]],0)</f>
        <v>0</v>
      </c>
      <c r="AJ296" s="8">
        <f>IFERROR(higiene[[#This Row],[Preço por produto]],0)</f>
        <v>0</v>
      </c>
      <c r="AK296" s="61">
        <f>SUMIFS(super1[Qtde],super1[Item],tab_higiene[[#This Row],[Item]],super1[Bairro],mercado1)+SUMIFS(supercb[Qtde],supercb[Item],tab_higiene[[#This Row],[Item]],supercb[Bairro],mercado1)</f>
        <v>0</v>
      </c>
      <c r="AL296" s="61">
        <f>SUMIFS(super1[Qtde],super1[Item],tab_higiene[[#This Row],[Item]],super1[Bairro],mercado2)+SUMIFS(supercb[Qtde],supercb[Item],tab_higiene[[#This Row],[Item]],supercb[Bairro],mercado2)</f>
        <v>0</v>
      </c>
      <c r="AM296" s="61">
        <f>SUMIFS(super1[Qtde],super1[Item],tab_higiene[[#This Row],[Item]],super1[Bairro],mercado3)+SUMIFS(supercb[Qtde],supercb[Item],tab_higiene[[#This Row],[Item]],supercb[Bairro],mercado3)</f>
        <v>0</v>
      </c>
      <c r="AN296" s="61">
        <f>SUMIFS(super1[Qtde],super1[Item],tab_higiene[[#This Row],[Item]],super1[Bairro],mercado4)+SUMIFS(supercb[Qtde],supercb[Item],tab_higiene[[#This Row],[Item]],supercb[Bairro],mercado4)</f>
        <v>0</v>
      </c>
      <c r="AO296" s="61">
        <f>SUMIFS(super1[Qtde],super1[Item],tab_higiene[[#This Row],[Item]],super1[Bairro],mercado5)+SUMIFS(supercb[Qtde],supercb[Item],tab_higiene[[#This Row],[Item]],supercb[Bairro],mercado5)</f>
        <v>0</v>
      </c>
      <c r="AP296" s="61">
        <f>SUMIFS(super1[Qtde],super1[Item],tab_higiene[[#This Row],[Item]],super1[Bairro],mercado6)+SUMIFS(supercb[Qtde],supercb[Item],tab_higiene[[#This Row],[Item]],supercb[Bairro],mercado6)</f>
        <v>0</v>
      </c>
      <c r="AQ296" s="61">
        <f>SUMIFS(super1[Qtde],super1[Item],tab_higiene[[#This Row],[Item]],super1[Bairro],mercado7)+SUMIFS(supercb[Qtde],supercb[Item],tab_higiene[[#This Row],[Item]],supercb[Bairro],mercado7)</f>
        <v>0</v>
      </c>
      <c r="AR296" s="61">
        <f>SUMIFS(super1[Qtde],super1[Item],tab_higiene[[#This Row],[Item]],super1[Bairro],mercado8)+SUMIFS(supercb[Qtde],supercb[Item],tab_higiene[[#This Row],[Item]],supercb[Bairro],mercado8)</f>
        <v>0</v>
      </c>
      <c r="AS296" s="61">
        <f>SUMIFS(super1[Qtde],super1[Item],tab_higiene[[#This Row],[Item]],super1[Bairro],mercado9)+SUMIFS(supercb[Qtde],supercb[Item],tab_higiene[[#This Row],[Item]],supercb[Bairro],mercado9)</f>
        <v>0</v>
      </c>
      <c r="AT296" s="61">
        <f>SUMIFS(super1[Qtde],super1[Item],tab_higiene[[#This Row],[Item]],super1[Bairro],mercado10)+SUMIFS(supercb[Qtde],supercb[Item],tab_higiene[[#This Row],[Item]],supercb[Bairro],mercado10)</f>
        <v>0</v>
      </c>
      <c r="AU296" s="61">
        <f>SUMIFS(super1[Qtde],super1[Item],tab_higiene[[#This Row],[Item]],super1[Bairro],mercado11)+SUMIFS(supercb[Qtde],supercb[Item],tab_higiene[[#This Row],[Item]],supercb[Bairro],mercado11)</f>
        <v>0</v>
      </c>
      <c r="AV296" s="61">
        <f>SUMIFS(super1[Qtde],super1[Item],tab_higiene[[#This Row],[Item]],super1[Bairro],mercado12)+SUMIFS(supercb[Qtde],supercb[Item],tab_higiene[[#This Row],[Item]],supercb[Bairro],mercado12)</f>
        <v>0</v>
      </c>
      <c r="AW296" s="61">
        <f>SUMIFS(super1[Qtde],super1[Item],tab_higiene[[#This Row],[Item]],super1[Bairro],mercado13)+SUMIFS(supercb[Qtde],supercb[Item],tab_higiene[[#This Row],[Item]],supercb[Bairro],mercado13)</f>
        <v>0</v>
      </c>
      <c r="AX296" s="61">
        <f>SUMIFS(super1[Qtde],super1[Item],tab_higiene[[#This Row],[Item]],super1[Bairro],mercado14)+SUMIFS(supercb[Qtde],supercb[Item],tab_higiene[[#This Row],[Item]],supercb[Bairro],mercado14)</f>
        <v>0</v>
      </c>
      <c r="AY296" s="61">
        <f>SUMIFS(super1[Qtde],super1[Item],tab_higiene[[#This Row],[Item]],super1[Bairro],mercado15)+SUMIFS(supercb[Qtde],supercb[Item],tab_higiene[[#This Row],[Item]],supercb[Bairro],mercado15)</f>
        <v>0</v>
      </c>
      <c r="AZ296" s="61">
        <f>SUMIFS(super1[Qtde],super1[Item],tab_higiene[[#This Row],[Item]],super1[Bairro],mercado16)+SUMIFS(supercb[Qtde],supercb[Item],tab_higiene[[#This Row],[Item]],supercb[Bairro],mercado16)</f>
        <v>0</v>
      </c>
      <c r="BA296" s="61">
        <f>SUMIFS(super1[Qtde],super1[Item],tab_higiene[[#This Row],[Item]],super1[Bairro],mercado17)+SUMIFS(supercb[Qtde],supercb[Item],tab_higiene[[#This Row],[Item]],supercb[Bairro],mercado17)</f>
        <v>0</v>
      </c>
      <c r="BB296" s="61">
        <f>SUMIFS(super1[Qtde],super1[Item],tab_higiene[[#This Row],[Item]],super1[Bairro],mercado18)+SUMIFS(supercb[Qtde],supercb[Item],tab_higiene[[#This Row],[Item]],supercb[Bairro],mercado18)</f>
        <v>0</v>
      </c>
      <c r="BC296" s="51">
        <f>SUMIFS(super1[Qtde],super1[Item],tab_higiene[[#This Row],[Item]],super1[Bairro],extras)+SUMIFS(supercb[Qtde],supercb[Item],tab_higiene[[#This Row],[Item]],supercb[Bairro],extras)</f>
        <v>0</v>
      </c>
      <c r="BD296" s="8">
        <f t="shared" si="91"/>
        <v>0</v>
      </c>
      <c r="BE296" s="8">
        <f t="shared" si="92"/>
        <v>0</v>
      </c>
      <c r="BF296" s="23">
        <f t="shared" si="93"/>
        <v>0</v>
      </c>
    </row>
    <row r="297" spans="9:58" ht="15.75" thickBot="1" x14ac:dyDescent="0.3">
      <c r="I297" s="65" t="e">
        <f>alimentos[[#This Row],[Item]]</f>
        <v>#VALUE!</v>
      </c>
      <c r="J297" s="61">
        <f>IFERROR(alimentos[[#This Row],[kg/embalagem]],0)</f>
        <v>0</v>
      </c>
      <c r="K297" s="64">
        <f>IFERROR(alimentos[[#This Row],[Preço]],0)</f>
        <v>0</v>
      </c>
      <c r="L297" s="64">
        <f>SUMIFS(super1[Qtde],super1[Item],tab_alimentos[[#This Row],[Item]],super1[Bairro],mercado1)+SUMIFS(supercb[Qtde],supercb[Item],tab_alimentos[[#This Row],[Item]],supercb[Bairro],mercado1)</f>
        <v>0</v>
      </c>
      <c r="M297" s="64">
        <f>SUMIFS(super1[Qtde],super1[Item],tab_alimentos[[#This Row],[Item]],super1[Bairro],mercado2)+SUMIFS(supercb[Qtde],supercb[Item],tab_alimentos[[#This Row],[Item]],supercb[Bairro],mercado2)</f>
        <v>0</v>
      </c>
      <c r="N297" s="61">
        <f>SUMIFS(super1[Qtde],super1[Item],tab_alimentos[[#This Row],[Item]],super1[Bairro],mercado3)+SUMIFS(supercb[Qtde],supercb[Item],tab_alimentos[[#This Row],[Item]],supercb[Bairro],mercado3)</f>
        <v>0</v>
      </c>
      <c r="O297" s="64">
        <f>SUMIFS(super1[Qtde],super1[Item],tab_alimentos[[#This Row],[Item]],super1[Bairro],mercado4)+SUMIFS(supercb[Qtde],supercb[Item],tab_alimentos[[#This Row],[Item]],supercb[Bairro],mercado4)</f>
        <v>0</v>
      </c>
      <c r="P297" s="64">
        <f>SUMIFS(super1[Qtde],super1[Item],tab_alimentos[[#This Row],[Item]],super1[Bairro],mercado5)+SUMIFS(supercb[Qtde],supercb[Item],tab_alimentos[[#This Row],[Item]],supercb[Bairro],mercado5)</f>
        <v>0</v>
      </c>
      <c r="Q297" s="64">
        <f>SUMIFS(super1[Qtde],super1[Item],tab_alimentos[[#This Row],[Item]],super1[Bairro],mercado6)+SUMIFS(supercb[Qtde],supercb[Item],tab_alimentos[[#This Row],[Item]],supercb[Bairro],mercado6)</f>
        <v>0</v>
      </c>
      <c r="R297" s="64">
        <f>SUMIFS(super1[Qtde],super1[Item],tab_alimentos[[#This Row],[Item]],super1[Bairro],mercado7)+SUMIFS(supercb[Qtde],supercb[Item],tab_alimentos[[#This Row],[Item]],supercb[Bairro],mercado7)</f>
        <v>0</v>
      </c>
      <c r="S297" s="64">
        <f>SUMIFS(super1[Qtde],super1[Item],tab_alimentos[[#This Row],[Item]],super1[Bairro],mercado8)+SUMIFS(supercb[Qtde],supercb[Item],tab_alimentos[[#This Row],[Item]],supercb[Bairro],mercado8)</f>
        <v>0</v>
      </c>
      <c r="T297" s="64">
        <f>SUMIFS(super1[Qtde],super1[Item],tab_alimentos[[#This Row],[Item]],super1[Bairro],mercado9)+SUMIFS(supercb[Qtde],supercb[Item],tab_alimentos[[#This Row],[Item]],supercb[Bairro],mercado9)</f>
        <v>0</v>
      </c>
      <c r="U297" s="64">
        <f>SUMIFS(super1[Qtde],super1[Item],tab_alimentos[[#This Row],[Item]],super1[Bairro],mercado10)+SUMIFS(supercb[Qtde],supercb[Item],tab_alimentos[[#This Row],[Item]],supercb[Bairro],mercado10)</f>
        <v>0</v>
      </c>
      <c r="V297" s="64">
        <f>SUMIFS(super1[Qtde],super1[Item],tab_alimentos[[#This Row],[Item]],super1[Bairro],mercado11)+SUMIFS(supercb[Qtde],supercb[Item],tab_alimentos[[#This Row],[Item]],supercb[Bairro],mercado11)</f>
        <v>0</v>
      </c>
      <c r="W297" s="64">
        <f>SUMIFS(super1[Qtde],super1[Item],tab_alimentos[[#This Row],[Item]],super1[Bairro],mercado12)+SUMIFS(supercb[Qtde],supercb[Item],tab_alimentos[[#This Row],[Item]],supercb[Bairro],mercado12)</f>
        <v>0</v>
      </c>
      <c r="X297" s="64">
        <f>SUMIFS(super1[Qtde],super1[Item],tab_alimentos[[#This Row],[Item]],super1[Bairro],mercado13)+SUMIFS(supercb[Qtde],supercb[Item],tab_alimentos[[#This Row],[Item]],supercb[Bairro],mercado13)</f>
        <v>0</v>
      </c>
      <c r="Y297" s="64">
        <f>SUMIFS(super1[Qtde],super1[Item],tab_alimentos[[#This Row],[Item]],super1[Bairro],mercado14)+SUMIFS(supercb[Qtde],supercb[Item],tab_alimentos[[#This Row],[Item]],supercb[Bairro],mercado14)</f>
        <v>0</v>
      </c>
      <c r="Z297" s="64">
        <f>SUMIFS(super1[Qtde],super1[Item],tab_alimentos[[#This Row],[Item]],super1[Bairro],mercado15)+SUMIFS(supercb[Qtde],supercb[Item],tab_alimentos[[#This Row],[Item]],supercb[Bairro],mercado15)</f>
        <v>0</v>
      </c>
      <c r="AA297" s="64">
        <f>SUMIFS(super1[Qtde],super1[Item],tab_alimentos[[#This Row],[Item]],super1[Bairro],mercado16)+SUMIFS(supercb[Qtde],supercb[Item],tab_alimentos[[#This Row],[Item]],supercb[Bairro],mercado16)</f>
        <v>0</v>
      </c>
      <c r="AB297" s="64">
        <f>SUMIFS(super1[Qtde],super1[Item],tab_alimentos[[#This Row],[Item]],super1[Bairro],mercado17)+SUMIFS(supercb[Qtde],supercb[Item],tab_alimentos[[#This Row],[Item]],supercb[Bairro],mercado17)</f>
        <v>0</v>
      </c>
      <c r="AC297" s="64">
        <f>SUMIFS(super1[Qtde],super1[Item],tab_alimentos[[#This Row],[Item]],super1[Bairro],mercado18)+SUMIFS(supercb[Qtde],supercb[Item],tab_alimentos[[#This Row],[Item]],supercb[Bairro],mercado18)</f>
        <v>0</v>
      </c>
      <c r="AD297" s="64">
        <f>SUMIFS(super1[Qtde],super1[Item],tab_alimentos[[#This Row],[Item]],super1[Bairro],extras)+SUMIFS(supercb[Qtde],supercb[Item],tab_alimentos[[#This Row],[Item]],supercb[Bairro],extras)</f>
        <v>0</v>
      </c>
      <c r="AE297" s="61">
        <f t="shared" si="88"/>
        <v>0</v>
      </c>
      <c r="AF297" s="61">
        <f t="shared" si="89"/>
        <v>0</v>
      </c>
      <c r="AG297" s="62">
        <f t="shared" si="90"/>
        <v>0</v>
      </c>
      <c r="AH297" s="15" t="e">
        <f>higiene[[#This Row],[Item]]</f>
        <v>#VALUE!</v>
      </c>
      <c r="AI297" s="8">
        <f>IFERROR(higiene[[#This Row],[Kg equivalente]],0)</f>
        <v>0</v>
      </c>
      <c r="AJ297" s="8">
        <f>IFERROR(higiene[[#This Row],[Preço por produto]],0)</f>
        <v>0</v>
      </c>
      <c r="AK297" s="61">
        <f>SUMIFS(super1[Qtde],super1[Item],tab_higiene[[#This Row],[Item]],super1[Bairro],mercado1)+SUMIFS(supercb[Qtde],supercb[Item],tab_higiene[[#This Row],[Item]],supercb[Bairro],mercado1)</f>
        <v>0</v>
      </c>
      <c r="AL297" s="61">
        <f>SUMIFS(super1[Qtde],super1[Item],tab_higiene[[#This Row],[Item]],super1[Bairro],mercado2)+SUMIFS(supercb[Qtde],supercb[Item],tab_higiene[[#This Row],[Item]],supercb[Bairro],mercado2)</f>
        <v>0</v>
      </c>
      <c r="AM297" s="61">
        <f>SUMIFS(super1[Qtde],super1[Item],tab_higiene[[#This Row],[Item]],super1[Bairro],mercado3)+SUMIFS(supercb[Qtde],supercb[Item],tab_higiene[[#This Row],[Item]],supercb[Bairro],mercado3)</f>
        <v>0</v>
      </c>
      <c r="AN297" s="61">
        <f>SUMIFS(super1[Qtde],super1[Item],tab_higiene[[#This Row],[Item]],super1[Bairro],mercado4)+SUMIFS(supercb[Qtde],supercb[Item],tab_higiene[[#This Row],[Item]],supercb[Bairro],mercado4)</f>
        <v>0</v>
      </c>
      <c r="AO297" s="61">
        <f>SUMIFS(super1[Qtde],super1[Item],tab_higiene[[#This Row],[Item]],super1[Bairro],mercado5)+SUMIFS(supercb[Qtde],supercb[Item],tab_higiene[[#This Row],[Item]],supercb[Bairro],mercado5)</f>
        <v>0</v>
      </c>
      <c r="AP297" s="61">
        <f>SUMIFS(super1[Qtde],super1[Item],tab_higiene[[#This Row],[Item]],super1[Bairro],mercado6)+SUMIFS(supercb[Qtde],supercb[Item],tab_higiene[[#This Row],[Item]],supercb[Bairro],mercado6)</f>
        <v>0</v>
      </c>
      <c r="AQ297" s="61">
        <f>SUMIFS(super1[Qtde],super1[Item],tab_higiene[[#This Row],[Item]],super1[Bairro],mercado7)+SUMIFS(supercb[Qtde],supercb[Item],tab_higiene[[#This Row],[Item]],supercb[Bairro],mercado7)</f>
        <v>0</v>
      </c>
      <c r="AR297" s="61">
        <f>SUMIFS(super1[Qtde],super1[Item],tab_higiene[[#This Row],[Item]],super1[Bairro],mercado8)+SUMIFS(supercb[Qtde],supercb[Item],tab_higiene[[#This Row],[Item]],supercb[Bairro],mercado8)</f>
        <v>0</v>
      </c>
      <c r="AS297" s="61">
        <f>SUMIFS(super1[Qtde],super1[Item],tab_higiene[[#This Row],[Item]],super1[Bairro],mercado9)+SUMIFS(supercb[Qtde],supercb[Item],tab_higiene[[#This Row],[Item]],supercb[Bairro],mercado9)</f>
        <v>0</v>
      </c>
      <c r="AT297" s="61">
        <f>SUMIFS(super1[Qtde],super1[Item],tab_higiene[[#This Row],[Item]],super1[Bairro],mercado10)+SUMIFS(supercb[Qtde],supercb[Item],tab_higiene[[#This Row],[Item]],supercb[Bairro],mercado10)</f>
        <v>0</v>
      </c>
      <c r="AU297" s="61">
        <f>SUMIFS(super1[Qtde],super1[Item],tab_higiene[[#This Row],[Item]],super1[Bairro],mercado11)+SUMIFS(supercb[Qtde],supercb[Item],tab_higiene[[#This Row],[Item]],supercb[Bairro],mercado11)</f>
        <v>0</v>
      </c>
      <c r="AV297" s="61">
        <f>SUMIFS(super1[Qtde],super1[Item],tab_higiene[[#This Row],[Item]],super1[Bairro],mercado12)+SUMIFS(supercb[Qtde],supercb[Item],tab_higiene[[#This Row],[Item]],supercb[Bairro],mercado12)</f>
        <v>0</v>
      </c>
      <c r="AW297" s="61">
        <f>SUMIFS(super1[Qtde],super1[Item],tab_higiene[[#This Row],[Item]],super1[Bairro],mercado13)+SUMIFS(supercb[Qtde],supercb[Item],tab_higiene[[#This Row],[Item]],supercb[Bairro],mercado13)</f>
        <v>0</v>
      </c>
      <c r="AX297" s="61">
        <f>SUMIFS(super1[Qtde],super1[Item],tab_higiene[[#This Row],[Item]],super1[Bairro],mercado14)+SUMIFS(supercb[Qtde],supercb[Item],tab_higiene[[#This Row],[Item]],supercb[Bairro],mercado14)</f>
        <v>0</v>
      </c>
      <c r="AY297" s="61">
        <f>SUMIFS(super1[Qtde],super1[Item],tab_higiene[[#This Row],[Item]],super1[Bairro],mercado15)+SUMIFS(supercb[Qtde],supercb[Item],tab_higiene[[#This Row],[Item]],supercb[Bairro],mercado15)</f>
        <v>0</v>
      </c>
      <c r="AZ297" s="61">
        <f>SUMIFS(super1[Qtde],super1[Item],tab_higiene[[#This Row],[Item]],super1[Bairro],mercado16)+SUMIFS(supercb[Qtde],supercb[Item],tab_higiene[[#This Row],[Item]],supercb[Bairro],mercado16)</f>
        <v>0</v>
      </c>
      <c r="BA297" s="61">
        <f>SUMIFS(super1[Qtde],super1[Item],tab_higiene[[#This Row],[Item]],super1[Bairro],mercado17)+SUMIFS(supercb[Qtde],supercb[Item],tab_higiene[[#This Row],[Item]],supercb[Bairro],mercado17)</f>
        <v>0</v>
      </c>
      <c r="BB297" s="61">
        <f>SUMIFS(super1[Qtde],super1[Item],tab_higiene[[#This Row],[Item]],super1[Bairro],mercado18)+SUMIFS(supercb[Qtde],supercb[Item],tab_higiene[[#This Row],[Item]],supercb[Bairro],mercado18)</f>
        <v>0</v>
      </c>
      <c r="BC297" s="51">
        <f>SUMIFS(super1[Qtde],super1[Item],tab_higiene[[#This Row],[Item]],super1[Bairro],extras)+SUMIFS(supercb[Qtde],supercb[Item],tab_higiene[[#This Row],[Item]],supercb[Bairro],extras)</f>
        <v>0</v>
      </c>
      <c r="BD297" s="8">
        <f t="shared" si="91"/>
        <v>0</v>
      </c>
      <c r="BE297" s="8">
        <f t="shared" si="92"/>
        <v>0</v>
      </c>
      <c r="BF297" s="23">
        <f t="shared" si="93"/>
        <v>0</v>
      </c>
    </row>
    <row r="298" spans="9:58" ht="15.75" thickBot="1" x14ac:dyDescent="0.3">
      <c r="I298" s="65" t="e">
        <f>alimentos[[#This Row],[Item]]</f>
        <v>#VALUE!</v>
      </c>
      <c r="J298" s="61">
        <f>IFERROR(alimentos[[#This Row],[kg/embalagem]],0)</f>
        <v>0</v>
      </c>
      <c r="K298" s="64">
        <f>IFERROR(alimentos[[#This Row],[Preço]],0)</f>
        <v>0</v>
      </c>
      <c r="L298" s="64">
        <f>SUMIFS(super1[Qtde],super1[Item],tab_alimentos[[#This Row],[Item]],super1[Bairro],mercado1)+SUMIFS(supercb[Qtde],supercb[Item],tab_alimentos[[#This Row],[Item]],supercb[Bairro],mercado1)</f>
        <v>0</v>
      </c>
      <c r="M298" s="64">
        <f>SUMIFS(super1[Qtde],super1[Item],tab_alimentos[[#This Row],[Item]],super1[Bairro],mercado2)+SUMIFS(supercb[Qtde],supercb[Item],tab_alimentos[[#This Row],[Item]],supercb[Bairro],mercado2)</f>
        <v>0</v>
      </c>
      <c r="N298" s="61">
        <f>SUMIFS(super1[Qtde],super1[Item],tab_alimentos[[#This Row],[Item]],super1[Bairro],mercado3)+SUMIFS(supercb[Qtde],supercb[Item],tab_alimentos[[#This Row],[Item]],supercb[Bairro],mercado3)</f>
        <v>0</v>
      </c>
      <c r="O298" s="64">
        <f>SUMIFS(super1[Qtde],super1[Item],tab_alimentos[[#This Row],[Item]],super1[Bairro],mercado4)+SUMIFS(supercb[Qtde],supercb[Item],tab_alimentos[[#This Row],[Item]],supercb[Bairro],mercado4)</f>
        <v>0</v>
      </c>
      <c r="P298" s="64">
        <f>SUMIFS(super1[Qtde],super1[Item],tab_alimentos[[#This Row],[Item]],super1[Bairro],mercado5)+SUMIFS(supercb[Qtde],supercb[Item],tab_alimentos[[#This Row],[Item]],supercb[Bairro],mercado5)</f>
        <v>0</v>
      </c>
      <c r="Q298" s="64">
        <f>SUMIFS(super1[Qtde],super1[Item],tab_alimentos[[#This Row],[Item]],super1[Bairro],mercado6)+SUMIFS(supercb[Qtde],supercb[Item],tab_alimentos[[#This Row],[Item]],supercb[Bairro],mercado6)</f>
        <v>0</v>
      </c>
      <c r="R298" s="64">
        <f>SUMIFS(super1[Qtde],super1[Item],tab_alimentos[[#This Row],[Item]],super1[Bairro],mercado7)+SUMIFS(supercb[Qtde],supercb[Item],tab_alimentos[[#This Row],[Item]],supercb[Bairro],mercado7)</f>
        <v>0</v>
      </c>
      <c r="S298" s="64">
        <f>SUMIFS(super1[Qtde],super1[Item],tab_alimentos[[#This Row],[Item]],super1[Bairro],mercado8)+SUMIFS(supercb[Qtde],supercb[Item],tab_alimentos[[#This Row],[Item]],supercb[Bairro],mercado8)</f>
        <v>0</v>
      </c>
      <c r="T298" s="64">
        <f>SUMIFS(super1[Qtde],super1[Item],tab_alimentos[[#This Row],[Item]],super1[Bairro],mercado9)+SUMIFS(supercb[Qtde],supercb[Item],tab_alimentos[[#This Row],[Item]],supercb[Bairro],mercado9)</f>
        <v>0</v>
      </c>
      <c r="U298" s="64">
        <f>SUMIFS(super1[Qtde],super1[Item],tab_alimentos[[#This Row],[Item]],super1[Bairro],mercado10)+SUMIFS(supercb[Qtde],supercb[Item],tab_alimentos[[#This Row],[Item]],supercb[Bairro],mercado10)</f>
        <v>0</v>
      </c>
      <c r="V298" s="64">
        <f>SUMIFS(super1[Qtde],super1[Item],tab_alimentos[[#This Row],[Item]],super1[Bairro],mercado11)+SUMIFS(supercb[Qtde],supercb[Item],tab_alimentos[[#This Row],[Item]],supercb[Bairro],mercado11)</f>
        <v>0</v>
      </c>
      <c r="W298" s="64">
        <f>SUMIFS(super1[Qtde],super1[Item],tab_alimentos[[#This Row],[Item]],super1[Bairro],mercado12)+SUMIFS(supercb[Qtde],supercb[Item],tab_alimentos[[#This Row],[Item]],supercb[Bairro],mercado12)</f>
        <v>0</v>
      </c>
      <c r="X298" s="64">
        <f>SUMIFS(super1[Qtde],super1[Item],tab_alimentos[[#This Row],[Item]],super1[Bairro],mercado13)+SUMIFS(supercb[Qtde],supercb[Item],tab_alimentos[[#This Row],[Item]],supercb[Bairro],mercado13)</f>
        <v>0</v>
      </c>
      <c r="Y298" s="64">
        <f>SUMIFS(super1[Qtde],super1[Item],tab_alimentos[[#This Row],[Item]],super1[Bairro],mercado14)+SUMIFS(supercb[Qtde],supercb[Item],tab_alimentos[[#This Row],[Item]],supercb[Bairro],mercado14)</f>
        <v>0</v>
      </c>
      <c r="Z298" s="64">
        <f>SUMIFS(super1[Qtde],super1[Item],tab_alimentos[[#This Row],[Item]],super1[Bairro],mercado15)+SUMIFS(supercb[Qtde],supercb[Item],tab_alimentos[[#This Row],[Item]],supercb[Bairro],mercado15)</f>
        <v>0</v>
      </c>
      <c r="AA298" s="64">
        <f>SUMIFS(super1[Qtde],super1[Item],tab_alimentos[[#This Row],[Item]],super1[Bairro],mercado16)+SUMIFS(supercb[Qtde],supercb[Item],tab_alimentos[[#This Row],[Item]],supercb[Bairro],mercado16)</f>
        <v>0</v>
      </c>
      <c r="AB298" s="64">
        <f>SUMIFS(super1[Qtde],super1[Item],tab_alimentos[[#This Row],[Item]],super1[Bairro],mercado17)+SUMIFS(supercb[Qtde],supercb[Item],tab_alimentos[[#This Row],[Item]],supercb[Bairro],mercado17)</f>
        <v>0</v>
      </c>
      <c r="AC298" s="64">
        <f>SUMIFS(super1[Qtde],super1[Item],tab_alimentos[[#This Row],[Item]],super1[Bairro],mercado18)+SUMIFS(supercb[Qtde],supercb[Item],tab_alimentos[[#This Row],[Item]],supercb[Bairro],mercado18)</f>
        <v>0</v>
      </c>
      <c r="AD298" s="64">
        <f>SUMIFS(super1[Qtde],super1[Item],tab_alimentos[[#This Row],[Item]],super1[Bairro],extras)+SUMIFS(supercb[Qtde],supercb[Item],tab_alimentos[[#This Row],[Item]],supercb[Bairro],extras)</f>
        <v>0</v>
      </c>
      <c r="AE298" s="61">
        <f t="shared" si="88"/>
        <v>0</v>
      </c>
      <c r="AF298" s="61">
        <f t="shared" si="89"/>
        <v>0</v>
      </c>
      <c r="AG298" s="62">
        <f t="shared" si="90"/>
        <v>0</v>
      </c>
      <c r="AH298" s="15" t="e">
        <f>higiene[[#This Row],[Item]]</f>
        <v>#VALUE!</v>
      </c>
      <c r="AI298" s="8">
        <f>IFERROR(higiene[[#This Row],[Kg equivalente]],0)</f>
        <v>0</v>
      </c>
      <c r="AJ298" s="8">
        <f>IFERROR(higiene[[#This Row],[Preço por produto]],0)</f>
        <v>0</v>
      </c>
      <c r="AK298" s="61">
        <f>SUMIFS(super1[Qtde],super1[Item],tab_higiene[[#This Row],[Item]],super1[Bairro],mercado1)+SUMIFS(supercb[Qtde],supercb[Item],tab_higiene[[#This Row],[Item]],supercb[Bairro],mercado1)</f>
        <v>0</v>
      </c>
      <c r="AL298" s="61">
        <f>SUMIFS(super1[Qtde],super1[Item],tab_higiene[[#This Row],[Item]],super1[Bairro],mercado2)+SUMIFS(supercb[Qtde],supercb[Item],tab_higiene[[#This Row],[Item]],supercb[Bairro],mercado2)</f>
        <v>0</v>
      </c>
      <c r="AM298" s="61">
        <f>SUMIFS(super1[Qtde],super1[Item],tab_higiene[[#This Row],[Item]],super1[Bairro],mercado3)+SUMIFS(supercb[Qtde],supercb[Item],tab_higiene[[#This Row],[Item]],supercb[Bairro],mercado3)</f>
        <v>0</v>
      </c>
      <c r="AN298" s="61">
        <f>SUMIFS(super1[Qtde],super1[Item],tab_higiene[[#This Row],[Item]],super1[Bairro],mercado4)+SUMIFS(supercb[Qtde],supercb[Item],tab_higiene[[#This Row],[Item]],supercb[Bairro],mercado4)</f>
        <v>0</v>
      </c>
      <c r="AO298" s="61">
        <f>SUMIFS(super1[Qtde],super1[Item],tab_higiene[[#This Row],[Item]],super1[Bairro],mercado5)+SUMIFS(supercb[Qtde],supercb[Item],tab_higiene[[#This Row],[Item]],supercb[Bairro],mercado5)</f>
        <v>0</v>
      </c>
      <c r="AP298" s="61">
        <f>SUMIFS(super1[Qtde],super1[Item],tab_higiene[[#This Row],[Item]],super1[Bairro],mercado6)+SUMIFS(supercb[Qtde],supercb[Item],tab_higiene[[#This Row],[Item]],supercb[Bairro],mercado6)</f>
        <v>0</v>
      </c>
      <c r="AQ298" s="61">
        <f>SUMIFS(super1[Qtde],super1[Item],tab_higiene[[#This Row],[Item]],super1[Bairro],mercado7)+SUMIFS(supercb[Qtde],supercb[Item],tab_higiene[[#This Row],[Item]],supercb[Bairro],mercado7)</f>
        <v>0</v>
      </c>
      <c r="AR298" s="61">
        <f>SUMIFS(super1[Qtde],super1[Item],tab_higiene[[#This Row],[Item]],super1[Bairro],mercado8)+SUMIFS(supercb[Qtde],supercb[Item],tab_higiene[[#This Row],[Item]],supercb[Bairro],mercado8)</f>
        <v>0</v>
      </c>
      <c r="AS298" s="61">
        <f>SUMIFS(super1[Qtde],super1[Item],tab_higiene[[#This Row],[Item]],super1[Bairro],mercado9)+SUMIFS(supercb[Qtde],supercb[Item],tab_higiene[[#This Row],[Item]],supercb[Bairro],mercado9)</f>
        <v>0</v>
      </c>
      <c r="AT298" s="61">
        <f>SUMIFS(super1[Qtde],super1[Item],tab_higiene[[#This Row],[Item]],super1[Bairro],mercado10)+SUMIFS(supercb[Qtde],supercb[Item],tab_higiene[[#This Row],[Item]],supercb[Bairro],mercado10)</f>
        <v>0</v>
      </c>
      <c r="AU298" s="61">
        <f>SUMIFS(super1[Qtde],super1[Item],tab_higiene[[#This Row],[Item]],super1[Bairro],mercado11)+SUMIFS(supercb[Qtde],supercb[Item],tab_higiene[[#This Row],[Item]],supercb[Bairro],mercado11)</f>
        <v>0</v>
      </c>
      <c r="AV298" s="61">
        <f>SUMIFS(super1[Qtde],super1[Item],tab_higiene[[#This Row],[Item]],super1[Bairro],mercado12)+SUMIFS(supercb[Qtde],supercb[Item],tab_higiene[[#This Row],[Item]],supercb[Bairro],mercado12)</f>
        <v>0</v>
      </c>
      <c r="AW298" s="61">
        <f>SUMIFS(super1[Qtde],super1[Item],tab_higiene[[#This Row],[Item]],super1[Bairro],mercado13)+SUMIFS(supercb[Qtde],supercb[Item],tab_higiene[[#This Row],[Item]],supercb[Bairro],mercado13)</f>
        <v>0</v>
      </c>
      <c r="AX298" s="61">
        <f>SUMIFS(super1[Qtde],super1[Item],tab_higiene[[#This Row],[Item]],super1[Bairro],mercado14)+SUMIFS(supercb[Qtde],supercb[Item],tab_higiene[[#This Row],[Item]],supercb[Bairro],mercado14)</f>
        <v>0</v>
      </c>
      <c r="AY298" s="61">
        <f>SUMIFS(super1[Qtde],super1[Item],tab_higiene[[#This Row],[Item]],super1[Bairro],mercado15)+SUMIFS(supercb[Qtde],supercb[Item],tab_higiene[[#This Row],[Item]],supercb[Bairro],mercado15)</f>
        <v>0</v>
      </c>
      <c r="AZ298" s="61">
        <f>SUMIFS(super1[Qtde],super1[Item],tab_higiene[[#This Row],[Item]],super1[Bairro],mercado16)+SUMIFS(supercb[Qtde],supercb[Item],tab_higiene[[#This Row],[Item]],supercb[Bairro],mercado16)</f>
        <v>0</v>
      </c>
      <c r="BA298" s="61">
        <f>SUMIFS(super1[Qtde],super1[Item],tab_higiene[[#This Row],[Item]],super1[Bairro],mercado17)+SUMIFS(supercb[Qtde],supercb[Item],tab_higiene[[#This Row],[Item]],supercb[Bairro],mercado17)</f>
        <v>0</v>
      </c>
      <c r="BB298" s="61">
        <f>SUMIFS(super1[Qtde],super1[Item],tab_higiene[[#This Row],[Item]],super1[Bairro],mercado18)+SUMIFS(supercb[Qtde],supercb[Item],tab_higiene[[#This Row],[Item]],supercb[Bairro],mercado18)</f>
        <v>0</v>
      </c>
      <c r="BC298" s="51">
        <f>SUMIFS(super1[Qtde],super1[Item],tab_higiene[[#This Row],[Item]],super1[Bairro],extras)+SUMIFS(supercb[Qtde],supercb[Item],tab_higiene[[#This Row],[Item]],supercb[Bairro],extras)</f>
        <v>0</v>
      </c>
      <c r="BD298" s="8">
        <f t="shared" si="91"/>
        <v>0</v>
      </c>
      <c r="BE298" s="8">
        <f t="shared" si="92"/>
        <v>0</v>
      </c>
      <c r="BF298" s="23">
        <f t="shared" si="93"/>
        <v>0</v>
      </c>
    </row>
    <row r="299" spans="9:58" ht="15.75" thickBot="1" x14ac:dyDescent="0.3">
      <c r="I299" s="65" t="e">
        <f>alimentos[[#This Row],[Item]]</f>
        <v>#VALUE!</v>
      </c>
      <c r="J299" s="61">
        <f>IFERROR(alimentos[[#This Row],[kg/embalagem]],0)</f>
        <v>0</v>
      </c>
      <c r="K299" s="64">
        <f>IFERROR(alimentos[[#This Row],[Preço]],0)</f>
        <v>0</v>
      </c>
      <c r="L299" s="64">
        <f>SUMIFS(super1[Qtde],super1[Item],tab_alimentos[[#This Row],[Item]],super1[Bairro],mercado1)+SUMIFS(supercb[Qtde],supercb[Item],tab_alimentos[[#This Row],[Item]],supercb[Bairro],mercado1)</f>
        <v>0</v>
      </c>
      <c r="M299" s="64">
        <f>SUMIFS(super1[Qtde],super1[Item],tab_alimentos[[#This Row],[Item]],super1[Bairro],mercado2)+SUMIFS(supercb[Qtde],supercb[Item],tab_alimentos[[#This Row],[Item]],supercb[Bairro],mercado2)</f>
        <v>0</v>
      </c>
      <c r="N299" s="61">
        <f>SUMIFS(super1[Qtde],super1[Item],tab_alimentos[[#This Row],[Item]],super1[Bairro],mercado3)+SUMIFS(supercb[Qtde],supercb[Item],tab_alimentos[[#This Row],[Item]],supercb[Bairro],mercado3)</f>
        <v>0</v>
      </c>
      <c r="O299" s="64">
        <f>SUMIFS(super1[Qtde],super1[Item],tab_alimentos[[#This Row],[Item]],super1[Bairro],mercado4)+SUMIFS(supercb[Qtde],supercb[Item],tab_alimentos[[#This Row],[Item]],supercb[Bairro],mercado4)</f>
        <v>0</v>
      </c>
      <c r="P299" s="64">
        <f>SUMIFS(super1[Qtde],super1[Item],tab_alimentos[[#This Row],[Item]],super1[Bairro],mercado5)+SUMIFS(supercb[Qtde],supercb[Item],tab_alimentos[[#This Row],[Item]],supercb[Bairro],mercado5)</f>
        <v>0</v>
      </c>
      <c r="Q299" s="64">
        <f>SUMIFS(super1[Qtde],super1[Item],tab_alimentos[[#This Row],[Item]],super1[Bairro],mercado6)+SUMIFS(supercb[Qtde],supercb[Item],tab_alimentos[[#This Row],[Item]],supercb[Bairro],mercado6)</f>
        <v>0</v>
      </c>
      <c r="R299" s="64">
        <f>SUMIFS(super1[Qtde],super1[Item],tab_alimentos[[#This Row],[Item]],super1[Bairro],mercado7)+SUMIFS(supercb[Qtde],supercb[Item],tab_alimentos[[#This Row],[Item]],supercb[Bairro],mercado7)</f>
        <v>0</v>
      </c>
      <c r="S299" s="64">
        <f>SUMIFS(super1[Qtde],super1[Item],tab_alimentos[[#This Row],[Item]],super1[Bairro],mercado8)+SUMIFS(supercb[Qtde],supercb[Item],tab_alimentos[[#This Row],[Item]],supercb[Bairro],mercado8)</f>
        <v>0</v>
      </c>
      <c r="T299" s="64">
        <f>SUMIFS(super1[Qtde],super1[Item],tab_alimentos[[#This Row],[Item]],super1[Bairro],mercado9)+SUMIFS(supercb[Qtde],supercb[Item],tab_alimentos[[#This Row],[Item]],supercb[Bairro],mercado9)</f>
        <v>0</v>
      </c>
      <c r="U299" s="64">
        <f>SUMIFS(super1[Qtde],super1[Item],tab_alimentos[[#This Row],[Item]],super1[Bairro],mercado10)+SUMIFS(supercb[Qtde],supercb[Item],tab_alimentos[[#This Row],[Item]],supercb[Bairro],mercado10)</f>
        <v>0</v>
      </c>
      <c r="V299" s="64">
        <f>SUMIFS(super1[Qtde],super1[Item],tab_alimentos[[#This Row],[Item]],super1[Bairro],mercado11)+SUMIFS(supercb[Qtde],supercb[Item],tab_alimentos[[#This Row],[Item]],supercb[Bairro],mercado11)</f>
        <v>0</v>
      </c>
      <c r="W299" s="64">
        <f>SUMIFS(super1[Qtde],super1[Item],tab_alimentos[[#This Row],[Item]],super1[Bairro],mercado12)+SUMIFS(supercb[Qtde],supercb[Item],tab_alimentos[[#This Row],[Item]],supercb[Bairro],mercado12)</f>
        <v>0</v>
      </c>
      <c r="X299" s="64">
        <f>SUMIFS(super1[Qtde],super1[Item],tab_alimentos[[#This Row],[Item]],super1[Bairro],mercado13)+SUMIFS(supercb[Qtde],supercb[Item],tab_alimentos[[#This Row],[Item]],supercb[Bairro],mercado13)</f>
        <v>0</v>
      </c>
      <c r="Y299" s="64">
        <f>SUMIFS(super1[Qtde],super1[Item],tab_alimentos[[#This Row],[Item]],super1[Bairro],mercado14)+SUMIFS(supercb[Qtde],supercb[Item],tab_alimentos[[#This Row],[Item]],supercb[Bairro],mercado14)</f>
        <v>0</v>
      </c>
      <c r="Z299" s="64">
        <f>SUMIFS(super1[Qtde],super1[Item],tab_alimentos[[#This Row],[Item]],super1[Bairro],mercado15)+SUMIFS(supercb[Qtde],supercb[Item],tab_alimentos[[#This Row],[Item]],supercb[Bairro],mercado15)</f>
        <v>0</v>
      </c>
      <c r="AA299" s="64">
        <f>SUMIFS(super1[Qtde],super1[Item],tab_alimentos[[#This Row],[Item]],super1[Bairro],mercado16)+SUMIFS(supercb[Qtde],supercb[Item],tab_alimentos[[#This Row],[Item]],supercb[Bairro],mercado16)</f>
        <v>0</v>
      </c>
      <c r="AB299" s="64">
        <f>SUMIFS(super1[Qtde],super1[Item],tab_alimentos[[#This Row],[Item]],super1[Bairro],mercado17)+SUMIFS(supercb[Qtde],supercb[Item],tab_alimentos[[#This Row],[Item]],supercb[Bairro],mercado17)</f>
        <v>0</v>
      </c>
      <c r="AC299" s="64">
        <f>SUMIFS(super1[Qtde],super1[Item],tab_alimentos[[#This Row],[Item]],super1[Bairro],mercado18)+SUMIFS(supercb[Qtde],supercb[Item],tab_alimentos[[#This Row],[Item]],supercb[Bairro],mercado18)</f>
        <v>0</v>
      </c>
      <c r="AD299" s="64">
        <f>SUMIFS(super1[Qtde],super1[Item],tab_alimentos[[#This Row],[Item]],super1[Bairro],extras)+SUMIFS(supercb[Qtde],supercb[Item],tab_alimentos[[#This Row],[Item]],supercb[Bairro],extras)</f>
        <v>0</v>
      </c>
      <c r="AE299" s="61">
        <f t="shared" si="88"/>
        <v>0</v>
      </c>
      <c r="AF299" s="61">
        <f t="shared" si="89"/>
        <v>0</v>
      </c>
      <c r="AG299" s="62">
        <f t="shared" si="90"/>
        <v>0</v>
      </c>
      <c r="AH299" s="15" t="e">
        <f>higiene[[#This Row],[Item]]</f>
        <v>#VALUE!</v>
      </c>
      <c r="AI299" s="8">
        <f>IFERROR(higiene[[#This Row],[Kg equivalente]],0)</f>
        <v>0</v>
      </c>
      <c r="AJ299" s="8">
        <f>IFERROR(higiene[[#This Row],[Preço por produto]],0)</f>
        <v>0</v>
      </c>
      <c r="AK299" s="61">
        <f>SUMIFS(super1[Qtde],super1[Item],tab_higiene[[#This Row],[Item]],super1[Bairro],mercado1)+SUMIFS(supercb[Qtde],supercb[Item],tab_higiene[[#This Row],[Item]],supercb[Bairro],mercado1)</f>
        <v>0</v>
      </c>
      <c r="AL299" s="61">
        <f>SUMIFS(super1[Qtde],super1[Item],tab_higiene[[#This Row],[Item]],super1[Bairro],mercado2)+SUMIFS(supercb[Qtde],supercb[Item],tab_higiene[[#This Row],[Item]],supercb[Bairro],mercado2)</f>
        <v>0</v>
      </c>
      <c r="AM299" s="61">
        <f>SUMIFS(super1[Qtde],super1[Item],tab_higiene[[#This Row],[Item]],super1[Bairro],mercado3)+SUMIFS(supercb[Qtde],supercb[Item],tab_higiene[[#This Row],[Item]],supercb[Bairro],mercado3)</f>
        <v>0</v>
      </c>
      <c r="AN299" s="61">
        <f>SUMIFS(super1[Qtde],super1[Item],tab_higiene[[#This Row],[Item]],super1[Bairro],mercado4)+SUMIFS(supercb[Qtde],supercb[Item],tab_higiene[[#This Row],[Item]],supercb[Bairro],mercado4)</f>
        <v>0</v>
      </c>
      <c r="AO299" s="61">
        <f>SUMIFS(super1[Qtde],super1[Item],tab_higiene[[#This Row],[Item]],super1[Bairro],mercado5)+SUMIFS(supercb[Qtde],supercb[Item],tab_higiene[[#This Row],[Item]],supercb[Bairro],mercado5)</f>
        <v>0</v>
      </c>
      <c r="AP299" s="61">
        <f>SUMIFS(super1[Qtde],super1[Item],tab_higiene[[#This Row],[Item]],super1[Bairro],mercado6)+SUMIFS(supercb[Qtde],supercb[Item],tab_higiene[[#This Row],[Item]],supercb[Bairro],mercado6)</f>
        <v>0</v>
      </c>
      <c r="AQ299" s="61">
        <f>SUMIFS(super1[Qtde],super1[Item],tab_higiene[[#This Row],[Item]],super1[Bairro],mercado7)+SUMIFS(supercb[Qtde],supercb[Item],tab_higiene[[#This Row],[Item]],supercb[Bairro],mercado7)</f>
        <v>0</v>
      </c>
      <c r="AR299" s="61">
        <f>SUMIFS(super1[Qtde],super1[Item],tab_higiene[[#This Row],[Item]],super1[Bairro],mercado8)+SUMIFS(supercb[Qtde],supercb[Item],tab_higiene[[#This Row],[Item]],supercb[Bairro],mercado8)</f>
        <v>0</v>
      </c>
      <c r="AS299" s="61">
        <f>SUMIFS(super1[Qtde],super1[Item],tab_higiene[[#This Row],[Item]],super1[Bairro],mercado9)+SUMIFS(supercb[Qtde],supercb[Item],tab_higiene[[#This Row],[Item]],supercb[Bairro],mercado9)</f>
        <v>0</v>
      </c>
      <c r="AT299" s="61">
        <f>SUMIFS(super1[Qtde],super1[Item],tab_higiene[[#This Row],[Item]],super1[Bairro],mercado10)+SUMIFS(supercb[Qtde],supercb[Item],tab_higiene[[#This Row],[Item]],supercb[Bairro],mercado10)</f>
        <v>0</v>
      </c>
      <c r="AU299" s="61">
        <f>SUMIFS(super1[Qtde],super1[Item],tab_higiene[[#This Row],[Item]],super1[Bairro],mercado11)+SUMIFS(supercb[Qtde],supercb[Item],tab_higiene[[#This Row],[Item]],supercb[Bairro],mercado11)</f>
        <v>0</v>
      </c>
      <c r="AV299" s="61">
        <f>SUMIFS(super1[Qtde],super1[Item],tab_higiene[[#This Row],[Item]],super1[Bairro],mercado12)+SUMIFS(supercb[Qtde],supercb[Item],tab_higiene[[#This Row],[Item]],supercb[Bairro],mercado12)</f>
        <v>0</v>
      </c>
      <c r="AW299" s="61">
        <f>SUMIFS(super1[Qtde],super1[Item],tab_higiene[[#This Row],[Item]],super1[Bairro],mercado13)+SUMIFS(supercb[Qtde],supercb[Item],tab_higiene[[#This Row],[Item]],supercb[Bairro],mercado13)</f>
        <v>0</v>
      </c>
      <c r="AX299" s="61">
        <f>SUMIFS(super1[Qtde],super1[Item],tab_higiene[[#This Row],[Item]],super1[Bairro],mercado14)+SUMIFS(supercb[Qtde],supercb[Item],tab_higiene[[#This Row],[Item]],supercb[Bairro],mercado14)</f>
        <v>0</v>
      </c>
      <c r="AY299" s="61">
        <f>SUMIFS(super1[Qtde],super1[Item],tab_higiene[[#This Row],[Item]],super1[Bairro],mercado15)+SUMIFS(supercb[Qtde],supercb[Item],tab_higiene[[#This Row],[Item]],supercb[Bairro],mercado15)</f>
        <v>0</v>
      </c>
      <c r="AZ299" s="61">
        <f>SUMIFS(super1[Qtde],super1[Item],tab_higiene[[#This Row],[Item]],super1[Bairro],mercado16)+SUMIFS(supercb[Qtde],supercb[Item],tab_higiene[[#This Row],[Item]],supercb[Bairro],mercado16)</f>
        <v>0</v>
      </c>
      <c r="BA299" s="61">
        <f>SUMIFS(super1[Qtde],super1[Item],tab_higiene[[#This Row],[Item]],super1[Bairro],mercado17)+SUMIFS(supercb[Qtde],supercb[Item],tab_higiene[[#This Row],[Item]],supercb[Bairro],mercado17)</f>
        <v>0</v>
      </c>
      <c r="BB299" s="61">
        <f>SUMIFS(super1[Qtde],super1[Item],tab_higiene[[#This Row],[Item]],super1[Bairro],mercado18)+SUMIFS(supercb[Qtde],supercb[Item],tab_higiene[[#This Row],[Item]],supercb[Bairro],mercado18)</f>
        <v>0</v>
      </c>
      <c r="BC299" s="51">
        <f>SUMIFS(super1[Qtde],super1[Item],tab_higiene[[#This Row],[Item]],super1[Bairro],extras)+SUMIFS(supercb[Qtde],supercb[Item],tab_higiene[[#This Row],[Item]],supercb[Bairro],extras)</f>
        <v>0</v>
      </c>
      <c r="BD299" s="8">
        <f t="shared" si="91"/>
        <v>0</v>
      </c>
      <c r="BE299" s="8">
        <f t="shared" si="92"/>
        <v>0</v>
      </c>
      <c r="BF299" s="23">
        <f t="shared" si="93"/>
        <v>0</v>
      </c>
    </row>
    <row r="300" spans="9:58" ht="15.75" thickBot="1" x14ac:dyDescent="0.3">
      <c r="I300" s="65" t="e">
        <f>alimentos[[#This Row],[Item]]</f>
        <v>#VALUE!</v>
      </c>
      <c r="J300" s="61">
        <f>IFERROR(alimentos[[#This Row],[kg/embalagem]],0)</f>
        <v>0</v>
      </c>
      <c r="K300" s="64">
        <f>IFERROR(alimentos[[#This Row],[Preço]],0)</f>
        <v>0</v>
      </c>
      <c r="L300" s="64">
        <f>SUMIFS(super1[Qtde],super1[Item],tab_alimentos[[#This Row],[Item]],super1[Bairro],mercado1)+SUMIFS(supercb[Qtde],supercb[Item],tab_alimentos[[#This Row],[Item]],supercb[Bairro],mercado1)</f>
        <v>0</v>
      </c>
      <c r="M300" s="64">
        <f>SUMIFS(super1[Qtde],super1[Item],tab_alimentos[[#This Row],[Item]],super1[Bairro],mercado2)+SUMIFS(supercb[Qtde],supercb[Item],tab_alimentos[[#This Row],[Item]],supercb[Bairro],mercado2)</f>
        <v>0</v>
      </c>
      <c r="N300" s="61">
        <f>SUMIFS(super1[Qtde],super1[Item],tab_alimentos[[#This Row],[Item]],super1[Bairro],mercado3)+SUMIFS(supercb[Qtde],supercb[Item],tab_alimentos[[#This Row],[Item]],supercb[Bairro],mercado3)</f>
        <v>0</v>
      </c>
      <c r="O300" s="64">
        <f>SUMIFS(super1[Qtde],super1[Item],tab_alimentos[[#This Row],[Item]],super1[Bairro],mercado4)+SUMIFS(supercb[Qtde],supercb[Item],tab_alimentos[[#This Row],[Item]],supercb[Bairro],mercado4)</f>
        <v>0</v>
      </c>
      <c r="P300" s="64">
        <f>SUMIFS(super1[Qtde],super1[Item],tab_alimentos[[#This Row],[Item]],super1[Bairro],mercado5)+SUMIFS(supercb[Qtde],supercb[Item],tab_alimentos[[#This Row],[Item]],supercb[Bairro],mercado5)</f>
        <v>0</v>
      </c>
      <c r="Q300" s="64">
        <f>SUMIFS(super1[Qtde],super1[Item],tab_alimentos[[#This Row],[Item]],super1[Bairro],mercado6)+SUMIFS(supercb[Qtde],supercb[Item],tab_alimentos[[#This Row],[Item]],supercb[Bairro],mercado6)</f>
        <v>0</v>
      </c>
      <c r="R300" s="64">
        <f>SUMIFS(super1[Qtde],super1[Item],tab_alimentos[[#This Row],[Item]],super1[Bairro],mercado7)+SUMIFS(supercb[Qtde],supercb[Item],tab_alimentos[[#This Row],[Item]],supercb[Bairro],mercado7)</f>
        <v>0</v>
      </c>
      <c r="S300" s="64">
        <f>SUMIFS(super1[Qtde],super1[Item],tab_alimentos[[#This Row],[Item]],super1[Bairro],mercado8)+SUMIFS(supercb[Qtde],supercb[Item],tab_alimentos[[#This Row],[Item]],supercb[Bairro],mercado8)</f>
        <v>0</v>
      </c>
      <c r="T300" s="64">
        <f>SUMIFS(super1[Qtde],super1[Item],tab_alimentos[[#This Row],[Item]],super1[Bairro],mercado9)+SUMIFS(supercb[Qtde],supercb[Item],tab_alimentos[[#This Row],[Item]],supercb[Bairro],mercado9)</f>
        <v>0</v>
      </c>
      <c r="U300" s="64">
        <f>SUMIFS(super1[Qtde],super1[Item],tab_alimentos[[#This Row],[Item]],super1[Bairro],mercado10)+SUMIFS(supercb[Qtde],supercb[Item],tab_alimentos[[#This Row],[Item]],supercb[Bairro],mercado10)</f>
        <v>0</v>
      </c>
      <c r="V300" s="64">
        <f>SUMIFS(super1[Qtde],super1[Item],tab_alimentos[[#This Row],[Item]],super1[Bairro],mercado11)+SUMIFS(supercb[Qtde],supercb[Item],tab_alimentos[[#This Row],[Item]],supercb[Bairro],mercado11)</f>
        <v>0</v>
      </c>
      <c r="W300" s="64">
        <f>SUMIFS(super1[Qtde],super1[Item],tab_alimentos[[#This Row],[Item]],super1[Bairro],mercado12)+SUMIFS(supercb[Qtde],supercb[Item],tab_alimentos[[#This Row],[Item]],supercb[Bairro],mercado12)</f>
        <v>0</v>
      </c>
      <c r="X300" s="64">
        <f>SUMIFS(super1[Qtde],super1[Item],tab_alimentos[[#This Row],[Item]],super1[Bairro],mercado13)+SUMIFS(supercb[Qtde],supercb[Item],tab_alimentos[[#This Row],[Item]],supercb[Bairro],mercado13)</f>
        <v>0</v>
      </c>
      <c r="Y300" s="64">
        <f>SUMIFS(super1[Qtde],super1[Item],tab_alimentos[[#This Row],[Item]],super1[Bairro],mercado14)+SUMIFS(supercb[Qtde],supercb[Item],tab_alimentos[[#This Row],[Item]],supercb[Bairro],mercado14)</f>
        <v>0</v>
      </c>
      <c r="Z300" s="64">
        <f>SUMIFS(super1[Qtde],super1[Item],tab_alimentos[[#This Row],[Item]],super1[Bairro],mercado15)+SUMIFS(supercb[Qtde],supercb[Item],tab_alimentos[[#This Row],[Item]],supercb[Bairro],mercado15)</f>
        <v>0</v>
      </c>
      <c r="AA300" s="64">
        <f>SUMIFS(super1[Qtde],super1[Item],tab_alimentos[[#This Row],[Item]],super1[Bairro],mercado16)+SUMIFS(supercb[Qtde],supercb[Item],tab_alimentos[[#This Row],[Item]],supercb[Bairro],mercado16)</f>
        <v>0</v>
      </c>
      <c r="AB300" s="64">
        <f>SUMIFS(super1[Qtde],super1[Item],tab_alimentos[[#This Row],[Item]],super1[Bairro],mercado17)+SUMIFS(supercb[Qtde],supercb[Item],tab_alimentos[[#This Row],[Item]],supercb[Bairro],mercado17)</f>
        <v>0</v>
      </c>
      <c r="AC300" s="64">
        <f>SUMIFS(super1[Qtde],super1[Item],tab_alimentos[[#This Row],[Item]],super1[Bairro],mercado18)+SUMIFS(supercb[Qtde],supercb[Item],tab_alimentos[[#This Row],[Item]],supercb[Bairro],mercado18)</f>
        <v>0</v>
      </c>
      <c r="AD300" s="64">
        <f>SUMIFS(super1[Qtde],super1[Item],tab_alimentos[[#This Row],[Item]],super1[Bairro],extras)+SUMIFS(supercb[Qtde],supercb[Item],tab_alimentos[[#This Row],[Item]],supercb[Bairro],extras)</f>
        <v>0</v>
      </c>
      <c r="AE300" s="61">
        <f t="shared" si="88"/>
        <v>0</v>
      </c>
      <c r="AF300" s="61">
        <f t="shared" si="89"/>
        <v>0</v>
      </c>
      <c r="AG300" s="62">
        <f t="shared" si="90"/>
        <v>0</v>
      </c>
      <c r="AH300" s="15" t="e">
        <f>higiene[[#This Row],[Item]]</f>
        <v>#VALUE!</v>
      </c>
      <c r="AI300" s="8">
        <f>IFERROR(higiene[[#This Row],[Kg equivalente]],0)</f>
        <v>0</v>
      </c>
      <c r="AJ300" s="8">
        <f>IFERROR(higiene[[#This Row],[Preço por produto]],0)</f>
        <v>0</v>
      </c>
      <c r="AK300" s="61">
        <f>SUMIFS(super1[Qtde],super1[Item],tab_higiene[[#This Row],[Item]],super1[Bairro],mercado1)+SUMIFS(supercb[Qtde],supercb[Item],tab_higiene[[#This Row],[Item]],supercb[Bairro],mercado1)</f>
        <v>0</v>
      </c>
      <c r="AL300" s="61">
        <f>SUMIFS(super1[Qtde],super1[Item],tab_higiene[[#This Row],[Item]],super1[Bairro],mercado2)+SUMIFS(supercb[Qtde],supercb[Item],tab_higiene[[#This Row],[Item]],supercb[Bairro],mercado2)</f>
        <v>0</v>
      </c>
      <c r="AM300" s="61">
        <f>SUMIFS(super1[Qtde],super1[Item],tab_higiene[[#This Row],[Item]],super1[Bairro],mercado3)+SUMIFS(supercb[Qtde],supercb[Item],tab_higiene[[#This Row],[Item]],supercb[Bairro],mercado3)</f>
        <v>0</v>
      </c>
      <c r="AN300" s="61">
        <f>SUMIFS(super1[Qtde],super1[Item],tab_higiene[[#This Row],[Item]],super1[Bairro],mercado4)+SUMIFS(supercb[Qtde],supercb[Item],tab_higiene[[#This Row],[Item]],supercb[Bairro],mercado4)</f>
        <v>0</v>
      </c>
      <c r="AO300" s="61">
        <f>SUMIFS(super1[Qtde],super1[Item],tab_higiene[[#This Row],[Item]],super1[Bairro],mercado5)+SUMIFS(supercb[Qtde],supercb[Item],tab_higiene[[#This Row],[Item]],supercb[Bairro],mercado5)</f>
        <v>0</v>
      </c>
      <c r="AP300" s="61">
        <f>SUMIFS(super1[Qtde],super1[Item],tab_higiene[[#This Row],[Item]],super1[Bairro],mercado6)+SUMIFS(supercb[Qtde],supercb[Item],tab_higiene[[#This Row],[Item]],supercb[Bairro],mercado6)</f>
        <v>0</v>
      </c>
      <c r="AQ300" s="61">
        <f>SUMIFS(super1[Qtde],super1[Item],tab_higiene[[#This Row],[Item]],super1[Bairro],mercado7)+SUMIFS(supercb[Qtde],supercb[Item],tab_higiene[[#This Row],[Item]],supercb[Bairro],mercado7)</f>
        <v>0</v>
      </c>
      <c r="AR300" s="61">
        <f>SUMIFS(super1[Qtde],super1[Item],tab_higiene[[#This Row],[Item]],super1[Bairro],mercado8)+SUMIFS(supercb[Qtde],supercb[Item],tab_higiene[[#This Row],[Item]],supercb[Bairro],mercado8)</f>
        <v>0</v>
      </c>
      <c r="AS300" s="61">
        <f>SUMIFS(super1[Qtde],super1[Item],tab_higiene[[#This Row],[Item]],super1[Bairro],mercado9)+SUMIFS(supercb[Qtde],supercb[Item],tab_higiene[[#This Row],[Item]],supercb[Bairro],mercado9)</f>
        <v>0</v>
      </c>
      <c r="AT300" s="61">
        <f>SUMIFS(super1[Qtde],super1[Item],tab_higiene[[#This Row],[Item]],super1[Bairro],mercado10)+SUMIFS(supercb[Qtde],supercb[Item],tab_higiene[[#This Row],[Item]],supercb[Bairro],mercado10)</f>
        <v>0</v>
      </c>
      <c r="AU300" s="61">
        <f>SUMIFS(super1[Qtde],super1[Item],tab_higiene[[#This Row],[Item]],super1[Bairro],mercado11)+SUMIFS(supercb[Qtde],supercb[Item],tab_higiene[[#This Row],[Item]],supercb[Bairro],mercado11)</f>
        <v>0</v>
      </c>
      <c r="AV300" s="61">
        <f>SUMIFS(super1[Qtde],super1[Item],tab_higiene[[#This Row],[Item]],super1[Bairro],mercado12)+SUMIFS(supercb[Qtde],supercb[Item],tab_higiene[[#This Row],[Item]],supercb[Bairro],mercado12)</f>
        <v>0</v>
      </c>
      <c r="AW300" s="61">
        <f>SUMIFS(super1[Qtde],super1[Item],tab_higiene[[#This Row],[Item]],super1[Bairro],mercado13)+SUMIFS(supercb[Qtde],supercb[Item],tab_higiene[[#This Row],[Item]],supercb[Bairro],mercado13)</f>
        <v>0</v>
      </c>
      <c r="AX300" s="61">
        <f>SUMIFS(super1[Qtde],super1[Item],tab_higiene[[#This Row],[Item]],super1[Bairro],mercado14)+SUMIFS(supercb[Qtde],supercb[Item],tab_higiene[[#This Row],[Item]],supercb[Bairro],mercado14)</f>
        <v>0</v>
      </c>
      <c r="AY300" s="61">
        <f>SUMIFS(super1[Qtde],super1[Item],tab_higiene[[#This Row],[Item]],super1[Bairro],mercado15)+SUMIFS(supercb[Qtde],supercb[Item],tab_higiene[[#This Row],[Item]],supercb[Bairro],mercado15)</f>
        <v>0</v>
      </c>
      <c r="AZ300" s="61">
        <f>SUMIFS(super1[Qtde],super1[Item],tab_higiene[[#This Row],[Item]],super1[Bairro],mercado16)+SUMIFS(supercb[Qtde],supercb[Item],tab_higiene[[#This Row],[Item]],supercb[Bairro],mercado16)</f>
        <v>0</v>
      </c>
      <c r="BA300" s="61">
        <f>SUMIFS(super1[Qtde],super1[Item],tab_higiene[[#This Row],[Item]],super1[Bairro],mercado17)+SUMIFS(supercb[Qtde],supercb[Item],tab_higiene[[#This Row],[Item]],supercb[Bairro],mercado17)</f>
        <v>0</v>
      </c>
      <c r="BB300" s="61">
        <f>SUMIFS(super1[Qtde],super1[Item],tab_higiene[[#This Row],[Item]],super1[Bairro],mercado18)+SUMIFS(supercb[Qtde],supercb[Item],tab_higiene[[#This Row],[Item]],supercb[Bairro],mercado18)</f>
        <v>0</v>
      </c>
      <c r="BC300" s="51">
        <f>SUMIFS(super1[Qtde],super1[Item],tab_higiene[[#This Row],[Item]],super1[Bairro],extras)+SUMIFS(supercb[Qtde],supercb[Item],tab_higiene[[#This Row],[Item]],supercb[Bairro],extras)</f>
        <v>0</v>
      </c>
      <c r="BD300" s="8">
        <f t="shared" si="91"/>
        <v>0</v>
      </c>
      <c r="BE300" s="8">
        <f t="shared" si="92"/>
        <v>0</v>
      </c>
      <c r="BF300" s="23">
        <f t="shared" si="93"/>
        <v>0</v>
      </c>
    </row>
    <row r="301" spans="9:58" ht="15.75" thickBot="1" x14ac:dyDescent="0.3">
      <c r="I301" s="65" t="e">
        <f>alimentos[[#This Row],[Item]]</f>
        <v>#VALUE!</v>
      </c>
      <c r="J301" s="61">
        <f>IFERROR(alimentos[[#This Row],[kg/embalagem]],0)</f>
        <v>0</v>
      </c>
      <c r="K301" s="64">
        <f>IFERROR(alimentos[[#This Row],[Preço]],0)</f>
        <v>0</v>
      </c>
      <c r="L301" s="64">
        <f>SUMIFS(super1[Qtde],super1[Item],tab_alimentos[[#This Row],[Item]],super1[Bairro],mercado1)+SUMIFS(supercb[Qtde],supercb[Item],tab_alimentos[[#This Row],[Item]],supercb[Bairro],mercado1)</f>
        <v>0</v>
      </c>
      <c r="M301" s="64">
        <f>SUMIFS(super1[Qtde],super1[Item],tab_alimentos[[#This Row],[Item]],super1[Bairro],mercado2)+SUMIFS(supercb[Qtde],supercb[Item],tab_alimentos[[#This Row],[Item]],supercb[Bairro],mercado2)</f>
        <v>0</v>
      </c>
      <c r="N301" s="61">
        <f>SUMIFS(super1[Qtde],super1[Item],tab_alimentos[[#This Row],[Item]],super1[Bairro],mercado3)+SUMIFS(supercb[Qtde],supercb[Item],tab_alimentos[[#This Row],[Item]],supercb[Bairro],mercado3)</f>
        <v>0</v>
      </c>
      <c r="O301" s="64">
        <f>SUMIFS(super1[Qtde],super1[Item],tab_alimentos[[#This Row],[Item]],super1[Bairro],mercado4)+SUMIFS(supercb[Qtde],supercb[Item],tab_alimentos[[#This Row],[Item]],supercb[Bairro],mercado4)</f>
        <v>0</v>
      </c>
      <c r="P301" s="64">
        <f>SUMIFS(super1[Qtde],super1[Item],tab_alimentos[[#This Row],[Item]],super1[Bairro],mercado5)+SUMIFS(supercb[Qtde],supercb[Item],tab_alimentos[[#This Row],[Item]],supercb[Bairro],mercado5)</f>
        <v>0</v>
      </c>
      <c r="Q301" s="64">
        <f>SUMIFS(super1[Qtde],super1[Item],tab_alimentos[[#This Row],[Item]],super1[Bairro],mercado6)+SUMIFS(supercb[Qtde],supercb[Item],tab_alimentos[[#This Row],[Item]],supercb[Bairro],mercado6)</f>
        <v>0</v>
      </c>
      <c r="R301" s="64">
        <f>SUMIFS(super1[Qtde],super1[Item],tab_alimentos[[#This Row],[Item]],super1[Bairro],mercado7)+SUMIFS(supercb[Qtde],supercb[Item],tab_alimentos[[#This Row],[Item]],supercb[Bairro],mercado7)</f>
        <v>0</v>
      </c>
      <c r="S301" s="64">
        <f>SUMIFS(super1[Qtde],super1[Item],tab_alimentos[[#This Row],[Item]],super1[Bairro],mercado8)+SUMIFS(supercb[Qtde],supercb[Item],tab_alimentos[[#This Row],[Item]],supercb[Bairro],mercado8)</f>
        <v>0</v>
      </c>
      <c r="T301" s="64">
        <f>SUMIFS(super1[Qtde],super1[Item],tab_alimentos[[#This Row],[Item]],super1[Bairro],mercado9)+SUMIFS(supercb[Qtde],supercb[Item],tab_alimentos[[#This Row],[Item]],supercb[Bairro],mercado9)</f>
        <v>0</v>
      </c>
      <c r="U301" s="64">
        <f>SUMIFS(super1[Qtde],super1[Item],tab_alimentos[[#This Row],[Item]],super1[Bairro],mercado10)+SUMIFS(supercb[Qtde],supercb[Item],tab_alimentos[[#This Row],[Item]],supercb[Bairro],mercado10)</f>
        <v>0</v>
      </c>
      <c r="V301" s="64">
        <f>SUMIFS(super1[Qtde],super1[Item],tab_alimentos[[#This Row],[Item]],super1[Bairro],mercado11)+SUMIFS(supercb[Qtde],supercb[Item],tab_alimentos[[#This Row],[Item]],supercb[Bairro],mercado11)</f>
        <v>0</v>
      </c>
      <c r="W301" s="64">
        <f>SUMIFS(super1[Qtde],super1[Item],tab_alimentos[[#This Row],[Item]],super1[Bairro],mercado12)+SUMIFS(supercb[Qtde],supercb[Item],tab_alimentos[[#This Row],[Item]],supercb[Bairro],mercado12)</f>
        <v>0</v>
      </c>
      <c r="X301" s="64">
        <f>SUMIFS(super1[Qtde],super1[Item],tab_alimentos[[#This Row],[Item]],super1[Bairro],mercado13)+SUMIFS(supercb[Qtde],supercb[Item],tab_alimentos[[#This Row],[Item]],supercb[Bairro],mercado13)</f>
        <v>0</v>
      </c>
      <c r="Y301" s="64">
        <f>SUMIFS(super1[Qtde],super1[Item],tab_alimentos[[#This Row],[Item]],super1[Bairro],mercado14)+SUMIFS(supercb[Qtde],supercb[Item],tab_alimentos[[#This Row],[Item]],supercb[Bairro],mercado14)</f>
        <v>0</v>
      </c>
      <c r="Z301" s="64">
        <f>SUMIFS(super1[Qtde],super1[Item],tab_alimentos[[#This Row],[Item]],super1[Bairro],mercado15)+SUMIFS(supercb[Qtde],supercb[Item],tab_alimentos[[#This Row],[Item]],supercb[Bairro],mercado15)</f>
        <v>0</v>
      </c>
      <c r="AA301" s="64">
        <f>SUMIFS(super1[Qtde],super1[Item],tab_alimentos[[#This Row],[Item]],super1[Bairro],mercado16)+SUMIFS(supercb[Qtde],supercb[Item],tab_alimentos[[#This Row],[Item]],supercb[Bairro],mercado16)</f>
        <v>0</v>
      </c>
      <c r="AB301" s="64">
        <f>SUMIFS(super1[Qtde],super1[Item],tab_alimentos[[#This Row],[Item]],super1[Bairro],mercado17)+SUMIFS(supercb[Qtde],supercb[Item],tab_alimentos[[#This Row],[Item]],supercb[Bairro],mercado17)</f>
        <v>0</v>
      </c>
      <c r="AC301" s="64">
        <f>SUMIFS(super1[Qtde],super1[Item],tab_alimentos[[#This Row],[Item]],super1[Bairro],mercado18)+SUMIFS(supercb[Qtde],supercb[Item],tab_alimentos[[#This Row],[Item]],supercb[Bairro],mercado18)</f>
        <v>0</v>
      </c>
      <c r="AD301" s="64">
        <f>SUMIFS(super1[Qtde],super1[Item],tab_alimentos[[#This Row],[Item]],super1[Bairro],extras)+SUMIFS(supercb[Qtde],supercb[Item],tab_alimentos[[#This Row],[Item]],supercb[Bairro],extras)</f>
        <v>0</v>
      </c>
      <c r="AE301" s="61">
        <f t="shared" si="88"/>
        <v>0</v>
      </c>
      <c r="AF301" s="61">
        <f t="shared" si="89"/>
        <v>0</v>
      </c>
      <c r="AG301" s="62">
        <f t="shared" si="90"/>
        <v>0</v>
      </c>
      <c r="AH301" s="15" t="e">
        <f>higiene[[#This Row],[Item]]</f>
        <v>#VALUE!</v>
      </c>
      <c r="AI301" s="8">
        <f>IFERROR(higiene[[#This Row],[Kg equivalente]],0)</f>
        <v>0</v>
      </c>
      <c r="AJ301" s="8">
        <f>IFERROR(higiene[[#This Row],[Preço por produto]],0)</f>
        <v>0</v>
      </c>
      <c r="AK301" s="61">
        <f>SUMIFS(super1[Qtde],super1[Item],tab_higiene[[#This Row],[Item]],super1[Bairro],mercado1)+SUMIFS(supercb[Qtde],supercb[Item],tab_higiene[[#This Row],[Item]],supercb[Bairro],mercado1)</f>
        <v>0</v>
      </c>
      <c r="AL301" s="61">
        <f>SUMIFS(super1[Qtde],super1[Item],tab_higiene[[#This Row],[Item]],super1[Bairro],mercado2)+SUMIFS(supercb[Qtde],supercb[Item],tab_higiene[[#This Row],[Item]],supercb[Bairro],mercado2)</f>
        <v>0</v>
      </c>
      <c r="AM301" s="61">
        <f>SUMIFS(super1[Qtde],super1[Item],tab_higiene[[#This Row],[Item]],super1[Bairro],mercado3)+SUMIFS(supercb[Qtde],supercb[Item],tab_higiene[[#This Row],[Item]],supercb[Bairro],mercado3)</f>
        <v>0</v>
      </c>
      <c r="AN301" s="61">
        <f>SUMIFS(super1[Qtde],super1[Item],tab_higiene[[#This Row],[Item]],super1[Bairro],mercado4)+SUMIFS(supercb[Qtde],supercb[Item],tab_higiene[[#This Row],[Item]],supercb[Bairro],mercado4)</f>
        <v>0</v>
      </c>
      <c r="AO301" s="61">
        <f>SUMIFS(super1[Qtde],super1[Item],tab_higiene[[#This Row],[Item]],super1[Bairro],mercado5)+SUMIFS(supercb[Qtde],supercb[Item],tab_higiene[[#This Row],[Item]],supercb[Bairro],mercado5)</f>
        <v>0</v>
      </c>
      <c r="AP301" s="61">
        <f>SUMIFS(super1[Qtde],super1[Item],tab_higiene[[#This Row],[Item]],super1[Bairro],mercado6)+SUMIFS(supercb[Qtde],supercb[Item],tab_higiene[[#This Row],[Item]],supercb[Bairro],mercado6)</f>
        <v>0</v>
      </c>
      <c r="AQ301" s="61">
        <f>SUMIFS(super1[Qtde],super1[Item],tab_higiene[[#This Row],[Item]],super1[Bairro],mercado7)+SUMIFS(supercb[Qtde],supercb[Item],tab_higiene[[#This Row],[Item]],supercb[Bairro],mercado7)</f>
        <v>0</v>
      </c>
      <c r="AR301" s="61">
        <f>SUMIFS(super1[Qtde],super1[Item],tab_higiene[[#This Row],[Item]],super1[Bairro],mercado8)+SUMIFS(supercb[Qtde],supercb[Item],tab_higiene[[#This Row],[Item]],supercb[Bairro],mercado8)</f>
        <v>0</v>
      </c>
      <c r="AS301" s="61">
        <f>SUMIFS(super1[Qtde],super1[Item],tab_higiene[[#This Row],[Item]],super1[Bairro],mercado9)+SUMIFS(supercb[Qtde],supercb[Item],tab_higiene[[#This Row],[Item]],supercb[Bairro],mercado9)</f>
        <v>0</v>
      </c>
      <c r="AT301" s="61">
        <f>SUMIFS(super1[Qtde],super1[Item],tab_higiene[[#This Row],[Item]],super1[Bairro],mercado10)+SUMIFS(supercb[Qtde],supercb[Item],tab_higiene[[#This Row],[Item]],supercb[Bairro],mercado10)</f>
        <v>0</v>
      </c>
      <c r="AU301" s="61">
        <f>SUMIFS(super1[Qtde],super1[Item],tab_higiene[[#This Row],[Item]],super1[Bairro],mercado11)+SUMIFS(supercb[Qtde],supercb[Item],tab_higiene[[#This Row],[Item]],supercb[Bairro],mercado11)</f>
        <v>0</v>
      </c>
      <c r="AV301" s="61">
        <f>SUMIFS(super1[Qtde],super1[Item],tab_higiene[[#This Row],[Item]],super1[Bairro],mercado12)+SUMIFS(supercb[Qtde],supercb[Item],tab_higiene[[#This Row],[Item]],supercb[Bairro],mercado12)</f>
        <v>0</v>
      </c>
      <c r="AW301" s="61">
        <f>SUMIFS(super1[Qtde],super1[Item],tab_higiene[[#This Row],[Item]],super1[Bairro],mercado13)+SUMIFS(supercb[Qtde],supercb[Item],tab_higiene[[#This Row],[Item]],supercb[Bairro],mercado13)</f>
        <v>0</v>
      </c>
      <c r="AX301" s="61">
        <f>SUMIFS(super1[Qtde],super1[Item],tab_higiene[[#This Row],[Item]],super1[Bairro],mercado14)+SUMIFS(supercb[Qtde],supercb[Item],tab_higiene[[#This Row],[Item]],supercb[Bairro],mercado14)</f>
        <v>0</v>
      </c>
      <c r="AY301" s="61">
        <f>SUMIFS(super1[Qtde],super1[Item],tab_higiene[[#This Row],[Item]],super1[Bairro],mercado15)+SUMIFS(supercb[Qtde],supercb[Item],tab_higiene[[#This Row],[Item]],supercb[Bairro],mercado15)</f>
        <v>0</v>
      </c>
      <c r="AZ301" s="61">
        <f>SUMIFS(super1[Qtde],super1[Item],tab_higiene[[#This Row],[Item]],super1[Bairro],mercado16)+SUMIFS(supercb[Qtde],supercb[Item],tab_higiene[[#This Row],[Item]],supercb[Bairro],mercado16)</f>
        <v>0</v>
      </c>
      <c r="BA301" s="61">
        <f>SUMIFS(super1[Qtde],super1[Item],tab_higiene[[#This Row],[Item]],super1[Bairro],mercado17)+SUMIFS(supercb[Qtde],supercb[Item],tab_higiene[[#This Row],[Item]],supercb[Bairro],mercado17)</f>
        <v>0</v>
      </c>
      <c r="BB301" s="61">
        <f>SUMIFS(super1[Qtde],super1[Item],tab_higiene[[#This Row],[Item]],super1[Bairro],mercado18)+SUMIFS(supercb[Qtde],supercb[Item],tab_higiene[[#This Row],[Item]],supercb[Bairro],mercado18)</f>
        <v>0</v>
      </c>
      <c r="BC301" s="51">
        <f>SUMIFS(super1[Qtde],super1[Item],tab_higiene[[#This Row],[Item]],super1[Bairro],extras)+SUMIFS(supercb[Qtde],supercb[Item],tab_higiene[[#This Row],[Item]],supercb[Bairro],extras)</f>
        <v>0</v>
      </c>
      <c r="BD301" s="8">
        <f t="shared" si="91"/>
        <v>0</v>
      </c>
      <c r="BE301" s="8">
        <f t="shared" si="92"/>
        <v>0</v>
      </c>
      <c r="BF301" s="23">
        <f t="shared" si="93"/>
        <v>0</v>
      </c>
    </row>
    <row r="302" spans="9:58" ht="15.75" thickBot="1" x14ac:dyDescent="0.3">
      <c r="I302" s="65" t="e">
        <f>alimentos[[#This Row],[Item]]</f>
        <v>#VALUE!</v>
      </c>
      <c r="J302" s="61">
        <f>IFERROR(alimentos[[#This Row],[kg/embalagem]],0)</f>
        <v>0</v>
      </c>
      <c r="K302" s="64">
        <f>IFERROR(alimentos[[#This Row],[Preço]],0)</f>
        <v>0</v>
      </c>
      <c r="L302" s="64">
        <f>SUMIFS(super1[Qtde],super1[Item],tab_alimentos[[#This Row],[Item]],super1[Bairro],mercado1)+SUMIFS(supercb[Qtde],supercb[Item],tab_alimentos[[#This Row],[Item]],supercb[Bairro],mercado1)</f>
        <v>0</v>
      </c>
      <c r="M302" s="64">
        <f>SUMIFS(super1[Qtde],super1[Item],tab_alimentos[[#This Row],[Item]],super1[Bairro],mercado2)+SUMIFS(supercb[Qtde],supercb[Item],tab_alimentos[[#This Row],[Item]],supercb[Bairro],mercado2)</f>
        <v>0</v>
      </c>
      <c r="N302" s="61">
        <f>SUMIFS(super1[Qtde],super1[Item],tab_alimentos[[#This Row],[Item]],super1[Bairro],mercado3)+SUMIFS(supercb[Qtde],supercb[Item],tab_alimentos[[#This Row],[Item]],supercb[Bairro],mercado3)</f>
        <v>0</v>
      </c>
      <c r="O302" s="64">
        <f>SUMIFS(super1[Qtde],super1[Item],tab_alimentos[[#This Row],[Item]],super1[Bairro],mercado4)+SUMIFS(supercb[Qtde],supercb[Item],tab_alimentos[[#This Row],[Item]],supercb[Bairro],mercado4)</f>
        <v>0</v>
      </c>
      <c r="P302" s="64">
        <f>SUMIFS(super1[Qtde],super1[Item],tab_alimentos[[#This Row],[Item]],super1[Bairro],mercado5)+SUMIFS(supercb[Qtde],supercb[Item],tab_alimentos[[#This Row],[Item]],supercb[Bairro],mercado5)</f>
        <v>0</v>
      </c>
      <c r="Q302" s="64">
        <f>SUMIFS(super1[Qtde],super1[Item],tab_alimentos[[#This Row],[Item]],super1[Bairro],mercado6)+SUMIFS(supercb[Qtde],supercb[Item],tab_alimentos[[#This Row],[Item]],supercb[Bairro],mercado6)</f>
        <v>0</v>
      </c>
      <c r="R302" s="64">
        <f>SUMIFS(super1[Qtde],super1[Item],tab_alimentos[[#This Row],[Item]],super1[Bairro],mercado7)+SUMIFS(supercb[Qtde],supercb[Item],tab_alimentos[[#This Row],[Item]],supercb[Bairro],mercado7)</f>
        <v>0</v>
      </c>
      <c r="S302" s="64">
        <f>SUMIFS(super1[Qtde],super1[Item],tab_alimentos[[#This Row],[Item]],super1[Bairro],mercado8)+SUMIFS(supercb[Qtde],supercb[Item],tab_alimentos[[#This Row],[Item]],supercb[Bairro],mercado8)</f>
        <v>0</v>
      </c>
      <c r="T302" s="64">
        <f>SUMIFS(super1[Qtde],super1[Item],tab_alimentos[[#This Row],[Item]],super1[Bairro],mercado9)+SUMIFS(supercb[Qtde],supercb[Item],tab_alimentos[[#This Row],[Item]],supercb[Bairro],mercado9)</f>
        <v>0</v>
      </c>
      <c r="U302" s="64">
        <f>SUMIFS(super1[Qtde],super1[Item],tab_alimentos[[#This Row],[Item]],super1[Bairro],mercado10)+SUMIFS(supercb[Qtde],supercb[Item],tab_alimentos[[#This Row],[Item]],supercb[Bairro],mercado10)</f>
        <v>0</v>
      </c>
      <c r="V302" s="64">
        <f>SUMIFS(super1[Qtde],super1[Item],tab_alimentos[[#This Row],[Item]],super1[Bairro],mercado11)+SUMIFS(supercb[Qtde],supercb[Item],tab_alimentos[[#This Row],[Item]],supercb[Bairro],mercado11)</f>
        <v>0</v>
      </c>
      <c r="W302" s="64">
        <f>SUMIFS(super1[Qtde],super1[Item],tab_alimentos[[#This Row],[Item]],super1[Bairro],mercado12)+SUMIFS(supercb[Qtde],supercb[Item],tab_alimentos[[#This Row],[Item]],supercb[Bairro],mercado12)</f>
        <v>0</v>
      </c>
      <c r="X302" s="64">
        <f>SUMIFS(super1[Qtde],super1[Item],tab_alimentos[[#This Row],[Item]],super1[Bairro],mercado13)+SUMIFS(supercb[Qtde],supercb[Item],tab_alimentos[[#This Row],[Item]],supercb[Bairro],mercado13)</f>
        <v>0</v>
      </c>
      <c r="Y302" s="64">
        <f>SUMIFS(super1[Qtde],super1[Item],tab_alimentos[[#This Row],[Item]],super1[Bairro],mercado14)+SUMIFS(supercb[Qtde],supercb[Item],tab_alimentos[[#This Row],[Item]],supercb[Bairro],mercado14)</f>
        <v>0</v>
      </c>
      <c r="Z302" s="64">
        <f>SUMIFS(super1[Qtde],super1[Item],tab_alimentos[[#This Row],[Item]],super1[Bairro],mercado15)+SUMIFS(supercb[Qtde],supercb[Item],tab_alimentos[[#This Row],[Item]],supercb[Bairro],mercado15)</f>
        <v>0</v>
      </c>
      <c r="AA302" s="64">
        <f>SUMIFS(super1[Qtde],super1[Item],tab_alimentos[[#This Row],[Item]],super1[Bairro],mercado16)+SUMIFS(supercb[Qtde],supercb[Item],tab_alimentos[[#This Row],[Item]],supercb[Bairro],mercado16)</f>
        <v>0</v>
      </c>
      <c r="AB302" s="64">
        <f>SUMIFS(super1[Qtde],super1[Item],tab_alimentos[[#This Row],[Item]],super1[Bairro],mercado17)+SUMIFS(supercb[Qtde],supercb[Item],tab_alimentos[[#This Row],[Item]],supercb[Bairro],mercado17)</f>
        <v>0</v>
      </c>
      <c r="AC302" s="64">
        <f>SUMIFS(super1[Qtde],super1[Item],tab_alimentos[[#This Row],[Item]],super1[Bairro],mercado18)+SUMIFS(supercb[Qtde],supercb[Item],tab_alimentos[[#This Row],[Item]],supercb[Bairro],mercado18)</f>
        <v>0</v>
      </c>
      <c r="AD302" s="64">
        <f>SUMIFS(super1[Qtde],super1[Item],tab_alimentos[[#This Row],[Item]],super1[Bairro],extras)+SUMIFS(supercb[Qtde],supercb[Item],tab_alimentos[[#This Row],[Item]],supercb[Bairro],extras)</f>
        <v>0</v>
      </c>
      <c r="AE302" s="61">
        <f t="shared" si="88"/>
        <v>0</v>
      </c>
      <c r="AF302" s="61">
        <f t="shared" si="89"/>
        <v>0</v>
      </c>
      <c r="AG302" s="62">
        <f t="shared" si="90"/>
        <v>0</v>
      </c>
      <c r="AH302" s="15" t="e">
        <f>higiene[[#This Row],[Item]]</f>
        <v>#VALUE!</v>
      </c>
      <c r="AI302" s="8">
        <f>IFERROR(higiene[[#This Row],[Kg equivalente]],0)</f>
        <v>0</v>
      </c>
      <c r="AJ302" s="8">
        <f>IFERROR(higiene[[#This Row],[Preço por produto]],0)</f>
        <v>0</v>
      </c>
      <c r="AK302" s="61">
        <f>SUMIFS(super1[Qtde],super1[Item],tab_higiene[[#This Row],[Item]],super1[Bairro],mercado1)+SUMIFS(supercb[Qtde],supercb[Item],tab_higiene[[#This Row],[Item]],supercb[Bairro],mercado1)</f>
        <v>0</v>
      </c>
      <c r="AL302" s="61">
        <f>SUMIFS(super1[Qtde],super1[Item],tab_higiene[[#This Row],[Item]],super1[Bairro],mercado2)+SUMIFS(supercb[Qtde],supercb[Item],tab_higiene[[#This Row],[Item]],supercb[Bairro],mercado2)</f>
        <v>0</v>
      </c>
      <c r="AM302" s="61">
        <f>SUMIFS(super1[Qtde],super1[Item],tab_higiene[[#This Row],[Item]],super1[Bairro],mercado3)+SUMIFS(supercb[Qtde],supercb[Item],tab_higiene[[#This Row],[Item]],supercb[Bairro],mercado3)</f>
        <v>0</v>
      </c>
      <c r="AN302" s="61">
        <f>SUMIFS(super1[Qtde],super1[Item],tab_higiene[[#This Row],[Item]],super1[Bairro],mercado4)+SUMIFS(supercb[Qtde],supercb[Item],tab_higiene[[#This Row],[Item]],supercb[Bairro],mercado4)</f>
        <v>0</v>
      </c>
      <c r="AO302" s="61">
        <f>SUMIFS(super1[Qtde],super1[Item],tab_higiene[[#This Row],[Item]],super1[Bairro],mercado5)+SUMIFS(supercb[Qtde],supercb[Item],tab_higiene[[#This Row],[Item]],supercb[Bairro],mercado5)</f>
        <v>0</v>
      </c>
      <c r="AP302" s="61">
        <f>SUMIFS(super1[Qtde],super1[Item],tab_higiene[[#This Row],[Item]],super1[Bairro],mercado6)+SUMIFS(supercb[Qtde],supercb[Item],tab_higiene[[#This Row],[Item]],supercb[Bairro],mercado6)</f>
        <v>0</v>
      </c>
      <c r="AQ302" s="61">
        <f>SUMIFS(super1[Qtde],super1[Item],tab_higiene[[#This Row],[Item]],super1[Bairro],mercado7)+SUMIFS(supercb[Qtde],supercb[Item],tab_higiene[[#This Row],[Item]],supercb[Bairro],mercado7)</f>
        <v>0</v>
      </c>
      <c r="AR302" s="61">
        <f>SUMIFS(super1[Qtde],super1[Item],tab_higiene[[#This Row],[Item]],super1[Bairro],mercado8)+SUMIFS(supercb[Qtde],supercb[Item],tab_higiene[[#This Row],[Item]],supercb[Bairro],mercado8)</f>
        <v>0</v>
      </c>
      <c r="AS302" s="61">
        <f>SUMIFS(super1[Qtde],super1[Item],tab_higiene[[#This Row],[Item]],super1[Bairro],mercado9)+SUMIFS(supercb[Qtde],supercb[Item],tab_higiene[[#This Row],[Item]],supercb[Bairro],mercado9)</f>
        <v>0</v>
      </c>
      <c r="AT302" s="61">
        <f>SUMIFS(super1[Qtde],super1[Item],tab_higiene[[#This Row],[Item]],super1[Bairro],mercado10)+SUMIFS(supercb[Qtde],supercb[Item],tab_higiene[[#This Row],[Item]],supercb[Bairro],mercado10)</f>
        <v>0</v>
      </c>
      <c r="AU302" s="61">
        <f>SUMIFS(super1[Qtde],super1[Item],tab_higiene[[#This Row],[Item]],super1[Bairro],mercado11)+SUMIFS(supercb[Qtde],supercb[Item],tab_higiene[[#This Row],[Item]],supercb[Bairro],mercado11)</f>
        <v>0</v>
      </c>
      <c r="AV302" s="61">
        <f>SUMIFS(super1[Qtde],super1[Item],tab_higiene[[#This Row],[Item]],super1[Bairro],mercado12)+SUMIFS(supercb[Qtde],supercb[Item],tab_higiene[[#This Row],[Item]],supercb[Bairro],mercado12)</f>
        <v>0</v>
      </c>
      <c r="AW302" s="61">
        <f>SUMIFS(super1[Qtde],super1[Item],tab_higiene[[#This Row],[Item]],super1[Bairro],mercado13)+SUMIFS(supercb[Qtde],supercb[Item],tab_higiene[[#This Row],[Item]],supercb[Bairro],mercado13)</f>
        <v>0</v>
      </c>
      <c r="AX302" s="61">
        <f>SUMIFS(super1[Qtde],super1[Item],tab_higiene[[#This Row],[Item]],super1[Bairro],mercado14)+SUMIFS(supercb[Qtde],supercb[Item],tab_higiene[[#This Row],[Item]],supercb[Bairro],mercado14)</f>
        <v>0</v>
      </c>
      <c r="AY302" s="61">
        <f>SUMIFS(super1[Qtde],super1[Item],tab_higiene[[#This Row],[Item]],super1[Bairro],mercado15)+SUMIFS(supercb[Qtde],supercb[Item],tab_higiene[[#This Row],[Item]],supercb[Bairro],mercado15)</f>
        <v>0</v>
      </c>
      <c r="AZ302" s="61">
        <f>SUMIFS(super1[Qtde],super1[Item],tab_higiene[[#This Row],[Item]],super1[Bairro],mercado16)+SUMIFS(supercb[Qtde],supercb[Item],tab_higiene[[#This Row],[Item]],supercb[Bairro],mercado16)</f>
        <v>0</v>
      </c>
      <c r="BA302" s="61">
        <f>SUMIFS(super1[Qtde],super1[Item],tab_higiene[[#This Row],[Item]],super1[Bairro],mercado17)+SUMIFS(supercb[Qtde],supercb[Item],tab_higiene[[#This Row],[Item]],supercb[Bairro],mercado17)</f>
        <v>0</v>
      </c>
      <c r="BB302" s="61">
        <f>SUMIFS(super1[Qtde],super1[Item],tab_higiene[[#This Row],[Item]],super1[Bairro],mercado18)+SUMIFS(supercb[Qtde],supercb[Item],tab_higiene[[#This Row],[Item]],supercb[Bairro],mercado18)</f>
        <v>0</v>
      </c>
      <c r="BC302" s="51">
        <f>SUMIFS(super1[Qtde],super1[Item],tab_higiene[[#This Row],[Item]],super1[Bairro],extras)+SUMIFS(supercb[Qtde],supercb[Item],tab_higiene[[#This Row],[Item]],supercb[Bairro],extras)</f>
        <v>0</v>
      </c>
      <c r="BD302" s="8">
        <f t="shared" si="91"/>
        <v>0</v>
      </c>
      <c r="BE302" s="8">
        <f t="shared" si="92"/>
        <v>0</v>
      </c>
      <c r="BF302" s="23">
        <f t="shared" si="93"/>
        <v>0</v>
      </c>
    </row>
    <row r="303" spans="9:58" ht="15.75" thickBot="1" x14ac:dyDescent="0.3">
      <c r="I303" s="65" t="e">
        <f>alimentos[[#This Row],[Item]]</f>
        <v>#VALUE!</v>
      </c>
      <c r="J303" s="61">
        <f>IFERROR(alimentos[[#This Row],[kg/embalagem]],0)</f>
        <v>0</v>
      </c>
      <c r="K303" s="64">
        <f>IFERROR(alimentos[[#This Row],[Preço]],0)</f>
        <v>0</v>
      </c>
      <c r="L303" s="64">
        <f>SUMIFS(super1[Qtde],super1[Item],tab_alimentos[[#This Row],[Item]],super1[Bairro],mercado1)+SUMIFS(supercb[Qtde],supercb[Item],tab_alimentos[[#This Row],[Item]],supercb[Bairro],mercado1)</f>
        <v>0</v>
      </c>
      <c r="M303" s="64">
        <f>SUMIFS(super1[Qtde],super1[Item],tab_alimentos[[#This Row],[Item]],super1[Bairro],mercado2)+SUMIFS(supercb[Qtde],supercb[Item],tab_alimentos[[#This Row],[Item]],supercb[Bairro],mercado2)</f>
        <v>0</v>
      </c>
      <c r="N303" s="61">
        <f>SUMIFS(super1[Qtde],super1[Item],tab_alimentos[[#This Row],[Item]],super1[Bairro],mercado3)+SUMIFS(supercb[Qtde],supercb[Item],tab_alimentos[[#This Row],[Item]],supercb[Bairro],mercado3)</f>
        <v>0</v>
      </c>
      <c r="O303" s="64">
        <f>SUMIFS(super1[Qtde],super1[Item],tab_alimentos[[#This Row],[Item]],super1[Bairro],mercado4)+SUMIFS(supercb[Qtde],supercb[Item],tab_alimentos[[#This Row],[Item]],supercb[Bairro],mercado4)</f>
        <v>0</v>
      </c>
      <c r="P303" s="64">
        <f>SUMIFS(super1[Qtde],super1[Item],tab_alimentos[[#This Row],[Item]],super1[Bairro],mercado5)+SUMIFS(supercb[Qtde],supercb[Item],tab_alimentos[[#This Row],[Item]],supercb[Bairro],mercado5)</f>
        <v>0</v>
      </c>
      <c r="Q303" s="64">
        <f>SUMIFS(super1[Qtde],super1[Item],tab_alimentos[[#This Row],[Item]],super1[Bairro],mercado6)+SUMIFS(supercb[Qtde],supercb[Item],tab_alimentos[[#This Row],[Item]],supercb[Bairro],mercado6)</f>
        <v>0</v>
      </c>
      <c r="R303" s="64">
        <f>SUMIFS(super1[Qtde],super1[Item],tab_alimentos[[#This Row],[Item]],super1[Bairro],mercado7)+SUMIFS(supercb[Qtde],supercb[Item],tab_alimentos[[#This Row],[Item]],supercb[Bairro],mercado7)</f>
        <v>0</v>
      </c>
      <c r="S303" s="64">
        <f>SUMIFS(super1[Qtde],super1[Item],tab_alimentos[[#This Row],[Item]],super1[Bairro],mercado8)+SUMIFS(supercb[Qtde],supercb[Item],tab_alimentos[[#This Row],[Item]],supercb[Bairro],mercado8)</f>
        <v>0</v>
      </c>
      <c r="T303" s="64">
        <f>SUMIFS(super1[Qtde],super1[Item],tab_alimentos[[#This Row],[Item]],super1[Bairro],mercado9)+SUMIFS(supercb[Qtde],supercb[Item],tab_alimentos[[#This Row],[Item]],supercb[Bairro],mercado9)</f>
        <v>0</v>
      </c>
      <c r="U303" s="64">
        <f>SUMIFS(super1[Qtde],super1[Item],tab_alimentos[[#This Row],[Item]],super1[Bairro],mercado10)+SUMIFS(supercb[Qtde],supercb[Item],tab_alimentos[[#This Row],[Item]],supercb[Bairro],mercado10)</f>
        <v>0</v>
      </c>
      <c r="V303" s="64">
        <f>SUMIFS(super1[Qtde],super1[Item],tab_alimentos[[#This Row],[Item]],super1[Bairro],mercado11)+SUMIFS(supercb[Qtde],supercb[Item],tab_alimentos[[#This Row],[Item]],supercb[Bairro],mercado11)</f>
        <v>0</v>
      </c>
      <c r="W303" s="64">
        <f>SUMIFS(super1[Qtde],super1[Item],tab_alimentos[[#This Row],[Item]],super1[Bairro],mercado12)+SUMIFS(supercb[Qtde],supercb[Item],tab_alimentos[[#This Row],[Item]],supercb[Bairro],mercado12)</f>
        <v>0</v>
      </c>
      <c r="X303" s="64">
        <f>SUMIFS(super1[Qtde],super1[Item],tab_alimentos[[#This Row],[Item]],super1[Bairro],mercado13)+SUMIFS(supercb[Qtde],supercb[Item],tab_alimentos[[#This Row],[Item]],supercb[Bairro],mercado13)</f>
        <v>0</v>
      </c>
      <c r="Y303" s="64">
        <f>SUMIFS(super1[Qtde],super1[Item],tab_alimentos[[#This Row],[Item]],super1[Bairro],mercado14)+SUMIFS(supercb[Qtde],supercb[Item],tab_alimentos[[#This Row],[Item]],supercb[Bairro],mercado14)</f>
        <v>0</v>
      </c>
      <c r="Z303" s="64">
        <f>SUMIFS(super1[Qtde],super1[Item],tab_alimentos[[#This Row],[Item]],super1[Bairro],mercado15)+SUMIFS(supercb[Qtde],supercb[Item],tab_alimentos[[#This Row],[Item]],supercb[Bairro],mercado15)</f>
        <v>0</v>
      </c>
      <c r="AA303" s="64">
        <f>SUMIFS(super1[Qtde],super1[Item],tab_alimentos[[#This Row],[Item]],super1[Bairro],mercado16)+SUMIFS(supercb[Qtde],supercb[Item],tab_alimentos[[#This Row],[Item]],supercb[Bairro],mercado16)</f>
        <v>0</v>
      </c>
      <c r="AB303" s="64">
        <f>SUMIFS(super1[Qtde],super1[Item],tab_alimentos[[#This Row],[Item]],super1[Bairro],mercado17)+SUMIFS(supercb[Qtde],supercb[Item],tab_alimentos[[#This Row],[Item]],supercb[Bairro],mercado17)</f>
        <v>0</v>
      </c>
      <c r="AC303" s="64">
        <f>SUMIFS(super1[Qtde],super1[Item],tab_alimentos[[#This Row],[Item]],super1[Bairro],mercado18)+SUMIFS(supercb[Qtde],supercb[Item],tab_alimentos[[#This Row],[Item]],supercb[Bairro],mercado18)</f>
        <v>0</v>
      </c>
      <c r="AD303" s="64">
        <f>SUMIFS(super1[Qtde],super1[Item],tab_alimentos[[#This Row],[Item]],super1[Bairro],extras)+SUMIFS(supercb[Qtde],supercb[Item],tab_alimentos[[#This Row],[Item]],supercb[Bairro],extras)</f>
        <v>0</v>
      </c>
      <c r="AE303" s="61">
        <f t="shared" si="88"/>
        <v>0</v>
      </c>
      <c r="AF303" s="61">
        <f t="shared" si="89"/>
        <v>0</v>
      </c>
      <c r="AG303" s="62">
        <f t="shared" si="90"/>
        <v>0</v>
      </c>
      <c r="AH303" s="15" t="e">
        <f>higiene[[#This Row],[Item]]</f>
        <v>#VALUE!</v>
      </c>
      <c r="AI303" s="8">
        <f>IFERROR(higiene[[#This Row],[Kg equivalente]],0)</f>
        <v>0</v>
      </c>
      <c r="AJ303" s="8">
        <f>IFERROR(higiene[[#This Row],[Preço por produto]],0)</f>
        <v>0</v>
      </c>
      <c r="AK303" s="61">
        <f>SUMIFS(super1[Qtde],super1[Item],tab_higiene[[#This Row],[Item]],super1[Bairro],mercado1)+SUMIFS(supercb[Qtde],supercb[Item],tab_higiene[[#This Row],[Item]],supercb[Bairro],mercado1)</f>
        <v>0</v>
      </c>
      <c r="AL303" s="61">
        <f>SUMIFS(super1[Qtde],super1[Item],tab_higiene[[#This Row],[Item]],super1[Bairro],mercado2)+SUMIFS(supercb[Qtde],supercb[Item],tab_higiene[[#This Row],[Item]],supercb[Bairro],mercado2)</f>
        <v>0</v>
      </c>
      <c r="AM303" s="61">
        <f>SUMIFS(super1[Qtde],super1[Item],tab_higiene[[#This Row],[Item]],super1[Bairro],mercado3)+SUMIFS(supercb[Qtde],supercb[Item],tab_higiene[[#This Row],[Item]],supercb[Bairro],mercado3)</f>
        <v>0</v>
      </c>
      <c r="AN303" s="61">
        <f>SUMIFS(super1[Qtde],super1[Item],tab_higiene[[#This Row],[Item]],super1[Bairro],mercado4)+SUMIFS(supercb[Qtde],supercb[Item],tab_higiene[[#This Row],[Item]],supercb[Bairro],mercado4)</f>
        <v>0</v>
      </c>
      <c r="AO303" s="61">
        <f>SUMIFS(super1[Qtde],super1[Item],tab_higiene[[#This Row],[Item]],super1[Bairro],mercado5)+SUMIFS(supercb[Qtde],supercb[Item],tab_higiene[[#This Row],[Item]],supercb[Bairro],mercado5)</f>
        <v>0</v>
      </c>
      <c r="AP303" s="61">
        <f>SUMIFS(super1[Qtde],super1[Item],tab_higiene[[#This Row],[Item]],super1[Bairro],mercado6)+SUMIFS(supercb[Qtde],supercb[Item],tab_higiene[[#This Row],[Item]],supercb[Bairro],mercado6)</f>
        <v>0</v>
      </c>
      <c r="AQ303" s="61">
        <f>SUMIFS(super1[Qtde],super1[Item],tab_higiene[[#This Row],[Item]],super1[Bairro],mercado7)+SUMIFS(supercb[Qtde],supercb[Item],tab_higiene[[#This Row],[Item]],supercb[Bairro],mercado7)</f>
        <v>0</v>
      </c>
      <c r="AR303" s="61">
        <f>SUMIFS(super1[Qtde],super1[Item],tab_higiene[[#This Row],[Item]],super1[Bairro],mercado8)+SUMIFS(supercb[Qtde],supercb[Item],tab_higiene[[#This Row],[Item]],supercb[Bairro],mercado8)</f>
        <v>0</v>
      </c>
      <c r="AS303" s="61">
        <f>SUMIFS(super1[Qtde],super1[Item],tab_higiene[[#This Row],[Item]],super1[Bairro],mercado9)+SUMIFS(supercb[Qtde],supercb[Item],tab_higiene[[#This Row],[Item]],supercb[Bairro],mercado9)</f>
        <v>0</v>
      </c>
      <c r="AT303" s="61">
        <f>SUMIFS(super1[Qtde],super1[Item],tab_higiene[[#This Row],[Item]],super1[Bairro],mercado10)+SUMIFS(supercb[Qtde],supercb[Item],tab_higiene[[#This Row],[Item]],supercb[Bairro],mercado10)</f>
        <v>0</v>
      </c>
      <c r="AU303" s="61">
        <f>SUMIFS(super1[Qtde],super1[Item],tab_higiene[[#This Row],[Item]],super1[Bairro],mercado11)+SUMIFS(supercb[Qtde],supercb[Item],tab_higiene[[#This Row],[Item]],supercb[Bairro],mercado11)</f>
        <v>0</v>
      </c>
      <c r="AV303" s="61">
        <f>SUMIFS(super1[Qtde],super1[Item],tab_higiene[[#This Row],[Item]],super1[Bairro],mercado12)+SUMIFS(supercb[Qtde],supercb[Item],tab_higiene[[#This Row],[Item]],supercb[Bairro],mercado12)</f>
        <v>0</v>
      </c>
      <c r="AW303" s="61">
        <f>SUMIFS(super1[Qtde],super1[Item],tab_higiene[[#This Row],[Item]],super1[Bairro],mercado13)+SUMIFS(supercb[Qtde],supercb[Item],tab_higiene[[#This Row],[Item]],supercb[Bairro],mercado13)</f>
        <v>0</v>
      </c>
      <c r="AX303" s="61">
        <f>SUMIFS(super1[Qtde],super1[Item],tab_higiene[[#This Row],[Item]],super1[Bairro],mercado14)+SUMIFS(supercb[Qtde],supercb[Item],tab_higiene[[#This Row],[Item]],supercb[Bairro],mercado14)</f>
        <v>0</v>
      </c>
      <c r="AY303" s="61">
        <f>SUMIFS(super1[Qtde],super1[Item],tab_higiene[[#This Row],[Item]],super1[Bairro],mercado15)+SUMIFS(supercb[Qtde],supercb[Item],tab_higiene[[#This Row],[Item]],supercb[Bairro],mercado15)</f>
        <v>0</v>
      </c>
      <c r="AZ303" s="61">
        <f>SUMIFS(super1[Qtde],super1[Item],tab_higiene[[#This Row],[Item]],super1[Bairro],mercado16)+SUMIFS(supercb[Qtde],supercb[Item],tab_higiene[[#This Row],[Item]],supercb[Bairro],mercado16)</f>
        <v>0</v>
      </c>
      <c r="BA303" s="61">
        <f>SUMIFS(super1[Qtde],super1[Item],tab_higiene[[#This Row],[Item]],super1[Bairro],mercado17)+SUMIFS(supercb[Qtde],supercb[Item],tab_higiene[[#This Row],[Item]],supercb[Bairro],mercado17)</f>
        <v>0</v>
      </c>
      <c r="BB303" s="61">
        <f>SUMIFS(super1[Qtde],super1[Item],tab_higiene[[#This Row],[Item]],super1[Bairro],mercado18)+SUMIFS(supercb[Qtde],supercb[Item],tab_higiene[[#This Row],[Item]],supercb[Bairro],mercado18)</f>
        <v>0</v>
      </c>
      <c r="BC303" s="51">
        <f>SUMIFS(super1[Qtde],super1[Item],tab_higiene[[#This Row],[Item]],super1[Bairro],extras)+SUMIFS(supercb[Qtde],supercb[Item],tab_higiene[[#This Row],[Item]],supercb[Bairro],extras)</f>
        <v>0</v>
      </c>
      <c r="BD303" s="8">
        <f t="shared" si="91"/>
        <v>0</v>
      </c>
      <c r="BE303" s="8">
        <f t="shared" si="92"/>
        <v>0</v>
      </c>
      <c r="BF303" s="23">
        <f t="shared" si="93"/>
        <v>0</v>
      </c>
    </row>
    <row r="304" spans="9:58" ht="15.75" thickBot="1" x14ac:dyDescent="0.3">
      <c r="I304" s="65" t="e">
        <f>alimentos[[#This Row],[Item]]</f>
        <v>#VALUE!</v>
      </c>
      <c r="J304" s="61">
        <f>IFERROR(alimentos[[#This Row],[kg/embalagem]],0)</f>
        <v>0</v>
      </c>
      <c r="K304" s="64">
        <f>IFERROR(alimentos[[#This Row],[Preço]],0)</f>
        <v>0</v>
      </c>
      <c r="L304" s="64">
        <f>SUMIFS(super1[Qtde],super1[Item],tab_alimentos[[#This Row],[Item]],super1[Bairro],mercado1)+SUMIFS(supercb[Qtde],supercb[Item],tab_alimentos[[#This Row],[Item]],supercb[Bairro],mercado1)</f>
        <v>0</v>
      </c>
      <c r="M304" s="64">
        <f>SUMIFS(super1[Qtde],super1[Item],tab_alimentos[[#This Row],[Item]],super1[Bairro],mercado2)+SUMIFS(supercb[Qtde],supercb[Item],tab_alimentos[[#This Row],[Item]],supercb[Bairro],mercado2)</f>
        <v>0</v>
      </c>
      <c r="N304" s="61">
        <f>SUMIFS(super1[Qtde],super1[Item],tab_alimentos[[#This Row],[Item]],super1[Bairro],mercado3)+SUMIFS(supercb[Qtde],supercb[Item],tab_alimentos[[#This Row],[Item]],supercb[Bairro],mercado3)</f>
        <v>0</v>
      </c>
      <c r="O304" s="64">
        <f>SUMIFS(super1[Qtde],super1[Item],tab_alimentos[[#This Row],[Item]],super1[Bairro],mercado4)+SUMIFS(supercb[Qtde],supercb[Item],tab_alimentos[[#This Row],[Item]],supercb[Bairro],mercado4)</f>
        <v>0</v>
      </c>
      <c r="P304" s="64">
        <f>SUMIFS(super1[Qtde],super1[Item],tab_alimentos[[#This Row],[Item]],super1[Bairro],mercado5)+SUMIFS(supercb[Qtde],supercb[Item],tab_alimentos[[#This Row],[Item]],supercb[Bairro],mercado5)</f>
        <v>0</v>
      </c>
      <c r="Q304" s="64">
        <f>SUMIFS(super1[Qtde],super1[Item],tab_alimentos[[#This Row],[Item]],super1[Bairro],mercado6)+SUMIFS(supercb[Qtde],supercb[Item],tab_alimentos[[#This Row],[Item]],supercb[Bairro],mercado6)</f>
        <v>0</v>
      </c>
      <c r="R304" s="64">
        <f>SUMIFS(super1[Qtde],super1[Item],tab_alimentos[[#This Row],[Item]],super1[Bairro],mercado7)+SUMIFS(supercb[Qtde],supercb[Item],tab_alimentos[[#This Row],[Item]],supercb[Bairro],mercado7)</f>
        <v>0</v>
      </c>
      <c r="S304" s="64">
        <f>SUMIFS(super1[Qtde],super1[Item],tab_alimentos[[#This Row],[Item]],super1[Bairro],mercado8)+SUMIFS(supercb[Qtde],supercb[Item],tab_alimentos[[#This Row],[Item]],supercb[Bairro],mercado8)</f>
        <v>0</v>
      </c>
      <c r="T304" s="64">
        <f>SUMIFS(super1[Qtde],super1[Item],tab_alimentos[[#This Row],[Item]],super1[Bairro],mercado9)+SUMIFS(supercb[Qtde],supercb[Item],tab_alimentos[[#This Row],[Item]],supercb[Bairro],mercado9)</f>
        <v>0</v>
      </c>
      <c r="U304" s="64">
        <f>SUMIFS(super1[Qtde],super1[Item],tab_alimentos[[#This Row],[Item]],super1[Bairro],mercado10)+SUMIFS(supercb[Qtde],supercb[Item],tab_alimentos[[#This Row],[Item]],supercb[Bairro],mercado10)</f>
        <v>0</v>
      </c>
      <c r="V304" s="64">
        <f>SUMIFS(super1[Qtde],super1[Item],tab_alimentos[[#This Row],[Item]],super1[Bairro],mercado11)+SUMIFS(supercb[Qtde],supercb[Item],tab_alimentos[[#This Row],[Item]],supercb[Bairro],mercado11)</f>
        <v>0</v>
      </c>
      <c r="W304" s="64">
        <f>SUMIFS(super1[Qtde],super1[Item],tab_alimentos[[#This Row],[Item]],super1[Bairro],mercado12)+SUMIFS(supercb[Qtde],supercb[Item],tab_alimentos[[#This Row],[Item]],supercb[Bairro],mercado12)</f>
        <v>0</v>
      </c>
      <c r="X304" s="64">
        <f>SUMIFS(super1[Qtde],super1[Item],tab_alimentos[[#This Row],[Item]],super1[Bairro],mercado13)+SUMIFS(supercb[Qtde],supercb[Item],tab_alimentos[[#This Row],[Item]],supercb[Bairro],mercado13)</f>
        <v>0</v>
      </c>
      <c r="Y304" s="64">
        <f>SUMIFS(super1[Qtde],super1[Item],tab_alimentos[[#This Row],[Item]],super1[Bairro],mercado14)+SUMIFS(supercb[Qtde],supercb[Item],tab_alimentos[[#This Row],[Item]],supercb[Bairro],mercado14)</f>
        <v>0</v>
      </c>
      <c r="Z304" s="64">
        <f>SUMIFS(super1[Qtde],super1[Item],tab_alimentos[[#This Row],[Item]],super1[Bairro],mercado15)+SUMIFS(supercb[Qtde],supercb[Item],tab_alimentos[[#This Row],[Item]],supercb[Bairro],mercado15)</f>
        <v>0</v>
      </c>
      <c r="AA304" s="64">
        <f>SUMIFS(super1[Qtde],super1[Item],tab_alimentos[[#This Row],[Item]],super1[Bairro],mercado16)+SUMIFS(supercb[Qtde],supercb[Item],tab_alimentos[[#This Row],[Item]],supercb[Bairro],mercado16)</f>
        <v>0</v>
      </c>
      <c r="AB304" s="64">
        <f>SUMIFS(super1[Qtde],super1[Item],tab_alimentos[[#This Row],[Item]],super1[Bairro],mercado17)+SUMIFS(supercb[Qtde],supercb[Item],tab_alimentos[[#This Row],[Item]],supercb[Bairro],mercado17)</f>
        <v>0</v>
      </c>
      <c r="AC304" s="64">
        <f>SUMIFS(super1[Qtde],super1[Item],tab_alimentos[[#This Row],[Item]],super1[Bairro],mercado18)+SUMIFS(supercb[Qtde],supercb[Item],tab_alimentos[[#This Row],[Item]],supercb[Bairro],mercado18)</f>
        <v>0</v>
      </c>
      <c r="AD304" s="64">
        <f>SUMIFS(super1[Qtde],super1[Item],tab_alimentos[[#This Row],[Item]],super1[Bairro],extras)+SUMIFS(supercb[Qtde],supercb[Item],tab_alimentos[[#This Row],[Item]],supercb[Bairro],extras)</f>
        <v>0</v>
      </c>
      <c r="AE304" s="61">
        <f t="shared" si="88"/>
        <v>0</v>
      </c>
      <c r="AF304" s="61">
        <f t="shared" si="89"/>
        <v>0</v>
      </c>
      <c r="AG304" s="62">
        <f t="shared" si="90"/>
        <v>0</v>
      </c>
      <c r="AH304" s="15" t="e">
        <f>higiene[[#This Row],[Item]]</f>
        <v>#VALUE!</v>
      </c>
      <c r="AI304" s="8">
        <f>IFERROR(higiene[[#This Row],[Kg equivalente]],0)</f>
        <v>0</v>
      </c>
      <c r="AJ304" s="8">
        <f>IFERROR(higiene[[#This Row],[Preço por produto]],0)</f>
        <v>0</v>
      </c>
      <c r="AK304" s="61">
        <f>SUMIFS(super1[Qtde],super1[Item],tab_higiene[[#This Row],[Item]],super1[Bairro],mercado1)+SUMIFS(supercb[Qtde],supercb[Item],tab_higiene[[#This Row],[Item]],supercb[Bairro],mercado1)</f>
        <v>0</v>
      </c>
      <c r="AL304" s="61">
        <f>SUMIFS(super1[Qtde],super1[Item],tab_higiene[[#This Row],[Item]],super1[Bairro],mercado2)+SUMIFS(supercb[Qtde],supercb[Item],tab_higiene[[#This Row],[Item]],supercb[Bairro],mercado2)</f>
        <v>0</v>
      </c>
      <c r="AM304" s="61">
        <f>SUMIFS(super1[Qtde],super1[Item],tab_higiene[[#This Row],[Item]],super1[Bairro],mercado3)+SUMIFS(supercb[Qtde],supercb[Item],tab_higiene[[#This Row],[Item]],supercb[Bairro],mercado3)</f>
        <v>0</v>
      </c>
      <c r="AN304" s="61">
        <f>SUMIFS(super1[Qtde],super1[Item],tab_higiene[[#This Row],[Item]],super1[Bairro],mercado4)+SUMIFS(supercb[Qtde],supercb[Item],tab_higiene[[#This Row],[Item]],supercb[Bairro],mercado4)</f>
        <v>0</v>
      </c>
      <c r="AO304" s="61">
        <f>SUMIFS(super1[Qtde],super1[Item],tab_higiene[[#This Row],[Item]],super1[Bairro],mercado5)+SUMIFS(supercb[Qtde],supercb[Item],tab_higiene[[#This Row],[Item]],supercb[Bairro],mercado5)</f>
        <v>0</v>
      </c>
      <c r="AP304" s="61">
        <f>SUMIFS(super1[Qtde],super1[Item],tab_higiene[[#This Row],[Item]],super1[Bairro],mercado6)+SUMIFS(supercb[Qtde],supercb[Item],tab_higiene[[#This Row],[Item]],supercb[Bairro],mercado6)</f>
        <v>0</v>
      </c>
      <c r="AQ304" s="61">
        <f>SUMIFS(super1[Qtde],super1[Item],tab_higiene[[#This Row],[Item]],super1[Bairro],mercado7)+SUMIFS(supercb[Qtde],supercb[Item],tab_higiene[[#This Row],[Item]],supercb[Bairro],mercado7)</f>
        <v>0</v>
      </c>
      <c r="AR304" s="61">
        <f>SUMIFS(super1[Qtde],super1[Item],tab_higiene[[#This Row],[Item]],super1[Bairro],mercado8)+SUMIFS(supercb[Qtde],supercb[Item],tab_higiene[[#This Row],[Item]],supercb[Bairro],mercado8)</f>
        <v>0</v>
      </c>
      <c r="AS304" s="61">
        <f>SUMIFS(super1[Qtde],super1[Item],tab_higiene[[#This Row],[Item]],super1[Bairro],mercado9)+SUMIFS(supercb[Qtde],supercb[Item],tab_higiene[[#This Row],[Item]],supercb[Bairro],mercado9)</f>
        <v>0</v>
      </c>
      <c r="AT304" s="61">
        <f>SUMIFS(super1[Qtde],super1[Item],tab_higiene[[#This Row],[Item]],super1[Bairro],mercado10)+SUMIFS(supercb[Qtde],supercb[Item],tab_higiene[[#This Row],[Item]],supercb[Bairro],mercado10)</f>
        <v>0</v>
      </c>
      <c r="AU304" s="61">
        <f>SUMIFS(super1[Qtde],super1[Item],tab_higiene[[#This Row],[Item]],super1[Bairro],mercado11)+SUMIFS(supercb[Qtde],supercb[Item],tab_higiene[[#This Row],[Item]],supercb[Bairro],mercado11)</f>
        <v>0</v>
      </c>
      <c r="AV304" s="61">
        <f>SUMIFS(super1[Qtde],super1[Item],tab_higiene[[#This Row],[Item]],super1[Bairro],mercado12)+SUMIFS(supercb[Qtde],supercb[Item],tab_higiene[[#This Row],[Item]],supercb[Bairro],mercado12)</f>
        <v>0</v>
      </c>
      <c r="AW304" s="61">
        <f>SUMIFS(super1[Qtde],super1[Item],tab_higiene[[#This Row],[Item]],super1[Bairro],mercado13)+SUMIFS(supercb[Qtde],supercb[Item],tab_higiene[[#This Row],[Item]],supercb[Bairro],mercado13)</f>
        <v>0</v>
      </c>
      <c r="AX304" s="61">
        <f>SUMIFS(super1[Qtde],super1[Item],tab_higiene[[#This Row],[Item]],super1[Bairro],mercado14)+SUMIFS(supercb[Qtde],supercb[Item],tab_higiene[[#This Row],[Item]],supercb[Bairro],mercado14)</f>
        <v>0</v>
      </c>
      <c r="AY304" s="61">
        <f>SUMIFS(super1[Qtde],super1[Item],tab_higiene[[#This Row],[Item]],super1[Bairro],mercado15)+SUMIFS(supercb[Qtde],supercb[Item],tab_higiene[[#This Row],[Item]],supercb[Bairro],mercado15)</f>
        <v>0</v>
      </c>
      <c r="AZ304" s="61">
        <f>SUMIFS(super1[Qtde],super1[Item],tab_higiene[[#This Row],[Item]],super1[Bairro],mercado16)+SUMIFS(supercb[Qtde],supercb[Item],tab_higiene[[#This Row],[Item]],supercb[Bairro],mercado16)</f>
        <v>0</v>
      </c>
      <c r="BA304" s="61">
        <f>SUMIFS(super1[Qtde],super1[Item],tab_higiene[[#This Row],[Item]],super1[Bairro],mercado17)+SUMIFS(supercb[Qtde],supercb[Item],tab_higiene[[#This Row],[Item]],supercb[Bairro],mercado17)</f>
        <v>0</v>
      </c>
      <c r="BB304" s="61">
        <f>SUMIFS(super1[Qtde],super1[Item],tab_higiene[[#This Row],[Item]],super1[Bairro],mercado18)+SUMIFS(supercb[Qtde],supercb[Item],tab_higiene[[#This Row],[Item]],supercb[Bairro],mercado18)</f>
        <v>0</v>
      </c>
      <c r="BC304" s="51">
        <f>SUMIFS(super1[Qtde],super1[Item],tab_higiene[[#This Row],[Item]],super1[Bairro],extras)+SUMIFS(supercb[Qtde],supercb[Item],tab_higiene[[#This Row],[Item]],supercb[Bairro],extras)</f>
        <v>0</v>
      </c>
      <c r="BD304" s="8">
        <f t="shared" si="91"/>
        <v>0</v>
      </c>
      <c r="BE304" s="8">
        <f t="shared" si="92"/>
        <v>0</v>
      </c>
      <c r="BF304" s="23">
        <f t="shared" si="93"/>
        <v>0</v>
      </c>
    </row>
    <row r="305" spans="9:58" ht="15.75" thickBot="1" x14ac:dyDescent="0.3">
      <c r="I305" s="65" t="e">
        <f>alimentos[[#This Row],[Item]]</f>
        <v>#VALUE!</v>
      </c>
      <c r="J305" s="61">
        <f>IFERROR(alimentos[[#This Row],[kg/embalagem]],0)</f>
        <v>0</v>
      </c>
      <c r="K305" s="64">
        <f>IFERROR(alimentos[[#This Row],[Preço]],0)</f>
        <v>0</v>
      </c>
      <c r="L305" s="64">
        <f>SUMIFS(super1[Qtde],super1[Item],tab_alimentos[[#This Row],[Item]],super1[Bairro],mercado1)+SUMIFS(supercb[Qtde],supercb[Item],tab_alimentos[[#This Row],[Item]],supercb[Bairro],mercado1)</f>
        <v>0</v>
      </c>
      <c r="M305" s="64">
        <f>SUMIFS(super1[Qtde],super1[Item],tab_alimentos[[#This Row],[Item]],super1[Bairro],mercado2)+SUMIFS(supercb[Qtde],supercb[Item],tab_alimentos[[#This Row],[Item]],supercb[Bairro],mercado2)</f>
        <v>0</v>
      </c>
      <c r="N305" s="61">
        <f>SUMIFS(super1[Qtde],super1[Item],tab_alimentos[[#This Row],[Item]],super1[Bairro],mercado3)+SUMIFS(supercb[Qtde],supercb[Item],tab_alimentos[[#This Row],[Item]],supercb[Bairro],mercado3)</f>
        <v>0</v>
      </c>
      <c r="O305" s="64">
        <f>SUMIFS(super1[Qtde],super1[Item],tab_alimentos[[#This Row],[Item]],super1[Bairro],mercado4)+SUMIFS(supercb[Qtde],supercb[Item],tab_alimentos[[#This Row],[Item]],supercb[Bairro],mercado4)</f>
        <v>0</v>
      </c>
      <c r="P305" s="64">
        <f>SUMIFS(super1[Qtde],super1[Item],tab_alimentos[[#This Row],[Item]],super1[Bairro],mercado5)+SUMIFS(supercb[Qtde],supercb[Item],tab_alimentos[[#This Row],[Item]],supercb[Bairro],mercado5)</f>
        <v>0</v>
      </c>
      <c r="Q305" s="64">
        <f>SUMIFS(super1[Qtde],super1[Item],tab_alimentos[[#This Row],[Item]],super1[Bairro],mercado6)+SUMIFS(supercb[Qtde],supercb[Item],tab_alimentos[[#This Row],[Item]],supercb[Bairro],mercado6)</f>
        <v>0</v>
      </c>
      <c r="R305" s="64">
        <f>SUMIFS(super1[Qtde],super1[Item],tab_alimentos[[#This Row],[Item]],super1[Bairro],mercado7)+SUMIFS(supercb[Qtde],supercb[Item],tab_alimentos[[#This Row],[Item]],supercb[Bairro],mercado7)</f>
        <v>0</v>
      </c>
      <c r="S305" s="64">
        <f>SUMIFS(super1[Qtde],super1[Item],tab_alimentos[[#This Row],[Item]],super1[Bairro],mercado8)+SUMIFS(supercb[Qtde],supercb[Item],tab_alimentos[[#This Row],[Item]],supercb[Bairro],mercado8)</f>
        <v>0</v>
      </c>
      <c r="T305" s="64">
        <f>SUMIFS(super1[Qtde],super1[Item],tab_alimentos[[#This Row],[Item]],super1[Bairro],mercado9)+SUMIFS(supercb[Qtde],supercb[Item],tab_alimentos[[#This Row],[Item]],supercb[Bairro],mercado9)</f>
        <v>0</v>
      </c>
      <c r="U305" s="64">
        <f>SUMIFS(super1[Qtde],super1[Item],tab_alimentos[[#This Row],[Item]],super1[Bairro],mercado10)+SUMIFS(supercb[Qtde],supercb[Item],tab_alimentos[[#This Row],[Item]],supercb[Bairro],mercado10)</f>
        <v>0</v>
      </c>
      <c r="V305" s="64">
        <f>SUMIFS(super1[Qtde],super1[Item],tab_alimentos[[#This Row],[Item]],super1[Bairro],mercado11)+SUMIFS(supercb[Qtde],supercb[Item],tab_alimentos[[#This Row],[Item]],supercb[Bairro],mercado11)</f>
        <v>0</v>
      </c>
      <c r="W305" s="64">
        <f>SUMIFS(super1[Qtde],super1[Item],tab_alimentos[[#This Row],[Item]],super1[Bairro],mercado12)+SUMIFS(supercb[Qtde],supercb[Item],tab_alimentos[[#This Row],[Item]],supercb[Bairro],mercado12)</f>
        <v>0</v>
      </c>
      <c r="X305" s="64">
        <f>SUMIFS(super1[Qtde],super1[Item],tab_alimentos[[#This Row],[Item]],super1[Bairro],mercado13)+SUMIFS(supercb[Qtde],supercb[Item],tab_alimentos[[#This Row],[Item]],supercb[Bairro],mercado13)</f>
        <v>0</v>
      </c>
      <c r="Y305" s="64">
        <f>SUMIFS(super1[Qtde],super1[Item],tab_alimentos[[#This Row],[Item]],super1[Bairro],mercado14)+SUMIFS(supercb[Qtde],supercb[Item],tab_alimentos[[#This Row],[Item]],supercb[Bairro],mercado14)</f>
        <v>0</v>
      </c>
      <c r="Z305" s="64">
        <f>SUMIFS(super1[Qtde],super1[Item],tab_alimentos[[#This Row],[Item]],super1[Bairro],mercado15)+SUMIFS(supercb[Qtde],supercb[Item],tab_alimentos[[#This Row],[Item]],supercb[Bairro],mercado15)</f>
        <v>0</v>
      </c>
      <c r="AA305" s="64">
        <f>SUMIFS(super1[Qtde],super1[Item],tab_alimentos[[#This Row],[Item]],super1[Bairro],mercado16)+SUMIFS(supercb[Qtde],supercb[Item],tab_alimentos[[#This Row],[Item]],supercb[Bairro],mercado16)</f>
        <v>0</v>
      </c>
      <c r="AB305" s="64">
        <f>SUMIFS(super1[Qtde],super1[Item],tab_alimentos[[#This Row],[Item]],super1[Bairro],mercado17)+SUMIFS(supercb[Qtde],supercb[Item],tab_alimentos[[#This Row],[Item]],supercb[Bairro],mercado17)</f>
        <v>0</v>
      </c>
      <c r="AC305" s="64">
        <f>SUMIFS(super1[Qtde],super1[Item],tab_alimentos[[#This Row],[Item]],super1[Bairro],mercado18)+SUMIFS(supercb[Qtde],supercb[Item],tab_alimentos[[#This Row],[Item]],supercb[Bairro],mercado18)</f>
        <v>0</v>
      </c>
      <c r="AD305" s="64">
        <f>SUMIFS(super1[Qtde],super1[Item],tab_alimentos[[#This Row],[Item]],super1[Bairro],extras)+SUMIFS(supercb[Qtde],supercb[Item],tab_alimentos[[#This Row],[Item]],supercb[Bairro],extras)</f>
        <v>0</v>
      </c>
      <c r="AE305" s="61">
        <f t="shared" si="88"/>
        <v>0</v>
      </c>
      <c r="AF305" s="61">
        <f t="shared" si="89"/>
        <v>0</v>
      </c>
      <c r="AG305" s="62">
        <f t="shared" si="90"/>
        <v>0</v>
      </c>
      <c r="AH305" s="15" t="e">
        <f>higiene[[#This Row],[Item]]</f>
        <v>#VALUE!</v>
      </c>
      <c r="AI305" s="8">
        <f>IFERROR(higiene[[#This Row],[Kg equivalente]],0)</f>
        <v>0</v>
      </c>
      <c r="AJ305" s="8">
        <f>IFERROR(higiene[[#This Row],[Preço por produto]],0)</f>
        <v>0</v>
      </c>
      <c r="AK305" s="61">
        <f>SUMIFS(super1[Qtde],super1[Item],tab_higiene[[#This Row],[Item]],super1[Bairro],mercado1)+SUMIFS(supercb[Qtde],supercb[Item],tab_higiene[[#This Row],[Item]],supercb[Bairro],mercado1)</f>
        <v>0</v>
      </c>
      <c r="AL305" s="61">
        <f>SUMIFS(super1[Qtde],super1[Item],tab_higiene[[#This Row],[Item]],super1[Bairro],mercado2)+SUMIFS(supercb[Qtde],supercb[Item],tab_higiene[[#This Row],[Item]],supercb[Bairro],mercado2)</f>
        <v>0</v>
      </c>
      <c r="AM305" s="61">
        <f>SUMIFS(super1[Qtde],super1[Item],tab_higiene[[#This Row],[Item]],super1[Bairro],mercado3)+SUMIFS(supercb[Qtde],supercb[Item],tab_higiene[[#This Row],[Item]],supercb[Bairro],mercado3)</f>
        <v>0</v>
      </c>
      <c r="AN305" s="61">
        <f>SUMIFS(super1[Qtde],super1[Item],tab_higiene[[#This Row],[Item]],super1[Bairro],mercado4)+SUMIFS(supercb[Qtde],supercb[Item],tab_higiene[[#This Row],[Item]],supercb[Bairro],mercado4)</f>
        <v>0</v>
      </c>
      <c r="AO305" s="61">
        <f>SUMIFS(super1[Qtde],super1[Item],tab_higiene[[#This Row],[Item]],super1[Bairro],mercado5)+SUMIFS(supercb[Qtde],supercb[Item],tab_higiene[[#This Row],[Item]],supercb[Bairro],mercado5)</f>
        <v>0</v>
      </c>
      <c r="AP305" s="61">
        <f>SUMIFS(super1[Qtde],super1[Item],tab_higiene[[#This Row],[Item]],super1[Bairro],mercado6)+SUMIFS(supercb[Qtde],supercb[Item],tab_higiene[[#This Row],[Item]],supercb[Bairro],mercado6)</f>
        <v>0</v>
      </c>
      <c r="AQ305" s="61">
        <f>SUMIFS(super1[Qtde],super1[Item],tab_higiene[[#This Row],[Item]],super1[Bairro],mercado7)+SUMIFS(supercb[Qtde],supercb[Item],tab_higiene[[#This Row],[Item]],supercb[Bairro],mercado7)</f>
        <v>0</v>
      </c>
      <c r="AR305" s="61">
        <f>SUMIFS(super1[Qtde],super1[Item],tab_higiene[[#This Row],[Item]],super1[Bairro],mercado8)+SUMIFS(supercb[Qtde],supercb[Item],tab_higiene[[#This Row],[Item]],supercb[Bairro],mercado8)</f>
        <v>0</v>
      </c>
      <c r="AS305" s="61">
        <f>SUMIFS(super1[Qtde],super1[Item],tab_higiene[[#This Row],[Item]],super1[Bairro],mercado9)+SUMIFS(supercb[Qtde],supercb[Item],tab_higiene[[#This Row],[Item]],supercb[Bairro],mercado9)</f>
        <v>0</v>
      </c>
      <c r="AT305" s="61">
        <f>SUMIFS(super1[Qtde],super1[Item],tab_higiene[[#This Row],[Item]],super1[Bairro],mercado10)+SUMIFS(supercb[Qtde],supercb[Item],tab_higiene[[#This Row],[Item]],supercb[Bairro],mercado10)</f>
        <v>0</v>
      </c>
      <c r="AU305" s="61">
        <f>SUMIFS(super1[Qtde],super1[Item],tab_higiene[[#This Row],[Item]],super1[Bairro],mercado11)+SUMIFS(supercb[Qtde],supercb[Item],tab_higiene[[#This Row],[Item]],supercb[Bairro],mercado11)</f>
        <v>0</v>
      </c>
      <c r="AV305" s="61">
        <f>SUMIFS(super1[Qtde],super1[Item],tab_higiene[[#This Row],[Item]],super1[Bairro],mercado12)+SUMIFS(supercb[Qtde],supercb[Item],tab_higiene[[#This Row],[Item]],supercb[Bairro],mercado12)</f>
        <v>0</v>
      </c>
      <c r="AW305" s="61">
        <f>SUMIFS(super1[Qtde],super1[Item],tab_higiene[[#This Row],[Item]],super1[Bairro],mercado13)+SUMIFS(supercb[Qtde],supercb[Item],tab_higiene[[#This Row],[Item]],supercb[Bairro],mercado13)</f>
        <v>0</v>
      </c>
      <c r="AX305" s="61">
        <f>SUMIFS(super1[Qtde],super1[Item],tab_higiene[[#This Row],[Item]],super1[Bairro],mercado14)+SUMIFS(supercb[Qtde],supercb[Item],tab_higiene[[#This Row],[Item]],supercb[Bairro],mercado14)</f>
        <v>0</v>
      </c>
      <c r="AY305" s="61">
        <f>SUMIFS(super1[Qtde],super1[Item],tab_higiene[[#This Row],[Item]],super1[Bairro],mercado15)+SUMIFS(supercb[Qtde],supercb[Item],tab_higiene[[#This Row],[Item]],supercb[Bairro],mercado15)</f>
        <v>0</v>
      </c>
      <c r="AZ305" s="61">
        <f>SUMIFS(super1[Qtde],super1[Item],tab_higiene[[#This Row],[Item]],super1[Bairro],mercado16)+SUMIFS(supercb[Qtde],supercb[Item],tab_higiene[[#This Row],[Item]],supercb[Bairro],mercado16)</f>
        <v>0</v>
      </c>
      <c r="BA305" s="61">
        <f>SUMIFS(super1[Qtde],super1[Item],tab_higiene[[#This Row],[Item]],super1[Bairro],mercado17)+SUMIFS(supercb[Qtde],supercb[Item],tab_higiene[[#This Row],[Item]],supercb[Bairro],mercado17)</f>
        <v>0</v>
      </c>
      <c r="BB305" s="61">
        <f>SUMIFS(super1[Qtde],super1[Item],tab_higiene[[#This Row],[Item]],super1[Bairro],mercado18)+SUMIFS(supercb[Qtde],supercb[Item],tab_higiene[[#This Row],[Item]],supercb[Bairro],mercado18)</f>
        <v>0</v>
      </c>
      <c r="BC305" s="51">
        <f>SUMIFS(super1[Qtde],super1[Item],tab_higiene[[#This Row],[Item]],super1[Bairro],extras)+SUMIFS(supercb[Qtde],supercb[Item],tab_higiene[[#This Row],[Item]],supercb[Bairro],extras)</f>
        <v>0</v>
      </c>
      <c r="BD305" s="8">
        <f t="shared" si="91"/>
        <v>0</v>
      </c>
      <c r="BE305" s="8">
        <f t="shared" si="92"/>
        <v>0</v>
      </c>
      <c r="BF305" s="23">
        <f t="shared" si="93"/>
        <v>0</v>
      </c>
    </row>
    <row r="306" spans="9:58" ht="15.75" thickBot="1" x14ac:dyDescent="0.3">
      <c r="I306" s="65" t="e">
        <f>alimentos[[#This Row],[Item]]</f>
        <v>#VALUE!</v>
      </c>
      <c r="J306" s="61">
        <f>IFERROR(alimentos[[#This Row],[kg/embalagem]],0)</f>
        <v>0</v>
      </c>
      <c r="K306" s="64">
        <f>IFERROR(alimentos[[#This Row],[Preço]],0)</f>
        <v>0</v>
      </c>
      <c r="L306" s="64">
        <f>SUMIFS(super1[Qtde],super1[Item],tab_alimentos[[#This Row],[Item]],super1[Bairro],mercado1)+SUMIFS(supercb[Qtde],supercb[Item],tab_alimentos[[#This Row],[Item]],supercb[Bairro],mercado1)</f>
        <v>0</v>
      </c>
      <c r="M306" s="64">
        <f>SUMIFS(super1[Qtde],super1[Item],tab_alimentos[[#This Row],[Item]],super1[Bairro],mercado2)+SUMIFS(supercb[Qtde],supercb[Item],tab_alimentos[[#This Row],[Item]],supercb[Bairro],mercado2)</f>
        <v>0</v>
      </c>
      <c r="N306" s="61">
        <f>SUMIFS(super1[Qtde],super1[Item],tab_alimentos[[#This Row],[Item]],super1[Bairro],mercado3)+SUMIFS(supercb[Qtde],supercb[Item],tab_alimentos[[#This Row],[Item]],supercb[Bairro],mercado3)</f>
        <v>0</v>
      </c>
      <c r="O306" s="64">
        <f>SUMIFS(super1[Qtde],super1[Item],tab_alimentos[[#This Row],[Item]],super1[Bairro],mercado4)+SUMIFS(supercb[Qtde],supercb[Item],tab_alimentos[[#This Row],[Item]],supercb[Bairro],mercado4)</f>
        <v>0</v>
      </c>
      <c r="P306" s="64">
        <f>SUMIFS(super1[Qtde],super1[Item],tab_alimentos[[#This Row],[Item]],super1[Bairro],mercado5)+SUMIFS(supercb[Qtde],supercb[Item],tab_alimentos[[#This Row],[Item]],supercb[Bairro],mercado5)</f>
        <v>0</v>
      </c>
      <c r="Q306" s="64">
        <f>SUMIFS(super1[Qtde],super1[Item],tab_alimentos[[#This Row],[Item]],super1[Bairro],mercado6)+SUMIFS(supercb[Qtde],supercb[Item],tab_alimentos[[#This Row],[Item]],supercb[Bairro],mercado6)</f>
        <v>0</v>
      </c>
      <c r="R306" s="64">
        <f>SUMIFS(super1[Qtde],super1[Item],tab_alimentos[[#This Row],[Item]],super1[Bairro],mercado7)+SUMIFS(supercb[Qtde],supercb[Item],tab_alimentos[[#This Row],[Item]],supercb[Bairro],mercado7)</f>
        <v>0</v>
      </c>
      <c r="S306" s="64">
        <f>SUMIFS(super1[Qtde],super1[Item],tab_alimentos[[#This Row],[Item]],super1[Bairro],mercado8)+SUMIFS(supercb[Qtde],supercb[Item],tab_alimentos[[#This Row],[Item]],supercb[Bairro],mercado8)</f>
        <v>0</v>
      </c>
      <c r="T306" s="64">
        <f>SUMIFS(super1[Qtde],super1[Item],tab_alimentos[[#This Row],[Item]],super1[Bairro],mercado9)+SUMIFS(supercb[Qtde],supercb[Item],tab_alimentos[[#This Row],[Item]],supercb[Bairro],mercado9)</f>
        <v>0</v>
      </c>
      <c r="U306" s="64">
        <f>SUMIFS(super1[Qtde],super1[Item],tab_alimentos[[#This Row],[Item]],super1[Bairro],mercado10)+SUMIFS(supercb[Qtde],supercb[Item],tab_alimentos[[#This Row],[Item]],supercb[Bairro],mercado10)</f>
        <v>0</v>
      </c>
      <c r="V306" s="64">
        <f>SUMIFS(super1[Qtde],super1[Item],tab_alimentos[[#This Row],[Item]],super1[Bairro],mercado11)+SUMIFS(supercb[Qtde],supercb[Item],tab_alimentos[[#This Row],[Item]],supercb[Bairro],mercado11)</f>
        <v>0</v>
      </c>
      <c r="W306" s="64">
        <f>SUMIFS(super1[Qtde],super1[Item],tab_alimentos[[#This Row],[Item]],super1[Bairro],mercado12)+SUMIFS(supercb[Qtde],supercb[Item],tab_alimentos[[#This Row],[Item]],supercb[Bairro],mercado12)</f>
        <v>0</v>
      </c>
      <c r="X306" s="64">
        <f>SUMIFS(super1[Qtde],super1[Item],tab_alimentos[[#This Row],[Item]],super1[Bairro],mercado13)+SUMIFS(supercb[Qtde],supercb[Item],tab_alimentos[[#This Row],[Item]],supercb[Bairro],mercado13)</f>
        <v>0</v>
      </c>
      <c r="Y306" s="64">
        <f>SUMIFS(super1[Qtde],super1[Item],tab_alimentos[[#This Row],[Item]],super1[Bairro],mercado14)+SUMIFS(supercb[Qtde],supercb[Item],tab_alimentos[[#This Row],[Item]],supercb[Bairro],mercado14)</f>
        <v>0</v>
      </c>
      <c r="Z306" s="64">
        <f>SUMIFS(super1[Qtde],super1[Item],tab_alimentos[[#This Row],[Item]],super1[Bairro],mercado15)+SUMIFS(supercb[Qtde],supercb[Item],tab_alimentos[[#This Row],[Item]],supercb[Bairro],mercado15)</f>
        <v>0</v>
      </c>
      <c r="AA306" s="64">
        <f>SUMIFS(super1[Qtde],super1[Item],tab_alimentos[[#This Row],[Item]],super1[Bairro],mercado16)+SUMIFS(supercb[Qtde],supercb[Item],tab_alimentos[[#This Row],[Item]],supercb[Bairro],mercado16)</f>
        <v>0</v>
      </c>
      <c r="AB306" s="64">
        <f>SUMIFS(super1[Qtde],super1[Item],tab_alimentos[[#This Row],[Item]],super1[Bairro],mercado17)+SUMIFS(supercb[Qtde],supercb[Item],tab_alimentos[[#This Row],[Item]],supercb[Bairro],mercado17)</f>
        <v>0</v>
      </c>
      <c r="AC306" s="64">
        <f>SUMIFS(super1[Qtde],super1[Item],tab_alimentos[[#This Row],[Item]],super1[Bairro],mercado18)+SUMIFS(supercb[Qtde],supercb[Item],tab_alimentos[[#This Row],[Item]],supercb[Bairro],mercado18)</f>
        <v>0</v>
      </c>
      <c r="AD306" s="64">
        <f>SUMIFS(super1[Qtde],super1[Item],tab_alimentos[[#This Row],[Item]],super1[Bairro],extras)+SUMIFS(supercb[Qtde],supercb[Item],tab_alimentos[[#This Row],[Item]],supercb[Bairro],extras)</f>
        <v>0</v>
      </c>
      <c r="AE306" s="61">
        <f t="shared" si="88"/>
        <v>0</v>
      </c>
      <c r="AF306" s="61">
        <f t="shared" si="89"/>
        <v>0</v>
      </c>
      <c r="AG306" s="62">
        <f t="shared" si="90"/>
        <v>0</v>
      </c>
      <c r="AH306" s="15" t="e">
        <f>higiene[[#This Row],[Item]]</f>
        <v>#VALUE!</v>
      </c>
      <c r="AI306" s="8">
        <f>IFERROR(higiene[[#This Row],[Kg equivalente]],0)</f>
        <v>0</v>
      </c>
      <c r="AJ306" s="8">
        <f>IFERROR(higiene[[#This Row],[Preço por produto]],0)</f>
        <v>0</v>
      </c>
      <c r="AK306" s="61">
        <f>SUMIFS(super1[Qtde],super1[Item],tab_higiene[[#This Row],[Item]],super1[Bairro],mercado1)+SUMIFS(supercb[Qtde],supercb[Item],tab_higiene[[#This Row],[Item]],supercb[Bairro],mercado1)</f>
        <v>0</v>
      </c>
      <c r="AL306" s="61">
        <f>SUMIFS(super1[Qtde],super1[Item],tab_higiene[[#This Row],[Item]],super1[Bairro],mercado2)+SUMIFS(supercb[Qtde],supercb[Item],tab_higiene[[#This Row],[Item]],supercb[Bairro],mercado2)</f>
        <v>0</v>
      </c>
      <c r="AM306" s="61">
        <f>SUMIFS(super1[Qtde],super1[Item],tab_higiene[[#This Row],[Item]],super1[Bairro],mercado3)+SUMIFS(supercb[Qtde],supercb[Item],tab_higiene[[#This Row],[Item]],supercb[Bairro],mercado3)</f>
        <v>0</v>
      </c>
      <c r="AN306" s="61">
        <f>SUMIFS(super1[Qtde],super1[Item],tab_higiene[[#This Row],[Item]],super1[Bairro],mercado4)+SUMIFS(supercb[Qtde],supercb[Item],tab_higiene[[#This Row],[Item]],supercb[Bairro],mercado4)</f>
        <v>0</v>
      </c>
      <c r="AO306" s="61">
        <f>SUMIFS(super1[Qtde],super1[Item],tab_higiene[[#This Row],[Item]],super1[Bairro],mercado5)+SUMIFS(supercb[Qtde],supercb[Item],tab_higiene[[#This Row],[Item]],supercb[Bairro],mercado5)</f>
        <v>0</v>
      </c>
      <c r="AP306" s="61">
        <f>SUMIFS(super1[Qtde],super1[Item],tab_higiene[[#This Row],[Item]],super1[Bairro],mercado6)+SUMIFS(supercb[Qtde],supercb[Item],tab_higiene[[#This Row],[Item]],supercb[Bairro],mercado6)</f>
        <v>0</v>
      </c>
      <c r="AQ306" s="61">
        <f>SUMIFS(super1[Qtde],super1[Item],tab_higiene[[#This Row],[Item]],super1[Bairro],mercado7)+SUMIFS(supercb[Qtde],supercb[Item],tab_higiene[[#This Row],[Item]],supercb[Bairro],mercado7)</f>
        <v>0</v>
      </c>
      <c r="AR306" s="61">
        <f>SUMIFS(super1[Qtde],super1[Item],tab_higiene[[#This Row],[Item]],super1[Bairro],mercado8)+SUMIFS(supercb[Qtde],supercb[Item],tab_higiene[[#This Row],[Item]],supercb[Bairro],mercado8)</f>
        <v>0</v>
      </c>
      <c r="AS306" s="61">
        <f>SUMIFS(super1[Qtde],super1[Item],tab_higiene[[#This Row],[Item]],super1[Bairro],mercado9)+SUMIFS(supercb[Qtde],supercb[Item],tab_higiene[[#This Row],[Item]],supercb[Bairro],mercado9)</f>
        <v>0</v>
      </c>
      <c r="AT306" s="61">
        <f>SUMIFS(super1[Qtde],super1[Item],tab_higiene[[#This Row],[Item]],super1[Bairro],mercado10)+SUMIFS(supercb[Qtde],supercb[Item],tab_higiene[[#This Row],[Item]],supercb[Bairro],mercado10)</f>
        <v>0</v>
      </c>
      <c r="AU306" s="61">
        <f>SUMIFS(super1[Qtde],super1[Item],tab_higiene[[#This Row],[Item]],super1[Bairro],mercado11)+SUMIFS(supercb[Qtde],supercb[Item],tab_higiene[[#This Row],[Item]],supercb[Bairro],mercado11)</f>
        <v>0</v>
      </c>
      <c r="AV306" s="61">
        <f>SUMIFS(super1[Qtde],super1[Item],tab_higiene[[#This Row],[Item]],super1[Bairro],mercado12)+SUMIFS(supercb[Qtde],supercb[Item],tab_higiene[[#This Row],[Item]],supercb[Bairro],mercado12)</f>
        <v>0</v>
      </c>
      <c r="AW306" s="61">
        <f>SUMIFS(super1[Qtde],super1[Item],tab_higiene[[#This Row],[Item]],super1[Bairro],mercado13)+SUMIFS(supercb[Qtde],supercb[Item],tab_higiene[[#This Row],[Item]],supercb[Bairro],mercado13)</f>
        <v>0</v>
      </c>
      <c r="AX306" s="61">
        <f>SUMIFS(super1[Qtde],super1[Item],tab_higiene[[#This Row],[Item]],super1[Bairro],mercado14)+SUMIFS(supercb[Qtde],supercb[Item],tab_higiene[[#This Row],[Item]],supercb[Bairro],mercado14)</f>
        <v>0</v>
      </c>
      <c r="AY306" s="61">
        <f>SUMIFS(super1[Qtde],super1[Item],tab_higiene[[#This Row],[Item]],super1[Bairro],mercado15)+SUMIFS(supercb[Qtde],supercb[Item],tab_higiene[[#This Row],[Item]],supercb[Bairro],mercado15)</f>
        <v>0</v>
      </c>
      <c r="AZ306" s="61">
        <f>SUMIFS(super1[Qtde],super1[Item],tab_higiene[[#This Row],[Item]],super1[Bairro],mercado16)+SUMIFS(supercb[Qtde],supercb[Item],tab_higiene[[#This Row],[Item]],supercb[Bairro],mercado16)</f>
        <v>0</v>
      </c>
      <c r="BA306" s="61">
        <f>SUMIFS(super1[Qtde],super1[Item],tab_higiene[[#This Row],[Item]],super1[Bairro],mercado17)+SUMIFS(supercb[Qtde],supercb[Item],tab_higiene[[#This Row],[Item]],supercb[Bairro],mercado17)</f>
        <v>0</v>
      </c>
      <c r="BB306" s="61">
        <f>SUMIFS(super1[Qtde],super1[Item],tab_higiene[[#This Row],[Item]],super1[Bairro],mercado18)+SUMIFS(supercb[Qtde],supercb[Item],tab_higiene[[#This Row],[Item]],supercb[Bairro],mercado18)</f>
        <v>0</v>
      </c>
      <c r="BC306" s="51">
        <f>SUMIFS(super1[Qtde],super1[Item],tab_higiene[[#This Row],[Item]],super1[Bairro],extras)+SUMIFS(supercb[Qtde],supercb[Item],tab_higiene[[#This Row],[Item]],supercb[Bairro],extras)</f>
        <v>0</v>
      </c>
      <c r="BD306" s="8">
        <f t="shared" si="91"/>
        <v>0</v>
      </c>
      <c r="BE306" s="8">
        <f t="shared" si="92"/>
        <v>0</v>
      </c>
      <c r="BF306" s="23">
        <f t="shared" si="93"/>
        <v>0</v>
      </c>
    </row>
    <row r="307" spans="9:58" ht="15.75" thickBot="1" x14ac:dyDescent="0.3">
      <c r="I307" s="65" t="e">
        <f>alimentos[[#This Row],[Item]]</f>
        <v>#VALUE!</v>
      </c>
      <c r="J307" s="61">
        <f>IFERROR(alimentos[[#This Row],[kg/embalagem]],0)</f>
        <v>0</v>
      </c>
      <c r="K307" s="64">
        <f>IFERROR(alimentos[[#This Row],[Preço]],0)</f>
        <v>0</v>
      </c>
      <c r="L307" s="64">
        <f>SUMIFS(super1[Qtde],super1[Item],tab_alimentos[[#This Row],[Item]],super1[Bairro],mercado1)+SUMIFS(supercb[Qtde],supercb[Item],tab_alimentos[[#This Row],[Item]],supercb[Bairro],mercado1)</f>
        <v>0</v>
      </c>
      <c r="M307" s="64">
        <f>SUMIFS(super1[Qtde],super1[Item],tab_alimentos[[#This Row],[Item]],super1[Bairro],mercado2)+SUMIFS(supercb[Qtde],supercb[Item],tab_alimentos[[#This Row],[Item]],supercb[Bairro],mercado2)</f>
        <v>0</v>
      </c>
      <c r="N307" s="61">
        <f>SUMIFS(super1[Qtde],super1[Item],tab_alimentos[[#This Row],[Item]],super1[Bairro],mercado3)+SUMIFS(supercb[Qtde],supercb[Item],tab_alimentos[[#This Row],[Item]],supercb[Bairro],mercado3)</f>
        <v>0</v>
      </c>
      <c r="O307" s="64">
        <f>SUMIFS(super1[Qtde],super1[Item],tab_alimentos[[#This Row],[Item]],super1[Bairro],mercado4)+SUMIFS(supercb[Qtde],supercb[Item],tab_alimentos[[#This Row],[Item]],supercb[Bairro],mercado4)</f>
        <v>0</v>
      </c>
      <c r="P307" s="64">
        <f>SUMIFS(super1[Qtde],super1[Item],tab_alimentos[[#This Row],[Item]],super1[Bairro],mercado5)+SUMIFS(supercb[Qtde],supercb[Item],tab_alimentos[[#This Row],[Item]],supercb[Bairro],mercado5)</f>
        <v>0</v>
      </c>
      <c r="Q307" s="64">
        <f>SUMIFS(super1[Qtde],super1[Item],tab_alimentos[[#This Row],[Item]],super1[Bairro],mercado6)+SUMIFS(supercb[Qtde],supercb[Item],tab_alimentos[[#This Row],[Item]],supercb[Bairro],mercado6)</f>
        <v>0</v>
      </c>
      <c r="R307" s="64">
        <f>SUMIFS(super1[Qtde],super1[Item],tab_alimentos[[#This Row],[Item]],super1[Bairro],mercado7)+SUMIFS(supercb[Qtde],supercb[Item],tab_alimentos[[#This Row],[Item]],supercb[Bairro],mercado7)</f>
        <v>0</v>
      </c>
      <c r="S307" s="64">
        <f>SUMIFS(super1[Qtde],super1[Item],tab_alimentos[[#This Row],[Item]],super1[Bairro],mercado8)+SUMIFS(supercb[Qtde],supercb[Item],tab_alimentos[[#This Row],[Item]],supercb[Bairro],mercado8)</f>
        <v>0</v>
      </c>
      <c r="T307" s="64">
        <f>SUMIFS(super1[Qtde],super1[Item],tab_alimentos[[#This Row],[Item]],super1[Bairro],mercado9)+SUMIFS(supercb[Qtde],supercb[Item],tab_alimentos[[#This Row],[Item]],supercb[Bairro],mercado9)</f>
        <v>0</v>
      </c>
      <c r="U307" s="64">
        <f>SUMIFS(super1[Qtde],super1[Item],tab_alimentos[[#This Row],[Item]],super1[Bairro],mercado10)+SUMIFS(supercb[Qtde],supercb[Item],tab_alimentos[[#This Row],[Item]],supercb[Bairro],mercado10)</f>
        <v>0</v>
      </c>
      <c r="V307" s="64">
        <f>SUMIFS(super1[Qtde],super1[Item],tab_alimentos[[#This Row],[Item]],super1[Bairro],mercado11)+SUMIFS(supercb[Qtde],supercb[Item],tab_alimentos[[#This Row],[Item]],supercb[Bairro],mercado11)</f>
        <v>0</v>
      </c>
      <c r="W307" s="64">
        <f>SUMIFS(super1[Qtde],super1[Item],tab_alimentos[[#This Row],[Item]],super1[Bairro],mercado12)+SUMIFS(supercb[Qtde],supercb[Item],tab_alimentos[[#This Row],[Item]],supercb[Bairro],mercado12)</f>
        <v>0</v>
      </c>
      <c r="X307" s="64">
        <f>SUMIFS(super1[Qtde],super1[Item],tab_alimentos[[#This Row],[Item]],super1[Bairro],mercado13)+SUMIFS(supercb[Qtde],supercb[Item],tab_alimentos[[#This Row],[Item]],supercb[Bairro],mercado13)</f>
        <v>0</v>
      </c>
      <c r="Y307" s="64">
        <f>SUMIFS(super1[Qtde],super1[Item],tab_alimentos[[#This Row],[Item]],super1[Bairro],mercado14)+SUMIFS(supercb[Qtde],supercb[Item],tab_alimentos[[#This Row],[Item]],supercb[Bairro],mercado14)</f>
        <v>0</v>
      </c>
      <c r="Z307" s="64">
        <f>SUMIFS(super1[Qtde],super1[Item],tab_alimentos[[#This Row],[Item]],super1[Bairro],mercado15)+SUMIFS(supercb[Qtde],supercb[Item],tab_alimentos[[#This Row],[Item]],supercb[Bairro],mercado15)</f>
        <v>0</v>
      </c>
      <c r="AA307" s="64">
        <f>SUMIFS(super1[Qtde],super1[Item],tab_alimentos[[#This Row],[Item]],super1[Bairro],mercado16)+SUMIFS(supercb[Qtde],supercb[Item],tab_alimentos[[#This Row],[Item]],supercb[Bairro],mercado16)</f>
        <v>0</v>
      </c>
      <c r="AB307" s="64">
        <f>SUMIFS(super1[Qtde],super1[Item],tab_alimentos[[#This Row],[Item]],super1[Bairro],mercado17)+SUMIFS(supercb[Qtde],supercb[Item],tab_alimentos[[#This Row],[Item]],supercb[Bairro],mercado17)</f>
        <v>0</v>
      </c>
      <c r="AC307" s="64">
        <f>SUMIFS(super1[Qtde],super1[Item],tab_alimentos[[#This Row],[Item]],super1[Bairro],mercado18)+SUMIFS(supercb[Qtde],supercb[Item],tab_alimentos[[#This Row],[Item]],supercb[Bairro],mercado18)</f>
        <v>0</v>
      </c>
      <c r="AD307" s="64">
        <f>SUMIFS(super1[Qtde],super1[Item],tab_alimentos[[#This Row],[Item]],super1[Bairro],extras)+SUMIFS(supercb[Qtde],supercb[Item],tab_alimentos[[#This Row],[Item]],supercb[Bairro],extras)</f>
        <v>0</v>
      </c>
      <c r="AE307" s="61">
        <f t="shared" si="88"/>
        <v>0</v>
      </c>
      <c r="AF307" s="61">
        <f t="shared" si="89"/>
        <v>0</v>
      </c>
      <c r="AG307" s="62">
        <f t="shared" si="90"/>
        <v>0</v>
      </c>
      <c r="AH307" s="15" t="e">
        <f>higiene[[#This Row],[Item]]</f>
        <v>#VALUE!</v>
      </c>
      <c r="AI307" s="8">
        <f>IFERROR(higiene[[#This Row],[Kg equivalente]],0)</f>
        <v>0</v>
      </c>
      <c r="AJ307" s="8">
        <f>IFERROR(higiene[[#This Row],[Preço por produto]],0)</f>
        <v>0</v>
      </c>
      <c r="AK307" s="61">
        <f>SUMIFS(super1[Qtde],super1[Item],tab_higiene[[#This Row],[Item]],super1[Bairro],mercado1)+SUMIFS(supercb[Qtde],supercb[Item],tab_higiene[[#This Row],[Item]],supercb[Bairro],mercado1)</f>
        <v>0</v>
      </c>
      <c r="AL307" s="61">
        <f>SUMIFS(super1[Qtde],super1[Item],tab_higiene[[#This Row],[Item]],super1[Bairro],mercado2)+SUMIFS(supercb[Qtde],supercb[Item],tab_higiene[[#This Row],[Item]],supercb[Bairro],mercado2)</f>
        <v>0</v>
      </c>
      <c r="AM307" s="61">
        <f>SUMIFS(super1[Qtde],super1[Item],tab_higiene[[#This Row],[Item]],super1[Bairro],mercado3)+SUMIFS(supercb[Qtde],supercb[Item],tab_higiene[[#This Row],[Item]],supercb[Bairro],mercado3)</f>
        <v>0</v>
      </c>
      <c r="AN307" s="61">
        <f>SUMIFS(super1[Qtde],super1[Item],tab_higiene[[#This Row],[Item]],super1[Bairro],mercado4)+SUMIFS(supercb[Qtde],supercb[Item],tab_higiene[[#This Row],[Item]],supercb[Bairro],mercado4)</f>
        <v>0</v>
      </c>
      <c r="AO307" s="61">
        <f>SUMIFS(super1[Qtde],super1[Item],tab_higiene[[#This Row],[Item]],super1[Bairro],mercado5)+SUMIFS(supercb[Qtde],supercb[Item],tab_higiene[[#This Row],[Item]],supercb[Bairro],mercado5)</f>
        <v>0</v>
      </c>
      <c r="AP307" s="61">
        <f>SUMIFS(super1[Qtde],super1[Item],tab_higiene[[#This Row],[Item]],super1[Bairro],mercado6)+SUMIFS(supercb[Qtde],supercb[Item],tab_higiene[[#This Row],[Item]],supercb[Bairro],mercado6)</f>
        <v>0</v>
      </c>
      <c r="AQ307" s="61">
        <f>SUMIFS(super1[Qtde],super1[Item],tab_higiene[[#This Row],[Item]],super1[Bairro],mercado7)+SUMIFS(supercb[Qtde],supercb[Item],tab_higiene[[#This Row],[Item]],supercb[Bairro],mercado7)</f>
        <v>0</v>
      </c>
      <c r="AR307" s="61">
        <f>SUMIFS(super1[Qtde],super1[Item],tab_higiene[[#This Row],[Item]],super1[Bairro],mercado8)+SUMIFS(supercb[Qtde],supercb[Item],tab_higiene[[#This Row],[Item]],supercb[Bairro],mercado8)</f>
        <v>0</v>
      </c>
      <c r="AS307" s="61">
        <f>SUMIFS(super1[Qtde],super1[Item],tab_higiene[[#This Row],[Item]],super1[Bairro],mercado9)+SUMIFS(supercb[Qtde],supercb[Item],tab_higiene[[#This Row],[Item]],supercb[Bairro],mercado9)</f>
        <v>0</v>
      </c>
      <c r="AT307" s="61">
        <f>SUMIFS(super1[Qtde],super1[Item],tab_higiene[[#This Row],[Item]],super1[Bairro],mercado10)+SUMIFS(supercb[Qtde],supercb[Item],tab_higiene[[#This Row],[Item]],supercb[Bairro],mercado10)</f>
        <v>0</v>
      </c>
      <c r="AU307" s="61">
        <f>SUMIFS(super1[Qtde],super1[Item],tab_higiene[[#This Row],[Item]],super1[Bairro],mercado11)+SUMIFS(supercb[Qtde],supercb[Item],tab_higiene[[#This Row],[Item]],supercb[Bairro],mercado11)</f>
        <v>0</v>
      </c>
      <c r="AV307" s="61">
        <f>SUMIFS(super1[Qtde],super1[Item],tab_higiene[[#This Row],[Item]],super1[Bairro],mercado12)+SUMIFS(supercb[Qtde],supercb[Item],tab_higiene[[#This Row],[Item]],supercb[Bairro],mercado12)</f>
        <v>0</v>
      </c>
      <c r="AW307" s="61">
        <f>SUMIFS(super1[Qtde],super1[Item],tab_higiene[[#This Row],[Item]],super1[Bairro],mercado13)+SUMIFS(supercb[Qtde],supercb[Item],tab_higiene[[#This Row],[Item]],supercb[Bairro],mercado13)</f>
        <v>0</v>
      </c>
      <c r="AX307" s="61">
        <f>SUMIFS(super1[Qtde],super1[Item],tab_higiene[[#This Row],[Item]],super1[Bairro],mercado14)+SUMIFS(supercb[Qtde],supercb[Item],tab_higiene[[#This Row],[Item]],supercb[Bairro],mercado14)</f>
        <v>0</v>
      </c>
      <c r="AY307" s="61">
        <f>SUMIFS(super1[Qtde],super1[Item],tab_higiene[[#This Row],[Item]],super1[Bairro],mercado15)+SUMIFS(supercb[Qtde],supercb[Item],tab_higiene[[#This Row],[Item]],supercb[Bairro],mercado15)</f>
        <v>0</v>
      </c>
      <c r="AZ307" s="61">
        <f>SUMIFS(super1[Qtde],super1[Item],tab_higiene[[#This Row],[Item]],super1[Bairro],mercado16)+SUMIFS(supercb[Qtde],supercb[Item],tab_higiene[[#This Row],[Item]],supercb[Bairro],mercado16)</f>
        <v>0</v>
      </c>
      <c r="BA307" s="61">
        <f>SUMIFS(super1[Qtde],super1[Item],tab_higiene[[#This Row],[Item]],super1[Bairro],mercado17)+SUMIFS(supercb[Qtde],supercb[Item],tab_higiene[[#This Row],[Item]],supercb[Bairro],mercado17)</f>
        <v>0</v>
      </c>
      <c r="BB307" s="61">
        <f>SUMIFS(super1[Qtde],super1[Item],tab_higiene[[#This Row],[Item]],super1[Bairro],mercado18)+SUMIFS(supercb[Qtde],supercb[Item],tab_higiene[[#This Row],[Item]],supercb[Bairro],mercado18)</f>
        <v>0</v>
      </c>
      <c r="BC307" s="51">
        <f>SUMIFS(super1[Qtde],super1[Item],tab_higiene[[#This Row],[Item]],super1[Bairro],extras)+SUMIFS(supercb[Qtde],supercb[Item],tab_higiene[[#This Row],[Item]],supercb[Bairro],extras)</f>
        <v>0</v>
      </c>
      <c r="BD307" s="8">
        <f t="shared" si="91"/>
        <v>0</v>
      </c>
      <c r="BE307" s="8">
        <f t="shared" si="92"/>
        <v>0</v>
      </c>
      <c r="BF307" s="23">
        <f t="shared" si="93"/>
        <v>0</v>
      </c>
    </row>
    <row r="308" spans="9:58" ht="15.75" thickBot="1" x14ac:dyDescent="0.3">
      <c r="I308" s="65" t="e">
        <f>alimentos[[#This Row],[Item]]</f>
        <v>#VALUE!</v>
      </c>
      <c r="J308" s="61">
        <f>IFERROR(alimentos[[#This Row],[kg/embalagem]],0)</f>
        <v>0</v>
      </c>
      <c r="K308" s="64">
        <f>IFERROR(alimentos[[#This Row],[Preço]],0)</f>
        <v>0</v>
      </c>
      <c r="L308" s="64">
        <f>SUMIFS(super1[Qtde],super1[Item],tab_alimentos[[#This Row],[Item]],super1[Bairro],mercado1)+SUMIFS(supercb[Qtde],supercb[Item],tab_alimentos[[#This Row],[Item]],supercb[Bairro],mercado1)</f>
        <v>0</v>
      </c>
      <c r="M308" s="64">
        <f>SUMIFS(super1[Qtde],super1[Item],tab_alimentos[[#This Row],[Item]],super1[Bairro],mercado2)+SUMIFS(supercb[Qtde],supercb[Item],tab_alimentos[[#This Row],[Item]],supercb[Bairro],mercado2)</f>
        <v>0</v>
      </c>
      <c r="N308" s="61">
        <f>SUMIFS(super1[Qtde],super1[Item],tab_alimentos[[#This Row],[Item]],super1[Bairro],mercado3)+SUMIFS(supercb[Qtde],supercb[Item],tab_alimentos[[#This Row],[Item]],supercb[Bairro],mercado3)</f>
        <v>0</v>
      </c>
      <c r="O308" s="64">
        <f>SUMIFS(super1[Qtde],super1[Item],tab_alimentos[[#This Row],[Item]],super1[Bairro],mercado4)+SUMIFS(supercb[Qtde],supercb[Item],tab_alimentos[[#This Row],[Item]],supercb[Bairro],mercado4)</f>
        <v>0</v>
      </c>
      <c r="P308" s="64">
        <f>SUMIFS(super1[Qtde],super1[Item],tab_alimentos[[#This Row],[Item]],super1[Bairro],mercado5)+SUMIFS(supercb[Qtde],supercb[Item],tab_alimentos[[#This Row],[Item]],supercb[Bairro],mercado5)</f>
        <v>0</v>
      </c>
      <c r="Q308" s="64">
        <f>SUMIFS(super1[Qtde],super1[Item],tab_alimentos[[#This Row],[Item]],super1[Bairro],mercado6)+SUMIFS(supercb[Qtde],supercb[Item],tab_alimentos[[#This Row],[Item]],supercb[Bairro],mercado6)</f>
        <v>0</v>
      </c>
      <c r="R308" s="64">
        <f>SUMIFS(super1[Qtde],super1[Item],tab_alimentos[[#This Row],[Item]],super1[Bairro],mercado7)+SUMIFS(supercb[Qtde],supercb[Item],tab_alimentos[[#This Row],[Item]],supercb[Bairro],mercado7)</f>
        <v>0</v>
      </c>
      <c r="S308" s="64">
        <f>SUMIFS(super1[Qtde],super1[Item],tab_alimentos[[#This Row],[Item]],super1[Bairro],mercado8)+SUMIFS(supercb[Qtde],supercb[Item],tab_alimentos[[#This Row],[Item]],supercb[Bairro],mercado8)</f>
        <v>0</v>
      </c>
      <c r="T308" s="64">
        <f>SUMIFS(super1[Qtde],super1[Item],tab_alimentos[[#This Row],[Item]],super1[Bairro],mercado9)+SUMIFS(supercb[Qtde],supercb[Item],tab_alimentos[[#This Row],[Item]],supercb[Bairro],mercado9)</f>
        <v>0</v>
      </c>
      <c r="U308" s="64">
        <f>SUMIFS(super1[Qtde],super1[Item],tab_alimentos[[#This Row],[Item]],super1[Bairro],mercado10)+SUMIFS(supercb[Qtde],supercb[Item],tab_alimentos[[#This Row],[Item]],supercb[Bairro],mercado10)</f>
        <v>0</v>
      </c>
      <c r="V308" s="64">
        <f>SUMIFS(super1[Qtde],super1[Item],tab_alimentos[[#This Row],[Item]],super1[Bairro],mercado11)+SUMIFS(supercb[Qtde],supercb[Item],tab_alimentos[[#This Row],[Item]],supercb[Bairro],mercado11)</f>
        <v>0</v>
      </c>
      <c r="W308" s="64">
        <f>SUMIFS(super1[Qtde],super1[Item],tab_alimentos[[#This Row],[Item]],super1[Bairro],mercado12)+SUMIFS(supercb[Qtde],supercb[Item],tab_alimentos[[#This Row],[Item]],supercb[Bairro],mercado12)</f>
        <v>0</v>
      </c>
      <c r="X308" s="64">
        <f>SUMIFS(super1[Qtde],super1[Item],tab_alimentos[[#This Row],[Item]],super1[Bairro],mercado13)+SUMIFS(supercb[Qtde],supercb[Item],tab_alimentos[[#This Row],[Item]],supercb[Bairro],mercado13)</f>
        <v>0</v>
      </c>
      <c r="Y308" s="64">
        <f>SUMIFS(super1[Qtde],super1[Item],tab_alimentos[[#This Row],[Item]],super1[Bairro],mercado14)+SUMIFS(supercb[Qtde],supercb[Item],tab_alimentos[[#This Row],[Item]],supercb[Bairro],mercado14)</f>
        <v>0</v>
      </c>
      <c r="Z308" s="64">
        <f>SUMIFS(super1[Qtde],super1[Item],tab_alimentos[[#This Row],[Item]],super1[Bairro],mercado15)+SUMIFS(supercb[Qtde],supercb[Item],tab_alimentos[[#This Row],[Item]],supercb[Bairro],mercado15)</f>
        <v>0</v>
      </c>
      <c r="AA308" s="64">
        <f>SUMIFS(super1[Qtde],super1[Item],tab_alimentos[[#This Row],[Item]],super1[Bairro],mercado16)+SUMIFS(supercb[Qtde],supercb[Item],tab_alimentos[[#This Row],[Item]],supercb[Bairro],mercado16)</f>
        <v>0</v>
      </c>
      <c r="AB308" s="64">
        <f>SUMIFS(super1[Qtde],super1[Item],tab_alimentos[[#This Row],[Item]],super1[Bairro],mercado17)+SUMIFS(supercb[Qtde],supercb[Item],tab_alimentos[[#This Row],[Item]],supercb[Bairro],mercado17)</f>
        <v>0</v>
      </c>
      <c r="AC308" s="64">
        <f>SUMIFS(super1[Qtde],super1[Item],tab_alimentos[[#This Row],[Item]],super1[Bairro],mercado18)+SUMIFS(supercb[Qtde],supercb[Item],tab_alimentos[[#This Row],[Item]],supercb[Bairro],mercado18)</f>
        <v>0</v>
      </c>
      <c r="AD308" s="64">
        <f>SUMIFS(super1[Qtde],super1[Item],tab_alimentos[[#This Row],[Item]],super1[Bairro],extras)+SUMIFS(supercb[Qtde],supercb[Item],tab_alimentos[[#This Row],[Item]],supercb[Bairro],extras)</f>
        <v>0</v>
      </c>
      <c r="AE308" s="61">
        <f t="shared" si="88"/>
        <v>0</v>
      </c>
      <c r="AF308" s="61">
        <f t="shared" si="89"/>
        <v>0</v>
      </c>
      <c r="AG308" s="62">
        <f t="shared" si="90"/>
        <v>0</v>
      </c>
      <c r="AH308" s="15" t="e">
        <f>higiene[[#This Row],[Item]]</f>
        <v>#VALUE!</v>
      </c>
      <c r="AI308" s="8">
        <f>IFERROR(higiene[[#This Row],[Kg equivalente]],0)</f>
        <v>0</v>
      </c>
      <c r="AJ308" s="8">
        <f>IFERROR(higiene[[#This Row],[Preço por produto]],0)</f>
        <v>0</v>
      </c>
      <c r="AK308" s="61">
        <f>SUMIFS(super1[Qtde],super1[Item],tab_higiene[[#This Row],[Item]],super1[Bairro],mercado1)+SUMIFS(supercb[Qtde],supercb[Item],tab_higiene[[#This Row],[Item]],supercb[Bairro],mercado1)</f>
        <v>0</v>
      </c>
      <c r="AL308" s="61">
        <f>SUMIFS(super1[Qtde],super1[Item],tab_higiene[[#This Row],[Item]],super1[Bairro],mercado2)+SUMIFS(supercb[Qtde],supercb[Item],tab_higiene[[#This Row],[Item]],supercb[Bairro],mercado2)</f>
        <v>0</v>
      </c>
      <c r="AM308" s="61">
        <f>SUMIFS(super1[Qtde],super1[Item],tab_higiene[[#This Row],[Item]],super1[Bairro],mercado3)+SUMIFS(supercb[Qtde],supercb[Item],tab_higiene[[#This Row],[Item]],supercb[Bairro],mercado3)</f>
        <v>0</v>
      </c>
      <c r="AN308" s="61">
        <f>SUMIFS(super1[Qtde],super1[Item],tab_higiene[[#This Row],[Item]],super1[Bairro],mercado4)+SUMIFS(supercb[Qtde],supercb[Item],tab_higiene[[#This Row],[Item]],supercb[Bairro],mercado4)</f>
        <v>0</v>
      </c>
      <c r="AO308" s="61">
        <f>SUMIFS(super1[Qtde],super1[Item],tab_higiene[[#This Row],[Item]],super1[Bairro],mercado5)+SUMIFS(supercb[Qtde],supercb[Item],tab_higiene[[#This Row],[Item]],supercb[Bairro],mercado5)</f>
        <v>0</v>
      </c>
      <c r="AP308" s="61">
        <f>SUMIFS(super1[Qtde],super1[Item],tab_higiene[[#This Row],[Item]],super1[Bairro],mercado6)+SUMIFS(supercb[Qtde],supercb[Item],tab_higiene[[#This Row],[Item]],supercb[Bairro],mercado6)</f>
        <v>0</v>
      </c>
      <c r="AQ308" s="61">
        <f>SUMIFS(super1[Qtde],super1[Item],tab_higiene[[#This Row],[Item]],super1[Bairro],mercado7)+SUMIFS(supercb[Qtde],supercb[Item],tab_higiene[[#This Row],[Item]],supercb[Bairro],mercado7)</f>
        <v>0</v>
      </c>
      <c r="AR308" s="61">
        <f>SUMIFS(super1[Qtde],super1[Item],tab_higiene[[#This Row],[Item]],super1[Bairro],mercado8)+SUMIFS(supercb[Qtde],supercb[Item],tab_higiene[[#This Row],[Item]],supercb[Bairro],mercado8)</f>
        <v>0</v>
      </c>
      <c r="AS308" s="61">
        <f>SUMIFS(super1[Qtde],super1[Item],tab_higiene[[#This Row],[Item]],super1[Bairro],mercado9)+SUMIFS(supercb[Qtde],supercb[Item],tab_higiene[[#This Row],[Item]],supercb[Bairro],mercado9)</f>
        <v>0</v>
      </c>
      <c r="AT308" s="61">
        <f>SUMIFS(super1[Qtde],super1[Item],tab_higiene[[#This Row],[Item]],super1[Bairro],mercado10)+SUMIFS(supercb[Qtde],supercb[Item],tab_higiene[[#This Row],[Item]],supercb[Bairro],mercado10)</f>
        <v>0</v>
      </c>
      <c r="AU308" s="61">
        <f>SUMIFS(super1[Qtde],super1[Item],tab_higiene[[#This Row],[Item]],super1[Bairro],mercado11)+SUMIFS(supercb[Qtde],supercb[Item],tab_higiene[[#This Row],[Item]],supercb[Bairro],mercado11)</f>
        <v>0</v>
      </c>
      <c r="AV308" s="61">
        <f>SUMIFS(super1[Qtde],super1[Item],tab_higiene[[#This Row],[Item]],super1[Bairro],mercado12)+SUMIFS(supercb[Qtde],supercb[Item],tab_higiene[[#This Row],[Item]],supercb[Bairro],mercado12)</f>
        <v>0</v>
      </c>
      <c r="AW308" s="61">
        <f>SUMIFS(super1[Qtde],super1[Item],tab_higiene[[#This Row],[Item]],super1[Bairro],mercado13)+SUMIFS(supercb[Qtde],supercb[Item],tab_higiene[[#This Row],[Item]],supercb[Bairro],mercado13)</f>
        <v>0</v>
      </c>
      <c r="AX308" s="61">
        <f>SUMIFS(super1[Qtde],super1[Item],tab_higiene[[#This Row],[Item]],super1[Bairro],mercado14)+SUMIFS(supercb[Qtde],supercb[Item],tab_higiene[[#This Row],[Item]],supercb[Bairro],mercado14)</f>
        <v>0</v>
      </c>
      <c r="AY308" s="61">
        <f>SUMIFS(super1[Qtde],super1[Item],tab_higiene[[#This Row],[Item]],super1[Bairro],mercado15)+SUMIFS(supercb[Qtde],supercb[Item],tab_higiene[[#This Row],[Item]],supercb[Bairro],mercado15)</f>
        <v>0</v>
      </c>
      <c r="AZ308" s="61">
        <f>SUMIFS(super1[Qtde],super1[Item],tab_higiene[[#This Row],[Item]],super1[Bairro],mercado16)+SUMIFS(supercb[Qtde],supercb[Item],tab_higiene[[#This Row],[Item]],supercb[Bairro],mercado16)</f>
        <v>0</v>
      </c>
      <c r="BA308" s="61">
        <f>SUMIFS(super1[Qtde],super1[Item],tab_higiene[[#This Row],[Item]],super1[Bairro],mercado17)+SUMIFS(supercb[Qtde],supercb[Item],tab_higiene[[#This Row],[Item]],supercb[Bairro],mercado17)</f>
        <v>0</v>
      </c>
      <c r="BB308" s="61">
        <f>SUMIFS(super1[Qtde],super1[Item],tab_higiene[[#This Row],[Item]],super1[Bairro],mercado18)+SUMIFS(supercb[Qtde],supercb[Item],tab_higiene[[#This Row],[Item]],supercb[Bairro],mercado18)</f>
        <v>0</v>
      </c>
      <c r="BC308" s="51">
        <f>SUMIFS(super1[Qtde],super1[Item],tab_higiene[[#This Row],[Item]],super1[Bairro],extras)+SUMIFS(supercb[Qtde],supercb[Item],tab_higiene[[#This Row],[Item]],supercb[Bairro],extras)</f>
        <v>0</v>
      </c>
      <c r="BD308" s="8">
        <f t="shared" si="91"/>
        <v>0</v>
      </c>
      <c r="BE308" s="8">
        <f t="shared" si="92"/>
        <v>0</v>
      </c>
      <c r="BF308" s="23">
        <f t="shared" si="93"/>
        <v>0</v>
      </c>
    </row>
    <row r="309" spans="9:58" ht="15.75" thickBot="1" x14ac:dyDescent="0.3">
      <c r="I309" s="65" t="e">
        <f>alimentos[[#This Row],[Item]]</f>
        <v>#VALUE!</v>
      </c>
      <c r="J309" s="61">
        <f>IFERROR(alimentos[[#This Row],[kg/embalagem]],0)</f>
        <v>0</v>
      </c>
      <c r="K309" s="64">
        <f>IFERROR(alimentos[[#This Row],[Preço]],0)</f>
        <v>0</v>
      </c>
      <c r="L309" s="64">
        <f>SUMIFS(super1[Qtde],super1[Item],tab_alimentos[[#This Row],[Item]],super1[Bairro],mercado1)+SUMIFS(supercb[Qtde],supercb[Item],tab_alimentos[[#This Row],[Item]],supercb[Bairro],mercado1)</f>
        <v>0</v>
      </c>
      <c r="M309" s="64">
        <f>SUMIFS(super1[Qtde],super1[Item],tab_alimentos[[#This Row],[Item]],super1[Bairro],mercado2)+SUMIFS(supercb[Qtde],supercb[Item],tab_alimentos[[#This Row],[Item]],supercb[Bairro],mercado2)</f>
        <v>0</v>
      </c>
      <c r="N309" s="61">
        <f>SUMIFS(super1[Qtde],super1[Item],tab_alimentos[[#This Row],[Item]],super1[Bairro],mercado3)+SUMIFS(supercb[Qtde],supercb[Item],tab_alimentos[[#This Row],[Item]],supercb[Bairro],mercado3)</f>
        <v>0</v>
      </c>
      <c r="O309" s="64">
        <f>SUMIFS(super1[Qtde],super1[Item],tab_alimentos[[#This Row],[Item]],super1[Bairro],mercado4)+SUMIFS(supercb[Qtde],supercb[Item],tab_alimentos[[#This Row],[Item]],supercb[Bairro],mercado4)</f>
        <v>0</v>
      </c>
      <c r="P309" s="64">
        <f>SUMIFS(super1[Qtde],super1[Item],tab_alimentos[[#This Row],[Item]],super1[Bairro],mercado5)+SUMIFS(supercb[Qtde],supercb[Item],tab_alimentos[[#This Row],[Item]],supercb[Bairro],mercado5)</f>
        <v>0</v>
      </c>
      <c r="Q309" s="64">
        <f>SUMIFS(super1[Qtde],super1[Item],tab_alimentos[[#This Row],[Item]],super1[Bairro],mercado6)+SUMIFS(supercb[Qtde],supercb[Item],tab_alimentos[[#This Row],[Item]],supercb[Bairro],mercado6)</f>
        <v>0</v>
      </c>
      <c r="R309" s="64">
        <f>SUMIFS(super1[Qtde],super1[Item],tab_alimentos[[#This Row],[Item]],super1[Bairro],mercado7)+SUMIFS(supercb[Qtde],supercb[Item],tab_alimentos[[#This Row],[Item]],supercb[Bairro],mercado7)</f>
        <v>0</v>
      </c>
      <c r="S309" s="64">
        <f>SUMIFS(super1[Qtde],super1[Item],tab_alimentos[[#This Row],[Item]],super1[Bairro],mercado8)+SUMIFS(supercb[Qtde],supercb[Item],tab_alimentos[[#This Row],[Item]],supercb[Bairro],mercado8)</f>
        <v>0</v>
      </c>
      <c r="T309" s="64">
        <f>SUMIFS(super1[Qtde],super1[Item],tab_alimentos[[#This Row],[Item]],super1[Bairro],mercado9)+SUMIFS(supercb[Qtde],supercb[Item],tab_alimentos[[#This Row],[Item]],supercb[Bairro],mercado9)</f>
        <v>0</v>
      </c>
      <c r="U309" s="64">
        <f>SUMIFS(super1[Qtde],super1[Item],tab_alimentos[[#This Row],[Item]],super1[Bairro],mercado10)+SUMIFS(supercb[Qtde],supercb[Item],tab_alimentos[[#This Row],[Item]],supercb[Bairro],mercado10)</f>
        <v>0</v>
      </c>
      <c r="V309" s="64">
        <f>SUMIFS(super1[Qtde],super1[Item],tab_alimentos[[#This Row],[Item]],super1[Bairro],mercado11)+SUMIFS(supercb[Qtde],supercb[Item],tab_alimentos[[#This Row],[Item]],supercb[Bairro],mercado11)</f>
        <v>0</v>
      </c>
      <c r="W309" s="64">
        <f>SUMIFS(super1[Qtde],super1[Item],tab_alimentos[[#This Row],[Item]],super1[Bairro],mercado12)+SUMIFS(supercb[Qtde],supercb[Item],tab_alimentos[[#This Row],[Item]],supercb[Bairro],mercado12)</f>
        <v>0</v>
      </c>
      <c r="X309" s="64">
        <f>SUMIFS(super1[Qtde],super1[Item],tab_alimentos[[#This Row],[Item]],super1[Bairro],mercado13)+SUMIFS(supercb[Qtde],supercb[Item],tab_alimentos[[#This Row],[Item]],supercb[Bairro],mercado13)</f>
        <v>0</v>
      </c>
      <c r="Y309" s="64">
        <f>SUMIFS(super1[Qtde],super1[Item],tab_alimentos[[#This Row],[Item]],super1[Bairro],mercado14)+SUMIFS(supercb[Qtde],supercb[Item],tab_alimentos[[#This Row],[Item]],supercb[Bairro],mercado14)</f>
        <v>0</v>
      </c>
      <c r="Z309" s="64">
        <f>SUMIFS(super1[Qtde],super1[Item],tab_alimentos[[#This Row],[Item]],super1[Bairro],mercado15)+SUMIFS(supercb[Qtde],supercb[Item],tab_alimentos[[#This Row],[Item]],supercb[Bairro],mercado15)</f>
        <v>0</v>
      </c>
      <c r="AA309" s="64">
        <f>SUMIFS(super1[Qtde],super1[Item],tab_alimentos[[#This Row],[Item]],super1[Bairro],mercado16)+SUMIFS(supercb[Qtde],supercb[Item],tab_alimentos[[#This Row],[Item]],supercb[Bairro],mercado16)</f>
        <v>0</v>
      </c>
      <c r="AB309" s="64">
        <f>SUMIFS(super1[Qtde],super1[Item],tab_alimentos[[#This Row],[Item]],super1[Bairro],mercado17)+SUMIFS(supercb[Qtde],supercb[Item],tab_alimentos[[#This Row],[Item]],supercb[Bairro],mercado17)</f>
        <v>0</v>
      </c>
      <c r="AC309" s="64">
        <f>SUMIFS(super1[Qtde],super1[Item],tab_alimentos[[#This Row],[Item]],super1[Bairro],mercado18)+SUMIFS(supercb[Qtde],supercb[Item],tab_alimentos[[#This Row],[Item]],supercb[Bairro],mercado18)</f>
        <v>0</v>
      </c>
      <c r="AD309" s="64">
        <f>SUMIFS(super1[Qtde],super1[Item],tab_alimentos[[#This Row],[Item]],super1[Bairro],extras)+SUMIFS(supercb[Qtde],supercb[Item],tab_alimentos[[#This Row],[Item]],supercb[Bairro],extras)</f>
        <v>0</v>
      </c>
      <c r="AE309" s="61">
        <f t="shared" si="88"/>
        <v>0</v>
      </c>
      <c r="AF309" s="61">
        <f t="shared" si="89"/>
        <v>0</v>
      </c>
      <c r="AG309" s="62">
        <f t="shared" si="90"/>
        <v>0</v>
      </c>
      <c r="AH309" s="15" t="e">
        <f>higiene[[#This Row],[Item]]</f>
        <v>#VALUE!</v>
      </c>
      <c r="AI309" s="8">
        <f>IFERROR(higiene[[#This Row],[Kg equivalente]],0)</f>
        <v>0</v>
      </c>
      <c r="AJ309" s="8">
        <f>IFERROR(higiene[[#This Row],[Preço por produto]],0)</f>
        <v>0</v>
      </c>
      <c r="AK309" s="61">
        <f>SUMIFS(super1[Qtde],super1[Item],tab_higiene[[#This Row],[Item]],super1[Bairro],mercado1)+SUMIFS(supercb[Qtde],supercb[Item],tab_higiene[[#This Row],[Item]],supercb[Bairro],mercado1)</f>
        <v>0</v>
      </c>
      <c r="AL309" s="61">
        <f>SUMIFS(super1[Qtde],super1[Item],tab_higiene[[#This Row],[Item]],super1[Bairro],mercado2)+SUMIFS(supercb[Qtde],supercb[Item],tab_higiene[[#This Row],[Item]],supercb[Bairro],mercado2)</f>
        <v>0</v>
      </c>
      <c r="AM309" s="61">
        <f>SUMIFS(super1[Qtde],super1[Item],tab_higiene[[#This Row],[Item]],super1[Bairro],mercado3)+SUMIFS(supercb[Qtde],supercb[Item],tab_higiene[[#This Row],[Item]],supercb[Bairro],mercado3)</f>
        <v>0</v>
      </c>
      <c r="AN309" s="61">
        <f>SUMIFS(super1[Qtde],super1[Item],tab_higiene[[#This Row],[Item]],super1[Bairro],mercado4)+SUMIFS(supercb[Qtde],supercb[Item],tab_higiene[[#This Row],[Item]],supercb[Bairro],mercado4)</f>
        <v>0</v>
      </c>
      <c r="AO309" s="61">
        <f>SUMIFS(super1[Qtde],super1[Item],tab_higiene[[#This Row],[Item]],super1[Bairro],mercado5)+SUMIFS(supercb[Qtde],supercb[Item],tab_higiene[[#This Row],[Item]],supercb[Bairro],mercado5)</f>
        <v>0</v>
      </c>
      <c r="AP309" s="61">
        <f>SUMIFS(super1[Qtde],super1[Item],tab_higiene[[#This Row],[Item]],super1[Bairro],mercado6)+SUMIFS(supercb[Qtde],supercb[Item],tab_higiene[[#This Row],[Item]],supercb[Bairro],mercado6)</f>
        <v>0</v>
      </c>
      <c r="AQ309" s="61">
        <f>SUMIFS(super1[Qtde],super1[Item],tab_higiene[[#This Row],[Item]],super1[Bairro],mercado7)+SUMIFS(supercb[Qtde],supercb[Item],tab_higiene[[#This Row],[Item]],supercb[Bairro],mercado7)</f>
        <v>0</v>
      </c>
      <c r="AR309" s="61">
        <f>SUMIFS(super1[Qtde],super1[Item],tab_higiene[[#This Row],[Item]],super1[Bairro],mercado8)+SUMIFS(supercb[Qtde],supercb[Item],tab_higiene[[#This Row],[Item]],supercb[Bairro],mercado8)</f>
        <v>0</v>
      </c>
      <c r="AS309" s="61">
        <f>SUMIFS(super1[Qtde],super1[Item],tab_higiene[[#This Row],[Item]],super1[Bairro],mercado9)+SUMIFS(supercb[Qtde],supercb[Item],tab_higiene[[#This Row],[Item]],supercb[Bairro],mercado9)</f>
        <v>0</v>
      </c>
      <c r="AT309" s="61">
        <f>SUMIFS(super1[Qtde],super1[Item],tab_higiene[[#This Row],[Item]],super1[Bairro],mercado10)+SUMIFS(supercb[Qtde],supercb[Item],tab_higiene[[#This Row],[Item]],supercb[Bairro],mercado10)</f>
        <v>0</v>
      </c>
      <c r="AU309" s="61">
        <f>SUMIFS(super1[Qtde],super1[Item],tab_higiene[[#This Row],[Item]],super1[Bairro],mercado11)+SUMIFS(supercb[Qtde],supercb[Item],tab_higiene[[#This Row],[Item]],supercb[Bairro],mercado11)</f>
        <v>0</v>
      </c>
      <c r="AV309" s="61">
        <f>SUMIFS(super1[Qtde],super1[Item],tab_higiene[[#This Row],[Item]],super1[Bairro],mercado12)+SUMIFS(supercb[Qtde],supercb[Item],tab_higiene[[#This Row],[Item]],supercb[Bairro],mercado12)</f>
        <v>0</v>
      </c>
      <c r="AW309" s="61">
        <f>SUMIFS(super1[Qtde],super1[Item],tab_higiene[[#This Row],[Item]],super1[Bairro],mercado13)+SUMIFS(supercb[Qtde],supercb[Item],tab_higiene[[#This Row],[Item]],supercb[Bairro],mercado13)</f>
        <v>0</v>
      </c>
      <c r="AX309" s="61">
        <f>SUMIFS(super1[Qtde],super1[Item],tab_higiene[[#This Row],[Item]],super1[Bairro],mercado14)+SUMIFS(supercb[Qtde],supercb[Item],tab_higiene[[#This Row],[Item]],supercb[Bairro],mercado14)</f>
        <v>0</v>
      </c>
      <c r="AY309" s="61">
        <f>SUMIFS(super1[Qtde],super1[Item],tab_higiene[[#This Row],[Item]],super1[Bairro],mercado15)+SUMIFS(supercb[Qtde],supercb[Item],tab_higiene[[#This Row],[Item]],supercb[Bairro],mercado15)</f>
        <v>0</v>
      </c>
      <c r="AZ309" s="61">
        <f>SUMIFS(super1[Qtde],super1[Item],tab_higiene[[#This Row],[Item]],super1[Bairro],mercado16)+SUMIFS(supercb[Qtde],supercb[Item],tab_higiene[[#This Row],[Item]],supercb[Bairro],mercado16)</f>
        <v>0</v>
      </c>
      <c r="BA309" s="61">
        <f>SUMIFS(super1[Qtde],super1[Item],tab_higiene[[#This Row],[Item]],super1[Bairro],mercado17)+SUMIFS(supercb[Qtde],supercb[Item],tab_higiene[[#This Row],[Item]],supercb[Bairro],mercado17)</f>
        <v>0</v>
      </c>
      <c r="BB309" s="61">
        <f>SUMIFS(super1[Qtde],super1[Item],tab_higiene[[#This Row],[Item]],super1[Bairro],mercado18)+SUMIFS(supercb[Qtde],supercb[Item],tab_higiene[[#This Row],[Item]],supercb[Bairro],mercado18)</f>
        <v>0</v>
      </c>
      <c r="BC309" s="51">
        <f>SUMIFS(super1[Qtde],super1[Item],tab_higiene[[#This Row],[Item]],super1[Bairro],extras)+SUMIFS(supercb[Qtde],supercb[Item],tab_higiene[[#This Row],[Item]],supercb[Bairro],extras)</f>
        <v>0</v>
      </c>
      <c r="BD309" s="8">
        <f t="shared" si="91"/>
        <v>0</v>
      </c>
      <c r="BE309" s="8">
        <f t="shared" si="92"/>
        <v>0</v>
      </c>
      <c r="BF309" s="23">
        <f t="shared" si="93"/>
        <v>0</v>
      </c>
    </row>
    <row r="310" spans="9:58" ht="15.75" thickBot="1" x14ac:dyDescent="0.3">
      <c r="I310" s="65" t="e">
        <f>alimentos[[#This Row],[Item]]</f>
        <v>#VALUE!</v>
      </c>
      <c r="J310" s="61">
        <f>IFERROR(alimentos[[#This Row],[kg/embalagem]],0)</f>
        <v>0</v>
      </c>
      <c r="K310" s="64">
        <f>IFERROR(alimentos[[#This Row],[Preço]],0)</f>
        <v>0</v>
      </c>
      <c r="L310" s="64">
        <f>SUMIFS(super1[Qtde],super1[Item],tab_alimentos[[#This Row],[Item]],super1[Bairro],mercado1)+SUMIFS(supercb[Qtde],supercb[Item],tab_alimentos[[#This Row],[Item]],supercb[Bairro],mercado1)</f>
        <v>0</v>
      </c>
      <c r="M310" s="64">
        <f>SUMIFS(super1[Qtde],super1[Item],tab_alimentos[[#This Row],[Item]],super1[Bairro],mercado2)+SUMIFS(supercb[Qtde],supercb[Item],tab_alimentos[[#This Row],[Item]],supercb[Bairro],mercado2)</f>
        <v>0</v>
      </c>
      <c r="N310" s="61">
        <f>SUMIFS(super1[Qtde],super1[Item],tab_alimentos[[#This Row],[Item]],super1[Bairro],mercado3)+SUMIFS(supercb[Qtde],supercb[Item],tab_alimentos[[#This Row],[Item]],supercb[Bairro],mercado3)</f>
        <v>0</v>
      </c>
      <c r="O310" s="64">
        <f>SUMIFS(super1[Qtde],super1[Item],tab_alimentos[[#This Row],[Item]],super1[Bairro],mercado4)+SUMIFS(supercb[Qtde],supercb[Item],tab_alimentos[[#This Row],[Item]],supercb[Bairro],mercado4)</f>
        <v>0</v>
      </c>
      <c r="P310" s="64">
        <f>SUMIFS(super1[Qtde],super1[Item],tab_alimentos[[#This Row],[Item]],super1[Bairro],mercado5)+SUMIFS(supercb[Qtde],supercb[Item],tab_alimentos[[#This Row],[Item]],supercb[Bairro],mercado5)</f>
        <v>0</v>
      </c>
      <c r="Q310" s="64">
        <f>SUMIFS(super1[Qtde],super1[Item],tab_alimentos[[#This Row],[Item]],super1[Bairro],mercado6)+SUMIFS(supercb[Qtde],supercb[Item],tab_alimentos[[#This Row],[Item]],supercb[Bairro],mercado6)</f>
        <v>0</v>
      </c>
      <c r="R310" s="64">
        <f>SUMIFS(super1[Qtde],super1[Item],tab_alimentos[[#This Row],[Item]],super1[Bairro],mercado7)+SUMIFS(supercb[Qtde],supercb[Item],tab_alimentos[[#This Row],[Item]],supercb[Bairro],mercado7)</f>
        <v>0</v>
      </c>
      <c r="S310" s="64">
        <f>SUMIFS(super1[Qtde],super1[Item],tab_alimentos[[#This Row],[Item]],super1[Bairro],mercado8)+SUMIFS(supercb[Qtde],supercb[Item],tab_alimentos[[#This Row],[Item]],supercb[Bairro],mercado8)</f>
        <v>0</v>
      </c>
      <c r="T310" s="64">
        <f>SUMIFS(super1[Qtde],super1[Item],tab_alimentos[[#This Row],[Item]],super1[Bairro],mercado9)+SUMIFS(supercb[Qtde],supercb[Item],tab_alimentos[[#This Row],[Item]],supercb[Bairro],mercado9)</f>
        <v>0</v>
      </c>
      <c r="U310" s="64">
        <f>SUMIFS(super1[Qtde],super1[Item],tab_alimentos[[#This Row],[Item]],super1[Bairro],mercado10)+SUMIFS(supercb[Qtde],supercb[Item],tab_alimentos[[#This Row],[Item]],supercb[Bairro],mercado10)</f>
        <v>0</v>
      </c>
      <c r="V310" s="64">
        <f>SUMIFS(super1[Qtde],super1[Item],tab_alimentos[[#This Row],[Item]],super1[Bairro],mercado11)+SUMIFS(supercb[Qtde],supercb[Item],tab_alimentos[[#This Row],[Item]],supercb[Bairro],mercado11)</f>
        <v>0</v>
      </c>
      <c r="W310" s="64">
        <f>SUMIFS(super1[Qtde],super1[Item],tab_alimentos[[#This Row],[Item]],super1[Bairro],mercado12)+SUMIFS(supercb[Qtde],supercb[Item],tab_alimentos[[#This Row],[Item]],supercb[Bairro],mercado12)</f>
        <v>0</v>
      </c>
      <c r="X310" s="64">
        <f>SUMIFS(super1[Qtde],super1[Item],tab_alimentos[[#This Row],[Item]],super1[Bairro],mercado13)+SUMIFS(supercb[Qtde],supercb[Item],tab_alimentos[[#This Row],[Item]],supercb[Bairro],mercado13)</f>
        <v>0</v>
      </c>
      <c r="Y310" s="64">
        <f>SUMIFS(super1[Qtde],super1[Item],tab_alimentos[[#This Row],[Item]],super1[Bairro],mercado14)+SUMIFS(supercb[Qtde],supercb[Item],tab_alimentos[[#This Row],[Item]],supercb[Bairro],mercado14)</f>
        <v>0</v>
      </c>
      <c r="Z310" s="64">
        <f>SUMIFS(super1[Qtde],super1[Item],tab_alimentos[[#This Row],[Item]],super1[Bairro],mercado15)+SUMIFS(supercb[Qtde],supercb[Item],tab_alimentos[[#This Row],[Item]],supercb[Bairro],mercado15)</f>
        <v>0</v>
      </c>
      <c r="AA310" s="64">
        <f>SUMIFS(super1[Qtde],super1[Item],tab_alimentos[[#This Row],[Item]],super1[Bairro],mercado16)+SUMIFS(supercb[Qtde],supercb[Item],tab_alimentos[[#This Row],[Item]],supercb[Bairro],mercado16)</f>
        <v>0</v>
      </c>
      <c r="AB310" s="64">
        <f>SUMIFS(super1[Qtde],super1[Item],tab_alimentos[[#This Row],[Item]],super1[Bairro],mercado17)+SUMIFS(supercb[Qtde],supercb[Item],tab_alimentos[[#This Row],[Item]],supercb[Bairro],mercado17)</f>
        <v>0</v>
      </c>
      <c r="AC310" s="64">
        <f>SUMIFS(super1[Qtde],super1[Item],tab_alimentos[[#This Row],[Item]],super1[Bairro],mercado18)+SUMIFS(supercb[Qtde],supercb[Item],tab_alimentos[[#This Row],[Item]],supercb[Bairro],mercado18)</f>
        <v>0</v>
      </c>
      <c r="AD310" s="64">
        <f>SUMIFS(super1[Qtde],super1[Item],tab_alimentos[[#This Row],[Item]],super1[Bairro],extras)+SUMIFS(supercb[Qtde],supercb[Item],tab_alimentos[[#This Row],[Item]],supercb[Bairro],extras)</f>
        <v>0</v>
      </c>
      <c r="AE310" s="61">
        <f t="shared" si="88"/>
        <v>0</v>
      </c>
      <c r="AF310" s="61">
        <f t="shared" si="89"/>
        <v>0</v>
      </c>
      <c r="AG310" s="62">
        <f t="shared" si="90"/>
        <v>0</v>
      </c>
      <c r="AH310" s="15" t="e">
        <f>higiene[[#This Row],[Item]]</f>
        <v>#VALUE!</v>
      </c>
      <c r="AI310" s="8">
        <f>IFERROR(higiene[[#This Row],[Kg equivalente]],0)</f>
        <v>0</v>
      </c>
      <c r="AJ310" s="8">
        <f>IFERROR(higiene[[#This Row],[Preço por produto]],0)</f>
        <v>0</v>
      </c>
      <c r="AK310" s="61">
        <f>SUMIFS(super1[Qtde],super1[Item],tab_higiene[[#This Row],[Item]],super1[Bairro],mercado1)+SUMIFS(supercb[Qtde],supercb[Item],tab_higiene[[#This Row],[Item]],supercb[Bairro],mercado1)</f>
        <v>0</v>
      </c>
      <c r="AL310" s="61">
        <f>SUMIFS(super1[Qtde],super1[Item],tab_higiene[[#This Row],[Item]],super1[Bairro],mercado2)+SUMIFS(supercb[Qtde],supercb[Item],tab_higiene[[#This Row],[Item]],supercb[Bairro],mercado2)</f>
        <v>0</v>
      </c>
      <c r="AM310" s="61">
        <f>SUMIFS(super1[Qtde],super1[Item],tab_higiene[[#This Row],[Item]],super1[Bairro],mercado3)+SUMIFS(supercb[Qtde],supercb[Item],tab_higiene[[#This Row],[Item]],supercb[Bairro],mercado3)</f>
        <v>0</v>
      </c>
      <c r="AN310" s="61">
        <f>SUMIFS(super1[Qtde],super1[Item],tab_higiene[[#This Row],[Item]],super1[Bairro],mercado4)+SUMIFS(supercb[Qtde],supercb[Item],tab_higiene[[#This Row],[Item]],supercb[Bairro],mercado4)</f>
        <v>0</v>
      </c>
      <c r="AO310" s="61">
        <f>SUMIFS(super1[Qtde],super1[Item],tab_higiene[[#This Row],[Item]],super1[Bairro],mercado5)+SUMIFS(supercb[Qtde],supercb[Item],tab_higiene[[#This Row],[Item]],supercb[Bairro],mercado5)</f>
        <v>0</v>
      </c>
      <c r="AP310" s="61">
        <f>SUMIFS(super1[Qtde],super1[Item],tab_higiene[[#This Row],[Item]],super1[Bairro],mercado6)+SUMIFS(supercb[Qtde],supercb[Item],tab_higiene[[#This Row],[Item]],supercb[Bairro],mercado6)</f>
        <v>0</v>
      </c>
      <c r="AQ310" s="61">
        <f>SUMIFS(super1[Qtde],super1[Item],tab_higiene[[#This Row],[Item]],super1[Bairro],mercado7)+SUMIFS(supercb[Qtde],supercb[Item],tab_higiene[[#This Row],[Item]],supercb[Bairro],mercado7)</f>
        <v>0</v>
      </c>
      <c r="AR310" s="61">
        <f>SUMIFS(super1[Qtde],super1[Item],tab_higiene[[#This Row],[Item]],super1[Bairro],mercado8)+SUMIFS(supercb[Qtde],supercb[Item],tab_higiene[[#This Row],[Item]],supercb[Bairro],mercado8)</f>
        <v>0</v>
      </c>
      <c r="AS310" s="61">
        <f>SUMIFS(super1[Qtde],super1[Item],tab_higiene[[#This Row],[Item]],super1[Bairro],mercado9)+SUMIFS(supercb[Qtde],supercb[Item],tab_higiene[[#This Row],[Item]],supercb[Bairro],mercado9)</f>
        <v>0</v>
      </c>
      <c r="AT310" s="61">
        <f>SUMIFS(super1[Qtde],super1[Item],tab_higiene[[#This Row],[Item]],super1[Bairro],mercado10)+SUMIFS(supercb[Qtde],supercb[Item],tab_higiene[[#This Row],[Item]],supercb[Bairro],mercado10)</f>
        <v>0</v>
      </c>
      <c r="AU310" s="61">
        <f>SUMIFS(super1[Qtde],super1[Item],tab_higiene[[#This Row],[Item]],super1[Bairro],mercado11)+SUMIFS(supercb[Qtde],supercb[Item],tab_higiene[[#This Row],[Item]],supercb[Bairro],mercado11)</f>
        <v>0</v>
      </c>
      <c r="AV310" s="61">
        <f>SUMIFS(super1[Qtde],super1[Item],tab_higiene[[#This Row],[Item]],super1[Bairro],mercado12)+SUMIFS(supercb[Qtde],supercb[Item],tab_higiene[[#This Row],[Item]],supercb[Bairro],mercado12)</f>
        <v>0</v>
      </c>
      <c r="AW310" s="61">
        <f>SUMIFS(super1[Qtde],super1[Item],tab_higiene[[#This Row],[Item]],super1[Bairro],mercado13)+SUMIFS(supercb[Qtde],supercb[Item],tab_higiene[[#This Row],[Item]],supercb[Bairro],mercado13)</f>
        <v>0</v>
      </c>
      <c r="AX310" s="61">
        <f>SUMIFS(super1[Qtde],super1[Item],tab_higiene[[#This Row],[Item]],super1[Bairro],mercado14)+SUMIFS(supercb[Qtde],supercb[Item],tab_higiene[[#This Row],[Item]],supercb[Bairro],mercado14)</f>
        <v>0</v>
      </c>
      <c r="AY310" s="61">
        <f>SUMIFS(super1[Qtde],super1[Item],tab_higiene[[#This Row],[Item]],super1[Bairro],mercado15)+SUMIFS(supercb[Qtde],supercb[Item],tab_higiene[[#This Row],[Item]],supercb[Bairro],mercado15)</f>
        <v>0</v>
      </c>
      <c r="AZ310" s="61">
        <f>SUMIFS(super1[Qtde],super1[Item],tab_higiene[[#This Row],[Item]],super1[Bairro],mercado16)+SUMIFS(supercb[Qtde],supercb[Item],tab_higiene[[#This Row],[Item]],supercb[Bairro],mercado16)</f>
        <v>0</v>
      </c>
      <c r="BA310" s="61">
        <f>SUMIFS(super1[Qtde],super1[Item],tab_higiene[[#This Row],[Item]],super1[Bairro],mercado17)+SUMIFS(supercb[Qtde],supercb[Item],tab_higiene[[#This Row],[Item]],supercb[Bairro],mercado17)</f>
        <v>0</v>
      </c>
      <c r="BB310" s="61">
        <f>SUMIFS(super1[Qtde],super1[Item],tab_higiene[[#This Row],[Item]],super1[Bairro],mercado18)+SUMIFS(supercb[Qtde],supercb[Item],tab_higiene[[#This Row],[Item]],supercb[Bairro],mercado18)</f>
        <v>0</v>
      </c>
      <c r="BC310" s="51">
        <f>SUMIFS(super1[Qtde],super1[Item],tab_higiene[[#This Row],[Item]],super1[Bairro],extras)+SUMIFS(supercb[Qtde],supercb[Item],tab_higiene[[#This Row],[Item]],supercb[Bairro],extras)</f>
        <v>0</v>
      </c>
      <c r="BD310" s="8">
        <f t="shared" si="91"/>
        <v>0</v>
      </c>
      <c r="BE310" s="8">
        <f t="shared" si="92"/>
        <v>0</v>
      </c>
      <c r="BF310" s="23">
        <f t="shared" si="93"/>
        <v>0</v>
      </c>
    </row>
    <row r="311" spans="9:58" ht="15.75" thickBot="1" x14ac:dyDescent="0.3">
      <c r="I311" s="65" t="e">
        <f>alimentos[[#This Row],[Item]]</f>
        <v>#VALUE!</v>
      </c>
      <c r="J311" s="61">
        <f>IFERROR(alimentos[[#This Row],[kg/embalagem]],0)</f>
        <v>0</v>
      </c>
      <c r="K311" s="64">
        <f>IFERROR(alimentos[[#This Row],[Preço]],0)</f>
        <v>0</v>
      </c>
      <c r="L311" s="64">
        <f>SUMIFS(super1[Qtde],super1[Item],tab_alimentos[[#This Row],[Item]],super1[Bairro],mercado1)+SUMIFS(supercb[Qtde],supercb[Item],tab_alimentos[[#This Row],[Item]],supercb[Bairro],mercado1)</f>
        <v>0</v>
      </c>
      <c r="M311" s="64">
        <f>SUMIFS(super1[Qtde],super1[Item],tab_alimentos[[#This Row],[Item]],super1[Bairro],mercado2)+SUMIFS(supercb[Qtde],supercb[Item],tab_alimentos[[#This Row],[Item]],supercb[Bairro],mercado2)</f>
        <v>0</v>
      </c>
      <c r="N311" s="61">
        <f>SUMIFS(super1[Qtde],super1[Item],tab_alimentos[[#This Row],[Item]],super1[Bairro],mercado3)+SUMIFS(supercb[Qtde],supercb[Item],tab_alimentos[[#This Row],[Item]],supercb[Bairro],mercado3)</f>
        <v>0</v>
      </c>
      <c r="O311" s="64">
        <f>SUMIFS(super1[Qtde],super1[Item],tab_alimentos[[#This Row],[Item]],super1[Bairro],mercado4)+SUMIFS(supercb[Qtde],supercb[Item],tab_alimentos[[#This Row],[Item]],supercb[Bairro],mercado4)</f>
        <v>0</v>
      </c>
      <c r="P311" s="64">
        <f>SUMIFS(super1[Qtde],super1[Item],tab_alimentos[[#This Row],[Item]],super1[Bairro],mercado5)+SUMIFS(supercb[Qtde],supercb[Item],tab_alimentos[[#This Row],[Item]],supercb[Bairro],mercado5)</f>
        <v>0</v>
      </c>
      <c r="Q311" s="64">
        <f>SUMIFS(super1[Qtde],super1[Item],tab_alimentos[[#This Row],[Item]],super1[Bairro],mercado6)+SUMIFS(supercb[Qtde],supercb[Item],tab_alimentos[[#This Row],[Item]],supercb[Bairro],mercado6)</f>
        <v>0</v>
      </c>
      <c r="R311" s="64">
        <f>SUMIFS(super1[Qtde],super1[Item],tab_alimentos[[#This Row],[Item]],super1[Bairro],mercado7)+SUMIFS(supercb[Qtde],supercb[Item],tab_alimentos[[#This Row],[Item]],supercb[Bairro],mercado7)</f>
        <v>0</v>
      </c>
      <c r="S311" s="64">
        <f>SUMIFS(super1[Qtde],super1[Item],tab_alimentos[[#This Row],[Item]],super1[Bairro],mercado8)+SUMIFS(supercb[Qtde],supercb[Item],tab_alimentos[[#This Row],[Item]],supercb[Bairro],mercado8)</f>
        <v>0</v>
      </c>
      <c r="T311" s="64">
        <f>SUMIFS(super1[Qtde],super1[Item],tab_alimentos[[#This Row],[Item]],super1[Bairro],mercado9)+SUMIFS(supercb[Qtde],supercb[Item],tab_alimentos[[#This Row],[Item]],supercb[Bairro],mercado9)</f>
        <v>0</v>
      </c>
      <c r="U311" s="64">
        <f>SUMIFS(super1[Qtde],super1[Item],tab_alimentos[[#This Row],[Item]],super1[Bairro],mercado10)+SUMIFS(supercb[Qtde],supercb[Item],tab_alimentos[[#This Row],[Item]],supercb[Bairro],mercado10)</f>
        <v>0</v>
      </c>
      <c r="V311" s="64">
        <f>SUMIFS(super1[Qtde],super1[Item],tab_alimentos[[#This Row],[Item]],super1[Bairro],mercado11)+SUMIFS(supercb[Qtde],supercb[Item],tab_alimentos[[#This Row],[Item]],supercb[Bairro],mercado11)</f>
        <v>0</v>
      </c>
      <c r="W311" s="64">
        <f>SUMIFS(super1[Qtde],super1[Item],tab_alimentos[[#This Row],[Item]],super1[Bairro],mercado12)+SUMIFS(supercb[Qtde],supercb[Item],tab_alimentos[[#This Row],[Item]],supercb[Bairro],mercado12)</f>
        <v>0</v>
      </c>
      <c r="X311" s="64">
        <f>SUMIFS(super1[Qtde],super1[Item],tab_alimentos[[#This Row],[Item]],super1[Bairro],mercado13)+SUMIFS(supercb[Qtde],supercb[Item],tab_alimentos[[#This Row],[Item]],supercb[Bairro],mercado13)</f>
        <v>0</v>
      </c>
      <c r="Y311" s="64">
        <f>SUMIFS(super1[Qtde],super1[Item],tab_alimentos[[#This Row],[Item]],super1[Bairro],mercado14)+SUMIFS(supercb[Qtde],supercb[Item],tab_alimentos[[#This Row],[Item]],supercb[Bairro],mercado14)</f>
        <v>0</v>
      </c>
      <c r="Z311" s="64">
        <f>SUMIFS(super1[Qtde],super1[Item],tab_alimentos[[#This Row],[Item]],super1[Bairro],mercado15)+SUMIFS(supercb[Qtde],supercb[Item],tab_alimentos[[#This Row],[Item]],supercb[Bairro],mercado15)</f>
        <v>0</v>
      </c>
      <c r="AA311" s="64">
        <f>SUMIFS(super1[Qtde],super1[Item],tab_alimentos[[#This Row],[Item]],super1[Bairro],mercado16)+SUMIFS(supercb[Qtde],supercb[Item],tab_alimentos[[#This Row],[Item]],supercb[Bairro],mercado16)</f>
        <v>0</v>
      </c>
      <c r="AB311" s="64">
        <f>SUMIFS(super1[Qtde],super1[Item],tab_alimentos[[#This Row],[Item]],super1[Bairro],mercado17)+SUMIFS(supercb[Qtde],supercb[Item],tab_alimentos[[#This Row],[Item]],supercb[Bairro],mercado17)</f>
        <v>0</v>
      </c>
      <c r="AC311" s="64">
        <f>SUMIFS(super1[Qtde],super1[Item],tab_alimentos[[#This Row],[Item]],super1[Bairro],mercado18)+SUMIFS(supercb[Qtde],supercb[Item],tab_alimentos[[#This Row],[Item]],supercb[Bairro],mercado18)</f>
        <v>0</v>
      </c>
      <c r="AD311" s="64">
        <f>SUMIFS(super1[Qtde],super1[Item],tab_alimentos[[#This Row],[Item]],super1[Bairro],extras)+SUMIFS(supercb[Qtde],supercb[Item],tab_alimentos[[#This Row],[Item]],supercb[Bairro],extras)</f>
        <v>0</v>
      </c>
      <c r="AE311" s="61">
        <f t="shared" si="88"/>
        <v>0</v>
      </c>
      <c r="AF311" s="61">
        <f t="shared" si="89"/>
        <v>0</v>
      </c>
      <c r="AG311" s="62">
        <f t="shared" si="90"/>
        <v>0</v>
      </c>
      <c r="AH311" s="15" t="e">
        <f>higiene[[#This Row],[Item]]</f>
        <v>#VALUE!</v>
      </c>
      <c r="AI311" s="8">
        <f>IFERROR(higiene[[#This Row],[Kg equivalente]],0)</f>
        <v>0</v>
      </c>
      <c r="AJ311" s="8">
        <f>IFERROR(higiene[[#This Row],[Preço por produto]],0)</f>
        <v>0</v>
      </c>
      <c r="AK311" s="61">
        <f>SUMIFS(super1[Qtde],super1[Item],tab_higiene[[#This Row],[Item]],super1[Bairro],mercado1)+SUMIFS(supercb[Qtde],supercb[Item],tab_higiene[[#This Row],[Item]],supercb[Bairro],mercado1)</f>
        <v>0</v>
      </c>
      <c r="AL311" s="61">
        <f>SUMIFS(super1[Qtde],super1[Item],tab_higiene[[#This Row],[Item]],super1[Bairro],mercado2)+SUMIFS(supercb[Qtde],supercb[Item],tab_higiene[[#This Row],[Item]],supercb[Bairro],mercado2)</f>
        <v>0</v>
      </c>
      <c r="AM311" s="61">
        <f>SUMIFS(super1[Qtde],super1[Item],tab_higiene[[#This Row],[Item]],super1[Bairro],mercado3)+SUMIFS(supercb[Qtde],supercb[Item],tab_higiene[[#This Row],[Item]],supercb[Bairro],mercado3)</f>
        <v>0</v>
      </c>
      <c r="AN311" s="61">
        <f>SUMIFS(super1[Qtde],super1[Item],tab_higiene[[#This Row],[Item]],super1[Bairro],mercado4)+SUMIFS(supercb[Qtde],supercb[Item],tab_higiene[[#This Row],[Item]],supercb[Bairro],mercado4)</f>
        <v>0</v>
      </c>
      <c r="AO311" s="61">
        <f>SUMIFS(super1[Qtde],super1[Item],tab_higiene[[#This Row],[Item]],super1[Bairro],mercado5)+SUMIFS(supercb[Qtde],supercb[Item],tab_higiene[[#This Row],[Item]],supercb[Bairro],mercado5)</f>
        <v>0</v>
      </c>
      <c r="AP311" s="61">
        <f>SUMIFS(super1[Qtde],super1[Item],tab_higiene[[#This Row],[Item]],super1[Bairro],mercado6)+SUMIFS(supercb[Qtde],supercb[Item],tab_higiene[[#This Row],[Item]],supercb[Bairro],mercado6)</f>
        <v>0</v>
      </c>
      <c r="AQ311" s="61">
        <f>SUMIFS(super1[Qtde],super1[Item],tab_higiene[[#This Row],[Item]],super1[Bairro],mercado7)+SUMIFS(supercb[Qtde],supercb[Item],tab_higiene[[#This Row],[Item]],supercb[Bairro],mercado7)</f>
        <v>0</v>
      </c>
      <c r="AR311" s="61">
        <f>SUMIFS(super1[Qtde],super1[Item],tab_higiene[[#This Row],[Item]],super1[Bairro],mercado8)+SUMIFS(supercb[Qtde],supercb[Item],tab_higiene[[#This Row],[Item]],supercb[Bairro],mercado8)</f>
        <v>0</v>
      </c>
      <c r="AS311" s="61">
        <f>SUMIFS(super1[Qtde],super1[Item],tab_higiene[[#This Row],[Item]],super1[Bairro],mercado9)+SUMIFS(supercb[Qtde],supercb[Item],tab_higiene[[#This Row],[Item]],supercb[Bairro],mercado9)</f>
        <v>0</v>
      </c>
      <c r="AT311" s="61">
        <f>SUMIFS(super1[Qtde],super1[Item],tab_higiene[[#This Row],[Item]],super1[Bairro],mercado10)+SUMIFS(supercb[Qtde],supercb[Item],tab_higiene[[#This Row],[Item]],supercb[Bairro],mercado10)</f>
        <v>0</v>
      </c>
      <c r="AU311" s="61">
        <f>SUMIFS(super1[Qtde],super1[Item],tab_higiene[[#This Row],[Item]],super1[Bairro],mercado11)+SUMIFS(supercb[Qtde],supercb[Item],tab_higiene[[#This Row],[Item]],supercb[Bairro],mercado11)</f>
        <v>0</v>
      </c>
      <c r="AV311" s="61">
        <f>SUMIFS(super1[Qtde],super1[Item],tab_higiene[[#This Row],[Item]],super1[Bairro],mercado12)+SUMIFS(supercb[Qtde],supercb[Item],tab_higiene[[#This Row],[Item]],supercb[Bairro],mercado12)</f>
        <v>0</v>
      </c>
      <c r="AW311" s="61">
        <f>SUMIFS(super1[Qtde],super1[Item],tab_higiene[[#This Row],[Item]],super1[Bairro],mercado13)+SUMIFS(supercb[Qtde],supercb[Item],tab_higiene[[#This Row],[Item]],supercb[Bairro],mercado13)</f>
        <v>0</v>
      </c>
      <c r="AX311" s="61">
        <f>SUMIFS(super1[Qtde],super1[Item],tab_higiene[[#This Row],[Item]],super1[Bairro],mercado14)+SUMIFS(supercb[Qtde],supercb[Item],tab_higiene[[#This Row],[Item]],supercb[Bairro],mercado14)</f>
        <v>0</v>
      </c>
      <c r="AY311" s="61">
        <f>SUMIFS(super1[Qtde],super1[Item],tab_higiene[[#This Row],[Item]],super1[Bairro],mercado15)+SUMIFS(supercb[Qtde],supercb[Item],tab_higiene[[#This Row],[Item]],supercb[Bairro],mercado15)</f>
        <v>0</v>
      </c>
      <c r="AZ311" s="61">
        <f>SUMIFS(super1[Qtde],super1[Item],tab_higiene[[#This Row],[Item]],super1[Bairro],mercado16)+SUMIFS(supercb[Qtde],supercb[Item],tab_higiene[[#This Row],[Item]],supercb[Bairro],mercado16)</f>
        <v>0</v>
      </c>
      <c r="BA311" s="61">
        <f>SUMIFS(super1[Qtde],super1[Item],tab_higiene[[#This Row],[Item]],super1[Bairro],mercado17)+SUMIFS(supercb[Qtde],supercb[Item],tab_higiene[[#This Row],[Item]],supercb[Bairro],mercado17)</f>
        <v>0</v>
      </c>
      <c r="BB311" s="61">
        <f>SUMIFS(super1[Qtde],super1[Item],tab_higiene[[#This Row],[Item]],super1[Bairro],mercado18)+SUMIFS(supercb[Qtde],supercb[Item],tab_higiene[[#This Row],[Item]],supercb[Bairro],mercado18)</f>
        <v>0</v>
      </c>
      <c r="BC311" s="51">
        <f>SUMIFS(super1[Qtde],super1[Item],tab_higiene[[#This Row],[Item]],super1[Bairro],extras)+SUMIFS(supercb[Qtde],supercb[Item],tab_higiene[[#This Row],[Item]],supercb[Bairro],extras)</f>
        <v>0</v>
      </c>
      <c r="BD311" s="8">
        <f t="shared" si="91"/>
        <v>0</v>
      </c>
      <c r="BE311" s="8">
        <f t="shared" si="92"/>
        <v>0</v>
      </c>
      <c r="BF311" s="23">
        <f t="shared" si="93"/>
        <v>0</v>
      </c>
    </row>
    <row r="312" spans="9:58" ht="15.75" thickBot="1" x14ac:dyDescent="0.3">
      <c r="I312" s="65" t="e">
        <f>alimentos[[#This Row],[Item]]</f>
        <v>#VALUE!</v>
      </c>
      <c r="J312" s="61">
        <f>IFERROR(alimentos[[#This Row],[kg/embalagem]],0)</f>
        <v>0</v>
      </c>
      <c r="K312" s="64">
        <f>IFERROR(alimentos[[#This Row],[Preço]],0)</f>
        <v>0</v>
      </c>
      <c r="L312" s="64">
        <f>SUMIFS(super1[Qtde],super1[Item],tab_alimentos[[#This Row],[Item]],super1[Bairro],mercado1)+SUMIFS(supercb[Qtde],supercb[Item],tab_alimentos[[#This Row],[Item]],supercb[Bairro],mercado1)</f>
        <v>0</v>
      </c>
      <c r="M312" s="64">
        <f>SUMIFS(super1[Qtde],super1[Item],tab_alimentos[[#This Row],[Item]],super1[Bairro],mercado2)+SUMIFS(supercb[Qtde],supercb[Item],tab_alimentos[[#This Row],[Item]],supercb[Bairro],mercado2)</f>
        <v>0</v>
      </c>
      <c r="N312" s="61">
        <f>SUMIFS(super1[Qtde],super1[Item],tab_alimentos[[#This Row],[Item]],super1[Bairro],mercado3)+SUMIFS(supercb[Qtde],supercb[Item],tab_alimentos[[#This Row],[Item]],supercb[Bairro],mercado3)</f>
        <v>0</v>
      </c>
      <c r="O312" s="64">
        <f>SUMIFS(super1[Qtde],super1[Item],tab_alimentos[[#This Row],[Item]],super1[Bairro],mercado4)+SUMIFS(supercb[Qtde],supercb[Item],tab_alimentos[[#This Row],[Item]],supercb[Bairro],mercado4)</f>
        <v>0</v>
      </c>
      <c r="P312" s="64">
        <f>SUMIFS(super1[Qtde],super1[Item],tab_alimentos[[#This Row],[Item]],super1[Bairro],mercado5)+SUMIFS(supercb[Qtde],supercb[Item],tab_alimentos[[#This Row],[Item]],supercb[Bairro],mercado5)</f>
        <v>0</v>
      </c>
      <c r="Q312" s="64">
        <f>SUMIFS(super1[Qtde],super1[Item],tab_alimentos[[#This Row],[Item]],super1[Bairro],mercado6)+SUMIFS(supercb[Qtde],supercb[Item],tab_alimentos[[#This Row],[Item]],supercb[Bairro],mercado6)</f>
        <v>0</v>
      </c>
      <c r="R312" s="64">
        <f>SUMIFS(super1[Qtde],super1[Item],tab_alimentos[[#This Row],[Item]],super1[Bairro],mercado7)+SUMIFS(supercb[Qtde],supercb[Item],tab_alimentos[[#This Row],[Item]],supercb[Bairro],mercado7)</f>
        <v>0</v>
      </c>
      <c r="S312" s="64">
        <f>SUMIFS(super1[Qtde],super1[Item],tab_alimentos[[#This Row],[Item]],super1[Bairro],mercado8)+SUMIFS(supercb[Qtde],supercb[Item],tab_alimentos[[#This Row],[Item]],supercb[Bairro],mercado8)</f>
        <v>0</v>
      </c>
      <c r="T312" s="64">
        <f>SUMIFS(super1[Qtde],super1[Item],tab_alimentos[[#This Row],[Item]],super1[Bairro],mercado9)+SUMIFS(supercb[Qtde],supercb[Item],tab_alimentos[[#This Row],[Item]],supercb[Bairro],mercado9)</f>
        <v>0</v>
      </c>
      <c r="U312" s="64">
        <f>SUMIFS(super1[Qtde],super1[Item],tab_alimentos[[#This Row],[Item]],super1[Bairro],mercado10)+SUMIFS(supercb[Qtde],supercb[Item],tab_alimentos[[#This Row],[Item]],supercb[Bairro],mercado10)</f>
        <v>0</v>
      </c>
      <c r="V312" s="64">
        <f>SUMIFS(super1[Qtde],super1[Item],tab_alimentos[[#This Row],[Item]],super1[Bairro],mercado11)+SUMIFS(supercb[Qtde],supercb[Item],tab_alimentos[[#This Row],[Item]],supercb[Bairro],mercado11)</f>
        <v>0</v>
      </c>
      <c r="W312" s="64">
        <f>SUMIFS(super1[Qtde],super1[Item],tab_alimentos[[#This Row],[Item]],super1[Bairro],mercado12)+SUMIFS(supercb[Qtde],supercb[Item],tab_alimentos[[#This Row],[Item]],supercb[Bairro],mercado12)</f>
        <v>0</v>
      </c>
      <c r="X312" s="64">
        <f>SUMIFS(super1[Qtde],super1[Item],tab_alimentos[[#This Row],[Item]],super1[Bairro],mercado13)+SUMIFS(supercb[Qtde],supercb[Item],tab_alimentos[[#This Row],[Item]],supercb[Bairro],mercado13)</f>
        <v>0</v>
      </c>
      <c r="Y312" s="64">
        <f>SUMIFS(super1[Qtde],super1[Item],tab_alimentos[[#This Row],[Item]],super1[Bairro],mercado14)+SUMIFS(supercb[Qtde],supercb[Item],tab_alimentos[[#This Row],[Item]],supercb[Bairro],mercado14)</f>
        <v>0</v>
      </c>
      <c r="Z312" s="64">
        <f>SUMIFS(super1[Qtde],super1[Item],tab_alimentos[[#This Row],[Item]],super1[Bairro],mercado15)+SUMIFS(supercb[Qtde],supercb[Item],tab_alimentos[[#This Row],[Item]],supercb[Bairro],mercado15)</f>
        <v>0</v>
      </c>
      <c r="AA312" s="64">
        <f>SUMIFS(super1[Qtde],super1[Item],tab_alimentos[[#This Row],[Item]],super1[Bairro],mercado16)+SUMIFS(supercb[Qtde],supercb[Item],tab_alimentos[[#This Row],[Item]],supercb[Bairro],mercado16)</f>
        <v>0</v>
      </c>
      <c r="AB312" s="64">
        <f>SUMIFS(super1[Qtde],super1[Item],tab_alimentos[[#This Row],[Item]],super1[Bairro],mercado17)+SUMIFS(supercb[Qtde],supercb[Item],tab_alimentos[[#This Row],[Item]],supercb[Bairro],mercado17)</f>
        <v>0</v>
      </c>
      <c r="AC312" s="64">
        <f>SUMIFS(super1[Qtde],super1[Item],tab_alimentos[[#This Row],[Item]],super1[Bairro],mercado18)+SUMIFS(supercb[Qtde],supercb[Item],tab_alimentos[[#This Row],[Item]],supercb[Bairro],mercado18)</f>
        <v>0</v>
      </c>
      <c r="AD312" s="64">
        <f>SUMIFS(super1[Qtde],super1[Item],tab_alimentos[[#This Row],[Item]],super1[Bairro],extras)+SUMIFS(supercb[Qtde],supercb[Item],tab_alimentos[[#This Row],[Item]],supercb[Bairro],extras)</f>
        <v>0</v>
      </c>
      <c r="AE312" s="61">
        <f t="shared" si="88"/>
        <v>0</v>
      </c>
      <c r="AF312" s="61">
        <f t="shared" si="89"/>
        <v>0</v>
      </c>
      <c r="AG312" s="62">
        <f t="shared" si="90"/>
        <v>0</v>
      </c>
      <c r="AH312" s="15" t="e">
        <f>higiene[[#This Row],[Item]]</f>
        <v>#VALUE!</v>
      </c>
      <c r="AI312" s="8">
        <f>IFERROR(higiene[[#This Row],[Kg equivalente]],0)</f>
        <v>0</v>
      </c>
      <c r="AJ312" s="8">
        <f>IFERROR(higiene[[#This Row],[Preço por produto]],0)</f>
        <v>0</v>
      </c>
      <c r="AK312" s="61">
        <f>SUMIFS(super1[Qtde],super1[Item],tab_higiene[[#This Row],[Item]],super1[Bairro],mercado1)+SUMIFS(supercb[Qtde],supercb[Item],tab_higiene[[#This Row],[Item]],supercb[Bairro],mercado1)</f>
        <v>0</v>
      </c>
      <c r="AL312" s="61">
        <f>SUMIFS(super1[Qtde],super1[Item],tab_higiene[[#This Row],[Item]],super1[Bairro],mercado2)+SUMIFS(supercb[Qtde],supercb[Item],tab_higiene[[#This Row],[Item]],supercb[Bairro],mercado2)</f>
        <v>0</v>
      </c>
      <c r="AM312" s="61">
        <f>SUMIFS(super1[Qtde],super1[Item],tab_higiene[[#This Row],[Item]],super1[Bairro],mercado3)+SUMIFS(supercb[Qtde],supercb[Item],tab_higiene[[#This Row],[Item]],supercb[Bairro],mercado3)</f>
        <v>0</v>
      </c>
      <c r="AN312" s="61">
        <f>SUMIFS(super1[Qtde],super1[Item],tab_higiene[[#This Row],[Item]],super1[Bairro],mercado4)+SUMIFS(supercb[Qtde],supercb[Item],tab_higiene[[#This Row],[Item]],supercb[Bairro],mercado4)</f>
        <v>0</v>
      </c>
      <c r="AO312" s="61">
        <f>SUMIFS(super1[Qtde],super1[Item],tab_higiene[[#This Row],[Item]],super1[Bairro],mercado5)+SUMIFS(supercb[Qtde],supercb[Item],tab_higiene[[#This Row],[Item]],supercb[Bairro],mercado5)</f>
        <v>0</v>
      </c>
      <c r="AP312" s="61">
        <f>SUMIFS(super1[Qtde],super1[Item],tab_higiene[[#This Row],[Item]],super1[Bairro],mercado6)+SUMIFS(supercb[Qtde],supercb[Item],tab_higiene[[#This Row],[Item]],supercb[Bairro],mercado6)</f>
        <v>0</v>
      </c>
      <c r="AQ312" s="61">
        <f>SUMIFS(super1[Qtde],super1[Item],tab_higiene[[#This Row],[Item]],super1[Bairro],mercado7)+SUMIFS(supercb[Qtde],supercb[Item],tab_higiene[[#This Row],[Item]],supercb[Bairro],mercado7)</f>
        <v>0</v>
      </c>
      <c r="AR312" s="61">
        <f>SUMIFS(super1[Qtde],super1[Item],tab_higiene[[#This Row],[Item]],super1[Bairro],mercado8)+SUMIFS(supercb[Qtde],supercb[Item],tab_higiene[[#This Row],[Item]],supercb[Bairro],mercado8)</f>
        <v>0</v>
      </c>
      <c r="AS312" s="61">
        <f>SUMIFS(super1[Qtde],super1[Item],tab_higiene[[#This Row],[Item]],super1[Bairro],mercado9)+SUMIFS(supercb[Qtde],supercb[Item],tab_higiene[[#This Row],[Item]],supercb[Bairro],mercado9)</f>
        <v>0</v>
      </c>
      <c r="AT312" s="61">
        <f>SUMIFS(super1[Qtde],super1[Item],tab_higiene[[#This Row],[Item]],super1[Bairro],mercado10)+SUMIFS(supercb[Qtde],supercb[Item],tab_higiene[[#This Row],[Item]],supercb[Bairro],mercado10)</f>
        <v>0</v>
      </c>
      <c r="AU312" s="61">
        <f>SUMIFS(super1[Qtde],super1[Item],tab_higiene[[#This Row],[Item]],super1[Bairro],mercado11)+SUMIFS(supercb[Qtde],supercb[Item],tab_higiene[[#This Row],[Item]],supercb[Bairro],mercado11)</f>
        <v>0</v>
      </c>
      <c r="AV312" s="61">
        <f>SUMIFS(super1[Qtde],super1[Item],tab_higiene[[#This Row],[Item]],super1[Bairro],mercado12)+SUMIFS(supercb[Qtde],supercb[Item],tab_higiene[[#This Row],[Item]],supercb[Bairro],mercado12)</f>
        <v>0</v>
      </c>
      <c r="AW312" s="61">
        <f>SUMIFS(super1[Qtde],super1[Item],tab_higiene[[#This Row],[Item]],super1[Bairro],mercado13)+SUMIFS(supercb[Qtde],supercb[Item],tab_higiene[[#This Row],[Item]],supercb[Bairro],mercado13)</f>
        <v>0</v>
      </c>
      <c r="AX312" s="61">
        <f>SUMIFS(super1[Qtde],super1[Item],tab_higiene[[#This Row],[Item]],super1[Bairro],mercado14)+SUMIFS(supercb[Qtde],supercb[Item],tab_higiene[[#This Row],[Item]],supercb[Bairro],mercado14)</f>
        <v>0</v>
      </c>
      <c r="AY312" s="61">
        <f>SUMIFS(super1[Qtde],super1[Item],tab_higiene[[#This Row],[Item]],super1[Bairro],mercado15)+SUMIFS(supercb[Qtde],supercb[Item],tab_higiene[[#This Row],[Item]],supercb[Bairro],mercado15)</f>
        <v>0</v>
      </c>
      <c r="AZ312" s="61">
        <f>SUMIFS(super1[Qtde],super1[Item],tab_higiene[[#This Row],[Item]],super1[Bairro],mercado16)+SUMIFS(supercb[Qtde],supercb[Item],tab_higiene[[#This Row],[Item]],supercb[Bairro],mercado16)</f>
        <v>0</v>
      </c>
      <c r="BA312" s="61">
        <f>SUMIFS(super1[Qtde],super1[Item],tab_higiene[[#This Row],[Item]],super1[Bairro],mercado17)+SUMIFS(supercb[Qtde],supercb[Item],tab_higiene[[#This Row],[Item]],supercb[Bairro],mercado17)</f>
        <v>0</v>
      </c>
      <c r="BB312" s="61">
        <f>SUMIFS(super1[Qtde],super1[Item],tab_higiene[[#This Row],[Item]],super1[Bairro],mercado18)+SUMIFS(supercb[Qtde],supercb[Item],tab_higiene[[#This Row],[Item]],supercb[Bairro],mercado18)</f>
        <v>0</v>
      </c>
      <c r="BC312" s="51">
        <f>SUMIFS(super1[Qtde],super1[Item],tab_higiene[[#This Row],[Item]],super1[Bairro],extras)+SUMIFS(supercb[Qtde],supercb[Item],tab_higiene[[#This Row],[Item]],supercb[Bairro],extras)</f>
        <v>0</v>
      </c>
      <c r="BD312" s="8">
        <f t="shared" si="91"/>
        <v>0</v>
      </c>
      <c r="BE312" s="8">
        <f t="shared" si="92"/>
        <v>0</v>
      </c>
      <c r="BF312" s="23">
        <f t="shared" si="93"/>
        <v>0</v>
      </c>
    </row>
    <row r="313" spans="9:58" ht="15.75" thickBot="1" x14ac:dyDescent="0.3">
      <c r="I313" s="65" t="e">
        <f>alimentos[[#This Row],[Item]]</f>
        <v>#VALUE!</v>
      </c>
      <c r="J313" s="61">
        <f>IFERROR(alimentos[[#This Row],[kg/embalagem]],0)</f>
        <v>0</v>
      </c>
      <c r="K313" s="64">
        <f>IFERROR(alimentos[[#This Row],[Preço]],0)</f>
        <v>0</v>
      </c>
      <c r="L313" s="64">
        <f>SUMIFS(super1[Qtde],super1[Item],tab_alimentos[[#This Row],[Item]],super1[Bairro],mercado1)+SUMIFS(supercb[Qtde],supercb[Item],tab_alimentos[[#This Row],[Item]],supercb[Bairro],mercado1)</f>
        <v>0</v>
      </c>
      <c r="M313" s="64">
        <f>SUMIFS(super1[Qtde],super1[Item],tab_alimentos[[#This Row],[Item]],super1[Bairro],mercado2)+SUMIFS(supercb[Qtde],supercb[Item],tab_alimentos[[#This Row],[Item]],supercb[Bairro],mercado2)</f>
        <v>0</v>
      </c>
      <c r="N313" s="61">
        <f>SUMIFS(super1[Qtde],super1[Item],tab_alimentos[[#This Row],[Item]],super1[Bairro],mercado3)+SUMIFS(supercb[Qtde],supercb[Item],tab_alimentos[[#This Row],[Item]],supercb[Bairro],mercado3)</f>
        <v>0</v>
      </c>
      <c r="O313" s="64">
        <f>SUMIFS(super1[Qtde],super1[Item],tab_alimentos[[#This Row],[Item]],super1[Bairro],mercado4)+SUMIFS(supercb[Qtde],supercb[Item],tab_alimentos[[#This Row],[Item]],supercb[Bairro],mercado4)</f>
        <v>0</v>
      </c>
      <c r="P313" s="64">
        <f>SUMIFS(super1[Qtde],super1[Item],tab_alimentos[[#This Row],[Item]],super1[Bairro],mercado5)+SUMIFS(supercb[Qtde],supercb[Item],tab_alimentos[[#This Row],[Item]],supercb[Bairro],mercado5)</f>
        <v>0</v>
      </c>
      <c r="Q313" s="64">
        <f>SUMIFS(super1[Qtde],super1[Item],tab_alimentos[[#This Row],[Item]],super1[Bairro],mercado6)+SUMIFS(supercb[Qtde],supercb[Item],tab_alimentos[[#This Row],[Item]],supercb[Bairro],mercado6)</f>
        <v>0</v>
      </c>
      <c r="R313" s="64">
        <f>SUMIFS(super1[Qtde],super1[Item],tab_alimentos[[#This Row],[Item]],super1[Bairro],mercado7)+SUMIFS(supercb[Qtde],supercb[Item],tab_alimentos[[#This Row],[Item]],supercb[Bairro],mercado7)</f>
        <v>0</v>
      </c>
      <c r="S313" s="64">
        <f>SUMIFS(super1[Qtde],super1[Item],tab_alimentos[[#This Row],[Item]],super1[Bairro],mercado8)+SUMIFS(supercb[Qtde],supercb[Item],tab_alimentos[[#This Row],[Item]],supercb[Bairro],mercado8)</f>
        <v>0</v>
      </c>
      <c r="T313" s="64">
        <f>SUMIFS(super1[Qtde],super1[Item],tab_alimentos[[#This Row],[Item]],super1[Bairro],mercado9)+SUMIFS(supercb[Qtde],supercb[Item],tab_alimentos[[#This Row],[Item]],supercb[Bairro],mercado9)</f>
        <v>0</v>
      </c>
      <c r="U313" s="64">
        <f>SUMIFS(super1[Qtde],super1[Item],tab_alimentos[[#This Row],[Item]],super1[Bairro],mercado10)+SUMIFS(supercb[Qtde],supercb[Item],tab_alimentos[[#This Row],[Item]],supercb[Bairro],mercado10)</f>
        <v>0</v>
      </c>
      <c r="V313" s="64">
        <f>SUMIFS(super1[Qtde],super1[Item],tab_alimentos[[#This Row],[Item]],super1[Bairro],mercado11)+SUMIFS(supercb[Qtde],supercb[Item],tab_alimentos[[#This Row],[Item]],supercb[Bairro],mercado11)</f>
        <v>0</v>
      </c>
      <c r="W313" s="64">
        <f>SUMIFS(super1[Qtde],super1[Item],tab_alimentos[[#This Row],[Item]],super1[Bairro],mercado12)+SUMIFS(supercb[Qtde],supercb[Item],tab_alimentos[[#This Row],[Item]],supercb[Bairro],mercado12)</f>
        <v>0</v>
      </c>
      <c r="X313" s="64">
        <f>SUMIFS(super1[Qtde],super1[Item],tab_alimentos[[#This Row],[Item]],super1[Bairro],mercado13)+SUMIFS(supercb[Qtde],supercb[Item],tab_alimentos[[#This Row],[Item]],supercb[Bairro],mercado13)</f>
        <v>0</v>
      </c>
      <c r="Y313" s="64">
        <f>SUMIFS(super1[Qtde],super1[Item],tab_alimentos[[#This Row],[Item]],super1[Bairro],mercado14)+SUMIFS(supercb[Qtde],supercb[Item],tab_alimentos[[#This Row],[Item]],supercb[Bairro],mercado14)</f>
        <v>0</v>
      </c>
      <c r="Z313" s="64">
        <f>SUMIFS(super1[Qtde],super1[Item],tab_alimentos[[#This Row],[Item]],super1[Bairro],mercado15)+SUMIFS(supercb[Qtde],supercb[Item],tab_alimentos[[#This Row],[Item]],supercb[Bairro],mercado15)</f>
        <v>0</v>
      </c>
      <c r="AA313" s="64">
        <f>SUMIFS(super1[Qtde],super1[Item],tab_alimentos[[#This Row],[Item]],super1[Bairro],mercado16)+SUMIFS(supercb[Qtde],supercb[Item],tab_alimentos[[#This Row],[Item]],supercb[Bairro],mercado16)</f>
        <v>0</v>
      </c>
      <c r="AB313" s="64">
        <f>SUMIFS(super1[Qtde],super1[Item],tab_alimentos[[#This Row],[Item]],super1[Bairro],mercado17)+SUMIFS(supercb[Qtde],supercb[Item],tab_alimentos[[#This Row],[Item]],supercb[Bairro],mercado17)</f>
        <v>0</v>
      </c>
      <c r="AC313" s="64">
        <f>SUMIFS(super1[Qtde],super1[Item],tab_alimentos[[#This Row],[Item]],super1[Bairro],mercado18)+SUMIFS(supercb[Qtde],supercb[Item],tab_alimentos[[#This Row],[Item]],supercb[Bairro],mercado18)</f>
        <v>0</v>
      </c>
      <c r="AD313" s="64">
        <f>SUMIFS(super1[Qtde],super1[Item],tab_alimentos[[#This Row],[Item]],super1[Bairro],extras)+SUMIFS(supercb[Qtde],supercb[Item],tab_alimentos[[#This Row],[Item]],supercb[Bairro],extras)</f>
        <v>0</v>
      </c>
      <c r="AE313" s="61">
        <f t="shared" si="88"/>
        <v>0</v>
      </c>
      <c r="AF313" s="61">
        <f t="shared" si="89"/>
        <v>0</v>
      </c>
      <c r="AG313" s="62">
        <f t="shared" si="90"/>
        <v>0</v>
      </c>
      <c r="AH313" s="15" t="e">
        <f>higiene[[#This Row],[Item]]</f>
        <v>#VALUE!</v>
      </c>
      <c r="AI313" s="8">
        <f>IFERROR(higiene[[#This Row],[Kg equivalente]],0)</f>
        <v>0</v>
      </c>
      <c r="AJ313" s="8">
        <f>IFERROR(higiene[[#This Row],[Preço por produto]],0)</f>
        <v>0</v>
      </c>
      <c r="AK313" s="61">
        <f>SUMIFS(super1[Qtde],super1[Item],tab_higiene[[#This Row],[Item]],super1[Bairro],mercado1)+SUMIFS(supercb[Qtde],supercb[Item],tab_higiene[[#This Row],[Item]],supercb[Bairro],mercado1)</f>
        <v>0</v>
      </c>
      <c r="AL313" s="61">
        <f>SUMIFS(super1[Qtde],super1[Item],tab_higiene[[#This Row],[Item]],super1[Bairro],mercado2)+SUMIFS(supercb[Qtde],supercb[Item],tab_higiene[[#This Row],[Item]],supercb[Bairro],mercado2)</f>
        <v>0</v>
      </c>
      <c r="AM313" s="61">
        <f>SUMIFS(super1[Qtde],super1[Item],tab_higiene[[#This Row],[Item]],super1[Bairro],mercado3)+SUMIFS(supercb[Qtde],supercb[Item],tab_higiene[[#This Row],[Item]],supercb[Bairro],mercado3)</f>
        <v>0</v>
      </c>
      <c r="AN313" s="61">
        <f>SUMIFS(super1[Qtde],super1[Item],tab_higiene[[#This Row],[Item]],super1[Bairro],mercado4)+SUMIFS(supercb[Qtde],supercb[Item],tab_higiene[[#This Row],[Item]],supercb[Bairro],mercado4)</f>
        <v>0</v>
      </c>
      <c r="AO313" s="61">
        <f>SUMIFS(super1[Qtde],super1[Item],tab_higiene[[#This Row],[Item]],super1[Bairro],mercado5)+SUMIFS(supercb[Qtde],supercb[Item],tab_higiene[[#This Row],[Item]],supercb[Bairro],mercado5)</f>
        <v>0</v>
      </c>
      <c r="AP313" s="61">
        <f>SUMIFS(super1[Qtde],super1[Item],tab_higiene[[#This Row],[Item]],super1[Bairro],mercado6)+SUMIFS(supercb[Qtde],supercb[Item],tab_higiene[[#This Row],[Item]],supercb[Bairro],mercado6)</f>
        <v>0</v>
      </c>
      <c r="AQ313" s="61">
        <f>SUMIFS(super1[Qtde],super1[Item],tab_higiene[[#This Row],[Item]],super1[Bairro],mercado7)+SUMIFS(supercb[Qtde],supercb[Item],tab_higiene[[#This Row],[Item]],supercb[Bairro],mercado7)</f>
        <v>0</v>
      </c>
      <c r="AR313" s="61">
        <f>SUMIFS(super1[Qtde],super1[Item],tab_higiene[[#This Row],[Item]],super1[Bairro],mercado8)+SUMIFS(supercb[Qtde],supercb[Item],tab_higiene[[#This Row],[Item]],supercb[Bairro],mercado8)</f>
        <v>0</v>
      </c>
      <c r="AS313" s="61">
        <f>SUMIFS(super1[Qtde],super1[Item],tab_higiene[[#This Row],[Item]],super1[Bairro],mercado9)+SUMIFS(supercb[Qtde],supercb[Item],tab_higiene[[#This Row],[Item]],supercb[Bairro],mercado9)</f>
        <v>0</v>
      </c>
      <c r="AT313" s="61">
        <f>SUMIFS(super1[Qtde],super1[Item],tab_higiene[[#This Row],[Item]],super1[Bairro],mercado10)+SUMIFS(supercb[Qtde],supercb[Item],tab_higiene[[#This Row],[Item]],supercb[Bairro],mercado10)</f>
        <v>0</v>
      </c>
      <c r="AU313" s="61">
        <f>SUMIFS(super1[Qtde],super1[Item],tab_higiene[[#This Row],[Item]],super1[Bairro],mercado11)+SUMIFS(supercb[Qtde],supercb[Item],tab_higiene[[#This Row],[Item]],supercb[Bairro],mercado11)</f>
        <v>0</v>
      </c>
      <c r="AV313" s="61">
        <f>SUMIFS(super1[Qtde],super1[Item],tab_higiene[[#This Row],[Item]],super1[Bairro],mercado12)+SUMIFS(supercb[Qtde],supercb[Item],tab_higiene[[#This Row],[Item]],supercb[Bairro],mercado12)</f>
        <v>0</v>
      </c>
      <c r="AW313" s="61">
        <f>SUMIFS(super1[Qtde],super1[Item],tab_higiene[[#This Row],[Item]],super1[Bairro],mercado13)+SUMIFS(supercb[Qtde],supercb[Item],tab_higiene[[#This Row],[Item]],supercb[Bairro],mercado13)</f>
        <v>0</v>
      </c>
      <c r="AX313" s="61">
        <f>SUMIFS(super1[Qtde],super1[Item],tab_higiene[[#This Row],[Item]],super1[Bairro],mercado14)+SUMIFS(supercb[Qtde],supercb[Item],tab_higiene[[#This Row],[Item]],supercb[Bairro],mercado14)</f>
        <v>0</v>
      </c>
      <c r="AY313" s="61">
        <f>SUMIFS(super1[Qtde],super1[Item],tab_higiene[[#This Row],[Item]],super1[Bairro],mercado15)+SUMIFS(supercb[Qtde],supercb[Item],tab_higiene[[#This Row],[Item]],supercb[Bairro],mercado15)</f>
        <v>0</v>
      </c>
      <c r="AZ313" s="61">
        <f>SUMIFS(super1[Qtde],super1[Item],tab_higiene[[#This Row],[Item]],super1[Bairro],mercado16)+SUMIFS(supercb[Qtde],supercb[Item],tab_higiene[[#This Row],[Item]],supercb[Bairro],mercado16)</f>
        <v>0</v>
      </c>
      <c r="BA313" s="61">
        <f>SUMIFS(super1[Qtde],super1[Item],tab_higiene[[#This Row],[Item]],super1[Bairro],mercado17)+SUMIFS(supercb[Qtde],supercb[Item],tab_higiene[[#This Row],[Item]],supercb[Bairro],mercado17)</f>
        <v>0</v>
      </c>
      <c r="BB313" s="61">
        <f>SUMIFS(super1[Qtde],super1[Item],tab_higiene[[#This Row],[Item]],super1[Bairro],mercado18)+SUMIFS(supercb[Qtde],supercb[Item],tab_higiene[[#This Row],[Item]],supercb[Bairro],mercado18)</f>
        <v>0</v>
      </c>
      <c r="BC313" s="51">
        <f>SUMIFS(super1[Qtde],super1[Item],tab_higiene[[#This Row],[Item]],super1[Bairro],extras)+SUMIFS(supercb[Qtde],supercb[Item],tab_higiene[[#This Row],[Item]],supercb[Bairro],extras)</f>
        <v>0</v>
      </c>
      <c r="BD313" s="8">
        <f t="shared" si="91"/>
        <v>0</v>
      </c>
      <c r="BE313" s="8">
        <f t="shared" si="92"/>
        <v>0</v>
      </c>
      <c r="BF313" s="23">
        <f t="shared" si="93"/>
        <v>0</v>
      </c>
    </row>
    <row r="314" spans="9:58" ht="15.75" thickBot="1" x14ac:dyDescent="0.3">
      <c r="I314" s="65" t="e">
        <f>alimentos[[#This Row],[Item]]</f>
        <v>#VALUE!</v>
      </c>
      <c r="J314" s="61">
        <f>IFERROR(alimentos[[#This Row],[kg/embalagem]],0)</f>
        <v>0</v>
      </c>
      <c r="K314" s="64">
        <f>IFERROR(alimentos[[#This Row],[Preço]],0)</f>
        <v>0</v>
      </c>
      <c r="L314" s="64">
        <f>SUMIFS(super1[Qtde],super1[Item],tab_alimentos[[#This Row],[Item]],super1[Bairro],mercado1)+SUMIFS(supercb[Qtde],supercb[Item],tab_alimentos[[#This Row],[Item]],supercb[Bairro],mercado1)</f>
        <v>0</v>
      </c>
      <c r="M314" s="64">
        <f>SUMIFS(super1[Qtde],super1[Item],tab_alimentos[[#This Row],[Item]],super1[Bairro],mercado2)+SUMIFS(supercb[Qtde],supercb[Item],tab_alimentos[[#This Row],[Item]],supercb[Bairro],mercado2)</f>
        <v>0</v>
      </c>
      <c r="N314" s="61">
        <f>SUMIFS(super1[Qtde],super1[Item],tab_alimentos[[#This Row],[Item]],super1[Bairro],mercado3)+SUMIFS(supercb[Qtde],supercb[Item],tab_alimentos[[#This Row],[Item]],supercb[Bairro],mercado3)</f>
        <v>0</v>
      </c>
      <c r="O314" s="64">
        <f>SUMIFS(super1[Qtde],super1[Item],tab_alimentos[[#This Row],[Item]],super1[Bairro],mercado4)+SUMIFS(supercb[Qtde],supercb[Item],tab_alimentos[[#This Row],[Item]],supercb[Bairro],mercado4)</f>
        <v>0</v>
      </c>
      <c r="P314" s="64">
        <f>SUMIFS(super1[Qtde],super1[Item],tab_alimentos[[#This Row],[Item]],super1[Bairro],mercado5)+SUMIFS(supercb[Qtde],supercb[Item],tab_alimentos[[#This Row],[Item]],supercb[Bairro],mercado5)</f>
        <v>0</v>
      </c>
      <c r="Q314" s="64">
        <f>SUMIFS(super1[Qtde],super1[Item],tab_alimentos[[#This Row],[Item]],super1[Bairro],mercado6)+SUMIFS(supercb[Qtde],supercb[Item],tab_alimentos[[#This Row],[Item]],supercb[Bairro],mercado6)</f>
        <v>0</v>
      </c>
      <c r="R314" s="64">
        <f>SUMIFS(super1[Qtde],super1[Item],tab_alimentos[[#This Row],[Item]],super1[Bairro],mercado7)+SUMIFS(supercb[Qtde],supercb[Item],tab_alimentos[[#This Row],[Item]],supercb[Bairro],mercado7)</f>
        <v>0</v>
      </c>
      <c r="S314" s="64">
        <f>SUMIFS(super1[Qtde],super1[Item],tab_alimentos[[#This Row],[Item]],super1[Bairro],mercado8)+SUMIFS(supercb[Qtde],supercb[Item],tab_alimentos[[#This Row],[Item]],supercb[Bairro],mercado8)</f>
        <v>0</v>
      </c>
      <c r="T314" s="64">
        <f>SUMIFS(super1[Qtde],super1[Item],tab_alimentos[[#This Row],[Item]],super1[Bairro],mercado9)+SUMIFS(supercb[Qtde],supercb[Item],tab_alimentos[[#This Row],[Item]],supercb[Bairro],mercado9)</f>
        <v>0</v>
      </c>
      <c r="U314" s="64">
        <f>SUMIFS(super1[Qtde],super1[Item],tab_alimentos[[#This Row],[Item]],super1[Bairro],mercado10)+SUMIFS(supercb[Qtde],supercb[Item],tab_alimentos[[#This Row],[Item]],supercb[Bairro],mercado10)</f>
        <v>0</v>
      </c>
      <c r="V314" s="64">
        <f>SUMIFS(super1[Qtde],super1[Item],tab_alimentos[[#This Row],[Item]],super1[Bairro],mercado11)+SUMIFS(supercb[Qtde],supercb[Item],tab_alimentos[[#This Row],[Item]],supercb[Bairro],mercado11)</f>
        <v>0</v>
      </c>
      <c r="W314" s="64">
        <f>SUMIFS(super1[Qtde],super1[Item],tab_alimentos[[#This Row],[Item]],super1[Bairro],mercado12)+SUMIFS(supercb[Qtde],supercb[Item],tab_alimentos[[#This Row],[Item]],supercb[Bairro],mercado12)</f>
        <v>0</v>
      </c>
      <c r="X314" s="64">
        <f>SUMIFS(super1[Qtde],super1[Item],tab_alimentos[[#This Row],[Item]],super1[Bairro],mercado13)+SUMIFS(supercb[Qtde],supercb[Item],tab_alimentos[[#This Row],[Item]],supercb[Bairro],mercado13)</f>
        <v>0</v>
      </c>
      <c r="Y314" s="64">
        <f>SUMIFS(super1[Qtde],super1[Item],tab_alimentos[[#This Row],[Item]],super1[Bairro],mercado14)+SUMIFS(supercb[Qtde],supercb[Item],tab_alimentos[[#This Row],[Item]],supercb[Bairro],mercado14)</f>
        <v>0</v>
      </c>
      <c r="Z314" s="64">
        <f>SUMIFS(super1[Qtde],super1[Item],tab_alimentos[[#This Row],[Item]],super1[Bairro],mercado15)+SUMIFS(supercb[Qtde],supercb[Item],tab_alimentos[[#This Row],[Item]],supercb[Bairro],mercado15)</f>
        <v>0</v>
      </c>
      <c r="AA314" s="64">
        <f>SUMIFS(super1[Qtde],super1[Item],tab_alimentos[[#This Row],[Item]],super1[Bairro],mercado16)+SUMIFS(supercb[Qtde],supercb[Item],tab_alimentos[[#This Row],[Item]],supercb[Bairro],mercado16)</f>
        <v>0</v>
      </c>
      <c r="AB314" s="64">
        <f>SUMIFS(super1[Qtde],super1[Item],tab_alimentos[[#This Row],[Item]],super1[Bairro],mercado17)+SUMIFS(supercb[Qtde],supercb[Item],tab_alimentos[[#This Row],[Item]],supercb[Bairro],mercado17)</f>
        <v>0</v>
      </c>
      <c r="AC314" s="64">
        <f>SUMIFS(super1[Qtde],super1[Item],tab_alimentos[[#This Row],[Item]],super1[Bairro],mercado18)+SUMIFS(supercb[Qtde],supercb[Item],tab_alimentos[[#This Row],[Item]],supercb[Bairro],mercado18)</f>
        <v>0</v>
      </c>
      <c r="AD314" s="64">
        <f>SUMIFS(super1[Qtde],super1[Item],tab_alimentos[[#This Row],[Item]],super1[Bairro],extras)+SUMIFS(supercb[Qtde],supercb[Item],tab_alimentos[[#This Row],[Item]],supercb[Bairro],extras)</f>
        <v>0</v>
      </c>
      <c r="AE314" s="61">
        <f t="shared" si="88"/>
        <v>0</v>
      </c>
      <c r="AF314" s="61">
        <f t="shared" si="89"/>
        <v>0</v>
      </c>
      <c r="AG314" s="62">
        <f t="shared" si="90"/>
        <v>0</v>
      </c>
      <c r="AH314" s="15" t="e">
        <f>higiene[[#This Row],[Item]]</f>
        <v>#VALUE!</v>
      </c>
      <c r="AI314" s="8">
        <f>IFERROR(higiene[[#This Row],[Kg equivalente]],0)</f>
        <v>0</v>
      </c>
      <c r="AJ314" s="8">
        <f>IFERROR(higiene[[#This Row],[Preço por produto]],0)</f>
        <v>0</v>
      </c>
      <c r="AK314" s="61">
        <f>SUMIFS(super1[Qtde],super1[Item],tab_higiene[[#This Row],[Item]],super1[Bairro],mercado1)+SUMIFS(supercb[Qtde],supercb[Item],tab_higiene[[#This Row],[Item]],supercb[Bairro],mercado1)</f>
        <v>0</v>
      </c>
      <c r="AL314" s="61">
        <f>SUMIFS(super1[Qtde],super1[Item],tab_higiene[[#This Row],[Item]],super1[Bairro],mercado2)+SUMIFS(supercb[Qtde],supercb[Item],tab_higiene[[#This Row],[Item]],supercb[Bairro],mercado2)</f>
        <v>0</v>
      </c>
      <c r="AM314" s="61">
        <f>SUMIFS(super1[Qtde],super1[Item],tab_higiene[[#This Row],[Item]],super1[Bairro],mercado3)+SUMIFS(supercb[Qtde],supercb[Item],tab_higiene[[#This Row],[Item]],supercb[Bairro],mercado3)</f>
        <v>0</v>
      </c>
      <c r="AN314" s="61">
        <f>SUMIFS(super1[Qtde],super1[Item],tab_higiene[[#This Row],[Item]],super1[Bairro],mercado4)+SUMIFS(supercb[Qtde],supercb[Item],tab_higiene[[#This Row],[Item]],supercb[Bairro],mercado4)</f>
        <v>0</v>
      </c>
      <c r="AO314" s="61">
        <f>SUMIFS(super1[Qtde],super1[Item],tab_higiene[[#This Row],[Item]],super1[Bairro],mercado5)+SUMIFS(supercb[Qtde],supercb[Item],tab_higiene[[#This Row],[Item]],supercb[Bairro],mercado5)</f>
        <v>0</v>
      </c>
      <c r="AP314" s="61">
        <f>SUMIFS(super1[Qtde],super1[Item],tab_higiene[[#This Row],[Item]],super1[Bairro],mercado6)+SUMIFS(supercb[Qtde],supercb[Item],tab_higiene[[#This Row],[Item]],supercb[Bairro],mercado6)</f>
        <v>0</v>
      </c>
      <c r="AQ314" s="61">
        <f>SUMIFS(super1[Qtde],super1[Item],tab_higiene[[#This Row],[Item]],super1[Bairro],mercado7)+SUMIFS(supercb[Qtde],supercb[Item],tab_higiene[[#This Row],[Item]],supercb[Bairro],mercado7)</f>
        <v>0</v>
      </c>
      <c r="AR314" s="61">
        <f>SUMIFS(super1[Qtde],super1[Item],tab_higiene[[#This Row],[Item]],super1[Bairro],mercado8)+SUMIFS(supercb[Qtde],supercb[Item],tab_higiene[[#This Row],[Item]],supercb[Bairro],mercado8)</f>
        <v>0</v>
      </c>
      <c r="AS314" s="61">
        <f>SUMIFS(super1[Qtde],super1[Item],tab_higiene[[#This Row],[Item]],super1[Bairro],mercado9)+SUMIFS(supercb[Qtde],supercb[Item],tab_higiene[[#This Row],[Item]],supercb[Bairro],mercado9)</f>
        <v>0</v>
      </c>
      <c r="AT314" s="61">
        <f>SUMIFS(super1[Qtde],super1[Item],tab_higiene[[#This Row],[Item]],super1[Bairro],mercado10)+SUMIFS(supercb[Qtde],supercb[Item],tab_higiene[[#This Row],[Item]],supercb[Bairro],mercado10)</f>
        <v>0</v>
      </c>
      <c r="AU314" s="61">
        <f>SUMIFS(super1[Qtde],super1[Item],tab_higiene[[#This Row],[Item]],super1[Bairro],mercado11)+SUMIFS(supercb[Qtde],supercb[Item],tab_higiene[[#This Row],[Item]],supercb[Bairro],mercado11)</f>
        <v>0</v>
      </c>
      <c r="AV314" s="61">
        <f>SUMIFS(super1[Qtde],super1[Item],tab_higiene[[#This Row],[Item]],super1[Bairro],mercado12)+SUMIFS(supercb[Qtde],supercb[Item],tab_higiene[[#This Row],[Item]],supercb[Bairro],mercado12)</f>
        <v>0</v>
      </c>
      <c r="AW314" s="61">
        <f>SUMIFS(super1[Qtde],super1[Item],tab_higiene[[#This Row],[Item]],super1[Bairro],mercado13)+SUMIFS(supercb[Qtde],supercb[Item],tab_higiene[[#This Row],[Item]],supercb[Bairro],mercado13)</f>
        <v>0</v>
      </c>
      <c r="AX314" s="61">
        <f>SUMIFS(super1[Qtde],super1[Item],tab_higiene[[#This Row],[Item]],super1[Bairro],mercado14)+SUMIFS(supercb[Qtde],supercb[Item],tab_higiene[[#This Row],[Item]],supercb[Bairro],mercado14)</f>
        <v>0</v>
      </c>
      <c r="AY314" s="61">
        <f>SUMIFS(super1[Qtde],super1[Item],tab_higiene[[#This Row],[Item]],super1[Bairro],mercado15)+SUMIFS(supercb[Qtde],supercb[Item],tab_higiene[[#This Row],[Item]],supercb[Bairro],mercado15)</f>
        <v>0</v>
      </c>
      <c r="AZ314" s="61">
        <f>SUMIFS(super1[Qtde],super1[Item],tab_higiene[[#This Row],[Item]],super1[Bairro],mercado16)+SUMIFS(supercb[Qtde],supercb[Item],tab_higiene[[#This Row],[Item]],supercb[Bairro],mercado16)</f>
        <v>0</v>
      </c>
      <c r="BA314" s="61">
        <f>SUMIFS(super1[Qtde],super1[Item],tab_higiene[[#This Row],[Item]],super1[Bairro],mercado17)+SUMIFS(supercb[Qtde],supercb[Item],tab_higiene[[#This Row],[Item]],supercb[Bairro],mercado17)</f>
        <v>0</v>
      </c>
      <c r="BB314" s="61">
        <f>SUMIFS(super1[Qtde],super1[Item],tab_higiene[[#This Row],[Item]],super1[Bairro],mercado18)+SUMIFS(supercb[Qtde],supercb[Item],tab_higiene[[#This Row],[Item]],supercb[Bairro],mercado18)</f>
        <v>0</v>
      </c>
      <c r="BC314" s="51">
        <f>SUMIFS(super1[Qtde],super1[Item],tab_higiene[[#This Row],[Item]],super1[Bairro],extras)+SUMIFS(supercb[Qtde],supercb[Item],tab_higiene[[#This Row],[Item]],supercb[Bairro],extras)</f>
        <v>0</v>
      </c>
      <c r="BD314" s="8">
        <f t="shared" si="91"/>
        <v>0</v>
      </c>
      <c r="BE314" s="8">
        <f t="shared" si="92"/>
        <v>0</v>
      </c>
      <c r="BF314" s="23">
        <f t="shared" si="93"/>
        <v>0</v>
      </c>
    </row>
    <row r="315" spans="9:58" ht="15.75" thickBot="1" x14ac:dyDescent="0.3">
      <c r="I315" s="65" t="e">
        <f>alimentos[[#This Row],[Item]]</f>
        <v>#VALUE!</v>
      </c>
      <c r="J315" s="61">
        <f>IFERROR(alimentos[[#This Row],[kg/embalagem]],0)</f>
        <v>0</v>
      </c>
      <c r="K315" s="64">
        <f>IFERROR(alimentos[[#This Row],[Preço]],0)</f>
        <v>0</v>
      </c>
      <c r="L315" s="64">
        <f>SUMIFS(super1[Qtde],super1[Item],tab_alimentos[[#This Row],[Item]],super1[Bairro],mercado1)+SUMIFS(supercb[Qtde],supercb[Item],tab_alimentos[[#This Row],[Item]],supercb[Bairro],mercado1)</f>
        <v>0</v>
      </c>
      <c r="M315" s="64">
        <f>SUMIFS(super1[Qtde],super1[Item],tab_alimentos[[#This Row],[Item]],super1[Bairro],mercado2)+SUMIFS(supercb[Qtde],supercb[Item],tab_alimentos[[#This Row],[Item]],supercb[Bairro],mercado2)</f>
        <v>0</v>
      </c>
      <c r="N315" s="61">
        <f>SUMIFS(super1[Qtde],super1[Item],tab_alimentos[[#This Row],[Item]],super1[Bairro],mercado3)+SUMIFS(supercb[Qtde],supercb[Item],tab_alimentos[[#This Row],[Item]],supercb[Bairro],mercado3)</f>
        <v>0</v>
      </c>
      <c r="O315" s="64">
        <f>SUMIFS(super1[Qtde],super1[Item],tab_alimentos[[#This Row],[Item]],super1[Bairro],mercado4)+SUMIFS(supercb[Qtde],supercb[Item],tab_alimentos[[#This Row],[Item]],supercb[Bairro],mercado4)</f>
        <v>0</v>
      </c>
      <c r="P315" s="64">
        <f>SUMIFS(super1[Qtde],super1[Item],tab_alimentos[[#This Row],[Item]],super1[Bairro],mercado5)+SUMIFS(supercb[Qtde],supercb[Item],tab_alimentos[[#This Row],[Item]],supercb[Bairro],mercado5)</f>
        <v>0</v>
      </c>
      <c r="Q315" s="64">
        <f>SUMIFS(super1[Qtde],super1[Item],tab_alimentos[[#This Row],[Item]],super1[Bairro],mercado6)+SUMIFS(supercb[Qtde],supercb[Item],tab_alimentos[[#This Row],[Item]],supercb[Bairro],mercado6)</f>
        <v>0</v>
      </c>
      <c r="R315" s="64">
        <f>SUMIFS(super1[Qtde],super1[Item],tab_alimentos[[#This Row],[Item]],super1[Bairro],mercado7)+SUMIFS(supercb[Qtde],supercb[Item],tab_alimentos[[#This Row],[Item]],supercb[Bairro],mercado7)</f>
        <v>0</v>
      </c>
      <c r="S315" s="64">
        <f>SUMIFS(super1[Qtde],super1[Item],tab_alimentos[[#This Row],[Item]],super1[Bairro],mercado8)+SUMIFS(supercb[Qtde],supercb[Item],tab_alimentos[[#This Row],[Item]],supercb[Bairro],mercado8)</f>
        <v>0</v>
      </c>
      <c r="T315" s="64">
        <f>SUMIFS(super1[Qtde],super1[Item],tab_alimentos[[#This Row],[Item]],super1[Bairro],mercado9)+SUMIFS(supercb[Qtde],supercb[Item],tab_alimentos[[#This Row],[Item]],supercb[Bairro],mercado9)</f>
        <v>0</v>
      </c>
      <c r="U315" s="64">
        <f>SUMIFS(super1[Qtde],super1[Item],tab_alimentos[[#This Row],[Item]],super1[Bairro],mercado10)+SUMIFS(supercb[Qtde],supercb[Item],tab_alimentos[[#This Row],[Item]],supercb[Bairro],mercado10)</f>
        <v>0</v>
      </c>
      <c r="V315" s="64">
        <f>SUMIFS(super1[Qtde],super1[Item],tab_alimentos[[#This Row],[Item]],super1[Bairro],mercado11)+SUMIFS(supercb[Qtde],supercb[Item],tab_alimentos[[#This Row],[Item]],supercb[Bairro],mercado11)</f>
        <v>0</v>
      </c>
      <c r="W315" s="64">
        <f>SUMIFS(super1[Qtde],super1[Item],tab_alimentos[[#This Row],[Item]],super1[Bairro],mercado12)+SUMIFS(supercb[Qtde],supercb[Item],tab_alimentos[[#This Row],[Item]],supercb[Bairro],mercado12)</f>
        <v>0</v>
      </c>
      <c r="X315" s="64">
        <f>SUMIFS(super1[Qtde],super1[Item],tab_alimentos[[#This Row],[Item]],super1[Bairro],mercado13)+SUMIFS(supercb[Qtde],supercb[Item],tab_alimentos[[#This Row],[Item]],supercb[Bairro],mercado13)</f>
        <v>0</v>
      </c>
      <c r="Y315" s="64">
        <f>SUMIFS(super1[Qtde],super1[Item],tab_alimentos[[#This Row],[Item]],super1[Bairro],mercado14)+SUMIFS(supercb[Qtde],supercb[Item],tab_alimentos[[#This Row],[Item]],supercb[Bairro],mercado14)</f>
        <v>0</v>
      </c>
      <c r="Z315" s="64">
        <f>SUMIFS(super1[Qtde],super1[Item],tab_alimentos[[#This Row],[Item]],super1[Bairro],mercado15)+SUMIFS(supercb[Qtde],supercb[Item],tab_alimentos[[#This Row],[Item]],supercb[Bairro],mercado15)</f>
        <v>0</v>
      </c>
      <c r="AA315" s="64">
        <f>SUMIFS(super1[Qtde],super1[Item],tab_alimentos[[#This Row],[Item]],super1[Bairro],mercado16)+SUMIFS(supercb[Qtde],supercb[Item],tab_alimentos[[#This Row],[Item]],supercb[Bairro],mercado16)</f>
        <v>0</v>
      </c>
      <c r="AB315" s="64">
        <f>SUMIFS(super1[Qtde],super1[Item],tab_alimentos[[#This Row],[Item]],super1[Bairro],mercado17)+SUMIFS(supercb[Qtde],supercb[Item],tab_alimentos[[#This Row],[Item]],supercb[Bairro],mercado17)</f>
        <v>0</v>
      </c>
      <c r="AC315" s="64">
        <f>SUMIFS(super1[Qtde],super1[Item],tab_alimentos[[#This Row],[Item]],super1[Bairro],mercado18)+SUMIFS(supercb[Qtde],supercb[Item],tab_alimentos[[#This Row],[Item]],supercb[Bairro],mercado18)</f>
        <v>0</v>
      </c>
      <c r="AD315" s="64">
        <f>SUMIFS(super1[Qtde],super1[Item],tab_alimentos[[#This Row],[Item]],super1[Bairro],extras)+SUMIFS(supercb[Qtde],supercb[Item],tab_alimentos[[#This Row],[Item]],supercb[Bairro],extras)</f>
        <v>0</v>
      </c>
      <c r="AE315" s="61">
        <f t="shared" si="88"/>
        <v>0</v>
      </c>
      <c r="AF315" s="61">
        <f t="shared" si="89"/>
        <v>0</v>
      </c>
      <c r="AG315" s="62">
        <f t="shared" si="90"/>
        <v>0</v>
      </c>
      <c r="AH315" s="15" t="e">
        <f>higiene[[#This Row],[Item]]</f>
        <v>#VALUE!</v>
      </c>
      <c r="AI315" s="8">
        <f>IFERROR(higiene[[#This Row],[Kg equivalente]],0)</f>
        <v>0</v>
      </c>
      <c r="AJ315" s="8">
        <f>IFERROR(higiene[[#This Row],[Preço por produto]],0)</f>
        <v>0</v>
      </c>
      <c r="AK315" s="61">
        <f>SUMIFS(super1[Qtde],super1[Item],tab_higiene[[#This Row],[Item]],super1[Bairro],mercado1)+SUMIFS(supercb[Qtde],supercb[Item],tab_higiene[[#This Row],[Item]],supercb[Bairro],mercado1)</f>
        <v>0</v>
      </c>
      <c r="AL315" s="61">
        <f>SUMIFS(super1[Qtde],super1[Item],tab_higiene[[#This Row],[Item]],super1[Bairro],mercado2)+SUMIFS(supercb[Qtde],supercb[Item],tab_higiene[[#This Row],[Item]],supercb[Bairro],mercado2)</f>
        <v>0</v>
      </c>
      <c r="AM315" s="61">
        <f>SUMIFS(super1[Qtde],super1[Item],tab_higiene[[#This Row],[Item]],super1[Bairro],mercado3)+SUMIFS(supercb[Qtde],supercb[Item],tab_higiene[[#This Row],[Item]],supercb[Bairro],mercado3)</f>
        <v>0</v>
      </c>
      <c r="AN315" s="61">
        <f>SUMIFS(super1[Qtde],super1[Item],tab_higiene[[#This Row],[Item]],super1[Bairro],mercado4)+SUMIFS(supercb[Qtde],supercb[Item],tab_higiene[[#This Row],[Item]],supercb[Bairro],mercado4)</f>
        <v>0</v>
      </c>
      <c r="AO315" s="61">
        <f>SUMIFS(super1[Qtde],super1[Item],tab_higiene[[#This Row],[Item]],super1[Bairro],mercado5)+SUMIFS(supercb[Qtde],supercb[Item],tab_higiene[[#This Row],[Item]],supercb[Bairro],mercado5)</f>
        <v>0</v>
      </c>
      <c r="AP315" s="61">
        <f>SUMIFS(super1[Qtde],super1[Item],tab_higiene[[#This Row],[Item]],super1[Bairro],mercado6)+SUMIFS(supercb[Qtde],supercb[Item],tab_higiene[[#This Row],[Item]],supercb[Bairro],mercado6)</f>
        <v>0</v>
      </c>
      <c r="AQ315" s="61">
        <f>SUMIFS(super1[Qtde],super1[Item],tab_higiene[[#This Row],[Item]],super1[Bairro],mercado7)+SUMIFS(supercb[Qtde],supercb[Item],tab_higiene[[#This Row],[Item]],supercb[Bairro],mercado7)</f>
        <v>0</v>
      </c>
      <c r="AR315" s="61">
        <f>SUMIFS(super1[Qtde],super1[Item],tab_higiene[[#This Row],[Item]],super1[Bairro],mercado8)+SUMIFS(supercb[Qtde],supercb[Item],tab_higiene[[#This Row],[Item]],supercb[Bairro],mercado8)</f>
        <v>0</v>
      </c>
      <c r="AS315" s="61">
        <f>SUMIFS(super1[Qtde],super1[Item],tab_higiene[[#This Row],[Item]],super1[Bairro],mercado9)+SUMIFS(supercb[Qtde],supercb[Item],tab_higiene[[#This Row],[Item]],supercb[Bairro],mercado9)</f>
        <v>0</v>
      </c>
      <c r="AT315" s="61">
        <f>SUMIFS(super1[Qtde],super1[Item],tab_higiene[[#This Row],[Item]],super1[Bairro],mercado10)+SUMIFS(supercb[Qtde],supercb[Item],tab_higiene[[#This Row],[Item]],supercb[Bairro],mercado10)</f>
        <v>0</v>
      </c>
      <c r="AU315" s="61">
        <f>SUMIFS(super1[Qtde],super1[Item],tab_higiene[[#This Row],[Item]],super1[Bairro],mercado11)+SUMIFS(supercb[Qtde],supercb[Item],tab_higiene[[#This Row],[Item]],supercb[Bairro],mercado11)</f>
        <v>0</v>
      </c>
      <c r="AV315" s="61">
        <f>SUMIFS(super1[Qtde],super1[Item],tab_higiene[[#This Row],[Item]],super1[Bairro],mercado12)+SUMIFS(supercb[Qtde],supercb[Item],tab_higiene[[#This Row],[Item]],supercb[Bairro],mercado12)</f>
        <v>0</v>
      </c>
      <c r="AW315" s="61">
        <f>SUMIFS(super1[Qtde],super1[Item],tab_higiene[[#This Row],[Item]],super1[Bairro],mercado13)+SUMIFS(supercb[Qtde],supercb[Item],tab_higiene[[#This Row],[Item]],supercb[Bairro],mercado13)</f>
        <v>0</v>
      </c>
      <c r="AX315" s="61">
        <f>SUMIFS(super1[Qtde],super1[Item],tab_higiene[[#This Row],[Item]],super1[Bairro],mercado14)+SUMIFS(supercb[Qtde],supercb[Item],tab_higiene[[#This Row],[Item]],supercb[Bairro],mercado14)</f>
        <v>0</v>
      </c>
      <c r="AY315" s="61">
        <f>SUMIFS(super1[Qtde],super1[Item],tab_higiene[[#This Row],[Item]],super1[Bairro],mercado15)+SUMIFS(supercb[Qtde],supercb[Item],tab_higiene[[#This Row],[Item]],supercb[Bairro],mercado15)</f>
        <v>0</v>
      </c>
      <c r="AZ315" s="61">
        <f>SUMIFS(super1[Qtde],super1[Item],tab_higiene[[#This Row],[Item]],super1[Bairro],mercado16)+SUMIFS(supercb[Qtde],supercb[Item],tab_higiene[[#This Row],[Item]],supercb[Bairro],mercado16)</f>
        <v>0</v>
      </c>
      <c r="BA315" s="61">
        <f>SUMIFS(super1[Qtde],super1[Item],tab_higiene[[#This Row],[Item]],super1[Bairro],mercado17)+SUMIFS(supercb[Qtde],supercb[Item],tab_higiene[[#This Row],[Item]],supercb[Bairro],mercado17)</f>
        <v>0</v>
      </c>
      <c r="BB315" s="61">
        <f>SUMIFS(super1[Qtde],super1[Item],tab_higiene[[#This Row],[Item]],super1[Bairro],mercado18)+SUMIFS(supercb[Qtde],supercb[Item],tab_higiene[[#This Row],[Item]],supercb[Bairro],mercado18)</f>
        <v>0</v>
      </c>
      <c r="BC315" s="51">
        <f>SUMIFS(super1[Qtde],super1[Item],tab_higiene[[#This Row],[Item]],super1[Bairro],extras)+SUMIFS(supercb[Qtde],supercb[Item],tab_higiene[[#This Row],[Item]],supercb[Bairro],extras)</f>
        <v>0</v>
      </c>
      <c r="BD315" s="8">
        <f t="shared" si="91"/>
        <v>0</v>
      </c>
      <c r="BE315" s="8">
        <f t="shared" si="92"/>
        <v>0</v>
      </c>
      <c r="BF315" s="23">
        <f t="shared" si="93"/>
        <v>0</v>
      </c>
    </row>
    <row r="316" spans="9:58" x14ac:dyDescent="0.25">
      <c r="I316" s="65" t="e">
        <f>alimentos[[#This Row],[Item]]</f>
        <v>#VALUE!</v>
      </c>
      <c r="J316" s="61">
        <f>IFERROR(alimentos[[#This Row],[kg/embalagem]],0)</f>
        <v>0</v>
      </c>
      <c r="K316" s="64">
        <f>IFERROR(alimentos[[#This Row],[Preço]],0)</f>
        <v>0</v>
      </c>
      <c r="L316" s="64">
        <f>SUMIFS(super1[Qtde],super1[Item],tab_alimentos[[#This Row],[Item]],super1[Bairro],mercado1)+SUMIFS(supercb[Qtde],supercb[Item],tab_alimentos[[#This Row],[Item]],supercb[Bairro],mercado1)</f>
        <v>0</v>
      </c>
      <c r="M316" s="64">
        <f>SUMIFS(super1[Qtde],super1[Item],tab_alimentos[[#This Row],[Item]],super1[Bairro],mercado2)+SUMIFS(supercb[Qtde],supercb[Item],tab_alimentos[[#This Row],[Item]],supercb[Bairro],mercado2)</f>
        <v>0</v>
      </c>
      <c r="N316" s="61">
        <f>SUMIFS(super1[Qtde],super1[Item],tab_alimentos[[#This Row],[Item]],super1[Bairro],mercado3)+SUMIFS(supercb[Qtde],supercb[Item],tab_alimentos[[#This Row],[Item]],supercb[Bairro],mercado3)</f>
        <v>0</v>
      </c>
      <c r="O316" s="64">
        <f>SUMIFS(super1[Qtde],super1[Item],tab_alimentos[[#This Row],[Item]],super1[Bairro],mercado4)+SUMIFS(supercb[Qtde],supercb[Item],tab_alimentos[[#This Row],[Item]],supercb[Bairro],mercado4)</f>
        <v>0</v>
      </c>
      <c r="P316" s="64">
        <f>SUMIFS(super1[Qtde],super1[Item],tab_alimentos[[#This Row],[Item]],super1[Bairro],mercado5)+SUMIFS(supercb[Qtde],supercb[Item],tab_alimentos[[#This Row],[Item]],supercb[Bairro],mercado5)</f>
        <v>0</v>
      </c>
      <c r="Q316" s="64">
        <f>SUMIFS(super1[Qtde],super1[Item],tab_alimentos[[#This Row],[Item]],super1[Bairro],mercado6)+SUMIFS(supercb[Qtde],supercb[Item],tab_alimentos[[#This Row],[Item]],supercb[Bairro],mercado6)</f>
        <v>0</v>
      </c>
      <c r="R316" s="64">
        <f>SUMIFS(super1[Qtde],super1[Item],tab_alimentos[[#This Row],[Item]],super1[Bairro],mercado7)+SUMIFS(supercb[Qtde],supercb[Item],tab_alimentos[[#This Row],[Item]],supercb[Bairro],mercado7)</f>
        <v>0</v>
      </c>
      <c r="S316" s="64">
        <f>SUMIFS(super1[Qtde],super1[Item],tab_alimentos[[#This Row],[Item]],super1[Bairro],mercado8)+SUMIFS(supercb[Qtde],supercb[Item],tab_alimentos[[#This Row],[Item]],supercb[Bairro],mercado8)</f>
        <v>0</v>
      </c>
      <c r="T316" s="64">
        <f>SUMIFS(super1[Qtde],super1[Item],tab_alimentos[[#This Row],[Item]],super1[Bairro],mercado9)+SUMIFS(supercb[Qtde],supercb[Item],tab_alimentos[[#This Row],[Item]],supercb[Bairro],mercado9)</f>
        <v>0</v>
      </c>
      <c r="U316" s="64">
        <f>SUMIFS(super1[Qtde],super1[Item],tab_alimentos[[#This Row],[Item]],super1[Bairro],mercado10)+SUMIFS(supercb[Qtde],supercb[Item],tab_alimentos[[#This Row],[Item]],supercb[Bairro],mercado10)</f>
        <v>0</v>
      </c>
      <c r="V316" s="64">
        <f>SUMIFS(super1[Qtde],super1[Item],tab_alimentos[[#This Row],[Item]],super1[Bairro],mercado11)+SUMIFS(supercb[Qtde],supercb[Item],tab_alimentos[[#This Row],[Item]],supercb[Bairro],mercado11)</f>
        <v>0</v>
      </c>
      <c r="W316" s="64">
        <f>SUMIFS(super1[Qtde],super1[Item],tab_alimentos[[#This Row],[Item]],super1[Bairro],mercado12)+SUMIFS(supercb[Qtde],supercb[Item],tab_alimentos[[#This Row],[Item]],supercb[Bairro],mercado12)</f>
        <v>0</v>
      </c>
      <c r="X316" s="64">
        <f>SUMIFS(super1[Qtde],super1[Item],tab_alimentos[[#This Row],[Item]],super1[Bairro],mercado13)+SUMIFS(supercb[Qtde],supercb[Item],tab_alimentos[[#This Row],[Item]],supercb[Bairro],mercado13)</f>
        <v>0</v>
      </c>
      <c r="Y316" s="64">
        <f>SUMIFS(super1[Qtde],super1[Item],tab_alimentos[[#This Row],[Item]],super1[Bairro],mercado14)+SUMIFS(supercb[Qtde],supercb[Item],tab_alimentos[[#This Row],[Item]],supercb[Bairro],mercado14)</f>
        <v>0</v>
      </c>
      <c r="Z316" s="64">
        <f>SUMIFS(super1[Qtde],super1[Item],tab_alimentos[[#This Row],[Item]],super1[Bairro],mercado15)+SUMIFS(supercb[Qtde],supercb[Item],tab_alimentos[[#This Row],[Item]],supercb[Bairro],mercado15)</f>
        <v>0</v>
      </c>
      <c r="AA316" s="64">
        <f>SUMIFS(super1[Qtde],super1[Item],tab_alimentos[[#This Row],[Item]],super1[Bairro],mercado16)+SUMIFS(supercb[Qtde],supercb[Item],tab_alimentos[[#This Row],[Item]],supercb[Bairro],mercado16)</f>
        <v>0</v>
      </c>
      <c r="AB316" s="64">
        <f>SUMIFS(super1[Qtde],super1[Item],tab_alimentos[[#This Row],[Item]],super1[Bairro],mercado17)+SUMIFS(supercb[Qtde],supercb[Item],tab_alimentos[[#This Row],[Item]],supercb[Bairro],mercado17)</f>
        <v>0</v>
      </c>
      <c r="AC316" s="64">
        <f>SUMIFS(super1[Qtde],super1[Item],tab_alimentos[[#This Row],[Item]],super1[Bairro],mercado18)+SUMIFS(supercb[Qtde],supercb[Item],tab_alimentos[[#This Row],[Item]],supercb[Bairro],mercado18)</f>
        <v>0</v>
      </c>
      <c r="AD316" s="64">
        <f>SUMIFS(super1[Qtde],super1[Item],tab_alimentos[[#This Row],[Item]],super1[Bairro],extras)+SUMIFS(supercb[Qtde],supercb[Item],tab_alimentos[[#This Row],[Item]],supercb[Bairro],extras)</f>
        <v>0</v>
      </c>
      <c r="AE316" s="61">
        <f t="shared" si="88"/>
        <v>0</v>
      </c>
      <c r="AF316" s="61">
        <f t="shared" si="89"/>
        <v>0</v>
      </c>
      <c r="AG316" s="62">
        <f t="shared" si="90"/>
        <v>0</v>
      </c>
    </row>
    <row r="317" spans="9:58" x14ac:dyDescent="0.25">
      <c r="I317" s="65" t="e">
        <f>alimentos[[#This Row],[Item]]</f>
        <v>#VALUE!</v>
      </c>
      <c r="J317" s="61">
        <f>IFERROR(alimentos[[#This Row],[kg/embalagem]],0)</f>
        <v>0</v>
      </c>
      <c r="K317" s="64">
        <f>IFERROR(alimentos[[#This Row],[Preço]],0)</f>
        <v>0</v>
      </c>
      <c r="L317" s="64">
        <f>SUMIFS(super1[Qtde],super1[Item],tab_alimentos[[#This Row],[Item]],super1[Bairro],mercado1)+SUMIFS(supercb[Qtde],supercb[Item],tab_alimentos[[#This Row],[Item]],supercb[Bairro],mercado1)</f>
        <v>0</v>
      </c>
      <c r="M317" s="64">
        <f>SUMIFS(super1[Qtde],super1[Item],tab_alimentos[[#This Row],[Item]],super1[Bairro],mercado2)+SUMIFS(supercb[Qtde],supercb[Item],tab_alimentos[[#This Row],[Item]],supercb[Bairro],mercado2)</f>
        <v>0</v>
      </c>
      <c r="N317" s="61">
        <f>SUMIFS(super1[Qtde],super1[Item],tab_alimentos[[#This Row],[Item]],super1[Bairro],mercado3)+SUMIFS(supercb[Qtde],supercb[Item],tab_alimentos[[#This Row],[Item]],supercb[Bairro],mercado3)</f>
        <v>0</v>
      </c>
      <c r="O317" s="64">
        <f>SUMIFS(super1[Qtde],super1[Item],tab_alimentos[[#This Row],[Item]],super1[Bairro],mercado4)+SUMIFS(supercb[Qtde],supercb[Item],tab_alimentos[[#This Row],[Item]],supercb[Bairro],mercado4)</f>
        <v>0</v>
      </c>
      <c r="P317" s="64">
        <f>SUMIFS(super1[Qtde],super1[Item],tab_alimentos[[#This Row],[Item]],super1[Bairro],mercado5)+SUMIFS(supercb[Qtde],supercb[Item],tab_alimentos[[#This Row],[Item]],supercb[Bairro],mercado5)</f>
        <v>0</v>
      </c>
      <c r="Q317" s="64">
        <f>SUMIFS(super1[Qtde],super1[Item],tab_alimentos[[#This Row],[Item]],super1[Bairro],mercado6)+SUMIFS(supercb[Qtde],supercb[Item],tab_alimentos[[#This Row],[Item]],supercb[Bairro],mercado6)</f>
        <v>0</v>
      </c>
      <c r="R317" s="64">
        <f>SUMIFS(super1[Qtde],super1[Item],tab_alimentos[[#This Row],[Item]],super1[Bairro],mercado7)+SUMIFS(supercb[Qtde],supercb[Item],tab_alimentos[[#This Row],[Item]],supercb[Bairro],mercado7)</f>
        <v>0</v>
      </c>
      <c r="S317" s="64">
        <f>SUMIFS(super1[Qtde],super1[Item],tab_alimentos[[#This Row],[Item]],super1[Bairro],mercado8)+SUMIFS(supercb[Qtde],supercb[Item],tab_alimentos[[#This Row],[Item]],supercb[Bairro],mercado8)</f>
        <v>0</v>
      </c>
      <c r="T317" s="64">
        <f>SUMIFS(super1[Qtde],super1[Item],tab_alimentos[[#This Row],[Item]],super1[Bairro],mercado9)+SUMIFS(supercb[Qtde],supercb[Item],tab_alimentos[[#This Row],[Item]],supercb[Bairro],mercado9)</f>
        <v>0</v>
      </c>
      <c r="U317" s="64">
        <f>SUMIFS(super1[Qtde],super1[Item],tab_alimentos[[#This Row],[Item]],super1[Bairro],mercado10)+SUMIFS(supercb[Qtde],supercb[Item],tab_alimentos[[#This Row],[Item]],supercb[Bairro],mercado10)</f>
        <v>0</v>
      </c>
      <c r="V317" s="64">
        <f>SUMIFS(super1[Qtde],super1[Item],tab_alimentos[[#This Row],[Item]],super1[Bairro],mercado11)+SUMIFS(supercb[Qtde],supercb[Item],tab_alimentos[[#This Row],[Item]],supercb[Bairro],mercado11)</f>
        <v>0</v>
      </c>
      <c r="W317" s="64">
        <f>SUMIFS(super1[Qtde],super1[Item],tab_alimentos[[#This Row],[Item]],super1[Bairro],mercado12)+SUMIFS(supercb[Qtde],supercb[Item],tab_alimentos[[#This Row],[Item]],supercb[Bairro],mercado12)</f>
        <v>0</v>
      </c>
      <c r="X317" s="64">
        <f>SUMIFS(super1[Qtde],super1[Item],tab_alimentos[[#This Row],[Item]],super1[Bairro],mercado13)+SUMIFS(supercb[Qtde],supercb[Item],tab_alimentos[[#This Row],[Item]],supercb[Bairro],mercado13)</f>
        <v>0</v>
      </c>
      <c r="Y317" s="64">
        <f>SUMIFS(super1[Qtde],super1[Item],tab_alimentos[[#This Row],[Item]],super1[Bairro],mercado14)+SUMIFS(supercb[Qtde],supercb[Item],tab_alimentos[[#This Row],[Item]],supercb[Bairro],mercado14)</f>
        <v>0</v>
      </c>
      <c r="Z317" s="64">
        <f>SUMIFS(super1[Qtde],super1[Item],tab_alimentos[[#This Row],[Item]],super1[Bairro],mercado15)+SUMIFS(supercb[Qtde],supercb[Item],tab_alimentos[[#This Row],[Item]],supercb[Bairro],mercado15)</f>
        <v>0</v>
      </c>
      <c r="AA317" s="64">
        <f>SUMIFS(super1[Qtde],super1[Item],tab_alimentos[[#This Row],[Item]],super1[Bairro],mercado16)+SUMIFS(supercb[Qtde],supercb[Item],tab_alimentos[[#This Row],[Item]],supercb[Bairro],mercado16)</f>
        <v>0</v>
      </c>
      <c r="AB317" s="64">
        <f>SUMIFS(super1[Qtde],super1[Item],tab_alimentos[[#This Row],[Item]],super1[Bairro],mercado17)+SUMIFS(supercb[Qtde],supercb[Item],tab_alimentos[[#This Row],[Item]],supercb[Bairro],mercado17)</f>
        <v>0</v>
      </c>
      <c r="AC317" s="64">
        <f>SUMIFS(super1[Qtde],super1[Item],tab_alimentos[[#This Row],[Item]],super1[Bairro],mercado18)+SUMIFS(supercb[Qtde],supercb[Item],tab_alimentos[[#This Row],[Item]],supercb[Bairro],mercado18)</f>
        <v>0</v>
      </c>
      <c r="AD317" s="64">
        <f>SUMIFS(super1[Qtde],super1[Item],tab_alimentos[[#This Row],[Item]],super1[Bairro],extras)+SUMIFS(supercb[Qtde],supercb[Item],tab_alimentos[[#This Row],[Item]],supercb[Bairro],extras)</f>
        <v>0</v>
      </c>
      <c r="AE317" s="61">
        <f t="shared" si="88"/>
        <v>0</v>
      </c>
      <c r="AF317" s="61">
        <f t="shared" si="89"/>
        <v>0</v>
      </c>
      <c r="AG317" s="62">
        <f t="shared" si="90"/>
        <v>0</v>
      </c>
    </row>
    <row r="318" spans="9:58" x14ac:dyDescent="0.25">
      <c r="I318" s="65" t="e">
        <f>alimentos[[#This Row],[Item]]</f>
        <v>#VALUE!</v>
      </c>
      <c r="J318" s="61">
        <f>IFERROR(alimentos[[#This Row],[kg/embalagem]],0)</f>
        <v>0</v>
      </c>
      <c r="K318" s="64">
        <f>IFERROR(alimentos[[#This Row],[Preço]],0)</f>
        <v>0</v>
      </c>
      <c r="L318" s="64">
        <f>SUMIFS(super1[Qtde],super1[Item],tab_alimentos[[#This Row],[Item]],super1[Bairro],mercado1)+SUMIFS(supercb[Qtde],supercb[Item],tab_alimentos[[#This Row],[Item]],supercb[Bairro],mercado1)</f>
        <v>0</v>
      </c>
      <c r="M318" s="64">
        <f>SUMIFS(super1[Qtde],super1[Item],tab_alimentos[[#This Row],[Item]],super1[Bairro],mercado2)+SUMIFS(supercb[Qtde],supercb[Item],tab_alimentos[[#This Row],[Item]],supercb[Bairro],mercado2)</f>
        <v>0</v>
      </c>
      <c r="N318" s="61">
        <f>SUMIFS(super1[Qtde],super1[Item],tab_alimentos[[#This Row],[Item]],super1[Bairro],mercado3)+SUMIFS(supercb[Qtde],supercb[Item],tab_alimentos[[#This Row],[Item]],supercb[Bairro],mercado3)</f>
        <v>0</v>
      </c>
      <c r="O318" s="64">
        <f>SUMIFS(super1[Qtde],super1[Item],tab_alimentos[[#This Row],[Item]],super1[Bairro],mercado4)+SUMIFS(supercb[Qtde],supercb[Item],tab_alimentos[[#This Row],[Item]],supercb[Bairro],mercado4)</f>
        <v>0</v>
      </c>
      <c r="P318" s="64">
        <f>SUMIFS(super1[Qtde],super1[Item],tab_alimentos[[#This Row],[Item]],super1[Bairro],mercado5)+SUMIFS(supercb[Qtde],supercb[Item],tab_alimentos[[#This Row],[Item]],supercb[Bairro],mercado5)</f>
        <v>0</v>
      </c>
      <c r="Q318" s="64">
        <f>SUMIFS(super1[Qtde],super1[Item],tab_alimentos[[#This Row],[Item]],super1[Bairro],mercado6)+SUMIFS(supercb[Qtde],supercb[Item],tab_alimentos[[#This Row],[Item]],supercb[Bairro],mercado6)</f>
        <v>0</v>
      </c>
      <c r="R318" s="64">
        <f>SUMIFS(super1[Qtde],super1[Item],tab_alimentos[[#This Row],[Item]],super1[Bairro],mercado7)+SUMIFS(supercb[Qtde],supercb[Item],tab_alimentos[[#This Row],[Item]],supercb[Bairro],mercado7)</f>
        <v>0</v>
      </c>
      <c r="S318" s="64">
        <f>SUMIFS(super1[Qtde],super1[Item],tab_alimentos[[#This Row],[Item]],super1[Bairro],mercado8)+SUMIFS(supercb[Qtde],supercb[Item],tab_alimentos[[#This Row],[Item]],supercb[Bairro],mercado8)</f>
        <v>0</v>
      </c>
      <c r="T318" s="64">
        <f>SUMIFS(super1[Qtde],super1[Item],tab_alimentos[[#This Row],[Item]],super1[Bairro],mercado9)+SUMIFS(supercb[Qtde],supercb[Item],tab_alimentos[[#This Row],[Item]],supercb[Bairro],mercado9)</f>
        <v>0</v>
      </c>
      <c r="U318" s="64">
        <f>SUMIFS(super1[Qtde],super1[Item],tab_alimentos[[#This Row],[Item]],super1[Bairro],mercado10)+SUMIFS(supercb[Qtde],supercb[Item],tab_alimentos[[#This Row],[Item]],supercb[Bairro],mercado10)</f>
        <v>0</v>
      </c>
      <c r="V318" s="64">
        <f>SUMIFS(super1[Qtde],super1[Item],tab_alimentos[[#This Row],[Item]],super1[Bairro],mercado11)+SUMIFS(supercb[Qtde],supercb[Item],tab_alimentos[[#This Row],[Item]],supercb[Bairro],mercado11)</f>
        <v>0</v>
      </c>
      <c r="W318" s="64">
        <f>SUMIFS(super1[Qtde],super1[Item],tab_alimentos[[#This Row],[Item]],super1[Bairro],mercado12)+SUMIFS(supercb[Qtde],supercb[Item],tab_alimentos[[#This Row],[Item]],supercb[Bairro],mercado12)</f>
        <v>0</v>
      </c>
      <c r="X318" s="64">
        <f>SUMIFS(super1[Qtde],super1[Item],tab_alimentos[[#This Row],[Item]],super1[Bairro],mercado13)+SUMIFS(supercb[Qtde],supercb[Item],tab_alimentos[[#This Row],[Item]],supercb[Bairro],mercado13)</f>
        <v>0</v>
      </c>
      <c r="Y318" s="64">
        <f>SUMIFS(super1[Qtde],super1[Item],tab_alimentos[[#This Row],[Item]],super1[Bairro],mercado14)+SUMIFS(supercb[Qtde],supercb[Item],tab_alimentos[[#This Row],[Item]],supercb[Bairro],mercado14)</f>
        <v>0</v>
      </c>
      <c r="Z318" s="64">
        <f>SUMIFS(super1[Qtde],super1[Item],tab_alimentos[[#This Row],[Item]],super1[Bairro],mercado15)+SUMIFS(supercb[Qtde],supercb[Item],tab_alimentos[[#This Row],[Item]],supercb[Bairro],mercado15)</f>
        <v>0</v>
      </c>
      <c r="AA318" s="64">
        <f>SUMIFS(super1[Qtde],super1[Item],tab_alimentos[[#This Row],[Item]],super1[Bairro],mercado16)+SUMIFS(supercb[Qtde],supercb[Item],tab_alimentos[[#This Row],[Item]],supercb[Bairro],mercado16)</f>
        <v>0</v>
      </c>
      <c r="AB318" s="64">
        <f>SUMIFS(super1[Qtde],super1[Item],tab_alimentos[[#This Row],[Item]],super1[Bairro],mercado17)+SUMIFS(supercb[Qtde],supercb[Item],tab_alimentos[[#This Row],[Item]],supercb[Bairro],mercado17)</f>
        <v>0</v>
      </c>
      <c r="AC318" s="64">
        <f>SUMIFS(super1[Qtde],super1[Item],tab_alimentos[[#This Row],[Item]],super1[Bairro],mercado18)+SUMIFS(supercb[Qtde],supercb[Item],tab_alimentos[[#This Row],[Item]],supercb[Bairro],mercado18)</f>
        <v>0</v>
      </c>
      <c r="AD318" s="64">
        <f>SUMIFS(super1[Qtde],super1[Item],tab_alimentos[[#This Row],[Item]],super1[Bairro],extras)+SUMIFS(supercb[Qtde],supercb[Item],tab_alimentos[[#This Row],[Item]],supercb[Bairro],extras)</f>
        <v>0</v>
      </c>
      <c r="AE318" s="61">
        <f t="shared" si="88"/>
        <v>0</v>
      </c>
      <c r="AF318" s="61">
        <f t="shared" si="89"/>
        <v>0</v>
      </c>
      <c r="AG318" s="62">
        <f t="shared" si="90"/>
        <v>0</v>
      </c>
    </row>
    <row r="319" spans="9:58" x14ac:dyDescent="0.25">
      <c r="I319" s="65" t="e">
        <f>alimentos[[#This Row],[Item]]</f>
        <v>#VALUE!</v>
      </c>
      <c r="J319" s="61">
        <f>IFERROR(alimentos[[#This Row],[kg/embalagem]],0)</f>
        <v>0</v>
      </c>
      <c r="K319" s="64">
        <f>IFERROR(alimentos[[#This Row],[Preço]],0)</f>
        <v>0</v>
      </c>
      <c r="L319" s="64">
        <f>SUMIFS(super1[Qtde],super1[Item],tab_alimentos[[#This Row],[Item]],super1[Bairro],mercado1)+SUMIFS(supercb[Qtde],supercb[Item],tab_alimentos[[#This Row],[Item]],supercb[Bairro],mercado1)</f>
        <v>0</v>
      </c>
      <c r="M319" s="64">
        <f>SUMIFS(super1[Qtde],super1[Item],tab_alimentos[[#This Row],[Item]],super1[Bairro],mercado2)+SUMIFS(supercb[Qtde],supercb[Item],tab_alimentos[[#This Row],[Item]],supercb[Bairro],mercado2)</f>
        <v>0</v>
      </c>
      <c r="N319" s="61">
        <f>SUMIFS(super1[Qtde],super1[Item],tab_alimentos[[#This Row],[Item]],super1[Bairro],mercado3)+SUMIFS(supercb[Qtde],supercb[Item],tab_alimentos[[#This Row],[Item]],supercb[Bairro],mercado3)</f>
        <v>0</v>
      </c>
      <c r="O319" s="64">
        <f>SUMIFS(super1[Qtde],super1[Item],tab_alimentos[[#This Row],[Item]],super1[Bairro],mercado4)+SUMIFS(supercb[Qtde],supercb[Item],tab_alimentos[[#This Row],[Item]],supercb[Bairro],mercado4)</f>
        <v>0</v>
      </c>
      <c r="P319" s="64">
        <f>SUMIFS(super1[Qtde],super1[Item],tab_alimentos[[#This Row],[Item]],super1[Bairro],mercado5)+SUMIFS(supercb[Qtde],supercb[Item],tab_alimentos[[#This Row],[Item]],supercb[Bairro],mercado5)</f>
        <v>0</v>
      </c>
      <c r="Q319" s="64">
        <f>SUMIFS(super1[Qtde],super1[Item],tab_alimentos[[#This Row],[Item]],super1[Bairro],mercado6)+SUMIFS(supercb[Qtde],supercb[Item],tab_alimentos[[#This Row],[Item]],supercb[Bairro],mercado6)</f>
        <v>0</v>
      </c>
      <c r="R319" s="64">
        <f>SUMIFS(super1[Qtde],super1[Item],tab_alimentos[[#This Row],[Item]],super1[Bairro],mercado7)+SUMIFS(supercb[Qtde],supercb[Item],tab_alimentos[[#This Row],[Item]],supercb[Bairro],mercado7)</f>
        <v>0</v>
      </c>
      <c r="S319" s="64">
        <f>SUMIFS(super1[Qtde],super1[Item],tab_alimentos[[#This Row],[Item]],super1[Bairro],mercado8)+SUMIFS(supercb[Qtde],supercb[Item],tab_alimentos[[#This Row],[Item]],supercb[Bairro],mercado8)</f>
        <v>0</v>
      </c>
      <c r="T319" s="64">
        <f>SUMIFS(super1[Qtde],super1[Item],tab_alimentos[[#This Row],[Item]],super1[Bairro],mercado9)+SUMIFS(supercb[Qtde],supercb[Item],tab_alimentos[[#This Row],[Item]],supercb[Bairro],mercado9)</f>
        <v>0</v>
      </c>
      <c r="U319" s="64">
        <f>SUMIFS(super1[Qtde],super1[Item],tab_alimentos[[#This Row],[Item]],super1[Bairro],mercado10)+SUMIFS(supercb[Qtde],supercb[Item],tab_alimentos[[#This Row],[Item]],supercb[Bairro],mercado10)</f>
        <v>0</v>
      </c>
      <c r="V319" s="64">
        <f>SUMIFS(super1[Qtde],super1[Item],tab_alimentos[[#This Row],[Item]],super1[Bairro],mercado11)+SUMIFS(supercb[Qtde],supercb[Item],tab_alimentos[[#This Row],[Item]],supercb[Bairro],mercado11)</f>
        <v>0</v>
      </c>
      <c r="W319" s="64">
        <f>SUMIFS(super1[Qtde],super1[Item],tab_alimentos[[#This Row],[Item]],super1[Bairro],mercado12)+SUMIFS(supercb[Qtde],supercb[Item],tab_alimentos[[#This Row],[Item]],supercb[Bairro],mercado12)</f>
        <v>0</v>
      </c>
      <c r="X319" s="64">
        <f>SUMIFS(super1[Qtde],super1[Item],tab_alimentos[[#This Row],[Item]],super1[Bairro],mercado13)+SUMIFS(supercb[Qtde],supercb[Item],tab_alimentos[[#This Row],[Item]],supercb[Bairro],mercado13)</f>
        <v>0</v>
      </c>
      <c r="Y319" s="64">
        <f>SUMIFS(super1[Qtde],super1[Item],tab_alimentos[[#This Row],[Item]],super1[Bairro],mercado14)+SUMIFS(supercb[Qtde],supercb[Item],tab_alimentos[[#This Row],[Item]],supercb[Bairro],mercado14)</f>
        <v>0</v>
      </c>
      <c r="Z319" s="64">
        <f>SUMIFS(super1[Qtde],super1[Item],tab_alimentos[[#This Row],[Item]],super1[Bairro],mercado15)+SUMIFS(supercb[Qtde],supercb[Item],tab_alimentos[[#This Row],[Item]],supercb[Bairro],mercado15)</f>
        <v>0</v>
      </c>
      <c r="AA319" s="64">
        <f>SUMIFS(super1[Qtde],super1[Item],tab_alimentos[[#This Row],[Item]],super1[Bairro],mercado16)+SUMIFS(supercb[Qtde],supercb[Item],tab_alimentos[[#This Row],[Item]],supercb[Bairro],mercado16)</f>
        <v>0</v>
      </c>
      <c r="AB319" s="64">
        <f>SUMIFS(super1[Qtde],super1[Item],tab_alimentos[[#This Row],[Item]],super1[Bairro],mercado17)+SUMIFS(supercb[Qtde],supercb[Item],tab_alimentos[[#This Row],[Item]],supercb[Bairro],mercado17)</f>
        <v>0</v>
      </c>
      <c r="AC319" s="64">
        <f>SUMIFS(super1[Qtde],super1[Item],tab_alimentos[[#This Row],[Item]],super1[Bairro],mercado18)+SUMIFS(supercb[Qtde],supercb[Item],tab_alimentos[[#This Row],[Item]],supercb[Bairro],mercado18)</f>
        <v>0</v>
      </c>
      <c r="AD319" s="64">
        <f>SUMIFS(super1[Qtde],super1[Item],tab_alimentos[[#This Row],[Item]],super1[Bairro],extras)+SUMIFS(supercb[Qtde],supercb[Item],tab_alimentos[[#This Row],[Item]],supercb[Bairro],extras)</f>
        <v>0</v>
      </c>
      <c r="AE319" s="61">
        <f t="shared" si="88"/>
        <v>0</v>
      </c>
      <c r="AF319" s="61">
        <f t="shared" si="89"/>
        <v>0</v>
      </c>
      <c r="AG319" s="62">
        <f t="shared" si="90"/>
        <v>0</v>
      </c>
    </row>
    <row r="320" spans="9:58" x14ac:dyDescent="0.25">
      <c r="I320" s="65" t="e">
        <f>alimentos[[#This Row],[Item]]</f>
        <v>#VALUE!</v>
      </c>
      <c r="J320" s="61">
        <f>IFERROR(alimentos[[#This Row],[kg/embalagem]],0)</f>
        <v>0</v>
      </c>
      <c r="K320" s="64">
        <f>IFERROR(alimentos[[#This Row],[Preço]],0)</f>
        <v>0</v>
      </c>
      <c r="L320" s="64">
        <f>SUMIFS(super1[Qtde],super1[Item],tab_alimentos[[#This Row],[Item]],super1[Bairro],mercado1)+SUMIFS(supercb[Qtde],supercb[Item],tab_alimentos[[#This Row],[Item]],supercb[Bairro],mercado1)</f>
        <v>0</v>
      </c>
      <c r="M320" s="64">
        <f>SUMIFS(super1[Qtde],super1[Item],tab_alimentos[[#This Row],[Item]],super1[Bairro],mercado2)+SUMIFS(supercb[Qtde],supercb[Item],tab_alimentos[[#This Row],[Item]],supercb[Bairro],mercado2)</f>
        <v>0</v>
      </c>
      <c r="N320" s="61">
        <f>SUMIFS(super1[Qtde],super1[Item],tab_alimentos[[#This Row],[Item]],super1[Bairro],mercado3)+SUMIFS(supercb[Qtde],supercb[Item],tab_alimentos[[#This Row],[Item]],supercb[Bairro],mercado3)</f>
        <v>0</v>
      </c>
      <c r="O320" s="64">
        <f>SUMIFS(super1[Qtde],super1[Item],tab_alimentos[[#This Row],[Item]],super1[Bairro],mercado4)+SUMIFS(supercb[Qtde],supercb[Item],tab_alimentos[[#This Row],[Item]],supercb[Bairro],mercado4)</f>
        <v>0</v>
      </c>
      <c r="P320" s="64">
        <f>SUMIFS(super1[Qtde],super1[Item],tab_alimentos[[#This Row],[Item]],super1[Bairro],mercado5)+SUMIFS(supercb[Qtde],supercb[Item],tab_alimentos[[#This Row],[Item]],supercb[Bairro],mercado5)</f>
        <v>0</v>
      </c>
      <c r="Q320" s="64">
        <f>SUMIFS(super1[Qtde],super1[Item],tab_alimentos[[#This Row],[Item]],super1[Bairro],mercado6)+SUMIFS(supercb[Qtde],supercb[Item],tab_alimentos[[#This Row],[Item]],supercb[Bairro],mercado6)</f>
        <v>0</v>
      </c>
      <c r="R320" s="64">
        <f>SUMIFS(super1[Qtde],super1[Item],tab_alimentos[[#This Row],[Item]],super1[Bairro],mercado7)+SUMIFS(supercb[Qtde],supercb[Item],tab_alimentos[[#This Row],[Item]],supercb[Bairro],mercado7)</f>
        <v>0</v>
      </c>
      <c r="S320" s="64">
        <f>SUMIFS(super1[Qtde],super1[Item],tab_alimentos[[#This Row],[Item]],super1[Bairro],mercado8)+SUMIFS(supercb[Qtde],supercb[Item],tab_alimentos[[#This Row],[Item]],supercb[Bairro],mercado8)</f>
        <v>0</v>
      </c>
      <c r="T320" s="64">
        <f>SUMIFS(super1[Qtde],super1[Item],tab_alimentos[[#This Row],[Item]],super1[Bairro],mercado9)+SUMIFS(supercb[Qtde],supercb[Item],tab_alimentos[[#This Row],[Item]],supercb[Bairro],mercado9)</f>
        <v>0</v>
      </c>
      <c r="U320" s="64">
        <f>SUMIFS(super1[Qtde],super1[Item],tab_alimentos[[#This Row],[Item]],super1[Bairro],mercado10)+SUMIFS(supercb[Qtde],supercb[Item],tab_alimentos[[#This Row],[Item]],supercb[Bairro],mercado10)</f>
        <v>0</v>
      </c>
      <c r="V320" s="64">
        <f>SUMIFS(super1[Qtde],super1[Item],tab_alimentos[[#This Row],[Item]],super1[Bairro],mercado11)+SUMIFS(supercb[Qtde],supercb[Item],tab_alimentos[[#This Row],[Item]],supercb[Bairro],mercado11)</f>
        <v>0</v>
      </c>
      <c r="W320" s="64">
        <f>SUMIFS(super1[Qtde],super1[Item],tab_alimentos[[#This Row],[Item]],super1[Bairro],mercado12)+SUMIFS(supercb[Qtde],supercb[Item],tab_alimentos[[#This Row],[Item]],supercb[Bairro],mercado12)</f>
        <v>0</v>
      </c>
      <c r="X320" s="64">
        <f>SUMIFS(super1[Qtde],super1[Item],tab_alimentos[[#This Row],[Item]],super1[Bairro],mercado13)+SUMIFS(supercb[Qtde],supercb[Item],tab_alimentos[[#This Row],[Item]],supercb[Bairro],mercado13)</f>
        <v>0</v>
      </c>
      <c r="Y320" s="64">
        <f>SUMIFS(super1[Qtde],super1[Item],tab_alimentos[[#This Row],[Item]],super1[Bairro],mercado14)+SUMIFS(supercb[Qtde],supercb[Item],tab_alimentos[[#This Row],[Item]],supercb[Bairro],mercado14)</f>
        <v>0</v>
      </c>
      <c r="Z320" s="64">
        <f>SUMIFS(super1[Qtde],super1[Item],tab_alimentos[[#This Row],[Item]],super1[Bairro],mercado15)+SUMIFS(supercb[Qtde],supercb[Item],tab_alimentos[[#This Row],[Item]],supercb[Bairro],mercado15)</f>
        <v>0</v>
      </c>
      <c r="AA320" s="64">
        <f>SUMIFS(super1[Qtde],super1[Item],tab_alimentos[[#This Row],[Item]],super1[Bairro],mercado16)+SUMIFS(supercb[Qtde],supercb[Item],tab_alimentos[[#This Row],[Item]],supercb[Bairro],mercado16)</f>
        <v>0</v>
      </c>
      <c r="AB320" s="64">
        <f>SUMIFS(super1[Qtde],super1[Item],tab_alimentos[[#This Row],[Item]],super1[Bairro],mercado17)+SUMIFS(supercb[Qtde],supercb[Item],tab_alimentos[[#This Row],[Item]],supercb[Bairro],mercado17)</f>
        <v>0</v>
      </c>
      <c r="AC320" s="64">
        <f>SUMIFS(super1[Qtde],super1[Item],tab_alimentos[[#This Row],[Item]],super1[Bairro],mercado18)+SUMIFS(supercb[Qtde],supercb[Item],tab_alimentos[[#This Row],[Item]],supercb[Bairro],mercado18)</f>
        <v>0</v>
      </c>
      <c r="AD320" s="64">
        <f>SUMIFS(super1[Qtde],super1[Item],tab_alimentos[[#This Row],[Item]],super1[Bairro],extras)+SUMIFS(supercb[Qtde],supercb[Item],tab_alimentos[[#This Row],[Item]],supercb[Bairro],extras)</f>
        <v>0</v>
      </c>
      <c r="AE320" s="61">
        <f t="shared" si="88"/>
        <v>0</v>
      </c>
      <c r="AF320" s="61">
        <f t="shared" si="89"/>
        <v>0</v>
      </c>
      <c r="AG320" s="62">
        <f t="shared" si="90"/>
        <v>0</v>
      </c>
    </row>
    <row r="321" spans="9:33" x14ac:dyDescent="0.25">
      <c r="I321" s="65" t="e">
        <f>alimentos[[#This Row],[Item]]</f>
        <v>#VALUE!</v>
      </c>
      <c r="J321" s="61">
        <f>IFERROR(alimentos[[#This Row],[kg/embalagem]],0)</f>
        <v>0</v>
      </c>
      <c r="K321" s="64">
        <f>IFERROR(alimentos[[#This Row],[Preço]],0)</f>
        <v>0</v>
      </c>
      <c r="L321" s="64">
        <f>SUMIFS(super1[Qtde],super1[Item],tab_alimentos[[#This Row],[Item]],super1[Bairro],mercado1)+SUMIFS(supercb[Qtde],supercb[Item],tab_alimentos[[#This Row],[Item]],supercb[Bairro],mercado1)</f>
        <v>0</v>
      </c>
      <c r="M321" s="64">
        <f>SUMIFS(super1[Qtde],super1[Item],tab_alimentos[[#This Row],[Item]],super1[Bairro],mercado2)+SUMIFS(supercb[Qtde],supercb[Item],tab_alimentos[[#This Row],[Item]],supercb[Bairro],mercado2)</f>
        <v>0</v>
      </c>
      <c r="N321" s="61">
        <f>SUMIFS(super1[Qtde],super1[Item],tab_alimentos[[#This Row],[Item]],super1[Bairro],mercado3)+SUMIFS(supercb[Qtde],supercb[Item],tab_alimentos[[#This Row],[Item]],supercb[Bairro],mercado3)</f>
        <v>0</v>
      </c>
      <c r="O321" s="64">
        <f>SUMIFS(super1[Qtde],super1[Item],tab_alimentos[[#This Row],[Item]],super1[Bairro],mercado4)+SUMIFS(supercb[Qtde],supercb[Item],tab_alimentos[[#This Row],[Item]],supercb[Bairro],mercado4)</f>
        <v>0</v>
      </c>
      <c r="P321" s="64">
        <f>SUMIFS(super1[Qtde],super1[Item],tab_alimentos[[#This Row],[Item]],super1[Bairro],mercado5)+SUMIFS(supercb[Qtde],supercb[Item],tab_alimentos[[#This Row],[Item]],supercb[Bairro],mercado5)</f>
        <v>0</v>
      </c>
      <c r="Q321" s="64">
        <f>SUMIFS(super1[Qtde],super1[Item],tab_alimentos[[#This Row],[Item]],super1[Bairro],mercado6)+SUMIFS(supercb[Qtde],supercb[Item],tab_alimentos[[#This Row],[Item]],supercb[Bairro],mercado6)</f>
        <v>0</v>
      </c>
      <c r="R321" s="64">
        <f>SUMIFS(super1[Qtde],super1[Item],tab_alimentos[[#This Row],[Item]],super1[Bairro],mercado7)+SUMIFS(supercb[Qtde],supercb[Item],tab_alimentos[[#This Row],[Item]],supercb[Bairro],mercado7)</f>
        <v>0</v>
      </c>
      <c r="S321" s="64">
        <f>SUMIFS(super1[Qtde],super1[Item],tab_alimentos[[#This Row],[Item]],super1[Bairro],mercado8)+SUMIFS(supercb[Qtde],supercb[Item],tab_alimentos[[#This Row],[Item]],supercb[Bairro],mercado8)</f>
        <v>0</v>
      </c>
      <c r="T321" s="64">
        <f>SUMIFS(super1[Qtde],super1[Item],tab_alimentos[[#This Row],[Item]],super1[Bairro],mercado9)+SUMIFS(supercb[Qtde],supercb[Item],tab_alimentos[[#This Row],[Item]],supercb[Bairro],mercado9)</f>
        <v>0</v>
      </c>
      <c r="U321" s="64">
        <f>SUMIFS(super1[Qtde],super1[Item],tab_alimentos[[#This Row],[Item]],super1[Bairro],mercado10)+SUMIFS(supercb[Qtde],supercb[Item],tab_alimentos[[#This Row],[Item]],supercb[Bairro],mercado10)</f>
        <v>0</v>
      </c>
      <c r="V321" s="64">
        <f>SUMIFS(super1[Qtde],super1[Item],tab_alimentos[[#This Row],[Item]],super1[Bairro],mercado11)+SUMIFS(supercb[Qtde],supercb[Item],tab_alimentos[[#This Row],[Item]],supercb[Bairro],mercado11)</f>
        <v>0</v>
      </c>
      <c r="W321" s="64">
        <f>SUMIFS(super1[Qtde],super1[Item],tab_alimentos[[#This Row],[Item]],super1[Bairro],mercado12)+SUMIFS(supercb[Qtde],supercb[Item],tab_alimentos[[#This Row],[Item]],supercb[Bairro],mercado12)</f>
        <v>0</v>
      </c>
      <c r="X321" s="64">
        <f>SUMIFS(super1[Qtde],super1[Item],tab_alimentos[[#This Row],[Item]],super1[Bairro],mercado13)+SUMIFS(supercb[Qtde],supercb[Item],tab_alimentos[[#This Row],[Item]],supercb[Bairro],mercado13)</f>
        <v>0</v>
      </c>
      <c r="Y321" s="64">
        <f>SUMIFS(super1[Qtde],super1[Item],tab_alimentos[[#This Row],[Item]],super1[Bairro],mercado14)+SUMIFS(supercb[Qtde],supercb[Item],tab_alimentos[[#This Row],[Item]],supercb[Bairro],mercado14)</f>
        <v>0</v>
      </c>
      <c r="Z321" s="64">
        <f>SUMIFS(super1[Qtde],super1[Item],tab_alimentos[[#This Row],[Item]],super1[Bairro],mercado15)+SUMIFS(supercb[Qtde],supercb[Item],tab_alimentos[[#This Row],[Item]],supercb[Bairro],mercado15)</f>
        <v>0</v>
      </c>
      <c r="AA321" s="64">
        <f>SUMIFS(super1[Qtde],super1[Item],tab_alimentos[[#This Row],[Item]],super1[Bairro],mercado16)+SUMIFS(supercb[Qtde],supercb[Item],tab_alimentos[[#This Row],[Item]],supercb[Bairro],mercado16)</f>
        <v>0</v>
      </c>
      <c r="AB321" s="64">
        <f>SUMIFS(super1[Qtde],super1[Item],tab_alimentos[[#This Row],[Item]],super1[Bairro],mercado17)+SUMIFS(supercb[Qtde],supercb[Item],tab_alimentos[[#This Row],[Item]],supercb[Bairro],mercado17)</f>
        <v>0</v>
      </c>
      <c r="AC321" s="64">
        <f>SUMIFS(super1[Qtde],super1[Item],tab_alimentos[[#This Row],[Item]],super1[Bairro],mercado18)+SUMIFS(supercb[Qtde],supercb[Item],tab_alimentos[[#This Row],[Item]],supercb[Bairro],mercado18)</f>
        <v>0</v>
      </c>
      <c r="AD321" s="64">
        <f>SUMIFS(super1[Qtde],super1[Item],tab_alimentos[[#This Row],[Item]],super1[Bairro],extras)+SUMIFS(supercb[Qtde],supercb[Item],tab_alimentos[[#This Row],[Item]],supercb[Bairro],extras)</f>
        <v>0</v>
      </c>
      <c r="AE321" s="61">
        <f t="shared" si="88"/>
        <v>0</v>
      </c>
      <c r="AF321" s="61">
        <f t="shared" si="89"/>
        <v>0</v>
      </c>
      <c r="AG321" s="62">
        <f t="shared" si="90"/>
        <v>0</v>
      </c>
    </row>
    <row r="322" spans="9:33" x14ac:dyDescent="0.25">
      <c r="I322" s="65" t="e">
        <f>alimentos[[#This Row],[Item]]</f>
        <v>#VALUE!</v>
      </c>
      <c r="J322" s="61">
        <f>IFERROR(alimentos[[#This Row],[kg/embalagem]],0)</f>
        <v>0</v>
      </c>
      <c r="K322" s="64">
        <f>IFERROR(alimentos[[#This Row],[Preço]],0)</f>
        <v>0</v>
      </c>
      <c r="L322" s="64">
        <f>SUMIFS(super1[Qtde],super1[Item],tab_alimentos[[#This Row],[Item]],super1[Bairro],mercado1)+SUMIFS(supercb[Qtde],supercb[Item],tab_alimentos[[#This Row],[Item]],supercb[Bairro],mercado1)</f>
        <v>0</v>
      </c>
      <c r="M322" s="64">
        <f>SUMIFS(super1[Qtde],super1[Item],tab_alimentos[[#This Row],[Item]],super1[Bairro],mercado2)+SUMIFS(supercb[Qtde],supercb[Item],tab_alimentos[[#This Row],[Item]],supercb[Bairro],mercado2)</f>
        <v>0</v>
      </c>
      <c r="N322" s="61">
        <f>SUMIFS(super1[Qtde],super1[Item],tab_alimentos[[#This Row],[Item]],super1[Bairro],mercado3)+SUMIFS(supercb[Qtde],supercb[Item],tab_alimentos[[#This Row],[Item]],supercb[Bairro],mercado3)</f>
        <v>0</v>
      </c>
      <c r="O322" s="64">
        <f>SUMIFS(super1[Qtde],super1[Item],tab_alimentos[[#This Row],[Item]],super1[Bairro],mercado4)+SUMIFS(supercb[Qtde],supercb[Item],tab_alimentos[[#This Row],[Item]],supercb[Bairro],mercado4)</f>
        <v>0</v>
      </c>
      <c r="P322" s="64">
        <f>SUMIFS(super1[Qtde],super1[Item],tab_alimentos[[#This Row],[Item]],super1[Bairro],mercado5)+SUMIFS(supercb[Qtde],supercb[Item],tab_alimentos[[#This Row],[Item]],supercb[Bairro],mercado5)</f>
        <v>0</v>
      </c>
      <c r="Q322" s="64">
        <f>SUMIFS(super1[Qtde],super1[Item],tab_alimentos[[#This Row],[Item]],super1[Bairro],mercado6)+SUMIFS(supercb[Qtde],supercb[Item],tab_alimentos[[#This Row],[Item]],supercb[Bairro],mercado6)</f>
        <v>0</v>
      </c>
      <c r="R322" s="64">
        <f>SUMIFS(super1[Qtde],super1[Item],tab_alimentos[[#This Row],[Item]],super1[Bairro],mercado7)+SUMIFS(supercb[Qtde],supercb[Item],tab_alimentos[[#This Row],[Item]],supercb[Bairro],mercado7)</f>
        <v>0</v>
      </c>
      <c r="S322" s="64">
        <f>SUMIFS(super1[Qtde],super1[Item],tab_alimentos[[#This Row],[Item]],super1[Bairro],mercado8)+SUMIFS(supercb[Qtde],supercb[Item],tab_alimentos[[#This Row],[Item]],supercb[Bairro],mercado8)</f>
        <v>0</v>
      </c>
      <c r="T322" s="64">
        <f>SUMIFS(super1[Qtde],super1[Item],tab_alimentos[[#This Row],[Item]],super1[Bairro],mercado9)+SUMIFS(supercb[Qtde],supercb[Item],tab_alimentos[[#This Row],[Item]],supercb[Bairro],mercado9)</f>
        <v>0</v>
      </c>
      <c r="U322" s="64">
        <f>SUMIFS(super1[Qtde],super1[Item],tab_alimentos[[#This Row],[Item]],super1[Bairro],mercado10)+SUMIFS(supercb[Qtde],supercb[Item],tab_alimentos[[#This Row],[Item]],supercb[Bairro],mercado10)</f>
        <v>0</v>
      </c>
      <c r="V322" s="64">
        <f>SUMIFS(super1[Qtde],super1[Item],tab_alimentos[[#This Row],[Item]],super1[Bairro],mercado11)+SUMIFS(supercb[Qtde],supercb[Item],tab_alimentos[[#This Row],[Item]],supercb[Bairro],mercado11)</f>
        <v>0</v>
      </c>
      <c r="W322" s="64">
        <f>SUMIFS(super1[Qtde],super1[Item],tab_alimentos[[#This Row],[Item]],super1[Bairro],mercado12)+SUMIFS(supercb[Qtde],supercb[Item],tab_alimentos[[#This Row],[Item]],supercb[Bairro],mercado12)</f>
        <v>0</v>
      </c>
      <c r="X322" s="64">
        <f>SUMIFS(super1[Qtde],super1[Item],tab_alimentos[[#This Row],[Item]],super1[Bairro],mercado13)+SUMIFS(supercb[Qtde],supercb[Item],tab_alimentos[[#This Row],[Item]],supercb[Bairro],mercado13)</f>
        <v>0</v>
      </c>
      <c r="Y322" s="64">
        <f>SUMIFS(super1[Qtde],super1[Item],tab_alimentos[[#This Row],[Item]],super1[Bairro],mercado14)+SUMIFS(supercb[Qtde],supercb[Item],tab_alimentos[[#This Row],[Item]],supercb[Bairro],mercado14)</f>
        <v>0</v>
      </c>
      <c r="Z322" s="64">
        <f>SUMIFS(super1[Qtde],super1[Item],tab_alimentos[[#This Row],[Item]],super1[Bairro],mercado15)+SUMIFS(supercb[Qtde],supercb[Item],tab_alimentos[[#This Row],[Item]],supercb[Bairro],mercado15)</f>
        <v>0</v>
      </c>
      <c r="AA322" s="64">
        <f>SUMIFS(super1[Qtde],super1[Item],tab_alimentos[[#This Row],[Item]],super1[Bairro],mercado16)+SUMIFS(supercb[Qtde],supercb[Item],tab_alimentos[[#This Row],[Item]],supercb[Bairro],mercado16)</f>
        <v>0</v>
      </c>
      <c r="AB322" s="64">
        <f>SUMIFS(super1[Qtde],super1[Item],tab_alimentos[[#This Row],[Item]],super1[Bairro],mercado17)+SUMIFS(supercb[Qtde],supercb[Item],tab_alimentos[[#This Row],[Item]],supercb[Bairro],mercado17)</f>
        <v>0</v>
      </c>
      <c r="AC322" s="64">
        <f>SUMIFS(super1[Qtde],super1[Item],tab_alimentos[[#This Row],[Item]],super1[Bairro],mercado18)+SUMIFS(supercb[Qtde],supercb[Item],tab_alimentos[[#This Row],[Item]],supercb[Bairro],mercado18)</f>
        <v>0</v>
      </c>
      <c r="AD322" s="64">
        <f>SUMIFS(super1[Qtde],super1[Item],tab_alimentos[[#This Row],[Item]],super1[Bairro],extras)+SUMIFS(supercb[Qtde],supercb[Item],tab_alimentos[[#This Row],[Item]],supercb[Bairro],extras)</f>
        <v>0</v>
      </c>
      <c r="AE322" s="61">
        <f t="shared" si="88"/>
        <v>0</v>
      </c>
      <c r="AF322" s="61">
        <f t="shared" si="89"/>
        <v>0</v>
      </c>
      <c r="AG322" s="62">
        <f t="shared" si="90"/>
        <v>0</v>
      </c>
    </row>
    <row r="323" spans="9:33" x14ac:dyDescent="0.25">
      <c r="I323" s="65" t="e">
        <f>alimentos[[#This Row],[Item]]</f>
        <v>#VALUE!</v>
      </c>
      <c r="J323" s="61">
        <f>IFERROR(alimentos[[#This Row],[kg/embalagem]],0)</f>
        <v>0</v>
      </c>
      <c r="K323" s="64">
        <f>IFERROR(alimentos[[#This Row],[Preço]],0)</f>
        <v>0</v>
      </c>
      <c r="L323" s="64">
        <f>SUMIFS(super1[Qtde],super1[Item],tab_alimentos[[#This Row],[Item]],super1[Bairro],mercado1)+SUMIFS(supercb[Qtde],supercb[Item],tab_alimentos[[#This Row],[Item]],supercb[Bairro],mercado1)</f>
        <v>0</v>
      </c>
      <c r="M323" s="64">
        <f>SUMIFS(super1[Qtde],super1[Item],tab_alimentos[[#This Row],[Item]],super1[Bairro],mercado2)+SUMIFS(supercb[Qtde],supercb[Item],tab_alimentos[[#This Row],[Item]],supercb[Bairro],mercado2)</f>
        <v>0</v>
      </c>
      <c r="N323" s="61">
        <f>SUMIFS(super1[Qtde],super1[Item],tab_alimentos[[#This Row],[Item]],super1[Bairro],mercado3)+SUMIFS(supercb[Qtde],supercb[Item],tab_alimentos[[#This Row],[Item]],supercb[Bairro],mercado3)</f>
        <v>0</v>
      </c>
      <c r="O323" s="64">
        <f>SUMIFS(super1[Qtde],super1[Item],tab_alimentos[[#This Row],[Item]],super1[Bairro],mercado4)+SUMIFS(supercb[Qtde],supercb[Item],tab_alimentos[[#This Row],[Item]],supercb[Bairro],mercado4)</f>
        <v>0</v>
      </c>
      <c r="P323" s="64">
        <f>SUMIFS(super1[Qtde],super1[Item],tab_alimentos[[#This Row],[Item]],super1[Bairro],mercado5)+SUMIFS(supercb[Qtde],supercb[Item],tab_alimentos[[#This Row],[Item]],supercb[Bairro],mercado5)</f>
        <v>0</v>
      </c>
      <c r="Q323" s="64">
        <f>SUMIFS(super1[Qtde],super1[Item],tab_alimentos[[#This Row],[Item]],super1[Bairro],mercado6)+SUMIFS(supercb[Qtde],supercb[Item],tab_alimentos[[#This Row],[Item]],supercb[Bairro],mercado6)</f>
        <v>0</v>
      </c>
      <c r="R323" s="64">
        <f>SUMIFS(super1[Qtde],super1[Item],tab_alimentos[[#This Row],[Item]],super1[Bairro],mercado7)+SUMIFS(supercb[Qtde],supercb[Item],tab_alimentos[[#This Row],[Item]],supercb[Bairro],mercado7)</f>
        <v>0</v>
      </c>
      <c r="S323" s="64">
        <f>SUMIFS(super1[Qtde],super1[Item],tab_alimentos[[#This Row],[Item]],super1[Bairro],mercado8)+SUMIFS(supercb[Qtde],supercb[Item],tab_alimentos[[#This Row],[Item]],supercb[Bairro],mercado8)</f>
        <v>0</v>
      </c>
      <c r="T323" s="64">
        <f>SUMIFS(super1[Qtde],super1[Item],tab_alimentos[[#This Row],[Item]],super1[Bairro],mercado9)+SUMIFS(supercb[Qtde],supercb[Item],tab_alimentos[[#This Row],[Item]],supercb[Bairro],mercado9)</f>
        <v>0</v>
      </c>
      <c r="U323" s="64">
        <f>SUMIFS(super1[Qtde],super1[Item],tab_alimentos[[#This Row],[Item]],super1[Bairro],mercado10)+SUMIFS(supercb[Qtde],supercb[Item],tab_alimentos[[#This Row],[Item]],supercb[Bairro],mercado10)</f>
        <v>0</v>
      </c>
      <c r="V323" s="64">
        <f>SUMIFS(super1[Qtde],super1[Item],tab_alimentos[[#This Row],[Item]],super1[Bairro],mercado11)+SUMIFS(supercb[Qtde],supercb[Item],tab_alimentos[[#This Row],[Item]],supercb[Bairro],mercado11)</f>
        <v>0</v>
      </c>
      <c r="W323" s="64">
        <f>SUMIFS(super1[Qtde],super1[Item],tab_alimentos[[#This Row],[Item]],super1[Bairro],mercado12)+SUMIFS(supercb[Qtde],supercb[Item],tab_alimentos[[#This Row],[Item]],supercb[Bairro],mercado12)</f>
        <v>0</v>
      </c>
      <c r="X323" s="64">
        <f>SUMIFS(super1[Qtde],super1[Item],tab_alimentos[[#This Row],[Item]],super1[Bairro],mercado13)+SUMIFS(supercb[Qtde],supercb[Item],tab_alimentos[[#This Row],[Item]],supercb[Bairro],mercado13)</f>
        <v>0</v>
      </c>
      <c r="Y323" s="64">
        <f>SUMIFS(super1[Qtde],super1[Item],tab_alimentos[[#This Row],[Item]],super1[Bairro],mercado14)+SUMIFS(supercb[Qtde],supercb[Item],tab_alimentos[[#This Row],[Item]],supercb[Bairro],mercado14)</f>
        <v>0</v>
      </c>
      <c r="Z323" s="64">
        <f>SUMIFS(super1[Qtde],super1[Item],tab_alimentos[[#This Row],[Item]],super1[Bairro],mercado15)+SUMIFS(supercb[Qtde],supercb[Item],tab_alimentos[[#This Row],[Item]],supercb[Bairro],mercado15)</f>
        <v>0</v>
      </c>
      <c r="AA323" s="64">
        <f>SUMIFS(super1[Qtde],super1[Item],tab_alimentos[[#This Row],[Item]],super1[Bairro],mercado16)+SUMIFS(supercb[Qtde],supercb[Item],tab_alimentos[[#This Row],[Item]],supercb[Bairro],mercado16)</f>
        <v>0</v>
      </c>
      <c r="AB323" s="64">
        <f>SUMIFS(super1[Qtde],super1[Item],tab_alimentos[[#This Row],[Item]],super1[Bairro],mercado17)+SUMIFS(supercb[Qtde],supercb[Item],tab_alimentos[[#This Row],[Item]],supercb[Bairro],mercado17)</f>
        <v>0</v>
      </c>
      <c r="AC323" s="64">
        <f>SUMIFS(super1[Qtde],super1[Item],tab_alimentos[[#This Row],[Item]],super1[Bairro],mercado18)+SUMIFS(supercb[Qtde],supercb[Item],tab_alimentos[[#This Row],[Item]],supercb[Bairro],mercado18)</f>
        <v>0</v>
      </c>
      <c r="AD323" s="64">
        <f>SUMIFS(super1[Qtde],super1[Item],tab_alimentos[[#This Row],[Item]],super1[Bairro],extras)+SUMIFS(supercb[Qtde],supercb[Item],tab_alimentos[[#This Row],[Item]],supercb[Bairro],extras)</f>
        <v>0</v>
      </c>
      <c r="AE323" s="61">
        <f t="shared" si="88"/>
        <v>0</v>
      </c>
      <c r="AF323" s="61">
        <f t="shared" si="89"/>
        <v>0</v>
      </c>
      <c r="AG323" s="62">
        <f t="shared" si="90"/>
        <v>0</v>
      </c>
    </row>
    <row r="324" spans="9:33" x14ac:dyDescent="0.25">
      <c r="I324" s="65" t="e">
        <f>alimentos[[#This Row],[Item]]</f>
        <v>#VALUE!</v>
      </c>
      <c r="J324" s="61">
        <f>IFERROR(alimentos[[#This Row],[kg/embalagem]],0)</f>
        <v>0</v>
      </c>
      <c r="K324" s="64">
        <f>IFERROR(alimentos[[#This Row],[Preço]],0)</f>
        <v>0</v>
      </c>
      <c r="L324" s="64">
        <f>SUMIFS(super1[Qtde],super1[Item],tab_alimentos[[#This Row],[Item]],super1[Bairro],mercado1)+SUMIFS(supercb[Qtde],supercb[Item],tab_alimentos[[#This Row],[Item]],supercb[Bairro],mercado1)</f>
        <v>0</v>
      </c>
      <c r="M324" s="64">
        <f>SUMIFS(super1[Qtde],super1[Item],tab_alimentos[[#This Row],[Item]],super1[Bairro],mercado2)+SUMIFS(supercb[Qtde],supercb[Item],tab_alimentos[[#This Row],[Item]],supercb[Bairro],mercado2)</f>
        <v>0</v>
      </c>
      <c r="N324" s="61">
        <f>SUMIFS(super1[Qtde],super1[Item],tab_alimentos[[#This Row],[Item]],super1[Bairro],mercado3)+SUMIFS(supercb[Qtde],supercb[Item],tab_alimentos[[#This Row],[Item]],supercb[Bairro],mercado3)</f>
        <v>0</v>
      </c>
      <c r="O324" s="64">
        <f>SUMIFS(super1[Qtde],super1[Item],tab_alimentos[[#This Row],[Item]],super1[Bairro],mercado4)+SUMIFS(supercb[Qtde],supercb[Item],tab_alimentos[[#This Row],[Item]],supercb[Bairro],mercado4)</f>
        <v>0</v>
      </c>
      <c r="P324" s="64">
        <f>SUMIFS(super1[Qtde],super1[Item],tab_alimentos[[#This Row],[Item]],super1[Bairro],mercado5)+SUMIFS(supercb[Qtde],supercb[Item],tab_alimentos[[#This Row],[Item]],supercb[Bairro],mercado5)</f>
        <v>0</v>
      </c>
      <c r="Q324" s="64">
        <f>SUMIFS(super1[Qtde],super1[Item],tab_alimentos[[#This Row],[Item]],super1[Bairro],mercado6)+SUMIFS(supercb[Qtde],supercb[Item],tab_alimentos[[#This Row],[Item]],supercb[Bairro],mercado6)</f>
        <v>0</v>
      </c>
      <c r="R324" s="64">
        <f>SUMIFS(super1[Qtde],super1[Item],tab_alimentos[[#This Row],[Item]],super1[Bairro],mercado7)+SUMIFS(supercb[Qtde],supercb[Item],tab_alimentos[[#This Row],[Item]],supercb[Bairro],mercado7)</f>
        <v>0</v>
      </c>
      <c r="S324" s="64">
        <f>SUMIFS(super1[Qtde],super1[Item],tab_alimentos[[#This Row],[Item]],super1[Bairro],mercado8)+SUMIFS(supercb[Qtde],supercb[Item],tab_alimentos[[#This Row],[Item]],supercb[Bairro],mercado8)</f>
        <v>0</v>
      </c>
      <c r="T324" s="64">
        <f>SUMIFS(super1[Qtde],super1[Item],tab_alimentos[[#This Row],[Item]],super1[Bairro],mercado9)+SUMIFS(supercb[Qtde],supercb[Item],tab_alimentos[[#This Row],[Item]],supercb[Bairro],mercado9)</f>
        <v>0</v>
      </c>
      <c r="U324" s="64">
        <f>SUMIFS(super1[Qtde],super1[Item],tab_alimentos[[#This Row],[Item]],super1[Bairro],mercado10)+SUMIFS(supercb[Qtde],supercb[Item],tab_alimentos[[#This Row],[Item]],supercb[Bairro],mercado10)</f>
        <v>0</v>
      </c>
      <c r="V324" s="64">
        <f>SUMIFS(super1[Qtde],super1[Item],tab_alimentos[[#This Row],[Item]],super1[Bairro],mercado11)+SUMIFS(supercb[Qtde],supercb[Item],tab_alimentos[[#This Row],[Item]],supercb[Bairro],mercado11)</f>
        <v>0</v>
      </c>
      <c r="W324" s="64">
        <f>SUMIFS(super1[Qtde],super1[Item],tab_alimentos[[#This Row],[Item]],super1[Bairro],mercado12)+SUMIFS(supercb[Qtde],supercb[Item],tab_alimentos[[#This Row],[Item]],supercb[Bairro],mercado12)</f>
        <v>0</v>
      </c>
      <c r="X324" s="64">
        <f>SUMIFS(super1[Qtde],super1[Item],tab_alimentos[[#This Row],[Item]],super1[Bairro],mercado13)+SUMIFS(supercb[Qtde],supercb[Item],tab_alimentos[[#This Row],[Item]],supercb[Bairro],mercado13)</f>
        <v>0</v>
      </c>
      <c r="Y324" s="64">
        <f>SUMIFS(super1[Qtde],super1[Item],tab_alimentos[[#This Row],[Item]],super1[Bairro],mercado14)+SUMIFS(supercb[Qtde],supercb[Item],tab_alimentos[[#This Row],[Item]],supercb[Bairro],mercado14)</f>
        <v>0</v>
      </c>
      <c r="Z324" s="64">
        <f>SUMIFS(super1[Qtde],super1[Item],tab_alimentos[[#This Row],[Item]],super1[Bairro],mercado15)+SUMIFS(supercb[Qtde],supercb[Item],tab_alimentos[[#This Row],[Item]],supercb[Bairro],mercado15)</f>
        <v>0</v>
      </c>
      <c r="AA324" s="64">
        <f>SUMIFS(super1[Qtde],super1[Item],tab_alimentos[[#This Row],[Item]],super1[Bairro],mercado16)+SUMIFS(supercb[Qtde],supercb[Item],tab_alimentos[[#This Row],[Item]],supercb[Bairro],mercado16)</f>
        <v>0</v>
      </c>
      <c r="AB324" s="64">
        <f>SUMIFS(super1[Qtde],super1[Item],tab_alimentos[[#This Row],[Item]],super1[Bairro],mercado17)+SUMIFS(supercb[Qtde],supercb[Item],tab_alimentos[[#This Row],[Item]],supercb[Bairro],mercado17)</f>
        <v>0</v>
      </c>
      <c r="AC324" s="64">
        <f>SUMIFS(super1[Qtde],super1[Item],tab_alimentos[[#This Row],[Item]],super1[Bairro],mercado18)+SUMIFS(supercb[Qtde],supercb[Item],tab_alimentos[[#This Row],[Item]],supercb[Bairro],mercado18)</f>
        <v>0</v>
      </c>
      <c r="AD324" s="64">
        <f>SUMIFS(super1[Qtde],super1[Item],tab_alimentos[[#This Row],[Item]],super1[Bairro],extras)+SUMIFS(supercb[Qtde],supercb[Item],tab_alimentos[[#This Row],[Item]],supercb[Bairro],extras)</f>
        <v>0</v>
      </c>
      <c r="AE324" s="61">
        <f t="shared" si="88"/>
        <v>0</v>
      </c>
      <c r="AF324" s="61">
        <f t="shared" si="89"/>
        <v>0</v>
      </c>
      <c r="AG324" s="62">
        <f t="shared" si="90"/>
        <v>0</v>
      </c>
    </row>
    <row r="325" spans="9:33" x14ac:dyDescent="0.25">
      <c r="I325" s="65" t="e">
        <f>alimentos[[#This Row],[Item]]</f>
        <v>#VALUE!</v>
      </c>
      <c r="J325" s="61">
        <f>IFERROR(alimentos[[#This Row],[kg/embalagem]],0)</f>
        <v>0</v>
      </c>
      <c r="K325" s="64">
        <f>IFERROR(alimentos[[#This Row],[Preço]],0)</f>
        <v>0</v>
      </c>
      <c r="L325" s="64">
        <f>SUMIFS(super1[Qtde],super1[Item],tab_alimentos[[#This Row],[Item]],super1[Bairro],mercado1)+SUMIFS(supercb[Qtde],supercb[Item],tab_alimentos[[#This Row],[Item]],supercb[Bairro],mercado1)</f>
        <v>0</v>
      </c>
      <c r="M325" s="64">
        <f>SUMIFS(super1[Qtde],super1[Item],tab_alimentos[[#This Row],[Item]],super1[Bairro],mercado2)+SUMIFS(supercb[Qtde],supercb[Item],tab_alimentos[[#This Row],[Item]],supercb[Bairro],mercado2)</f>
        <v>0</v>
      </c>
      <c r="N325" s="61">
        <f>SUMIFS(super1[Qtde],super1[Item],tab_alimentos[[#This Row],[Item]],super1[Bairro],mercado3)+SUMIFS(supercb[Qtde],supercb[Item],tab_alimentos[[#This Row],[Item]],supercb[Bairro],mercado3)</f>
        <v>0</v>
      </c>
      <c r="O325" s="64">
        <f>SUMIFS(super1[Qtde],super1[Item],tab_alimentos[[#This Row],[Item]],super1[Bairro],mercado4)+SUMIFS(supercb[Qtde],supercb[Item],tab_alimentos[[#This Row],[Item]],supercb[Bairro],mercado4)</f>
        <v>0</v>
      </c>
      <c r="P325" s="64">
        <f>SUMIFS(super1[Qtde],super1[Item],tab_alimentos[[#This Row],[Item]],super1[Bairro],mercado5)+SUMIFS(supercb[Qtde],supercb[Item],tab_alimentos[[#This Row],[Item]],supercb[Bairro],mercado5)</f>
        <v>0</v>
      </c>
      <c r="Q325" s="64">
        <f>SUMIFS(super1[Qtde],super1[Item],tab_alimentos[[#This Row],[Item]],super1[Bairro],mercado6)+SUMIFS(supercb[Qtde],supercb[Item],tab_alimentos[[#This Row],[Item]],supercb[Bairro],mercado6)</f>
        <v>0</v>
      </c>
      <c r="R325" s="64">
        <f>SUMIFS(super1[Qtde],super1[Item],tab_alimentos[[#This Row],[Item]],super1[Bairro],mercado7)+SUMIFS(supercb[Qtde],supercb[Item],tab_alimentos[[#This Row],[Item]],supercb[Bairro],mercado7)</f>
        <v>0</v>
      </c>
      <c r="S325" s="64">
        <f>SUMIFS(super1[Qtde],super1[Item],tab_alimentos[[#This Row],[Item]],super1[Bairro],mercado8)+SUMIFS(supercb[Qtde],supercb[Item],tab_alimentos[[#This Row],[Item]],supercb[Bairro],mercado8)</f>
        <v>0</v>
      </c>
      <c r="T325" s="64">
        <f>SUMIFS(super1[Qtde],super1[Item],tab_alimentos[[#This Row],[Item]],super1[Bairro],mercado9)+SUMIFS(supercb[Qtde],supercb[Item],tab_alimentos[[#This Row],[Item]],supercb[Bairro],mercado9)</f>
        <v>0</v>
      </c>
      <c r="U325" s="64">
        <f>SUMIFS(super1[Qtde],super1[Item],tab_alimentos[[#This Row],[Item]],super1[Bairro],mercado10)+SUMIFS(supercb[Qtde],supercb[Item],tab_alimentos[[#This Row],[Item]],supercb[Bairro],mercado10)</f>
        <v>0</v>
      </c>
      <c r="V325" s="64">
        <f>SUMIFS(super1[Qtde],super1[Item],tab_alimentos[[#This Row],[Item]],super1[Bairro],mercado11)+SUMIFS(supercb[Qtde],supercb[Item],tab_alimentos[[#This Row],[Item]],supercb[Bairro],mercado11)</f>
        <v>0</v>
      </c>
      <c r="W325" s="64">
        <f>SUMIFS(super1[Qtde],super1[Item],tab_alimentos[[#This Row],[Item]],super1[Bairro],mercado12)+SUMIFS(supercb[Qtde],supercb[Item],tab_alimentos[[#This Row],[Item]],supercb[Bairro],mercado12)</f>
        <v>0</v>
      </c>
      <c r="X325" s="64">
        <f>SUMIFS(super1[Qtde],super1[Item],tab_alimentos[[#This Row],[Item]],super1[Bairro],mercado13)+SUMIFS(supercb[Qtde],supercb[Item],tab_alimentos[[#This Row],[Item]],supercb[Bairro],mercado13)</f>
        <v>0</v>
      </c>
      <c r="Y325" s="64">
        <f>SUMIFS(super1[Qtde],super1[Item],tab_alimentos[[#This Row],[Item]],super1[Bairro],mercado14)+SUMIFS(supercb[Qtde],supercb[Item],tab_alimentos[[#This Row],[Item]],supercb[Bairro],mercado14)</f>
        <v>0</v>
      </c>
      <c r="Z325" s="64">
        <f>SUMIFS(super1[Qtde],super1[Item],tab_alimentos[[#This Row],[Item]],super1[Bairro],mercado15)+SUMIFS(supercb[Qtde],supercb[Item],tab_alimentos[[#This Row],[Item]],supercb[Bairro],mercado15)</f>
        <v>0</v>
      </c>
      <c r="AA325" s="64">
        <f>SUMIFS(super1[Qtde],super1[Item],tab_alimentos[[#This Row],[Item]],super1[Bairro],mercado16)+SUMIFS(supercb[Qtde],supercb[Item],tab_alimentos[[#This Row],[Item]],supercb[Bairro],mercado16)</f>
        <v>0</v>
      </c>
      <c r="AB325" s="64">
        <f>SUMIFS(super1[Qtde],super1[Item],tab_alimentos[[#This Row],[Item]],super1[Bairro],mercado17)+SUMIFS(supercb[Qtde],supercb[Item],tab_alimentos[[#This Row],[Item]],supercb[Bairro],mercado17)</f>
        <v>0</v>
      </c>
      <c r="AC325" s="64">
        <f>SUMIFS(super1[Qtde],super1[Item],tab_alimentos[[#This Row],[Item]],super1[Bairro],mercado18)+SUMIFS(supercb[Qtde],supercb[Item],tab_alimentos[[#This Row],[Item]],supercb[Bairro],mercado18)</f>
        <v>0</v>
      </c>
      <c r="AD325" s="64">
        <f>SUMIFS(super1[Qtde],super1[Item],tab_alimentos[[#This Row],[Item]],super1[Bairro],extras)+SUMIFS(supercb[Qtde],supercb[Item],tab_alimentos[[#This Row],[Item]],supercb[Bairro],extras)</f>
        <v>0</v>
      </c>
      <c r="AE325" s="61">
        <f t="shared" si="88"/>
        <v>0</v>
      </c>
      <c r="AF325" s="61">
        <f t="shared" si="89"/>
        <v>0</v>
      </c>
      <c r="AG325" s="62">
        <f t="shared" si="90"/>
        <v>0</v>
      </c>
    </row>
    <row r="326" spans="9:33" x14ac:dyDescent="0.25">
      <c r="I326" s="65" t="e">
        <f>alimentos[[#This Row],[Item]]</f>
        <v>#VALUE!</v>
      </c>
      <c r="J326" s="61">
        <f>IFERROR(alimentos[[#This Row],[kg/embalagem]],0)</f>
        <v>0</v>
      </c>
      <c r="K326" s="64">
        <f>IFERROR(alimentos[[#This Row],[Preço]],0)</f>
        <v>0</v>
      </c>
      <c r="L326" s="64">
        <f>SUMIFS(super1[Qtde],super1[Item],tab_alimentos[[#This Row],[Item]],super1[Bairro],mercado1)+SUMIFS(supercb[Qtde],supercb[Item],tab_alimentos[[#This Row],[Item]],supercb[Bairro],mercado1)</f>
        <v>0</v>
      </c>
      <c r="M326" s="64">
        <f>SUMIFS(super1[Qtde],super1[Item],tab_alimentos[[#This Row],[Item]],super1[Bairro],mercado2)+SUMIFS(supercb[Qtde],supercb[Item],tab_alimentos[[#This Row],[Item]],supercb[Bairro],mercado2)</f>
        <v>0</v>
      </c>
      <c r="N326" s="61">
        <f>SUMIFS(super1[Qtde],super1[Item],tab_alimentos[[#This Row],[Item]],super1[Bairro],mercado3)+SUMIFS(supercb[Qtde],supercb[Item],tab_alimentos[[#This Row],[Item]],supercb[Bairro],mercado3)</f>
        <v>0</v>
      </c>
      <c r="O326" s="64">
        <f>SUMIFS(super1[Qtde],super1[Item],tab_alimentos[[#This Row],[Item]],super1[Bairro],mercado4)+SUMIFS(supercb[Qtde],supercb[Item],tab_alimentos[[#This Row],[Item]],supercb[Bairro],mercado4)</f>
        <v>0</v>
      </c>
      <c r="P326" s="64">
        <f>SUMIFS(super1[Qtde],super1[Item],tab_alimentos[[#This Row],[Item]],super1[Bairro],mercado5)+SUMIFS(supercb[Qtde],supercb[Item],tab_alimentos[[#This Row],[Item]],supercb[Bairro],mercado5)</f>
        <v>0</v>
      </c>
      <c r="Q326" s="64">
        <f>SUMIFS(super1[Qtde],super1[Item],tab_alimentos[[#This Row],[Item]],super1[Bairro],mercado6)+SUMIFS(supercb[Qtde],supercb[Item],tab_alimentos[[#This Row],[Item]],supercb[Bairro],mercado6)</f>
        <v>0</v>
      </c>
      <c r="R326" s="64">
        <f>SUMIFS(super1[Qtde],super1[Item],tab_alimentos[[#This Row],[Item]],super1[Bairro],mercado7)+SUMIFS(supercb[Qtde],supercb[Item],tab_alimentos[[#This Row],[Item]],supercb[Bairro],mercado7)</f>
        <v>0</v>
      </c>
      <c r="S326" s="64">
        <f>SUMIFS(super1[Qtde],super1[Item],tab_alimentos[[#This Row],[Item]],super1[Bairro],mercado8)+SUMIFS(supercb[Qtde],supercb[Item],tab_alimentos[[#This Row],[Item]],supercb[Bairro],mercado8)</f>
        <v>0</v>
      </c>
      <c r="T326" s="64">
        <f>SUMIFS(super1[Qtde],super1[Item],tab_alimentos[[#This Row],[Item]],super1[Bairro],mercado9)+SUMIFS(supercb[Qtde],supercb[Item],tab_alimentos[[#This Row],[Item]],supercb[Bairro],mercado9)</f>
        <v>0</v>
      </c>
      <c r="U326" s="64">
        <f>SUMIFS(super1[Qtde],super1[Item],tab_alimentos[[#This Row],[Item]],super1[Bairro],mercado10)+SUMIFS(supercb[Qtde],supercb[Item],tab_alimentos[[#This Row],[Item]],supercb[Bairro],mercado10)</f>
        <v>0</v>
      </c>
      <c r="V326" s="64">
        <f>SUMIFS(super1[Qtde],super1[Item],tab_alimentos[[#This Row],[Item]],super1[Bairro],mercado11)+SUMIFS(supercb[Qtde],supercb[Item],tab_alimentos[[#This Row],[Item]],supercb[Bairro],mercado11)</f>
        <v>0</v>
      </c>
      <c r="W326" s="64">
        <f>SUMIFS(super1[Qtde],super1[Item],tab_alimentos[[#This Row],[Item]],super1[Bairro],mercado12)+SUMIFS(supercb[Qtde],supercb[Item],tab_alimentos[[#This Row],[Item]],supercb[Bairro],mercado12)</f>
        <v>0</v>
      </c>
      <c r="X326" s="64">
        <f>SUMIFS(super1[Qtde],super1[Item],tab_alimentos[[#This Row],[Item]],super1[Bairro],mercado13)+SUMIFS(supercb[Qtde],supercb[Item],tab_alimentos[[#This Row],[Item]],supercb[Bairro],mercado13)</f>
        <v>0</v>
      </c>
      <c r="Y326" s="64">
        <f>SUMIFS(super1[Qtde],super1[Item],tab_alimentos[[#This Row],[Item]],super1[Bairro],mercado14)+SUMIFS(supercb[Qtde],supercb[Item],tab_alimentos[[#This Row],[Item]],supercb[Bairro],mercado14)</f>
        <v>0</v>
      </c>
      <c r="Z326" s="64">
        <f>SUMIFS(super1[Qtde],super1[Item],tab_alimentos[[#This Row],[Item]],super1[Bairro],mercado15)+SUMIFS(supercb[Qtde],supercb[Item],tab_alimentos[[#This Row],[Item]],supercb[Bairro],mercado15)</f>
        <v>0</v>
      </c>
      <c r="AA326" s="64">
        <f>SUMIFS(super1[Qtde],super1[Item],tab_alimentos[[#This Row],[Item]],super1[Bairro],mercado16)+SUMIFS(supercb[Qtde],supercb[Item],tab_alimentos[[#This Row],[Item]],supercb[Bairro],mercado16)</f>
        <v>0</v>
      </c>
      <c r="AB326" s="64">
        <f>SUMIFS(super1[Qtde],super1[Item],tab_alimentos[[#This Row],[Item]],super1[Bairro],mercado17)+SUMIFS(supercb[Qtde],supercb[Item],tab_alimentos[[#This Row],[Item]],supercb[Bairro],mercado17)</f>
        <v>0</v>
      </c>
      <c r="AC326" s="64">
        <f>SUMIFS(super1[Qtde],super1[Item],tab_alimentos[[#This Row],[Item]],super1[Bairro],mercado18)+SUMIFS(supercb[Qtde],supercb[Item],tab_alimentos[[#This Row],[Item]],supercb[Bairro],mercado18)</f>
        <v>0</v>
      </c>
      <c r="AD326" s="64">
        <f>SUMIFS(super1[Qtde],super1[Item],tab_alimentos[[#This Row],[Item]],super1[Bairro],extras)+SUMIFS(supercb[Qtde],supercb[Item],tab_alimentos[[#This Row],[Item]],supercb[Bairro],extras)</f>
        <v>0</v>
      </c>
      <c r="AE326" s="61">
        <f t="shared" si="88"/>
        <v>0</v>
      </c>
      <c r="AF326" s="61">
        <f t="shared" si="89"/>
        <v>0</v>
      </c>
      <c r="AG326" s="62">
        <f t="shared" si="90"/>
        <v>0</v>
      </c>
    </row>
    <row r="327" spans="9:33" x14ac:dyDescent="0.25">
      <c r="I327" s="65" t="e">
        <f>alimentos[[#This Row],[Item]]</f>
        <v>#VALUE!</v>
      </c>
      <c r="J327" s="61">
        <f>IFERROR(alimentos[[#This Row],[kg/embalagem]],0)</f>
        <v>0</v>
      </c>
      <c r="K327" s="64">
        <f>IFERROR(alimentos[[#This Row],[Preço]],0)</f>
        <v>0</v>
      </c>
      <c r="L327" s="64">
        <f>SUMIFS(super1[Qtde],super1[Item],tab_alimentos[[#This Row],[Item]],super1[Bairro],mercado1)+SUMIFS(supercb[Qtde],supercb[Item],tab_alimentos[[#This Row],[Item]],supercb[Bairro],mercado1)</f>
        <v>0</v>
      </c>
      <c r="M327" s="64">
        <f>SUMIFS(super1[Qtde],super1[Item],tab_alimentos[[#This Row],[Item]],super1[Bairro],mercado2)+SUMIFS(supercb[Qtde],supercb[Item],tab_alimentos[[#This Row],[Item]],supercb[Bairro],mercado2)</f>
        <v>0</v>
      </c>
      <c r="N327" s="61">
        <f>SUMIFS(super1[Qtde],super1[Item],tab_alimentos[[#This Row],[Item]],super1[Bairro],mercado3)+SUMIFS(supercb[Qtde],supercb[Item],tab_alimentos[[#This Row],[Item]],supercb[Bairro],mercado3)</f>
        <v>0</v>
      </c>
      <c r="O327" s="64">
        <f>SUMIFS(super1[Qtde],super1[Item],tab_alimentos[[#This Row],[Item]],super1[Bairro],mercado4)+SUMIFS(supercb[Qtde],supercb[Item],tab_alimentos[[#This Row],[Item]],supercb[Bairro],mercado4)</f>
        <v>0</v>
      </c>
      <c r="P327" s="64">
        <f>SUMIFS(super1[Qtde],super1[Item],tab_alimentos[[#This Row],[Item]],super1[Bairro],mercado5)+SUMIFS(supercb[Qtde],supercb[Item],tab_alimentos[[#This Row],[Item]],supercb[Bairro],mercado5)</f>
        <v>0</v>
      </c>
      <c r="Q327" s="64">
        <f>SUMIFS(super1[Qtde],super1[Item],tab_alimentos[[#This Row],[Item]],super1[Bairro],mercado6)+SUMIFS(supercb[Qtde],supercb[Item],tab_alimentos[[#This Row],[Item]],supercb[Bairro],mercado6)</f>
        <v>0</v>
      </c>
      <c r="R327" s="64">
        <f>SUMIFS(super1[Qtde],super1[Item],tab_alimentos[[#This Row],[Item]],super1[Bairro],mercado7)+SUMIFS(supercb[Qtde],supercb[Item],tab_alimentos[[#This Row],[Item]],supercb[Bairro],mercado7)</f>
        <v>0</v>
      </c>
      <c r="S327" s="64">
        <f>SUMIFS(super1[Qtde],super1[Item],tab_alimentos[[#This Row],[Item]],super1[Bairro],mercado8)+SUMIFS(supercb[Qtde],supercb[Item],tab_alimentos[[#This Row],[Item]],supercb[Bairro],mercado8)</f>
        <v>0</v>
      </c>
      <c r="T327" s="64">
        <f>SUMIFS(super1[Qtde],super1[Item],tab_alimentos[[#This Row],[Item]],super1[Bairro],mercado9)+SUMIFS(supercb[Qtde],supercb[Item],tab_alimentos[[#This Row],[Item]],supercb[Bairro],mercado9)</f>
        <v>0</v>
      </c>
      <c r="U327" s="64">
        <f>SUMIFS(super1[Qtde],super1[Item],tab_alimentos[[#This Row],[Item]],super1[Bairro],mercado10)+SUMIFS(supercb[Qtde],supercb[Item],tab_alimentos[[#This Row],[Item]],supercb[Bairro],mercado10)</f>
        <v>0</v>
      </c>
      <c r="V327" s="64">
        <f>SUMIFS(super1[Qtde],super1[Item],tab_alimentos[[#This Row],[Item]],super1[Bairro],mercado11)+SUMIFS(supercb[Qtde],supercb[Item],tab_alimentos[[#This Row],[Item]],supercb[Bairro],mercado11)</f>
        <v>0</v>
      </c>
      <c r="W327" s="64">
        <f>SUMIFS(super1[Qtde],super1[Item],tab_alimentos[[#This Row],[Item]],super1[Bairro],mercado12)+SUMIFS(supercb[Qtde],supercb[Item],tab_alimentos[[#This Row],[Item]],supercb[Bairro],mercado12)</f>
        <v>0</v>
      </c>
      <c r="X327" s="64">
        <f>SUMIFS(super1[Qtde],super1[Item],tab_alimentos[[#This Row],[Item]],super1[Bairro],mercado13)+SUMIFS(supercb[Qtde],supercb[Item],tab_alimentos[[#This Row],[Item]],supercb[Bairro],mercado13)</f>
        <v>0</v>
      </c>
      <c r="Y327" s="64">
        <f>SUMIFS(super1[Qtde],super1[Item],tab_alimentos[[#This Row],[Item]],super1[Bairro],mercado14)+SUMIFS(supercb[Qtde],supercb[Item],tab_alimentos[[#This Row],[Item]],supercb[Bairro],mercado14)</f>
        <v>0</v>
      </c>
      <c r="Z327" s="64">
        <f>SUMIFS(super1[Qtde],super1[Item],tab_alimentos[[#This Row],[Item]],super1[Bairro],mercado15)+SUMIFS(supercb[Qtde],supercb[Item],tab_alimentos[[#This Row],[Item]],supercb[Bairro],mercado15)</f>
        <v>0</v>
      </c>
      <c r="AA327" s="64">
        <f>SUMIFS(super1[Qtde],super1[Item],tab_alimentos[[#This Row],[Item]],super1[Bairro],mercado16)+SUMIFS(supercb[Qtde],supercb[Item],tab_alimentos[[#This Row],[Item]],supercb[Bairro],mercado16)</f>
        <v>0</v>
      </c>
      <c r="AB327" s="64">
        <f>SUMIFS(super1[Qtde],super1[Item],tab_alimentos[[#This Row],[Item]],super1[Bairro],mercado17)+SUMIFS(supercb[Qtde],supercb[Item],tab_alimentos[[#This Row],[Item]],supercb[Bairro],mercado17)</f>
        <v>0</v>
      </c>
      <c r="AC327" s="64">
        <f>SUMIFS(super1[Qtde],super1[Item],tab_alimentos[[#This Row],[Item]],super1[Bairro],mercado18)+SUMIFS(supercb[Qtde],supercb[Item],tab_alimentos[[#This Row],[Item]],supercb[Bairro],mercado18)</f>
        <v>0</v>
      </c>
      <c r="AD327" s="64">
        <f>SUMIFS(super1[Qtde],super1[Item],tab_alimentos[[#This Row],[Item]],super1[Bairro],extras)+SUMIFS(supercb[Qtde],supercb[Item],tab_alimentos[[#This Row],[Item]],supercb[Bairro],extras)</f>
        <v>0</v>
      </c>
      <c r="AE327" s="61">
        <f t="shared" si="88"/>
        <v>0</v>
      </c>
      <c r="AF327" s="61">
        <f t="shared" si="89"/>
        <v>0</v>
      </c>
      <c r="AG327" s="62">
        <f t="shared" si="90"/>
        <v>0</v>
      </c>
    </row>
    <row r="328" spans="9:33" x14ac:dyDescent="0.25">
      <c r="I328" s="65" t="e">
        <f>alimentos[[#This Row],[Item]]</f>
        <v>#VALUE!</v>
      </c>
      <c r="J328" s="61">
        <f>IFERROR(alimentos[[#This Row],[kg/embalagem]],0)</f>
        <v>0</v>
      </c>
      <c r="K328" s="64">
        <f>IFERROR(alimentos[[#This Row],[Preço]],0)</f>
        <v>0</v>
      </c>
      <c r="L328" s="64">
        <f>SUMIFS(super1[Qtde],super1[Item],tab_alimentos[[#This Row],[Item]],super1[Bairro],mercado1)+SUMIFS(supercb[Qtde],supercb[Item],tab_alimentos[[#This Row],[Item]],supercb[Bairro],mercado1)</f>
        <v>0</v>
      </c>
      <c r="M328" s="64">
        <f>SUMIFS(super1[Qtde],super1[Item],tab_alimentos[[#This Row],[Item]],super1[Bairro],mercado2)+SUMIFS(supercb[Qtde],supercb[Item],tab_alimentos[[#This Row],[Item]],supercb[Bairro],mercado2)</f>
        <v>0</v>
      </c>
      <c r="N328" s="61">
        <f>SUMIFS(super1[Qtde],super1[Item],tab_alimentos[[#This Row],[Item]],super1[Bairro],mercado3)+SUMIFS(supercb[Qtde],supercb[Item],tab_alimentos[[#This Row],[Item]],supercb[Bairro],mercado3)</f>
        <v>0</v>
      </c>
      <c r="O328" s="64">
        <f>SUMIFS(super1[Qtde],super1[Item],tab_alimentos[[#This Row],[Item]],super1[Bairro],mercado4)+SUMIFS(supercb[Qtde],supercb[Item],tab_alimentos[[#This Row],[Item]],supercb[Bairro],mercado4)</f>
        <v>0</v>
      </c>
      <c r="P328" s="64">
        <f>SUMIFS(super1[Qtde],super1[Item],tab_alimentos[[#This Row],[Item]],super1[Bairro],mercado5)+SUMIFS(supercb[Qtde],supercb[Item],tab_alimentos[[#This Row],[Item]],supercb[Bairro],mercado5)</f>
        <v>0</v>
      </c>
      <c r="Q328" s="64">
        <f>SUMIFS(super1[Qtde],super1[Item],tab_alimentos[[#This Row],[Item]],super1[Bairro],mercado6)+SUMIFS(supercb[Qtde],supercb[Item],tab_alimentos[[#This Row],[Item]],supercb[Bairro],mercado6)</f>
        <v>0</v>
      </c>
      <c r="R328" s="64">
        <f>SUMIFS(super1[Qtde],super1[Item],tab_alimentos[[#This Row],[Item]],super1[Bairro],mercado7)+SUMIFS(supercb[Qtde],supercb[Item],tab_alimentos[[#This Row],[Item]],supercb[Bairro],mercado7)</f>
        <v>0</v>
      </c>
      <c r="S328" s="64">
        <f>SUMIFS(super1[Qtde],super1[Item],tab_alimentos[[#This Row],[Item]],super1[Bairro],mercado8)+SUMIFS(supercb[Qtde],supercb[Item],tab_alimentos[[#This Row],[Item]],supercb[Bairro],mercado8)</f>
        <v>0</v>
      </c>
      <c r="T328" s="64">
        <f>SUMIFS(super1[Qtde],super1[Item],tab_alimentos[[#This Row],[Item]],super1[Bairro],mercado9)+SUMIFS(supercb[Qtde],supercb[Item],tab_alimentos[[#This Row],[Item]],supercb[Bairro],mercado9)</f>
        <v>0</v>
      </c>
      <c r="U328" s="64">
        <f>SUMIFS(super1[Qtde],super1[Item],tab_alimentos[[#This Row],[Item]],super1[Bairro],mercado10)+SUMIFS(supercb[Qtde],supercb[Item],tab_alimentos[[#This Row],[Item]],supercb[Bairro],mercado10)</f>
        <v>0</v>
      </c>
      <c r="V328" s="64">
        <f>SUMIFS(super1[Qtde],super1[Item],tab_alimentos[[#This Row],[Item]],super1[Bairro],mercado11)+SUMIFS(supercb[Qtde],supercb[Item],tab_alimentos[[#This Row],[Item]],supercb[Bairro],mercado11)</f>
        <v>0</v>
      </c>
      <c r="W328" s="64">
        <f>SUMIFS(super1[Qtde],super1[Item],tab_alimentos[[#This Row],[Item]],super1[Bairro],mercado12)+SUMIFS(supercb[Qtde],supercb[Item],tab_alimentos[[#This Row],[Item]],supercb[Bairro],mercado12)</f>
        <v>0</v>
      </c>
      <c r="X328" s="64">
        <f>SUMIFS(super1[Qtde],super1[Item],tab_alimentos[[#This Row],[Item]],super1[Bairro],mercado13)+SUMIFS(supercb[Qtde],supercb[Item],tab_alimentos[[#This Row],[Item]],supercb[Bairro],mercado13)</f>
        <v>0</v>
      </c>
      <c r="Y328" s="64">
        <f>SUMIFS(super1[Qtde],super1[Item],tab_alimentos[[#This Row],[Item]],super1[Bairro],mercado14)+SUMIFS(supercb[Qtde],supercb[Item],tab_alimentos[[#This Row],[Item]],supercb[Bairro],mercado14)</f>
        <v>0</v>
      </c>
      <c r="Z328" s="64">
        <f>SUMIFS(super1[Qtde],super1[Item],tab_alimentos[[#This Row],[Item]],super1[Bairro],mercado15)+SUMIFS(supercb[Qtde],supercb[Item],tab_alimentos[[#This Row],[Item]],supercb[Bairro],mercado15)</f>
        <v>0</v>
      </c>
      <c r="AA328" s="64">
        <f>SUMIFS(super1[Qtde],super1[Item],tab_alimentos[[#This Row],[Item]],super1[Bairro],mercado16)+SUMIFS(supercb[Qtde],supercb[Item],tab_alimentos[[#This Row],[Item]],supercb[Bairro],mercado16)</f>
        <v>0</v>
      </c>
      <c r="AB328" s="64">
        <f>SUMIFS(super1[Qtde],super1[Item],tab_alimentos[[#This Row],[Item]],super1[Bairro],mercado17)+SUMIFS(supercb[Qtde],supercb[Item],tab_alimentos[[#This Row],[Item]],supercb[Bairro],mercado17)</f>
        <v>0</v>
      </c>
      <c r="AC328" s="64">
        <f>SUMIFS(super1[Qtde],super1[Item],tab_alimentos[[#This Row],[Item]],super1[Bairro],mercado18)+SUMIFS(supercb[Qtde],supercb[Item],tab_alimentos[[#This Row],[Item]],supercb[Bairro],mercado18)</f>
        <v>0</v>
      </c>
      <c r="AD328" s="64">
        <f>SUMIFS(super1[Qtde],super1[Item],tab_alimentos[[#This Row],[Item]],super1[Bairro],extras)+SUMIFS(supercb[Qtde],supercb[Item],tab_alimentos[[#This Row],[Item]],supercb[Bairro],extras)</f>
        <v>0</v>
      </c>
      <c r="AE328" s="61">
        <f t="shared" si="88"/>
        <v>0</v>
      </c>
      <c r="AF328" s="61">
        <f t="shared" si="89"/>
        <v>0</v>
      </c>
      <c r="AG328" s="62">
        <f t="shared" si="90"/>
        <v>0</v>
      </c>
    </row>
    <row r="329" spans="9:33" x14ac:dyDescent="0.25">
      <c r="I329" s="65" t="e">
        <f>alimentos[[#This Row],[Item]]</f>
        <v>#VALUE!</v>
      </c>
      <c r="J329" s="61">
        <f>IFERROR(alimentos[[#This Row],[kg/embalagem]],0)</f>
        <v>0</v>
      </c>
      <c r="K329" s="64">
        <f>IFERROR(alimentos[[#This Row],[Preço]],0)</f>
        <v>0</v>
      </c>
      <c r="L329" s="64">
        <f>SUMIFS(super1[Qtde],super1[Item],tab_alimentos[[#This Row],[Item]],super1[Bairro],mercado1)+SUMIFS(supercb[Qtde],supercb[Item],tab_alimentos[[#This Row],[Item]],supercb[Bairro],mercado1)</f>
        <v>0</v>
      </c>
      <c r="M329" s="64">
        <f>SUMIFS(super1[Qtde],super1[Item],tab_alimentos[[#This Row],[Item]],super1[Bairro],mercado2)+SUMIFS(supercb[Qtde],supercb[Item],tab_alimentos[[#This Row],[Item]],supercb[Bairro],mercado2)</f>
        <v>0</v>
      </c>
      <c r="N329" s="61">
        <f>SUMIFS(super1[Qtde],super1[Item],tab_alimentos[[#This Row],[Item]],super1[Bairro],mercado3)+SUMIFS(supercb[Qtde],supercb[Item],tab_alimentos[[#This Row],[Item]],supercb[Bairro],mercado3)</f>
        <v>0</v>
      </c>
      <c r="O329" s="64">
        <f>SUMIFS(super1[Qtde],super1[Item],tab_alimentos[[#This Row],[Item]],super1[Bairro],mercado4)+SUMIFS(supercb[Qtde],supercb[Item],tab_alimentos[[#This Row],[Item]],supercb[Bairro],mercado4)</f>
        <v>0</v>
      </c>
      <c r="P329" s="64">
        <f>SUMIFS(super1[Qtde],super1[Item],tab_alimentos[[#This Row],[Item]],super1[Bairro],mercado5)+SUMIFS(supercb[Qtde],supercb[Item],tab_alimentos[[#This Row],[Item]],supercb[Bairro],mercado5)</f>
        <v>0</v>
      </c>
      <c r="Q329" s="64">
        <f>SUMIFS(super1[Qtde],super1[Item],tab_alimentos[[#This Row],[Item]],super1[Bairro],mercado6)+SUMIFS(supercb[Qtde],supercb[Item],tab_alimentos[[#This Row],[Item]],supercb[Bairro],mercado6)</f>
        <v>0</v>
      </c>
      <c r="R329" s="64">
        <f>SUMIFS(super1[Qtde],super1[Item],tab_alimentos[[#This Row],[Item]],super1[Bairro],mercado7)+SUMIFS(supercb[Qtde],supercb[Item],tab_alimentos[[#This Row],[Item]],supercb[Bairro],mercado7)</f>
        <v>0</v>
      </c>
      <c r="S329" s="64">
        <f>SUMIFS(super1[Qtde],super1[Item],tab_alimentos[[#This Row],[Item]],super1[Bairro],mercado8)+SUMIFS(supercb[Qtde],supercb[Item],tab_alimentos[[#This Row],[Item]],supercb[Bairro],mercado8)</f>
        <v>0</v>
      </c>
      <c r="T329" s="64">
        <f>SUMIFS(super1[Qtde],super1[Item],tab_alimentos[[#This Row],[Item]],super1[Bairro],mercado9)+SUMIFS(supercb[Qtde],supercb[Item],tab_alimentos[[#This Row],[Item]],supercb[Bairro],mercado9)</f>
        <v>0</v>
      </c>
      <c r="U329" s="64">
        <f>SUMIFS(super1[Qtde],super1[Item],tab_alimentos[[#This Row],[Item]],super1[Bairro],mercado10)+SUMIFS(supercb[Qtde],supercb[Item],tab_alimentos[[#This Row],[Item]],supercb[Bairro],mercado10)</f>
        <v>0</v>
      </c>
      <c r="V329" s="64">
        <f>SUMIFS(super1[Qtde],super1[Item],tab_alimentos[[#This Row],[Item]],super1[Bairro],mercado11)+SUMIFS(supercb[Qtde],supercb[Item],tab_alimentos[[#This Row],[Item]],supercb[Bairro],mercado11)</f>
        <v>0</v>
      </c>
      <c r="W329" s="64">
        <f>SUMIFS(super1[Qtde],super1[Item],tab_alimentos[[#This Row],[Item]],super1[Bairro],mercado12)+SUMIFS(supercb[Qtde],supercb[Item],tab_alimentos[[#This Row],[Item]],supercb[Bairro],mercado12)</f>
        <v>0</v>
      </c>
      <c r="X329" s="64">
        <f>SUMIFS(super1[Qtde],super1[Item],tab_alimentos[[#This Row],[Item]],super1[Bairro],mercado13)+SUMIFS(supercb[Qtde],supercb[Item],tab_alimentos[[#This Row],[Item]],supercb[Bairro],mercado13)</f>
        <v>0</v>
      </c>
      <c r="Y329" s="64">
        <f>SUMIFS(super1[Qtde],super1[Item],tab_alimentos[[#This Row],[Item]],super1[Bairro],mercado14)+SUMIFS(supercb[Qtde],supercb[Item],tab_alimentos[[#This Row],[Item]],supercb[Bairro],mercado14)</f>
        <v>0</v>
      </c>
      <c r="Z329" s="64">
        <f>SUMIFS(super1[Qtde],super1[Item],tab_alimentos[[#This Row],[Item]],super1[Bairro],mercado15)+SUMIFS(supercb[Qtde],supercb[Item],tab_alimentos[[#This Row],[Item]],supercb[Bairro],mercado15)</f>
        <v>0</v>
      </c>
      <c r="AA329" s="64">
        <f>SUMIFS(super1[Qtde],super1[Item],tab_alimentos[[#This Row],[Item]],super1[Bairro],mercado16)+SUMIFS(supercb[Qtde],supercb[Item],tab_alimentos[[#This Row],[Item]],supercb[Bairro],mercado16)</f>
        <v>0</v>
      </c>
      <c r="AB329" s="64">
        <f>SUMIFS(super1[Qtde],super1[Item],tab_alimentos[[#This Row],[Item]],super1[Bairro],mercado17)+SUMIFS(supercb[Qtde],supercb[Item],tab_alimentos[[#This Row],[Item]],supercb[Bairro],mercado17)</f>
        <v>0</v>
      </c>
      <c r="AC329" s="64">
        <f>SUMIFS(super1[Qtde],super1[Item],tab_alimentos[[#This Row],[Item]],super1[Bairro],mercado18)+SUMIFS(supercb[Qtde],supercb[Item],tab_alimentos[[#This Row],[Item]],supercb[Bairro],mercado18)</f>
        <v>0</v>
      </c>
      <c r="AD329" s="64">
        <f>SUMIFS(super1[Qtde],super1[Item],tab_alimentos[[#This Row],[Item]],super1[Bairro],extras)+SUMIFS(supercb[Qtde],supercb[Item],tab_alimentos[[#This Row],[Item]],supercb[Bairro],extras)</f>
        <v>0</v>
      </c>
      <c r="AE329" s="61">
        <f t="shared" si="88"/>
        <v>0</v>
      </c>
      <c r="AF329" s="61">
        <f t="shared" si="89"/>
        <v>0</v>
      </c>
      <c r="AG329" s="62">
        <f t="shared" si="90"/>
        <v>0</v>
      </c>
    </row>
    <row r="330" spans="9:33" x14ac:dyDescent="0.25">
      <c r="I330" s="65" t="e">
        <f>alimentos[[#This Row],[Item]]</f>
        <v>#VALUE!</v>
      </c>
      <c r="J330" s="61">
        <f>IFERROR(alimentos[[#This Row],[kg/embalagem]],0)</f>
        <v>0</v>
      </c>
      <c r="K330" s="64">
        <f>IFERROR(alimentos[[#This Row],[Preço]],0)</f>
        <v>0</v>
      </c>
      <c r="L330" s="64">
        <f>SUMIFS(super1[Qtde],super1[Item],tab_alimentos[[#This Row],[Item]],super1[Bairro],mercado1)+SUMIFS(supercb[Qtde],supercb[Item],tab_alimentos[[#This Row],[Item]],supercb[Bairro],mercado1)</f>
        <v>0</v>
      </c>
      <c r="M330" s="64">
        <f>SUMIFS(super1[Qtde],super1[Item],tab_alimentos[[#This Row],[Item]],super1[Bairro],mercado2)+SUMIFS(supercb[Qtde],supercb[Item],tab_alimentos[[#This Row],[Item]],supercb[Bairro],mercado2)</f>
        <v>0</v>
      </c>
      <c r="N330" s="61">
        <f>SUMIFS(super1[Qtde],super1[Item],tab_alimentos[[#This Row],[Item]],super1[Bairro],mercado3)+SUMIFS(supercb[Qtde],supercb[Item],tab_alimentos[[#This Row],[Item]],supercb[Bairro],mercado3)</f>
        <v>0</v>
      </c>
      <c r="O330" s="64">
        <f>SUMIFS(super1[Qtde],super1[Item],tab_alimentos[[#This Row],[Item]],super1[Bairro],mercado4)+SUMIFS(supercb[Qtde],supercb[Item],tab_alimentos[[#This Row],[Item]],supercb[Bairro],mercado4)</f>
        <v>0</v>
      </c>
      <c r="P330" s="64">
        <f>SUMIFS(super1[Qtde],super1[Item],tab_alimentos[[#This Row],[Item]],super1[Bairro],mercado5)+SUMIFS(supercb[Qtde],supercb[Item],tab_alimentos[[#This Row],[Item]],supercb[Bairro],mercado5)</f>
        <v>0</v>
      </c>
      <c r="Q330" s="64">
        <f>SUMIFS(super1[Qtde],super1[Item],tab_alimentos[[#This Row],[Item]],super1[Bairro],mercado6)+SUMIFS(supercb[Qtde],supercb[Item],tab_alimentos[[#This Row],[Item]],supercb[Bairro],mercado6)</f>
        <v>0</v>
      </c>
      <c r="R330" s="64">
        <f>SUMIFS(super1[Qtde],super1[Item],tab_alimentos[[#This Row],[Item]],super1[Bairro],mercado7)+SUMIFS(supercb[Qtde],supercb[Item],tab_alimentos[[#This Row],[Item]],supercb[Bairro],mercado7)</f>
        <v>0</v>
      </c>
      <c r="S330" s="64">
        <f>SUMIFS(super1[Qtde],super1[Item],tab_alimentos[[#This Row],[Item]],super1[Bairro],mercado8)+SUMIFS(supercb[Qtde],supercb[Item],tab_alimentos[[#This Row],[Item]],supercb[Bairro],mercado8)</f>
        <v>0</v>
      </c>
      <c r="T330" s="64">
        <f>SUMIFS(super1[Qtde],super1[Item],tab_alimentos[[#This Row],[Item]],super1[Bairro],mercado9)+SUMIFS(supercb[Qtde],supercb[Item],tab_alimentos[[#This Row],[Item]],supercb[Bairro],mercado9)</f>
        <v>0</v>
      </c>
      <c r="U330" s="64">
        <f>SUMIFS(super1[Qtde],super1[Item],tab_alimentos[[#This Row],[Item]],super1[Bairro],mercado10)+SUMIFS(supercb[Qtde],supercb[Item],tab_alimentos[[#This Row],[Item]],supercb[Bairro],mercado10)</f>
        <v>0</v>
      </c>
      <c r="V330" s="64">
        <f>SUMIFS(super1[Qtde],super1[Item],tab_alimentos[[#This Row],[Item]],super1[Bairro],mercado11)+SUMIFS(supercb[Qtde],supercb[Item],tab_alimentos[[#This Row],[Item]],supercb[Bairro],mercado11)</f>
        <v>0</v>
      </c>
      <c r="W330" s="64">
        <f>SUMIFS(super1[Qtde],super1[Item],tab_alimentos[[#This Row],[Item]],super1[Bairro],mercado12)+SUMIFS(supercb[Qtde],supercb[Item],tab_alimentos[[#This Row],[Item]],supercb[Bairro],mercado12)</f>
        <v>0</v>
      </c>
      <c r="X330" s="64">
        <f>SUMIFS(super1[Qtde],super1[Item],tab_alimentos[[#This Row],[Item]],super1[Bairro],mercado13)+SUMIFS(supercb[Qtde],supercb[Item],tab_alimentos[[#This Row],[Item]],supercb[Bairro],mercado13)</f>
        <v>0</v>
      </c>
      <c r="Y330" s="64">
        <f>SUMIFS(super1[Qtde],super1[Item],tab_alimentos[[#This Row],[Item]],super1[Bairro],mercado14)+SUMIFS(supercb[Qtde],supercb[Item],tab_alimentos[[#This Row],[Item]],supercb[Bairro],mercado14)</f>
        <v>0</v>
      </c>
      <c r="Z330" s="64">
        <f>SUMIFS(super1[Qtde],super1[Item],tab_alimentos[[#This Row],[Item]],super1[Bairro],mercado15)+SUMIFS(supercb[Qtde],supercb[Item],tab_alimentos[[#This Row],[Item]],supercb[Bairro],mercado15)</f>
        <v>0</v>
      </c>
      <c r="AA330" s="64">
        <f>SUMIFS(super1[Qtde],super1[Item],tab_alimentos[[#This Row],[Item]],super1[Bairro],mercado16)+SUMIFS(supercb[Qtde],supercb[Item],tab_alimentos[[#This Row],[Item]],supercb[Bairro],mercado16)</f>
        <v>0</v>
      </c>
      <c r="AB330" s="64">
        <f>SUMIFS(super1[Qtde],super1[Item],tab_alimentos[[#This Row],[Item]],super1[Bairro],mercado17)+SUMIFS(supercb[Qtde],supercb[Item],tab_alimentos[[#This Row],[Item]],supercb[Bairro],mercado17)</f>
        <v>0</v>
      </c>
      <c r="AC330" s="64">
        <f>SUMIFS(super1[Qtde],super1[Item],tab_alimentos[[#This Row],[Item]],super1[Bairro],mercado18)+SUMIFS(supercb[Qtde],supercb[Item],tab_alimentos[[#This Row],[Item]],supercb[Bairro],mercado18)</f>
        <v>0</v>
      </c>
      <c r="AD330" s="64">
        <f>SUMIFS(super1[Qtde],super1[Item],tab_alimentos[[#This Row],[Item]],super1[Bairro],extras)+SUMIFS(supercb[Qtde],supercb[Item],tab_alimentos[[#This Row],[Item]],supercb[Bairro],extras)</f>
        <v>0</v>
      </c>
      <c r="AE330" s="61">
        <f t="shared" si="88"/>
        <v>0</v>
      </c>
      <c r="AF330" s="61">
        <f t="shared" si="89"/>
        <v>0</v>
      </c>
      <c r="AG330" s="62">
        <f t="shared" si="90"/>
        <v>0</v>
      </c>
    </row>
    <row r="331" spans="9:33" x14ac:dyDescent="0.25">
      <c r="I331" s="65" t="e">
        <f>alimentos[[#This Row],[Item]]</f>
        <v>#VALUE!</v>
      </c>
      <c r="J331" s="61">
        <f>IFERROR(alimentos[[#This Row],[kg/embalagem]],0)</f>
        <v>0</v>
      </c>
      <c r="K331" s="64">
        <f>IFERROR(alimentos[[#This Row],[Preço]],0)</f>
        <v>0</v>
      </c>
      <c r="L331" s="64">
        <f>SUMIFS(super1[Qtde],super1[Item],tab_alimentos[[#This Row],[Item]],super1[Bairro],mercado1)+SUMIFS(supercb[Qtde],supercb[Item],tab_alimentos[[#This Row],[Item]],supercb[Bairro],mercado1)</f>
        <v>0</v>
      </c>
      <c r="M331" s="64">
        <f>SUMIFS(super1[Qtde],super1[Item],tab_alimentos[[#This Row],[Item]],super1[Bairro],mercado2)+SUMIFS(supercb[Qtde],supercb[Item],tab_alimentos[[#This Row],[Item]],supercb[Bairro],mercado2)</f>
        <v>0</v>
      </c>
      <c r="N331" s="61">
        <f>SUMIFS(super1[Qtde],super1[Item],tab_alimentos[[#This Row],[Item]],super1[Bairro],mercado3)+SUMIFS(supercb[Qtde],supercb[Item],tab_alimentos[[#This Row],[Item]],supercb[Bairro],mercado3)</f>
        <v>0</v>
      </c>
      <c r="O331" s="64">
        <f>SUMIFS(super1[Qtde],super1[Item],tab_alimentos[[#This Row],[Item]],super1[Bairro],mercado4)+SUMIFS(supercb[Qtde],supercb[Item],tab_alimentos[[#This Row],[Item]],supercb[Bairro],mercado4)</f>
        <v>0</v>
      </c>
      <c r="P331" s="64">
        <f>SUMIFS(super1[Qtde],super1[Item],tab_alimentos[[#This Row],[Item]],super1[Bairro],mercado5)+SUMIFS(supercb[Qtde],supercb[Item],tab_alimentos[[#This Row],[Item]],supercb[Bairro],mercado5)</f>
        <v>0</v>
      </c>
      <c r="Q331" s="64">
        <f>SUMIFS(super1[Qtde],super1[Item],tab_alimentos[[#This Row],[Item]],super1[Bairro],mercado6)+SUMIFS(supercb[Qtde],supercb[Item],tab_alimentos[[#This Row],[Item]],supercb[Bairro],mercado6)</f>
        <v>0</v>
      </c>
      <c r="R331" s="64">
        <f>SUMIFS(super1[Qtde],super1[Item],tab_alimentos[[#This Row],[Item]],super1[Bairro],mercado7)+SUMIFS(supercb[Qtde],supercb[Item],tab_alimentos[[#This Row],[Item]],supercb[Bairro],mercado7)</f>
        <v>0</v>
      </c>
      <c r="S331" s="64">
        <f>SUMIFS(super1[Qtde],super1[Item],tab_alimentos[[#This Row],[Item]],super1[Bairro],mercado8)+SUMIFS(supercb[Qtde],supercb[Item],tab_alimentos[[#This Row],[Item]],supercb[Bairro],mercado8)</f>
        <v>0</v>
      </c>
      <c r="T331" s="64">
        <f>SUMIFS(super1[Qtde],super1[Item],tab_alimentos[[#This Row],[Item]],super1[Bairro],mercado9)+SUMIFS(supercb[Qtde],supercb[Item],tab_alimentos[[#This Row],[Item]],supercb[Bairro],mercado9)</f>
        <v>0</v>
      </c>
      <c r="U331" s="64">
        <f>SUMIFS(super1[Qtde],super1[Item],tab_alimentos[[#This Row],[Item]],super1[Bairro],mercado10)+SUMIFS(supercb[Qtde],supercb[Item],tab_alimentos[[#This Row],[Item]],supercb[Bairro],mercado10)</f>
        <v>0</v>
      </c>
      <c r="V331" s="64">
        <f>SUMIFS(super1[Qtde],super1[Item],tab_alimentos[[#This Row],[Item]],super1[Bairro],mercado11)+SUMIFS(supercb[Qtde],supercb[Item],tab_alimentos[[#This Row],[Item]],supercb[Bairro],mercado11)</f>
        <v>0</v>
      </c>
      <c r="W331" s="64">
        <f>SUMIFS(super1[Qtde],super1[Item],tab_alimentos[[#This Row],[Item]],super1[Bairro],mercado12)+SUMIFS(supercb[Qtde],supercb[Item],tab_alimentos[[#This Row],[Item]],supercb[Bairro],mercado12)</f>
        <v>0</v>
      </c>
      <c r="X331" s="64">
        <f>SUMIFS(super1[Qtde],super1[Item],tab_alimentos[[#This Row],[Item]],super1[Bairro],mercado13)+SUMIFS(supercb[Qtde],supercb[Item],tab_alimentos[[#This Row],[Item]],supercb[Bairro],mercado13)</f>
        <v>0</v>
      </c>
      <c r="Y331" s="64">
        <f>SUMIFS(super1[Qtde],super1[Item],tab_alimentos[[#This Row],[Item]],super1[Bairro],mercado14)+SUMIFS(supercb[Qtde],supercb[Item],tab_alimentos[[#This Row],[Item]],supercb[Bairro],mercado14)</f>
        <v>0</v>
      </c>
      <c r="Z331" s="64">
        <f>SUMIFS(super1[Qtde],super1[Item],tab_alimentos[[#This Row],[Item]],super1[Bairro],mercado15)+SUMIFS(supercb[Qtde],supercb[Item],tab_alimentos[[#This Row],[Item]],supercb[Bairro],mercado15)</f>
        <v>0</v>
      </c>
      <c r="AA331" s="64">
        <f>SUMIFS(super1[Qtde],super1[Item],tab_alimentos[[#This Row],[Item]],super1[Bairro],mercado16)+SUMIFS(supercb[Qtde],supercb[Item],tab_alimentos[[#This Row],[Item]],supercb[Bairro],mercado16)</f>
        <v>0</v>
      </c>
      <c r="AB331" s="64">
        <f>SUMIFS(super1[Qtde],super1[Item],tab_alimentos[[#This Row],[Item]],super1[Bairro],mercado17)+SUMIFS(supercb[Qtde],supercb[Item],tab_alimentos[[#This Row],[Item]],supercb[Bairro],mercado17)</f>
        <v>0</v>
      </c>
      <c r="AC331" s="64">
        <f>SUMIFS(super1[Qtde],super1[Item],tab_alimentos[[#This Row],[Item]],super1[Bairro],mercado18)+SUMIFS(supercb[Qtde],supercb[Item],tab_alimentos[[#This Row],[Item]],supercb[Bairro],mercado18)</f>
        <v>0</v>
      </c>
      <c r="AD331" s="64">
        <f>SUMIFS(super1[Qtde],super1[Item],tab_alimentos[[#This Row],[Item]],super1[Bairro],extras)+SUMIFS(supercb[Qtde],supercb[Item],tab_alimentos[[#This Row],[Item]],supercb[Bairro],extras)</f>
        <v>0</v>
      </c>
      <c r="AE331" s="61">
        <f t="shared" si="88"/>
        <v>0</v>
      </c>
      <c r="AF331" s="61">
        <f t="shared" si="89"/>
        <v>0</v>
      </c>
      <c r="AG331" s="62">
        <f t="shared" si="90"/>
        <v>0</v>
      </c>
    </row>
    <row r="332" spans="9:33" x14ac:dyDescent="0.25">
      <c r="I332" s="65" t="e">
        <f>alimentos[[#This Row],[Item]]</f>
        <v>#VALUE!</v>
      </c>
      <c r="J332" s="61">
        <f>IFERROR(alimentos[[#This Row],[kg/embalagem]],0)</f>
        <v>0</v>
      </c>
      <c r="K332" s="64">
        <f>IFERROR(alimentos[[#This Row],[Preço]],0)</f>
        <v>0</v>
      </c>
      <c r="L332" s="64">
        <f>SUMIFS(super1[Qtde],super1[Item],tab_alimentos[[#This Row],[Item]],super1[Bairro],mercado1)+SUMIFS(supercb[Qtde],supercb[Item],tab_alimentos[[#This Row],[Item]],supercb[Bairro],mercado1)</f>
        <v>0</v>
      </c>
      <c r="M332" s="64">
        <f>SUMIFS(super1[Qtde],super1[Item],tab_alimentos[[#This Row],[Item]],super1[Bairro],mercado2)+SUMIFS(supercb[Qtde],supercb[Item],tab_alimentos[[#This Row],[Item]],supercb[Bairro],mercado2)</f>
        <v>0</v>
      </c>
      <c r="N332" s="61">
        <f>SUMIFS(super1[Qtde],super1[Item],tab_alimentos[[#This Row],[Item]],super1[Bairro],mercado3)+SUMIFS(supercb[Qtde],supercb[Item],tab_alimentos[[#This Row],[Item]],supercb[Bairro],mercado3)</f>
        <v>0</v>
      </c>
      <c r="O332" s="64">
        <f>SUMIFS(super1[Qtde],super1[Item],tab_alimentos[[#This Row],[Item]],super1[Bairro],mercado4)+SUMIFS(supercb[Qtde],supercb[Item],tab_alimentos[[#This Row],[Item]],supercb[Bairro],mercado4)</f>
        <v>0</v>
      </c>
      <c r="P332" s="64">
        <f>SUMIFS(super1[Qtde],super1[Item],tab_alimentos[[#This Row],[Item]],super1[Bairro],mercado5)+SUMIFS(supercb[Qtde],supercb[Item],tab_alimentos[[#This Row],[Item]],supercb[Bairro],mercado5)</f>
        <v>0</v>
      </c>
      <c r="Q332" s="64">
        <f>SUMIFS(super1[Qtde],super1[Item],tab_alimentos[[#This Row],[Item]],super1[Bairro],mercado6)+SUMIFS(supercb[Qtde],supercb[Item],tab_alimentos[[#This Row],[Item]],supercb[Bairro],mercado6)</f>
        <v>0</v>
      </c>
      <c r="R332" s="64">
        <f>SUMIFS(super1[Qtde],super1[Item],tab_alimentos[[#This Row],[Item]],super1[Bairro],mercado7)+SUMIFS(supercb[Qtde],supercb[Item],tab_alimentos[[#This Row],[Item]],supercb[Bairro],mercado7)</f>
        <v>0</v>
      </c>
      <c r="S332" s="64">
        <f>SUMIFS(super1[Qtde],super1[Item],tab_alimentos[[#This Row],[Item]],super1[Bairro],mercado8)+SUMIFS(supercb[Qtde],supercb[Item],tab_alimentos[[#This Row],[Item]],supercb[Bairro],mercado8)</f>
        <v>0</v>
      </c>
      <c r="T332" s="64">
        <f>SUMIFS(super1[Qtde],super1[Item],tab_alimentos[[#This Row],[Item]],super1[Bairro],mercado9)+SUMIFS(supercb[Qtde],supercb[Item],tab_alimentos[[#This Row],[Item]],supercb[Bairro],mercado9)</f>
        <v>0</v>
      </c>
      <c r="U332" s="64">
        <f>SUMIFS(super1[Qtde],super1[Item],tab_alimentos[[#This Row],[Item]],super1[Bairro],mercado10)+SUMIFS(supercb[Qtde],supercb[Item],tab_alimentos[[#This Row],[Item]],supercb[Bairro],mercado10)</f>
        <v>0</v>
      </c>
      <c r="V332" s="64">
        <f>SUMIFS(super1[Qtde],super1[Item],tab_alimentos[[#This Row],[Item]],super1[Bairro],mercado11)+SUMIFS(supercb[Qtde],supercb[Item],tab_alimentos[[#This Row],[Item]],supercb[Bairro],mercado11)</f>
        <v>0</v>
      </c>
      <c r="W332" s="64">
        <f>SUMIFS(super1[Qtde],super1[Item],tab_alimentos[[#This Row],[Item]],super1[Bairro],mercado12)+SUMIFS(supercb[Qtde],supercb[Item],tab_alimentos[[#This Row],[Item]],supercb[Bairro],mercado12)</f>
        <v>0</v>
      </c>
      <c r="X332" s="64">
        <f>SUMIFS(super1[Qtde],super1[Item],tab_alimentos[[#This Row],[Item]],super1[Bairro],mercado13)+SUMIFS(supercb[Qtde],supercb[Item],tab_alimentos[[#This Row],[Item]],supercb[Bairro],mercado13)</f>
        <v>0</v>
      </c>
      <c r="Y332" s="64">
        <f>SUMIFS(super1[Qtde],super1[Item],tab_alimentos[[#This Row],[Item]],super1[Bairro],mercado14)+SUMIFS(supercb[Qtde],supercb[Item],tab_alimentos[[#This Row],[Item]],supercb[Bairro],mercado14)</f>
        <v>0</v>
      </c>
      <c r="Z332" s="64">
        <f>SUMIFS(super1[Qtde],super1[Item],tab_alimentos[[#This Row],[Item]],super1[Bairro],mercado15)+SUMIFS(supercb[Qtde],supercb[Item],tab_alimentos[[#This Row],[Item]],supercb[Bairro],mercado15)</f>
        <v>0</v>
      </c>
      <c r="AA332" s="64">
        <f>SUMIFS(super1[Qtde],super1[Item],tab_alimentos[[#This Row],[Item]],super1[Bairro],mercado16)+SUMIFS(supercb[Qtde],supercb[Item],tab_alimentos[[#This Row],[Item]],supercb[Bairro],mercado16)</f>
        <v>0</v>
      </c>
      <c r="AB332" s="64">
        <f>SUMIFS(super1[Qtde],super1[Item],tab_alimentos[[#This Row],[Item]],super1[Bairro],mercado17)+SUMIFS(supercb[Qtde],supercb[Item],tab_alimentos[[#This Row],[Item]],supercb[Bairro],mercado17)</f>
        <v>0</v>
      </c>
      <c r="AC332" s="64">
        <f>SUMIFS(super1[Qtde],super1[Item],tab_alimentos[[#This Row],[Item]],super1[Bairro],mercado18)+SUMIFS(supercb[Qtde],supercb[Item],tab_alimentos[[#This Row],[Item]],supercb[Bairro],mercado18)</f>
        <v>0</v>
      </c>
      <c r="AD332" s="64">
        <f>SUMIFS(super1[Qtde],super1[Item],tab_alimentos[[#This Row],[Item]],super1[Bairro],extras)+SUMIFS(supercb[Qtde],supercb[Item],tab_alimentos[[#This Row],[Item]],supercb[Bairro],extras)</f>
        <v>0</v>
      </c>
      <c r="AE332" s="61">
        <f t="shared" si="88"/>
        <v>0</v>
      </c>
      <c r="AF332" s="61">
        <f t="shared" si="89"/>
        <v>0</v>
      </c>
      <c r="AG332" s="62">
        <f t="shared" si="90"/>
        <v>0</v>
      </c>
    </row>
    <row r="333" spans="9:33" x14ac:dyDescent="0.25">
      <c r="I333" s="65" t="e">
        <f>alimentos[[#This Row],[Item]]</f>
        <v>#VALUE!</v>
      </c>
      <c r="J333" s="61">
        <f>IFERROR(alimentos[[#This Row],[kg/embalagem]],0)</f>
        <v>0</v>
      </c>
      <c r="K333" s="64">
        <f>IFERROR(alimentos[[#This Row],[Preço]],0)</f>
        <v>0</v>
      </c>
      <c r="L333" s="64">
        <f>SUMIFS(super1[Qtde],super1[Item],tab_alimentos[[#This Row],[Item]],super1[Bairro],mercado1)+SUMIFS(supercb[Qtde],supercb[Item],tab_alimentos[[#This Row],[Item]],supercb[Bairro],mercado1)</f>
        <v>0</v>
      </c>
      <c r="M333" s="64">
        <f>SUMIFS(super1[Qtde],super1[Item],tab_alimentos[[#This Row],[Item]],super1[Bairro],mercado2)+SUMIFS(supercb[Qtde],supercb[Item],tab_alimentos[[#This Row],[Item]],supercb[Bairro],mercado2)</f>
        <v>0</v>
      </c>
      <c r="N333" s="61">
        <f>SUMIFS(super1[Qtde],super1[Item],tab_alimentos[[#This Row],[Item]],super1[Bairro],mercado3)+SUMIFS(supercb[Qtde],supercb[Item],tab_alimentos[[#This Row],[Item]],supercb[Bairro],mercado3)</f>
        <v>0</v>
      </c>
      <c r="O333" s="64">
        <f>SUMIFS(super1[Qtde],super1[Item],tab_alimentos[[#This Row],[Item]],super1[Bairro],mercado4)+SUMIFS(supercb[Qtde],supercb[Item],tab_alimentos[[#This Row],[Item]],supercb[Bairro],mercado4)</f>
        <v>0</v>
      </c>
      <c r="P333" s="64">
        <f>SUMIFS(super1[Qtde],super1[Item],tab_alimentos[[#This Row],[Item]],super1[Bairro],mercado5)+SUMIFS(supercb[Qtde],supercb[Item],tab_alimentos[[#This Row],[Item]],supercb[Bairro],mercado5)</f>
        <v>0</v>
      </c>
      <c r="Q333" s="64">
        <f>SUMIFS(super1[Qtde],super1[Item],tab_alimentos[[#This Row],[Item]],super1[Bairro],mercado6)+SUMIFS(supercb[Qtde],supercb[Item],tab_alimentos[[#This Row],[Item]],supercb[Bairro],mercado6)</f>
        <v>0</v>
      </c>
      <c r="R333" s="64">
        <f>SUMIFS(super1[Qtde],super1[Item],tab_alimentos[[#This Row],[Item]],super1[Bairro],mercado7)+SUMIFS(supercb[Qtde],supercb[Item],tab_alimentos[[#This Row],[Item]],supercb[Bairro],mercado7)</f>
        <v>0</v>
      </c>
      <c r="S333" s="64">
        <f>SUMIFS(super1[Qtde],super1[Item],tab_alimentos[[#This Row],[Item]],super1[Bairro],mercado8)+SUMIFS(supercb[Qtde],supercb[Item],tab_alimentos[[#This Row],[Item]],supercb[Bairro],mercado8)</f>
        <v>0</v>
      </c>
      <c r="T333" s="64">
        <f>SUMIFS(super1[Qtde],super1[Item],tab_alimentos[[#This Row],[Item]],super1[Bairro],mercado9)+SUMIFS(supercb[Qtde],supercb[Item],tab_alimentos[[#This Row],[Item]],supercb[Bairro],mercado9)</f>
        <v>0</v>
      </c>
      <c r="U333" s="64">
        <f>SUMIFS(super1[Qtde],super1[Item],tab_alimentos[[#This Row],[Item]],super1[Bairro],mercado10)+SUMIFS(supercb[Qtde],supercb[Item],tab_alimentos[[#This Row],[Item]],supercb[Bairro],mercado10)</f>
        <v>0</v>
      </c>
      <c r="V333" s="64">
        <f>SUMIFS(super1[Qtde],super1[Item],tab_alimentos[[#This Row],[Item]],super1[Bairro],mercado11)+SUMIFS(supercb[Qtde],supercb[Item],tab_alimentos[[#This Row],[Item]],supercb[Bairro],mercado11)</f>
        <v>0</v>
      </c>
      <c r="W333" s="64">
        <f>SUMIFS(super1[Qtde],super1[Item],tab_alimentos[[#This Row],[Item]],super1[Bairro],mercado12)+SUMIFS(supercb[Qtde],supercb[Item],tab_alimentos[[#This Row],[Item]],supercb[Bairro],mercado12)</f>
        <v>0</v>
      </c>
      <c r="X333" s="64">
        <f>SUMIFS(super1[Qtde],super1[Item],tab_alimentos[[#This Row],[Item]],super1[Bairro],mercado13)+SUMIFS(supercb[Qtde],supercb[Item],tab_alimentos[[#This Row],[Item]],supercb[Bairro],mercado13)</f>
        <v>0</v>
      </c>
      <c r="Y333" s="64">
        <f>SUMIFS(super1[Qtde],super1[Item],tab_alimentos[[#This Row],[Item]],super1[Bairro],mercado14)+SUMIFS(supercb[Qtde],supercb[Item],tab_alimentos[[#This Row],[Item]],supercb[Bairro],mercado14)</f>
        <v>0</v>
      </c>
      <c r="Z333" s="64">
        <f>SUMIFS(super1[Qtde],super1[Item],tab_alimentos[[#This Row],[Item]],super1[Bairro],mercado15)+SUMIFS(supercb[Qtde],supercb[Item],tab_alimentos[[#This Row],[Item]],supercb[Bairro],mercado15)</f>
        <v>0</v>
      </c>
      <c r="AA333" s="64">
        <f>SUMIFS(super1[Qtde],super1[Item],tab_alimentos[[#This Row],[Item]],super1[Bairro],mercado16)+SUMIFS(supercb[Qtde],supercb[Item],tab_alimentos[[#This Row],[Item]],supercb[Bairro],mercado16)</f>
        <v>0</v>
      </c>
      <c r="AB333" s="64">
        <f>SUMIFS(super1[Qtde],super1[Item],tab_alimentos[[#This Row],[Item]],super1[Bairro],mercado17)+SUMIFS(supercb[Qtde],supercb[Item],tab_alimentos[[#This Row],[Item]],supercb[Bairro],mercado17)</f>
        <v>0</v>
      </c>
      <c r="AC333" s="64">
        <f>SUMIFS(super1[Qtde],super1[Item],tab_alimentos[[#This Row],[Item]],super1[Bairro],mercado18)+SUMIFS(supercb[Qtde],supercb[Item],tab_alimentos[[#This Row],[Item]],supercb[Bairro],mercado18)</f>
        <v>0</v>
      </c>
      <c r="AD333" s="64">
        <f>SUMIFS(super1[Qtde],super1[Item],tab_alimentos[[#This Row],[Item]],super1[Bairro],extras)+SUMIFS(supercb[Qtde],supercb[Item],tab_alimentos[[#This Row],[Item]],supercb[Bairro],extras)</f>
        <v>0</v>
      </c>
      <c r="AE333" s="61">
        <f t="shared" si="88"/>
        <v>0</v>
      </c>
      <c r="AF333" s="61">
        <f t="shared" si="89"/>
        <v>0</v>
      </c>
      <c r="AG333" s="62">
        <f t="shared" si="90"/>
        <v>0</v>
      </c>
    </row>
    <row r="334" spans="9:33" x14ac:dyDescent="0.25">
      <c r="I334" s="65" t="e">
        <f>alimentos[[#This Row],[Item]]</f>
        <v>#VALUE!</v>
      </c>
      <c r="J334" s="61">
        <f>IFERROR(alimentos[[#This Row],[kg/embalagem]],0)</f>
        <v>0</v>
      </c>
      <c r="K334" s="64">
        <f>IFERROR(alimentos[[#This Row],[Preço]],0)</f>
        <v>0</v>
      </c>
      <c r="L334" s="64">
        <f>SUMIFS(super1[Qtde],super1[Item],tab_alimentos[[#This Row],[Item]],super1[Bairro],mercado1)+SUMIFS(supercb[Qtde],supercb[Item],tab_alimentos[[#This Row],[Item]],supercb[Bairro],mercado1)</f>
        <v>0</v>
      </c>
      <c r="M334" s="64">
        <f>SUMIFS(super1[Qtde],super1[Item],tab_alimentos[[#This Row],[Item]],super1[Bairro],mercado2)+SUMIFS(supercb[Qtde],supercb[Item],tab_alimentos[[#This Row],[Item]],supercb[Bairro],mercado2)</f>
        <v>0</v>
      </c>
      <c r="N334" s="61">
        <f>SUMIFS(super1[Qtde],super1[Item],tab_alimentos[[#This Row],[Item]],super1[Bairro],mercado3)+SUMIFS(supercb[Qtde],supercb[Item],tab_alimentos[[#This Row],[Item]],supercb[Bairro],mercado3)</f>
        <v>0</v>
      </c>
      <c r="O334" s="64">
        <f>SUMIFS(super1[Qtde],super1[Item],tab_alimentos[[#This Row],[Item]],super1[Bairro],mercado4)+SUMIFS(supercb[Qtde],supercb[Item],tab_alimentos[[#This Row],[Item]],supercb[Bairro],mercado4)</f>
        <v>0</v>
      </c>
      <c r="P334" s="64">
        <f>SUMIFS(super1[Qtde],super1[Item],tab_alimentos[[#This Row],[Item]],super1[Bairro],mercado5)+SUMIFS(supercb[Qtde],supercb[Item],tab_alimentos[[#This Row],[Item]],supercb[Bairro],mercado5)</f>
        <v>0</v>
      </c>
      <c r="Q334" s="64">
        <f>SUMIFS(super1[Qtde],super1[Item],tab_alimentos[[#This Row],[Item]],super1[Bairro],mercado6)+SUMIFS(supercb[Qtde],supercb[Item],tab_alimentos[[#This Row],[Item]],supercb[Bairro],mercado6)</f>
        <v>0</v>
      </c>
      <c r="R334" s="64">
        <f>SUMIFS(super1[Qtde],super1[Item],tab_alimentos[[#This Row],[Item]],super1[Bairro],mercado7)+SUMIFS(supercb[Qtde],supercb[Item],tab_alimentos[[#This Row],[Item]],supercb[Bairro],mercado7)</f>
        <v>0</v>
      </c>
      <c r="S334" s="64">
        <f>SUMIFS(super1[Qtde],super1[Item],tab_alimentos[[#This Row],[Item]],super1[Bairro],mercado8)+SUMIFS(supercb[Qtde],supercb[Item],tab_alimentos[[#This Row],[Item]],supercb[Bairro],mercado8)</f>
        <v>0</v>
      </c>
      <c r="T334" s="64">
        <f>SUMIFS(super1[Qtde],super1[Item],tab_alimentos[[#This Row],[Item]],super1[Bairro],mercado9)+SUMIFS(supercb[Qtde],supercb[Item],tab_alimentos[[#This Row],[Item]],supercb[Bairro],mercado9)</f>
        <v>0</v>
      </c>
      <c r="U334" s="64">
        <f>SUMIFS(super1[Qtde],super1[Item],tab_alimentos[[#This Row],[Item]],super1[Bairro],mercado10)+SUMIFS(supercb[Qtde],supercb[Item],tab_alimentos[[#This Row],[Item]],supercb[Bairro],mercado10)</f>
        <v>0</v>
      </c>
      <c r="V334" s="64">
        <f>SUMIFS(super1[Qtde],super1[Item],tab_alimentos[[#This Row],[Item]],super1[Bairro],mercado11)+SUMIFS(supercb[Qtde],supercb[Item],tab_alimentos[[#This Row],[Item]],supercb[Bairro],mercado11)</f>
        <v>0</v>
      </c>
      <c r="W334" s="64">
        <f>SUMIFS(super1[Qtde],super1[Item],tab_alimentos[[#This Row],[Item]],super1[Bairro],mercado12)+SUMIFS(supercb[Qtde],supercb[Item],tab_alimentos[[#This Row],[Item]],supercb[Bairro],mercado12)</f>
        <v>0</v>
      </c>
      <c r="X334" s="64">
        <f>SUMIFS(super1[Qtde],super1[Item],tab_alimentos[[#This Row],[Item]],super1[Bairro],mercado13)+SUMIFS(supercb[Qtde],supercb[Item],tab_alimentos[[#This Row],[Item]],supercb[Bairro],mercado13)</f>
        <v>0</v>
      </c>
      <c r="Y334" s="64">
        <f>SUMIFS(super1[Qtde],super1[Item],tab_alimentos[[#This Row],[Item]],super1[Bairro],mercado14)+SUMIFS(supercb[Qtde],supercb[Item],tab_alimentos[[#This Row],[Item]],supercb[Bairro],mercado14)</f>
        <v>0</v>
      </c>
      <c r="Z334" s="64">
        <f>SUMIFS(super1[Qtde],super1[Item],tab_alimentos[[#This Row],[Item]],super1[Bairro],mercado15)+SUMIFS(supercb[Qtde],supercb[Item],tab_alimentos[[#This Row],[Item]],supercb[Bairro],mercado15)</f>
        <v>0</v>
      </c>
      <c r="AA334" s="64">
        <f>SUMIFS(super1[Qtde],super1[Item],tab_alimentos[[#This Row],[Item]],super1[Bairro],mercado16)+SUMIFS(supercb[Qtde],supercb[Item],tab_alimentos[[#This Row],[Item]],supercb[Bairro],mercado16)</f>
        <v>0</v>
      </c>
      <c r="AB334" s="64">
        <f>SUMIFS(super1[Qtde],super1[Item],tab_alimentos[[#This Row],[Item]],super1[Bairro],mercado17)+SUMIFS(supercb[Qtde],supercb[Item],tab_alimentos[[#This Row],[Item]],supercb[Bairro],mercado17)</f>
        <v>0</v>
      </c>
      <c r="AC334" s="64">
        <f>SUMIFS(super1[Qtde],super1[Item],tab_alimentos[[#This Row],[Item]],super1[Bairro],mercado18)+SUMIFS(supercb[Qtde],supercb[Item],tab_alimentos[[#This Row],[Item]],supercb[Bairro],mercado18)</f>
        <v>0</v>
      </c>
      <c r="AD334" s="64">
        <f>SUMIFS(super1[Qtde],super1[Item],tab_alimentos[[#This Row],[Item]],super1[Bairro],extras)+SUMIFS(supercb[Qtde],supercb[Item],tab_alimentos[[#This Row],[Item]],supercb[Bairro],extras)</f>
        <v>0</v>
      </c>
      <c r="AE334" s="61">
        <f t="shared" si="88"/>
        <v>0</v>
      </c>
      <c r="AF334" s="61">
        <f t="shared" si="89"/>
        <v>0</v>
      </c>
      <c r="AG334" s="62">
        <f t="shared" si="90"/>
        <v>0</v>
      </c>
    </row>
    <row r="335" spans="9:33" x14ac:dyDescent="0.25">
      <c r="I335" s="65" t="e">
        <f>alimentos[[#This Row],[Item]]</f>
        <v>#VALUE!</v>
      </c>
      <c r="J335" s="61">
        <f>IFERROR(alimentos[[#This Row],[kg/embalagem]],0)</f>
        <v>0</v>
      </c>
      <c r="K335" s="64">
        <f>IFERROR(alimentos[[#This Row],[Preço]],0)</f>
        <v>0</v>
      </c>
      <c r="L335" s="64">
        <f>SUMIFS(super1[Qtde],super1[Item],tab_alimentos[[#This Row],[Item]],super1[Bairro],mercado1)+SUMIFS(supercb[Qtde],supercb[Item],tab_alimentos[[#This Row],[Item]],supercb[Bairro],mercado1)</f>
        <v>0</v>
      </c>
      <c r="M335" s="64">
        <f>SUMIFS(super1[Qtde],super1[Item],tab_alimentos[[#This Row],[Item]],super1[Bairro],mercado2)+SUMIFS(supercb[Qtde],supercb[Item],tab_alimentos[[#This Row],[Item]],supercb[Bairro],mercado2)</f>
        <v>0</v>
      </c>
      <c r="N335" s="61">
        <f>SUMIFS(super1[Qtde],super1[Item],tab_alimentos[[#This Row],[Item]],super1[Bairro],mercado3)+SUMIFS(supercb[Qtde],supercb[Item],tab_alimentos[[#This Row],[Item]],supercb[Bairro],mercado3)</f>
        <v>0</v>
      </c>
      <c r="O335" s="64">
        <f>SUMIFS(super1[Qtde],super1[Item],tab_alimentos[[#This Row],[Item]],super1[Bairro],mercado4)+SUMIFS(supercb[Qtde],supercb[Item],tab_alimentos[[#This Row],[Item]],supercb[Bairro],mercado4)</f>
        <v>0</v>
      </c>
      <c r="P335" s="64">
        <f>SUMIFS(super1[Qtde],super1[Item],tab_alimentos[[#This Row],[Item]],super1[Bairro],mercado5)+SUMIFS(supercb[Qtde],supercb[Item],tab_alimentos[[#This Row],[Item]],supercb[Bairro],mercado5)</f>
        <v>0</v>
      </c>
      <c r="Q335" s="64">
        <f>SUMIFS(super1[Qtde],super1[Item],tab_alimentos[[#This Row],[Item]],super1[Bairro],mercado6)+SUMIFS(supercb[Qtde],supercb[Item],tab_alimentos[[#This Row],[Item]],supercb[Bairro],mercado6)</f>
        <v>0</v>
      </c>
      <c r="R335" s="64">
        <f>SUMIFS(super1[Qtde],super1[Item],tab_alimentos[[#This Row],[Item]],super1[Bairro],mercado7)+SUMIFS(supercb[Qtde],supercb[Item],tab_alimentos[[#This Row],[Item]],supercb[Bairro],mercado7)</f>
        <v>0</v>
      </c>
      <c r="S335" s="64">
        <f>SUMIFS(super1[Qtde],super1[Item],tab_alimentos[[#This Row],[Item]],super1[Bairro],mercado8)+SUMIFS(supercb[Qtde],supercb[Item],tab_alimentos[[#This Row],[Item]],supercb[Bairro],mercado8)</f>
        <v>0</v>
      </c>
      <c r="T335" s="64">
        <f>SUMIFS(super1[Qtde],super1[Item],tab_alimentos[[#This Row],[Item]],super1[Bairro],mercado9)+SUMIFS(supercb[Qtde],supercb[Item],tab_alimentos[[#This Row],[Item]],supercb[Bairro],mercado9)</f>
        <v>0</v>
      </c>
      <c r="U335" s="64">
        <f>SUMIFS(super1[Qtde],super1[Item],tab_alimentos[[#This Row],[Item]],super1[Bairro],mercado10)+SUMIFS(supercb[Qtde],supercb[Item],tab_alimentos[[#This Row],[Item]],supercb[Bairro],mercado10)</f>
        <v>0</v>
      </c>
      <c r="V335" s="64">
        <f>SUMIFS(super1[Qtde],super1[Item],tab_alimentos[[#This Row],[Item]],super1[Bairro],mercado11)+SUMIFS(supercb[Qtde],supercb[Item],tab_alimentos[[#This Row],[Item]],supercb[Bairro],mercado11)</f>
        <v>0</v>
      </c>
      <c r="W335" s="64">
        <f>SUMIFS(super1[Qtde],super1[Item],tab_alimentos[[#This Row],[Item]],super1[Bairro],mercado12)+SUMIFS(supercb[Qtde],supercb[Item],tab_alimentos[[#This Row],[Item]],supercb[Bairro],mercado12)</f>
        <v>0</v>
      </c>
      <c r="X335" s="64">
        <f>SUMIFS(super1[Qtde],super1[Item],tab_alimentos[[#This Row],[Item]],super1[Bairro],mercado13)+SUMIFS(supercb[Qtde],supercb[Item],tab_alimentos[[#This Row],[Item]],supercb[Bairro],mercado13)</f>
        <v>0</v>
      </c>
      <c r="Y335" s="64">
        <f>SUMIFS(super1[Qtde],super1[Item],tab_alimentos[[#This Row],[Item]],super1[Bairro],mercado14)+SUMIFS(supercb[Qtde],supercb[Item],tab_alimentos[[#This Row],[Item]],supercb[Bairro],mercado14)</f>
        <v>0</v>
      </c>
      <c r="Z335" s="64">
        <f>SUMIFS(super1[Qtde],super1[Item],tab_alimentos[[#This Row],[Item]],super1[Bairro],mercado15)+SUMIFS(supercb[Qtde],supercb[Item],tab_alimentos[[#This Row],[Item]],supercb[Bairro],mercado15)</f>
        <v>0</v>
      </c>
      <c r="AA335" s="64">
        <f>SUMIFS(super1[Qtde],super1[Item],tab_alimentos[[#This Row],[Item]],super1[Bairro],mercado16)+SUMIFS(supercb[Qtde],supercb[Item],tab_alimentos[[#This Row],[Item]],supercb[Bairro],mercado16)</f>
        <v>0</v>
      </c>
      <c r="AB335" s="64">
        <f>SUMIFS(super1[Qtde],super1[Item],tab_alimentos[[#This Row],[Item]],super1[Bairro],mercado17)+SUMIFS(supercb[Qtde],supercb[Item],tab_alimentos[[#This Row],[Item]],supercb[Bairro],mercado17)</f>
        <v>0</v>
      </c>
      <c r="AC335" s="64">
        <f>SUMIFS(super1[Qtde],super1[Item],tab_alimentos[[#This Row],[Item]],super1[Bairro],mercado18)+SUMIFS(supercb[Qtde],supercb[Item],tab_alimentos[[#This Row],[Item]],supercb[Bairro],mercado18)</f>
        <v>0</v>
      </c>
      <c r="AD335" s="64">
        <f>SUMIFS(super1[Qtde],super1[Item],tab_alimentos[[#This Row],[Item]],super1[Bairro],extras)+SUMIFS(supercb[Qtde],supercb[Item],tab_alimentos[[#This Row],[Item]],supercb[Bairro],extras)</f>
        <v>0</v>
      </c>
      <c r="AE335" s="61">
        <f t="shared" si="88"/>
        <v>0</v>
      </c>
      <c r="AF335" s="61">
        <f t="shared" si="89"/>
        <v>0</v>
      </c>
      <c r="AG335" s="62">
        <f t="shared" si="90"/>
        <v>0</v>
      </c>
    </row>
    <row r="336" spans="9:33" x14ac:dyDescent="0.25">
      <c r="I336" s="65" t="e">
        <f>alimentos[[#This Row],[Item]]</f>
        <v>#VALUE!</v>
      </c>
      <c r="J336" s="61">
        <f>IFERROR(alimentos[[#This Row],[kg/embalagem]],0)</f>
        <v>0</v>
      </c>
      <c r="K336" s="64">
        <f>IFERROR(alimentos[[#This Row],[Preço]],0)</f>
        <v>0</v>
      </c>
      <c r="L336" s="64">
        <f>SUMIFS(super1[Qtde],super1[Item],tab_alimentos[[#This Row],[Item]],super1[Bairro],mercado1)+SUMIFS(supercb[Qtde],supercb[Item],tab_alimentos[[#This Row],[Item]],supercb[Bairro],mercado1)</f>
        <v>0</v>
      </c>
      <c r="M336" s="64">
        <f>SUMIFS(super1[Qtde],super1[Item],tab_alimentos[[#This Row],[Item]],super1[Bairro],mercado2)+SUMIFS(supercb[Qtde],supercb[Item],tab_alimentos[[#This Row],[Item]],supercb[Bairro],mercado2)</f>
        <v>0</v>
      </c>
      <c r="N336" s="61">
        <f>SUMIFS(super1[Qtde],super1[Item],tab_alimentos[[#This Row],[Item]],super1[Bairro],mercado3)+SUMIFS(supercb[Qtde],supercb[Item],tab_alimentos[[#This Row],[Item]],supercb[Bairro],mercado3)</f>
        <v>0</v>
      </c>
      <c r="O336" s="64">
        <f>SUMIFS(super1[Qtde],super1[Item],tab_alimentos[[#This Row],[Item]],super1[Bairro],mercado4)+SUMIFS(supercb[Qtde],supercb[Item],tab_alimentos[[#This Row],[Item]],supercb[Bairro],mercado4)</f>
        <v>0</v>
      </c>
      <c r="P336" s="64">
        <f>SUMIFS(super1[Qtde],super1[Item],tab_alimentos[[#This Row],[Item]],super1[Bairro],mercado5)+SUMIFS(supercb[Qtde],supercb[Item],tab_alimentos[[#This Row],[Item]],supercb[Bairro],mercado5)</f>
        <v>0</v>
      </c>
      <c r="Q336" s="64">
        <f>SUMIFS(super1[Qtde],super1[Item],tab_alimentos[[#This Row],[Item]],super1[Bairro],mercado6)+SUMIFS(supercb[Qtde],supercb[Item],tab_alimentos[[#This Row],[Item]],supercb[Bairro],mercado6)</f>
        <v>0</v>
      </c>
      <c r="R336" s="64">
        <f>SUMIFS(super1[Qtde],super1[Item],tab_alimentos[[#This Row],[Item]],super1[Bairro],mercado7)+SUMIFS(supercb[Qtde],supercb[Item],tab_alimentos[[#This Row],[Item]],supercb[Bairro],mercado7)</f>
        <v>0</v>
      </c>
      <c r="S336" s="64">
        <f>SUMIFS(super1[Qtde],super1[Item],tab_alimentos[[#This Row],[Item]],super1[Bairro],mercado8)+SUMIFS(supercb[Qtde],supercb[Item],tab_alimentos[[#This Row],[Item]],supercb[Bairro],mercado8)</f>
        <v>0</v>
      </c>
      <c r="T336" s="64">
        <f>SUMIFS(super1[Qtde],super1[Item],tab_alimentos[[#This Row],[Item]],super1[Bairro],mercado9)+SUMIFS(supercb[Qtde],supercb[Item],tab_alimentos[[#This Row],[Item]],supercb[Bairro],mercado9)</f>
        <v>0</v>
      </c>
      <c r="U336" s="64">
        <f>SUMIFS(super1[Qtde],super1[Item],tab_alimentos[[#This Row],[Item]],super1[Bairro],mercado10)+SUMIFS(supercb[Qtde],supercb[Item],tab_alimentos[[#This Row],[Item]],supercb[Bairro],mercado10)</f>
        <v>0</v>
      </c>
      <c r="V336" s="64">
        <f>SUMIFS(super1[Qtde],super1[Item],tab_alimentos[[#This Row],[Item]],super1[Bairro],mercado11)+SUMIFS(supercb[Qtde],supercb[Item],tab_alimentos[[#This Row],[Item]],supercb[Bairro],mercado11)</f>
        <v>0</v>
      </c>
      <c r="W336" s="64">
        <f>SUMIFS(super1[Qtde],super1[Item],tab_alimentos[[#This Row],[Item]],super1[Bairro],mercado12)+SUMIFS(supercb[Qtde],supercb[Item],tab_alimentos[[#This Row],[Item]],supercb[Bairro],mercado12)</f>
        <v>0</v>
      </c>
      <c r="X336" s="64">
        <f>SUMIFS(super1[Qtde],super1[Item],tab_alimentos[[#This Row],[Item]],super1[Bairro],mercado13)+SUMIFS(supercb[Qtde],supercb[Item],tab_alimentos[[#This Row],[Item]],supercb[Bairro],mercado13)</f>
        <v>0</v>
      </c>
      <c r="Y336" s="64">
        <f>SUMIFS(super1[Qtde],super1[Item],tab_alimentos[[#This Row],[Item]],super1[Bairro],mercado14)+SUMIFS(supercb[Qtde],supercb[Item],tab_alimentos[[#This Row],[Item]],supercb[Bairro],mercado14)</f>
        <v>0</v>
      </c>
      <c r="Z336" s="64">
        <f>SUMIFS(super1[Qtde],super1[Item],tab_alimentos[[#This Row],[Item]],super1[Bairro],mercado15)+SUMIFS(supercb[Qtde],supercb[Item],tab_alimentos[[#This Row],[Item]],supercb[Bairro],mercado15)</f>
        <v>0</v>
      </c>
      <c r="AA336" s="64">
        <f>SUMIFS(super1[Qtde],super1[Item],tab_alimentos[[#This Row],[Item]],super1[Bairro],mercado16)+SUMIFS(supercb[Qtde],supercb[Item],tab_alimentos[[#This Row],[Item]],supercb[Bairro],mercado16)</f>
        <v>0</v>
      </c>
      <c r="AB336" s="64">
        <f>SUMIFS(super1[Qtde],super1[Item],tab_alimentos[[#This Row],[Item]],super1[Bairro],mercado17)+SUMIFS(supercb[Qtde],supercb[Item],tab_alimentos[[#This Row],[Item]],supercb[Bairro],mercado17)</f>
        <v>0</v>
      </c>
      <c r="AC336" s="64">
        <f>SUMIFS(super1[Qtde],super1[Item],tab_alimentos[[#This Row],[Item]],super1[Bairro],mercado18)+SUMIFS(supercb[Qtde],supercb[Item],tab_alimentos[[#This Row],[Item]],supercb[Bairro],mercado18)</f>
        <v>0</v>
      </c>
      <c r="AD336" s="64">
        <f>SUMIFS(super1[Qtde],super1[Item],tab_alimentos[[#This Row],[Item]],super1[Bairro],extras)+SUMIFS(supercb[Qtde],supercb[Item],tab_alimentos[[#This Row],[Item]],supercb[Bairro],extras)</f>
        <v>0</v>
      </c>
      <c r="AE336" s="61">
        <f t="shared" si="88"/>
        <v>0</v>
      </c>
      <c r="AF336" s="61">
        <f t="shared" si="89"/>
        <v>0</v>
      </c>
      <c r="AG336" s="62">
        <f t="shared" si="90"/>
        <v>0</v>
      </c>
    </row>
    <row r="337" spans="9:33" x14ac:dyDescent="0.25">
      <c r="I337" s="65" t="e">
        <f>alimentos[[#This Row],[Item]]</f>
        <v>#VALUE!</v>
      </c>
      <c r="J337" s="61">
        <f>IFERROR(alimentos[[#This Row],[kg/embalagem]],0)</f>
        <v>0</v>
      </c>
      <c r="K337" s="64">
        <f>IFERROR(alimentos[[#This Row],[Preço]],0)</f>
        <v>0</v>
      </c>
      <c r="L337" s="64">
        <f>SUMIFS(super1[Qtde],super1[Item],tab_alimentos[[#This Row],[Item]],super1[Bairro],mercado1)+SUMIFS(supercb[Qtde],supercb[Item],tab_alimentos[[#This Row],[Item]],supercb[Bairro],mercado1)</f>
        <v>0</v>
      </c>
      <c r="M337" s="64">
        <f>SUMIFS(super1[Qtde],super1[Item],tab_alimentos[[#This Row],[Item]],super1[Bairro],mercado2)+SUMIFS(supercb[Qtde],supercb[Item],tab_alimentos[[#This Row],[Item]],supercb[Bairro],mercado2)</f>
        <v>0</v>
      </c>
      <c r="N337" s="61">
        <f>SUMIFS(super1[Qtde],super1[Item],tab_alimentos[[#This Row],[Item]],super1[Bairro],mercado3)+SUMIFS(supercb[Qtde],supercb[Item],tab_alimentos[[#This Row],[Item]],supercb[Bairro],mercado3)</f>
        <v>0</v>
      </c>
      <c r="O337" s="64">
        <f>SUMIFS(super1[Qtde],super1[Item],tab_alimentos[[#This Row],[Item]],super1[Bairro],mercado4)+SUMIFS(supercb[Qtde],supercb[Item],tab_alimentos[[#This Row],[Item]],supercb[Bairro],mercado4)</f>
        <v>0</v>
      </c>
      <c r="P337" s="64">
        <f>SUMIFS(super1[Qtde],super1[Item],tab_alimentos[[#This Row],[Item]],super1[Bairro],mercado5)+SUMIFS(supercb[Qtde],supercb[Item],tab_alimentos[[#This Row],[Item]],supercb[Bairro],mercado5)</f>
        <v>0</v>
      </c>
      <c r="Q337" s="64">
        <f>SUMIFS(super1[Qtde],super1[Item],tab_alimentos[[#This Row],[Item]],super1[Bairro],mercado6)+SUMIFS(supercb[Qtde],supercb[Item],tab_alimentos[[#This Row],[Item]],supercb[Bairro],mercado6)</f>
        <v>0</v>
      </c>
      <c r="R337" s="64">
        <f>SUMIFS(super1[Qtde],super1[Item],tab_alimentos[[#This Row],[Item]],super1[Bairro],mercado7)+SUMIFS(supercb[Qtde],supercb[Item],tab_alimentos[[#This Row],[Item]],supercb[Bairro],mercado7)</f>
        <v>0</v>
      </c>
      <c r="S337" s="64">
        <f>SUMIFS(super1[Qtde],super1[Item],tab_alimentos[[#This Row],[Item]],super1[Bairro],mercado8)+SUMIFS(supercb[Qtde],supercb[Item],tab_alimentos[[#This Row],[Item]],supercb[Bairro],mercado8)</f>
        <v>0</v>
      </c>
      <c r="T337" s="64">
        <f>SUMIFS(super1[Qtde],super1[Item],tab_alimentos[[#This Row],[Item]],super1[Bairro],mercado9)+SUMIFS(supercb[Qtde],supercb[Item],tab_alimentos[[#This Row],[Item]],supercb[Bairro],mercado9)</f>
        <v>0</v>
      </c>
      <c r="U337" s="64">
        <f>SUMIFS(super1[Qtde],super1[Item],tab_alimentos[[#This Row],[Item]],super1[Bairro],mercado10)+SUMIFS(supercb[Qtde],supercb[Item],tab_alimentos[[#This Row],[Item]],supercb[Bairro],mercado10)</f>
        <v>0</v>
      </c>
      <c r="V337" s="64">
        <f>SUMIFS(super1[Qtde],super1[Item],tab_alimentos[[#This Row],[Item]],super1[Bairro],mercado11)+SUMIFS(supercb[Qtde],supercb[Item],tab_alimentos[[#This Row],[Item]],supercb[Bairro],mercado11)</f>
        <v>0</v>
      </c>
      <c r="W337" s="64">
        <f>SUMIFS(super1[Qtde],super1[Item],tab_alimentos[[#This Row],[Item]],super1[Bairro],mercado12)+SUMIFS(supercb[Qtde],supercb[Item],tab_alimentos[[#This Row],[Item]],supercb[Bairro],mercado12)</f>
        <v>0</v>
      </c>
      <c r="X337" s="64">
        <f>SUMIFS(super1[Qtde],super1[Item],tab_alimentos[[#This Row],[Item]],super1[Bairro],mercado13)+SUMIFS(supercb[Qtde],supercb[Item],tab_alimentos[[#This Row],[Item]],supercb[Bairro],mercado13)</f>
        <v>0</v>
      </c>
      <c r="Y337" s="64">
        <f>SUMIFS(super1[Qtde],super1[Item],tab_alimentos[[#This Row],[Item]],super1[Bairro],mercado14)+SUMIFS(supercb[Qtde],supercb[Item],tab_alimentos[[#This Row],[Item]],supercb[Bairro],mercado14)</f>
        <v>0</v>
      </c>
      <c r="Z337" s="64">
        <f>SUMIFS(super1[Qtde],super1[Item],tab_alimentos[[#This Row],[Item]],super1[Bairro],mercado15)+SUMIFS(supercb[Qtde],supercb[Item],tab_alimentos[[#This Row],[Item]],supercb[Bairro],mercado15)</f>
        <v>0</v>
      </c>
      <c r="AA337" s="64">
        <f>SUMIFS(super1[Qtde],super1[Item],tab_alimentos[[#This Row],[Item]],super1[Bairro],mercado16)+SUMIFS(supercb[Qtde],supercb[Item],tab_alimentos[[#This Row],[Item]],supercb[Bairro],mercado16)</f>
        <v>0</v>
      </c>
      <c r="AB337" s="64">
        <f>SUMIFS(super1[Qtde],super1[Item],tab_alimentos[[#This Row],[Item]],super1[Bairro],mercado17)+SUMIFS(supercb[Qtde],supercb[Item],tab_alimentos[[#This Row],[Item]],supercb[Bairro],mercado17)</f>
        <v>0</v>
      </c>
      <c r="AC337" s="64">
        <f>SUMIFS(super1[Qtde],super1[Item],tab_alimentos[[#This Row],[Item]],super1[Bairro],mercado18)+SUMIFS(supercb[Qtde],supercb[Item],tab_alimentos[[#This Row],[Item]],supercb[Bairro],mercado18)</f>
        <v>0</v>
      </c>
      <c r="AD337" s="64">
        <f>SUMIFS(super1[Qtde],super1[Item],tab_alimentos[[#This Row],[Item]],super1[Bairro],extras)+SUMIFS(supercb[Qtde],supercb[Item],tab_alimentos[[#This Row],[Item]],supercb[Bairro],extras)</f>
        <v>0</v>
      </c>
      <c r="AE337" s="61">
        <f t="shared" si="88"/>
        <v>0</v>
      </c>
      <c r="AF337" s="61">
        <f t="shared" si="89"/>
        <v>0</v>
      </c>
      <c r="AG337" s="62">
        <f t="shared" si="90"/>
        <v>0</v>
      </c>
    </row>
    <row r="338" spans="9:33" x14ac:dyDescent="0.25">
      <c r="I338" s="65" t="e">
        <f>alimentos[[#This Row],[Item]]</f>
        <v>#VALUE!</v>
      </c>
      <c r="J338" s="61">
        <f>IFERROR(alimentos[[#This Row],[kg/embalagem]],0)</f>
        <v>0</v>
      </c>
      <c r="K338" s="64">
        <f>IFERROR(alimentos[[#This Row],[Preço]],0)</f>
        <v>0</v>
      </c>
      <c r="L338" s="64">
        <f>SUMIFS(super1[Qtde],super1[Item],tab_alimentos[[#This Row],[Item]],super1[Bairro],mercado1)+SUMIFS(supercb[Qtde],supercb[Item],tab_alimentos[[#This Row],[Item]],supercb[Bairro],mercado1)</f>
        <v>0</v>
      </c>
      <c r="M338" s="64">
        <f>SUMIFS(super1[Qtde],super1[Item],tab_alimentos[[#This Row],[Item]],super1[Bairro],mercado2)+SUMIFS(supercb[Qtde],supercb[Item],tab_alimentos[[#This Row],[Item]],supercb[Bairro],mercado2)</f>
        <v>0</v>
      </c>
      <c r="N338" s="61">
        <f>SUMIFS(super1[Qtde],super1[Item],tab_alimentos[[#This Row],[Item]],super1[Bairro],mercado3)+SUMIFS(supercb[Qtde],supercb[Item],tab_alimentos[[#This Row],[Item]],supercb[Bairro],mercado3)</f>
        <v>0</v>
      </c>
      <c r="O338" s="64">
        <f>SUMIFS(super1[Qtde],super1[Item],tab_alimentos[[#This Row],[Item]],super1[Bairro],mercado4)+SUMIFS(supercb[Qtde],supercb[Item],tab_alimentos[[#This Row],[Item]],supercb[Bairro],mercado4)</f>
        <v>0</v>
      </c>
      <c r="P338" s="64">
        <f>SUMIFS(super1[Qtde],super1[Item],tab_alimentos[[#This Row],[Item]],super1[Bairro],mercado5)+SUMIFS(supercb[Qtde],supercb[Item],tab_alimentos[[#This Row],[Item]],supercb[Bairro],mercado5)</f>
        <v>0</v>
      </c>
      <c r="Q338" s="64">
        <f>SUMIFS(super1[Qtde],super1[Item],tab_alimentos[[#This Row],[Item]],super1[Bairro],mercado6)+SUMIFS(supercb[Qtde],supercb[Item],tab_alimentos[[#This Row],[Item]],supercb[Bairro],mercado6)</f>
        <v>0</v>
      </c>
      <c r="R338" s="64">
        <f>SUMIFS(super1[Qtde],super1[Item],tab_alimentos[[#This Row],[Item]],super1[Bairro],mercado7)+SUMIFS(supercb[Qtde],supercb[Item],tab_alimentos[[#This Row],[Item]],supercb[Bairro],mercado7)</f>
        <v>0</v>
      </c>
      <c r="S338" s="64">
        <f>SUMIFS(super1[Qtde],super1[Item],tab_alimentos[[#This Row],[Item]],super1[Bairro],mercado8)+SUMIFS(supercb[Qtde],supercb[Item],tab_alimentos[[#This Row],[Item]],supercb[Bairro],mercado8)</f>
        <v>0</v>
      </c>
      <c r="T338" s="64">
        <f>SUMIFS(super1[Qtde],super1[Item],tab_alimentos[[#This Row],[Item]],super1[Bairro],mercado9)+SUMIFS(supercb[Qtde],supercb[Item],tab_alimentos[[#This Row],[Item]],supercb[Bairro],mercado9)</f>
        <v>0</v>
      </c>
      <c r="U338" s="64">
        <f>SUMIFS(super1[Qtde],super1[Item],tab_alimentos[[#This Row],[Item]],super1[Bairro],mercado10)+SUMIFS(supercb[Qtde],supercb[Item],tab_alimentos[[#This Row],[Item]],supercb[Bairro],mercado10)</f>
        <v>0</v>
      </c>
      <c r="V338" s="64">
        <f>SUMIFS(super1[Qtde],super1[Item],tab_alimentos[[#This Row],[Item]],super1[Bairro],mercado11)+SUMIFS(supercb[Qtde],supercb[Item],tab_alimentos[[#This Row],[Item]],supercb[Bairro],mercado11)</f>
        <v>0</v>
      </c>
      <c r="W338" s="64">
        <f>SUMIFS(super1[Qtde],super1[Item],tab_alimentos[[#This Row],[Item]],super1[Bairro],mercado12)+SUMIFS(supercb[Qtde],supercb[Item],tab_alimentos[[#This Row],[Item]],supercb[Bairro],mercado12)</f>
        <v>0</v>
      </c>
      <c r="X338" s="64">
        <f>SUMIFS(super1[Qtde],super1[Item],tab_alimentos[[#This Row],[Item]],super1[Bairro],mercado13)+SUMIFS(supercb[Qtde],supercb[Item],tab_alimentos[[#This Row],[Item]],supercb[Bairro],mercado13)</f>
        <v>0</v>
      </c>
      <c r="Y338" s="64">
        <f>SUMIFS(super1[Qtde],super1[Item],tab_alimentos[[#This Row],[Item]],super1[Bairro],mercado14)+SUMIFS(supercb[Qtde],supercb[Item],tab_alimentos[[#This Row],[Item]],supercb[Bairro],mercado14)</f>
        <v>0</v>
      </c>
      <c r="Z338" s="64">
        <f>SUMIFS(super1[Qtde],super1[Item],tab_alimentos[[#This Row],[Item]],super1[Bairro],mercado15)+SUMIFS(supercb[Qtde],supercb[Item],tab_alimentos[[#This Row],[Item]],supercb[Bairro],mercado15)</f>
        <v>0</v>
      </c>
      <c r="AA338" s="64">
        <f>SUMIFS(super1[Qtde],super1[Item],tab_alimentos[[#This Row],[Item]],super1[Bairro],mercado16)+SUMIFS(supercb[Qtde],supercb[Item],tab_alimentos[[#This Row],[Item]],supercb[Bairro],mercado16)</f>
        <v>0</v>
      </c>
      <c r="AB338" s="64">
        <f>SUMIFS(super1[Qtde],super1[Item],tab_alimentos[[#This Row],[Item]],super1[Bairro],mercado17)+SUMIFS(supercb[Qtde],supercb[Item],tab_alimentos[[#This Row],[Item]],supercb[Bairro],mercado17)</f>
        <v>0</v>
      </c>
      <c r="AC338" s="64">
        <f>SUMIFS(super1[Qtde],super1[Item],tab_alimentos[[#This Row],[Item]],super1[Bairro],mercado18)+SUMIFS(supercb[Qtde],supercb[Item],tab_alimentos[[#This Row],[Item]],supercb[Bairro],mercado18)</f>
        <v>0</v>
      </c>
      <c r="AD338" s="64">
        <f>SUMIFS(super1[Qtde],super1[Item],tab_alimentos[[#This Row],[Item]],super1[Bairro],extras)+SUMIFS(supercb[Qtde],supercb[Item],tab_alimentos[[#This Row],[Item]],supercb[Bairro],extras)</f>
        <v>0</v>
      </c>
      <c r="AE338" s="61">
        <f t="shared" si="88"/>
        <v>0</v>
      </c>
      <c r="AF338" s="61">
        <f t="shared" si="89"/>
        <v>0</v>
      </c>
      <c r="AG338" s="62">
        <f t="shared" si="90"/>
        <v>0</v>
      </c>
    </row>
    <row r="339" spans="9:33" x14ac:dyDescent="0.25">
      <c r="I339" s="65" t="e">
        <f>alimentos[[#This Row],[Item]]</f>
        <v>#VALUE!</v>
      </c>
      <c r="J339" s="61">
        <f>IFERROR(alimentos[[#This Row],[kg/embalagem]],0)</f>
        <v>0</v>
      </c>
      <c r="K339" s="64">
        <f>IFERROR(alimentos[[#This Row],[Preço]],0)</f>
        <v>0</v>
      </c>
      <c r="L339" s="64">
        <f>SUMIFS(super1[Qtde],super1[Item],tab_alimentos[[#This Row],[Item]],super1[Bairro],mercado1)+SUMIFS(supercb[Qtde],supercb[Item],tab_alimentos[[#This Row],[Item]],supercb[Bairro],mercado1)</f>
        <v>0</v>
      </c>
      <c r="M339" s="64">
        <f>SUMIFS(super1[Qtde],super1[Item],tab_alimentos[[#This Row],[Item]],super1[Bairro],mercado2)+SUMIFS(supercb[Qtde],supercb[Item],tab_alimentos[[#This Row],[Item]],supercb[Bairro],mercado2)</f>
        <v>0</v>
      </c>
      <c r="N339" s="61">
        <f>SUMIFS(super1[Qtde],super1[Item],tab_alimentos[[#This Row],[Item]],super1[Bairro],mercado3)+SUMIFS(supercb[Qtde],supercb[Item],tab_alimentos[[#This Row],[Item]],supercb[Bairro],mercado3)</f>
        <v>0</v>
      </c>
      <c r="O339" s="64">
        <f>SUMIFS(super1[Qtde],super1[Item],tab_alimentos[[#This Row],[Item]],super1[Bairro],mercado4)+SUMIFS(supercb[Qtde],supercb[Item],tab_alimentos[[#This Row],[Item]],supercb[Bairro],mercado4)</f>
        <v>0</v>
      </c>
      <c r="P339" s="64">
        <f>SUMIFS(super1[Qtde],super1[Item],tab_alimentos[[#This Row],[Item]],super1[Bairro],mercado5)+SUMIFS(supercb[Qtde],supercb[Item],tab_alimentos[[#This Row],[Item]],supercb[Bairro],mercado5)</f>
        <v>0</v>
      </c>
      <c r="Q339" s="64">
        <f>SUMIFS(super1[Qtde],super1[Item],tab_alimentos[[#This Row],[Item]],super1[Bairro],mercado6)+SUMIFS(supercb[Qtde],supercb[Item],tab_alimentos[[#This Row],[Item]],supercb[Bairro],mercado6)</f>
        <v>0</v>
      </c>
      <c r="R339" s="64">
        <f>SUMIFS(super1[Qtde],super1[Item],tab_alimentos[[#This Row],[Item]],super1[Bairro],mercado7)+SUMIFS(supercb[Qtde],supercb[Item],tab_alimentos[[#This Row],[Item]],supercb[Bairro],mercado7)</f>
        <v>0</v>
      </c>
      <c r="S339" s="64">
        <f>SUMIFS(super1[Qtde],super1[Item],tab_alimentos[[#This Row],[Item]],super1[Bairro],mercado8)+SUMIFS(supercb[Qtde],supercb[Item],tab_alimentos[[#This Row],[Item]],supercb[Bairro],mercado8)</f>
        <v>0</v>
      </c>
      <c r="T339" s="64">
        <f>SUMIFS(super1[Qtde],super1[Item],tab_alimentos[[#This Row],[Item]],super1[Bairro],mercado9)+SUMIFS(supercb[Qtde],supercb[Item],tab_alimentos[[#This Row],[Item]],supercb[Bairro],mercado9)</f>
        <v>0</v>
      </c>
      <c r="U339" s="64">
        <f>SUMIFS(super1[Qtde],super1[Item],tab_alimentos[[#This Row],[Item]],super1[Bairro],mercado10)+SUMIFS(supercb[Qtde],supercb[Item],tab_alimentos[[#This Row],[Item]],supercb[Bairro],mercado10)</f>
        <v>0</v>
      </c>
      <c r="V339" s="64">
        <f>SUMIFS(super1[Qtde],super1[Item],tab_alimentos[[#This Row],[Item]],super1[Bairro],mercado11)+SUMIFS(supercb[Qtde],supercb[Item],tab_alimentos[[#This Row],[Item]],supercb[Bairro],mercado11)</f>
        <v>0</v>
      </c>
      <c r="W339" s="64">
        <f>SUMIFS(super1[Qtde],super1[Item],tab_alimentos[[#This Row],[Item]],super1[Bairro],mercado12)+SUMIFS(supercb[Qtde],supercb[Item],tab_alimentos[[#This Row],[Item]],supercb[Bairro],mercado12)</f>
        <v>0</v>
      </c>
      <c r="X339" s="64">
        <f>SUMIFS(super1[Qtde],super1[Item],tab_alimentos[[#This Row],[Item]],super1[Bairro],mercado13)+SUMIFS(supercb[Qtde],supercb[Item],tab_alimentos[[#This Row],[Item]],supercb[Bairro],mercado13)</f>
        <v>0</v>
      </c>
      <c r="Y339" s="64">
        <f>SUMIFS(super1[Qtde],super1[Item],tab_alimentos[[#This Row],[Item]],super1[Bairro],mercado14)+SUMIFS(supercb[Qtde],supercb[Item],tab_alimentos[[#This Row],[Item]],supercb[Bairro],mercado14)</f>
        <v>0</v>
      </c>
      <c r="Z339" s="64">
        <f>SUMIFS(super1[Qtde],super1[Item],tab_alimentos[[#This Row],[Item]],super1[Bairro],mercado15)+SUMIFS(supercb[Qtde],supercb[Item],tab_alimentos[[#This Row],[Item]],supercb[Bairro],mercado15)</f>
        <v>0</v>
      </c>
      <c r="AA339" s="64">
        <f>SUMIFS(super1[Qtde],super1[Item],tab_alimentos[[#This Row],[Item]],super1[Bairro],mercado16)+SUMIFS(supercb[Qtde],supercb[Item],tab_alimentos[[#This Row],[Item]],supercb[Bairro],mercado16)</f>
        <v>0</v>
      </c>
      <c r="AB339" s="64">
        <f>SUMIFS(super1[Qtde],super1[Item],tab_alimentos[[#This Row],[Item]],super1[Bairro],mercado17)+SUMIFS(supercb[Qtde],supercb[Item],tab_alimentos[[#This Row],[Item]],supercb[Bairro],mercado17)</f>
        <v>0</v>
      </c>
      <c r="AC339" s="64">
        <f>SUMIFS(super1[Qtde],super1[Item],tab_alimentos[[#This Row],[Item]],super1[Bairro],mercado18)+SUMIFS(supercb[Qtde],supercb[Item],tab_alimentos[[#This Row],[Item]],supercb[Bairro],mercado18)</f>
        <v>0</v>
      </c>
      <c r="AD339" s="64">
        <f>SUMIFS(super1[Qtde],super1[Item],tab_alimentos[[#This Row],[Item]],super1[Bairro],extras)+SUMIFS(supercb[Qtde],supercb[Item],tab_alimentos[[#This Row],[Item]],supercb[Bairro],extras)</f>
        <v>0</v>
      </c>
      <c r="AE339" s="61">
        <f t="shared" si="88"/>
        <v>0</v>
      </c>
      <c r="AF339" s="61">
        <f t="shared" si="89"/>
        <v>0</v>
      </c>
      <c r="AG339" s="62">
        <f t="shared" si="90"/>
        <v>0</v>
      </c>
    </row>
    <row r="340" spans="9:33" x14ac:dyDescent="0.25">
      <c r="I340" s="65" t="e">
        <f>alimentos[[#This Row],[Item]]</f>
        <v>#VALUE!</v>
      </c>
      <c r="J340" s="61">
        <f>IFERROR(alimentos[[#This Row],[kg/embalagem]],0)</f>
        <v>0</v>
      </c>
      <c r="K340" s="64">
        <f>IFERROR(alimentos[[#This Row],[Preço]],0)</f>
        <v>0</v>
      </c>
      <c r="L340" s="64">
        <f>SUMIFS(super1[Qtde],super1[Item],tab_alimentos[[#This Row],[Item]],super1[Bairro],mercado1)+SUMIFS(supercb[Qtde],supercb[Item],tab_alimentos[[#This Row],[Item]],supercb[Bairro],mercado1)</f>
        <v>0</v>
      </c>
      <c r="M340" s="64">
        <f>SUMIFS(super1[Qtde],super1[Item],tab_alimentos[[#This Row],[Item]],super1[Bairro],mercado2)+SUMIFS(supercb[Qtde],supercb[Item],tab_alimentos[[#This Row],[Item]],supercb[Bairro],mercado2)</f>
        <v>0</v>
      </c>
      <c r="N340" s="61">
        <f>SUMIFS(super1[Qtde],super1[Item],tab_alimentos[[#This Row],[Item]],super1[Bairro],mercado3)+SUMIFS(supercb[Qtde],supercb[Item],tab_alimentos[[#This Row],[Item]],supercb[Bairro],mercado3)</f>
        <v>0</v>
      </c>
      <c r="O340" s="64">
        <f>SUMIFS(super1[Qtde],super1[Item],tab_alimentos[[#This Row],[Item]],super1[Bairro],mercado4)+SUMIFS(supercb[Qtde],supercb[Item],tab_alimentos[[#This Row],[Item]],supercb[Bairro],mercado4)</f>
        <v>0</v>
      </c>
      <c r="P340" s="64">
        <f>SUMIFS(super1[Qtde],super1[Item],tab_alimentos[[#This Row],[Item]],super1[Bairro],mercado5)+SUMIFS(supercb[Qtde],supercb[Item],tab_alimentos[[#This Row],[Item]],supercb[Bairro],mercado5)</f>
        <v>0</v>
      </c>
      <c r="Q340" s="64">
        <f>SUMIFS(super1[Qtde],super1[Item],tab_alimentos[[#This Row],[Item]],super1[Bairro],mercado6)+SUMIFS(supercb[Qtde],supercb[Item],tab_alimentos[[#This Row],[Item]],supercb[Bairro],mercado6)</f>
        <v>0</v>
      </c>
      <c r="R340" s="64">
        <f>SUMIFS(super1[Qtde],super1[Item],tab_alimentos[[#This Row],[Item]],super1[Bairro],mercado7)+SUMIFS(supercb[Qtde],supercb[Item],tab_alimentos[[#This Row],[Item]],supercb[Bairro],mercado7)</f>
        <v>0</v>
      </c>
      <c r="S340" s="64">
        <f>SUMIFS(super1[Qtde],super1[Item],tab_alimentos[[#This Row],[Item]],super1[Bairro],mercado8)+SUMIFS(supercb[Qtde],supercb[Item],tab_alimentos[[#This Row],[Item]],supercb[Bairro],mercado8)</f>
        <v>0</v>
      </c>
      <c r="T340" s="64">
        <f>SUMIFS(super1[Qtde],super1[Item],tab_alimentos[[#This Row],[Item]],super1[Bairro],mercado9)+SUMIFS(supercb[Qtde],supercb[Item],tab_alimentos[[#This Row],[Item]],supercb[Bairro],mercado9)</f>
        <v>0</v>
      </c>
      <c r="U340" s="64">
        <f>SUMIFS(super1[Qtde],super1[Item],tab_alimentos[[#This Row],[Item]],super1[Bairro],mercado10)+SUMIFS(supercb[Qtde],supercb[Item],tab_alimentos[[#This Row],[Item]],supercb[Bairro],mercado10)</f>
        <v>0</v>
      </c>
      <c r="V340" s="64">
        <f>SUMIFS(super1[Qtde],super1[Item],tab_alimentos[[#This Row],[Item]],super1[Bairro],mercado11)+SUMIFS(supercb[Qtde],supercb[Item],tab_alimentos[[#This Row],[Item]],supercb[Bairro],mercado11)</f>
        <v>0</v>
      </c>
      <c r="W340" s="64">
        <f>SUMIFS(super1[Qtde],super1[Item],tab_alimentos[[#This Row],[Item]],super1[Bairro],mercado12)+SUMIFS(supercb[Qtde],supercb[Item],tab_alimentos[[#This Row],[Item]],supercb[Bairro],mercado12)</f>
        <v>0</v>
      </c>
      <c r="X340" s="64">
        <f>SUMIFS(super1[Qtde],super1[Item],tab_alimentos[[#This Row],[Item]],super1[Bairro],mercado13)+SUMIFS(supercb[Qtde],supercb[Item],tab_alimentos[[#This Row],[Item]],supercb[Bairro],mercado13)</f>
        <v>0</v>
      </c>
      <c r="Y340" s="64">
        <f>SUMIFS(super1[Qtde],super1[Item],tab_alimentos[[#This Row],[Item]],super1[Bairro],mercado14)+SUMIFS(supercb[Qtde],supercb[Item],tab_alimentos[[#This Row],[Item]],supercb[Bairro],mercado14)</f>
        <v>0</v>
      </c>
      <c r="Z340" s="64">
        <f>SUMIFS(super1[Qtde],super1[Item],tab_alimentos[[#This Row],[Item]],super1[Bairro],mercado15)+SUMIFS(supercb[Qtde],supercb[Item],tab_alimentos[[#This Row],[Item]],supercb[Bairro],mercado15)</f>
        <v>0</v>
      </c>
      <c r="AA340" s="64">
        <f>SUMIFS(super1[Qtde],super1[Item],tab_alimentos[[#This Row],[Item]],super1[Bairro],mercado16)+SUMIFS(supercb[Qtde],supercb[Item],tab_alimentos[[#This Row],[Item]],supercb[Bairro],mercado16)</f>
        <v>0</v>
      </c>
      <c r="AB340" s="64">
        <f>SUMIFS(super1[Qtde],super1[Item],tab_alimentos[[#This Row],[Item]],super1[Bairro],mercado17)+SUMIFS(supercb[Qtde],supercb[Item],tab_alimentos[[#This Row],[Item]],supercb[Bairro],mercado17)</f>
        <v>0</v>
      </c>
      <c r="AC340" s="64">
        <f>SUMIFS(super1[Qtde],super1[Item],tab_alimentos[[#This Row],[Item]],super1[Bairro],mercado18)+SUMIFS(supercb[Qtde],supercb[Item],tab_alimentos[[#This Row],[Item]],supercb[Bairro],mercado18)</f>
        <v>0</v>
      </c>
      <c r="AD340" s="64">
        <f>SUMIFS(super1[Qtde],super1[Item],tab_alimentos[[#This Row],[Item]],super1[Bairro],extras)+SUMIFS(supercb[Qtde],supercb[Item],tab_alimentos[[#This Row],[Item]],supercb[Bairro],extras)</f>
        <v>0</v>
      </c>
      <c r="AE340" s="61">
        <f t="shared" ref="AE340:AE375" si="94">SUM(L340:AC340)</f>
        <v>0</v>
      </c>
      <c r="AF340" s="61">
        <f t="shared" ref="AF340:AF375" si="95">IFERROR(AE340*K340,0)</f>
        <v>0</v>
      </c>
      <c r="AG340" s="62">
        <f t="shared" ref="AG340:AG375" si="96">IFERROR(J340*AE340,0)</f>
        <v>0</v>
      </c>
    </row>
    <row r="341" spans="9:33" x14ac:dyDescent="0.25">
      <c r="I341" s="65" t="e">
        <f>alimentos[[#This Row],[Item]]</f>
        <v>#VALUE!</v>
      </c>
      <c r="J341" s="61">
        <f>IFERROR(alimentos[[#This Row],[kg/embalagem]],0)</f>
        <v>0</v>
      </c>
      <c r="K341" s="64">
        <f>IFERROR(alimentos[[#This Row],[Preço]],0)</f>
        <v>0</v>
      </c>
      <c r="L341" s="64">
        <f>SUMIFS(super1[Qtde],super1[Item],tab_alimentos[[#This Row],[Item]],super1[Bairro],mercado1)+SUMIFS(supercb[Qtde],supercb[Item],tab_alimentos[[#This Row],[Item]],supercb[Bairro],mercado1)</f>
        <v>0</v>
      </c>
      <c r="M341" s="64">
        <f>SUMIFS(super1[Qtde],super1[Item],tab_alimentos[[#This Row],[Item]],super1[Bairro],mercado2)+SUMIFS(supercb[Qtde],supercb[Item],tab_alimentos[[#This Row],[Item]],supercb[Bairro],mercado2)</f>
        <v>0</v>
      </c>
      <c r="N341" s="61">
        <f>SUMIFS(super1[Qtde],super1[Item],tab_alimentos[[#This Row],[Item]],super1[Bairro],mercado3)+SUMIFS(supercb[Qtde],supercb[Item],tab_alimentos[[#This Row],[Item]],supercb[Bairro],mercado3)</f>
        <v>0</v>
      </c>
      <c r="O341" s="64">
        <f>SUMIFS(super1[Qtde],super1[Item],tab_alimentos[[#This Row],[Item]],super1[Bairro],mercado4)+SUMIFS(supercb[Qtde],supercb[Item],tab_alimentos[[#This Row],[Item]],supercb[Bairro],mercado4)</f>
        <v>0</v>
      </c>
      <c r="P341" s="64">
        <f>SUMIFS(super1[Qtde],super1[Item],tab_alimentos[[#This Row],[Item]],super1[Bairro],mercado5)+SUMIFS(supercb[Qtde],supercb[Item],tab_alimentos[[#This Row],[Item]],supercb[Bairro],mercado5)</f>
        <v>0</v>
      </c>
      <c r="Q341" s="64">
        <f>SUMIFS(super1[Qtde],super1[Item],tab_alimentos[[#This Row],[Item]],super1[Bairro],mercado6)+SUMIFS(supercb[Qtde],supercb[Item],tab_alimentos[[#This Row],[Item]],supercb[Bairro],mercado6)</f>
        <v>0</v>
      </c>
      <c r="R341" s="64">
        <f>SUMIFS(super1[Qtde],super1[Item],tab_alimentos[[#This Row],[Item]],super1[Bairro],mercado7)+SUMIFS(supercb[Qtde],supercb[Item],tab_alimentos[[#This Row],[Item]],supercb[Bairro],mercado7)</f>
        <v>0</v>
      </c>
      <c r="S341" s="64">
        <f>SUMIFS(super1[Qtde],super1[Item],tab_alimentos[[#This Row],[Item]],super1[Bairro],mercado8)+SUMIFS(supercb[Qtde],supercb[Item],tab_alimentos[[#This Row],[Item]],supercb[Bairro],mercado8)</f>
        <v>0</v>
      </c>
      <c r="T341" s="64">
        <f>SUMIFS(super1[Qtde],super1[Item],tab_alimentos[[#This Row],[Item]],super1[Bairro],mercado9)+SUMIFS(supercb[Qtde],supercb[Item],tab_alimentos[[#This Row],[Item]],supercb[Bairro],mercado9)</f>
        <v>0</v>
      </c>
      <c r="U341" s="64">
        <f>SUMIFS(super1[Qtde],super1[Item],tab_alimentos[[#This Row],[Item]],super1[Bairro],mercado10)+SUMIFS(supercb[Qtde],supercb[Item],tab_alimentos[[#This Row],[Item]],supercb[Bairro],mercado10)</f>
        <v>0</v>
      </c>
      <c r="V341" s="64">
        <f>SUMIFS(super1[Qtde],super1[Item],tab_alimentos[[#This Row],[Item]],super1[Bairro],mercado11)+SUMIFS(supercb[Qtde],supercb[Item],tab_alimentos[[#This Row],[Item]],supercb[Bairro],mercado11)</f>
        <v>0</v>
      </c>
      <c r="W341" s="64">
        <f>SUMIFS(super1[Qtde],super1[Item],tab_alimentos[[#This Row],[Item]],super1[Bairro],mercado12)+SUMIFS(supercb[Qtde],supercb[Item],tab_alimentos[[#This Row],[Item]],supercb[Bairro],mercado12)</f>
        <v>0</v>
      </c>
      <c r="X341" s="64">
        <f>SUMIFS(super1[Qtde],super1[Item],tab_alimentos[[#This Row],[Item]],super1[Bairro],mercado13)+SUMIFS(supercb[Qtde],supercb[Item],tab_alimentos[[#This Row],[Item]],supercb[Bairro],mercado13)</f>
        <v>0</v>
      </c>
      <c r="Y341" s="64">
        <f>SUMIFS(super1[Qtde],super1[Item],tab_alimentos[[#This Row],[Item]],super1[Bairro],mercado14)+SUMIFS(supercb[Qtde],supercb[Item],tab_alimentos[[#This Row],[Item]],supercb[Bairro],mercado14)</f>
        <v>0</v>
      </c>
      <c r="Z341" s="64">
        <f>SUMIFS(super1[Qtde],super1[Item],tab_alimentos[[#This Row],[Item]],super1[Bairro],mercado15)+SUMIFS(supercb[Qtde],supercb[Item],tab_alimentos[[#This Row],[Item]],supercb[Bairro],mercado15)</f>
        <v>0</v>
      </c>
      <c r="AA341" s="64">
        <f>SUMIFS(super1[Qtde],super1[Item],tab_alimentos[[#This Row],[Item]],super1[Bairro],mercado16)+SUMIFS(supercb[Qtde],supercb[Item],tab_alimentos[[#This Row],[Item]],supercb[Bairro],mercado16)</f>
        <v>0</v>
      </c>
      <c r="AB341" s="64">
        <f>SUMIFS(super1[Qtde],super1[Item],tab_alimentos[[#This Row],[Item]],super1[Bairro],mercado17)+SUMIFS(supercb[Qtde],supercb[Item],tab_alimentos[[#This Row],[Item]],supercb[Bairro],mercado17)</f>
        <v>0</v>
      </c>
      <c r="AC341" s="64">
        <f>SUMIFS(super1[Qtde],super1[Item],tab_alimentos[[#This Row],[Item]],super1[Bairro],mercado18)+SUMIFS(supercb[Qtde],supercb[Item],tab_alimentos[[#This Row],[Item]],supercb[Bairro],mercado18)</f>
        <v>0</v>
      </c>
      <c r="AD341" s="64">
        <f>SUMIFS(super1[Qtde],super1[Item],tab_alimentos[[#This Row],[Item]],super1[Bairro],extras)+SUMIFS(supercb[Qtde],supercb[Item],tab_alimentos[[#This Row],[Item]],supercb[Bairro],extras)</f>
        <v>0</v>
      </c>
      <c r="AE341" s="61">
        <f t="shared" si="94"/>
        <v>0</v>
      </c>
      <c r="AF341" s="61">
        <f t="shared" si="95"/>
        <v>0</v>
      </c>
      <c r="AG341" s="62">
        <f t="shared" si="96"/>
        <v>0</v>
      </c>
    </row>
    <row r="342" spans="9:33" x14ac:dyDescent="0.25">
      <c r="I342" s="65" t="e">
        <f>alimentos[[#This Row],[Item]]</f>
        <v>#VALUE!</v>
      </c>
      <c r="J342" s="61">
        <f>IFERROR(alimentos[[#This Row],[kg/embalagem]],0)</f>
        <v>0</v>
      </c>
      <c r="K342" s="64">
        <f>IFERROR(alimentos[[#This Row],[Preço]],0)</f>
        <v>0</v>
      </c>
      <c r="L342" s="64">
        <f>SUMIFS(super1[Qtde],super1[Item],tab_alimentos[[#This Row],[Item]],super1[Bairro],mercado1)+SUMIFS(supercb[Qtde],supercb[Item],tab_alimentos[[#This Row],[Item]],supercb[Bairro],mercado1)</f>
        <v>0</v>
      </c>
      <c r="M342" s="64">
        <f>SUMIFS(super1[Qtde],super1[Item],tab_alimentos[[#This Row],[Item]],super1[Bairro],mercado2)+SUMIFS(supercb[Qtde],supercb[Item],tab_alimentos[[#This Row],[Item]],supercb[Bairro],mercado2)</f>
        <v>0</v>
      </c>
      <c r="N342" s="61">
        <f>SUMIFS(super1[Qtde],super1[Item],tab_alimentos[[#This Row],[Item]],super1[Bairro],mercado3)+SUMIFS(supercb[Qtde],supercb[Item],tab_alimentos[[#This Row],[Item]],supercb[Bairro],mercado3)</f>
        <v>0</v>
      </c>
      <c r="O342" s="64">
        <f>SUMIFS(super1[Qtde],super1[Item],tab_alimentos[[#This Row],[Item]],super1[Bairro],mercado4)+SUMIFS(supercb[Qtde],supercb[Item],tab_alimentos[[#This Row],[Item]],supercb[Bairro],mercado4)</f>
        <v>0</v>
      </c>
      <c r="P342" s="64">
        <f>SUMIFS(super1[Qtde],super1[Item],tab_alimentos[[#This Row],[Item]],super1[Bairro],mercado5)+SUMIFS(supercb[Qtde],supercb[Item],tab_alimentos[[#This Row],[Item]],supercb[Bairro],mercado5)</f>
        <v>0</v>
      </c>
      <c r="Q342" s="64">
        <f>SUMIFS(super1[Qtde],super1[Item],tab_alimentos[[#This Row],[Item]],super1[Bairro],mercado6)+SUMIFS(supercb[Qtde],supercb[Item],tab_alimentos[[#This Row],[Item]],supercb[Bairro],mercado6)</f>
        <v>0</v>
      </c>
      <c r="R342" s="64">
        <f>SUMIFS(super1[Qtde],super1[Item],tab_alimentos[[#This Row],[Item]],super1[Bairro],mercado7)+SUMIFS(supercb[Qtde],supercb[Item],tab_alimentos[[#This Row],[Item]],supercb[Bairro],mercado7)</f>
        <v>0</v>
      </c>
      <c r="S342" s="64">
        <f>SUMIFS(super1[Qtde],super1[Item],tab_alimentos[[#This Row],[Item]],super1[Bairro],mercado8)+SUMIFS(supercb[Qtde],supercb[Item],tab_alimentos[[#This Row],[Item]],supercb[Bairro],mercado8)</f>
        <v>0</v>
      </c>
      <c r="T342" s="64">
        <f>SUMIFS(super1[Qtde],super1[Item],tab_alimentos[[#This Row],[Item]],super1[Bairro],mercado9)+SUMIFS(supercb[Qtde],supercb[Item],tab_alimentos[[#This Row],[Item]],supercb[Bairro],mercado9)</f>
        <v>0</v>
      </c>
      <c r="U342" s="64">
        <f>SUMIFS(super1[Qtde],super1[Item],tab_alimentos[[#This Row],[Item]],super1[Bairro],mercado10)+SUMIFS(supercb[Qtde],supercb[Item],tab_alimentos[[#This Row],[Item]],supercb[Bairro],mercado10)</f>
        <v>0</v>
      </c>
      <c r="V342" s="64">
        <f>SUMIFS(super1[Qtde],super1[Item],tab_alimentos[[#This Row],[Item]],super1[Bairro],mercado11)+SUMIFS(supercb[Qtde],supercb[Item],tab_alimentos[[#This Row],[Item]],supercb[Bairro],mercado11)</f>
        <v>0</v>
      </c>
      <c r="W342" s="64">
        <f>SUMIFS(super1[Qtde],super1[Item],tab_alimentos[[#This Row],[Item]],super1[Bairro],mercado12)+SUMIFS(supercb[Qtde],supercb[Item],tab_alimentos[[#This Row],[Item]],supercb[Bairro],mercado12)</f>
        <v>0</v>
      </c>
      <c r="X342" s="64">
        <f>SUMIFS(super1[Qtde],super1[Item],tab_alimentos[[#This Row],[Item]],super1[Bairro],mercado13)+SUMIFS(supercb[Qtde],supercb[Item],tab_alimentos[[#This Row],[Item]],supercb[Bairro],mercado13)</f>
        <v>0</v>
      </c>
      <c r="Y342" s="64">
        <f>SUMIFS(super1[Qtde],super1[Item],tab_alimentos[[#This Row],[Item]],super1[Bairro],mercado14)+SUMIFS(supercb[Qtde],supercb[Item],tab_alimentos[[#This Row],[Item]],supercb[Bairro],mercado14)</f>
        <v>0</v>
      </c>
      <c r="Z342" s="64">
        <f>SUMIFS(super1[Qtde],super1[Item],tab_alimentos[[#This Row],[Item]],super1[Bairro],mercado15)+SUMIFS(supercb[Qtde],supercb[Item],tab_alimentos[[#This Row],[Item]],supercb[Bairro],mercado15)</f>
        <v>0</v>
      </c>
      <c r="AA342" s="64">
        <f>SUMIFS(super1[Qtde],super1[Item],tab_alimentos[[#This Row],[Item]],super1[Bairro],mercado16)+SUMIFS(supercb[Qtde],supercb[Item],tab_alimentos[[#This Row],[Item]],supercb[Bairro],mercado16)</f>
        <v>0</v>
      </c>
      <c r="AB342" s="64">
        <f>SUMIFS(super1[Qtde],super1[Item],tab_alimentos[[#This Row],[Item]],super1[Bairro],mercado17)+SUMIFS(supercb[Qtde],supercb[Item],tab_alimentos[[#This Row],[Item]],supercb[Bairro],mercado17)</f>
        <v>0</v>
      </c>
      <c r="AC342" s="64">
        <f>SUMIFS(super1[Qtde],super1[Item],tab_alimentos[[#This Row],[Item]],super1[Bairro],mercado18)+SUMIFS(supercb[Qtde],supercb[Item],tab_alimentos[[#This Row],[Item]],supercb[Bairro],mercado18)</f>
        <v>0</v>
      </c>
      <c r="AD342" s="64">
        <f>SUMIFS(super1[Qtde],super1[Item],tab_alimentos[[#This Row],[Item]],super1[Bairro],extras)+SUMIFS(supercb[Qtde],supercb[Item],tab_alimentos[[#This Row],[Item]],supercb[Bairro],extras)</f>
        <v>0</v>
      </c>
      <c r="AE342" s="61">
        <f t="shared" si="94"/>
        <v>0</v>
      </c>
      <c r="AF342" s="61">
        <f t="shared" si="95"/>
        <v>0</v>
      </c>
      <c r="AG342" s="62">
        <f t="shared" si="96"/>
        <v>0</v>
      </c>
    </row>
    <row r="343" spans="9:33" x14ac:dyDescent="0.25">
      <c r="I343" s="65" t="e">
        <f>alimentos[[#This Row],[Item]]</f>
        <v>#VALUE!</v>
      </c>
      <c r="J343" s="61">
        <f>IFERROR(alimentos[[#This Row],[kg/embalagem]],0)</f>
        <v>0</v>
      </c>
      <c r="K343" s="64">
        <f>IFERROR(alimentos[[#This Row],[Preço]],0)</f>
        <v>0</v>
      </c>
      <c r="L343" s="64">
        <f>SUMIFS(super1[Qtde],super1[Item],tab_alimentos[[#This Row],[Item]],super1[Bairro],mercado1)+SUMIFS(supercb[Qtde],supercb[Item],tab_alimentos[[#This Row],[Item]],supercb[Bairro],mercado1)</f>
        <v>0</v>
      </c>
      <c r="M343" s="64">
        <f>SUMIFS(super1[Qtde],super1[Item],tab_alimentos[[#This Row],[Item]],super1[Bairro],mercado2)+SUMIFS(supercb[Qtde],supercb[Item],tab_alimentos[[#This Row],[Item]],supercb[Bairro],mercado2)</f>
        <v>0</v>
      </c>
      <c r="N343" s="61">
        <f>SUMIFS(super1[Qtde],super1[Item],tab_alimentos[[#This Row],[Item]],super1[Bairro],mercado3)+SUMIFS(supercb[Qtde],supercb[Item],tab_alimentos[[#This Row],[Item]],supercb[Bairro],mercado3)</f>
        <v>0</v>
      </c>
      <c r="O343" s="64">
        <f>SUMIFS(super1[Qtde],super1[Item],tab_alimentos[[#This Row],[Item]],super1[Bairro],mercado4)+SUMIFS(supercb[Qtde],supercb[Item],tab_alimentos[[#This Row],[Item]],supercb[Bairro],mercado4)</f>
        <v>0</v>
      </c>
      <c r="P343" s="64">
        <f>SUMIFS(super1[Qtde],super1[Item],tab_alimentos[[#This Row],[Item]],super1[Bairro],mercado5)+SUMIFS(supercb[Qtde],supercb[Item],tab_alimentos[[#This Row],[Item]],supercb[Bairro],mercado5)</f>
        <v>0</v>
      </c>
      <c r="Q343" s="64">
        <f>SUMIFS(super1[Qtde],super1[Item],tab_alimentos[[#This Row],[Item]],super1[Bairro],mercado6)+SUMIFS(supercb[Qtde],supercb[Item],tab_alimentos[[#This Row],[Item]],supercb[Bairro],mercado6)</f>
        <v>0</v>
      </c>
      <c r="R343" s="64">
        <f>SUMIFS(super1[Qtde],super1[Item],tab_alimentos[[#This Row],[Item]],super1[Bairro],mercado7)+SUMIFS(supercb[Qtde],supercb[Item],tab_alimentos[[#This Row],[Item]],supercb[Bairro],mercado7)</f>
        <v>0</v>
      </c>
      <c r="S343" s="64">
        <f>SUMIFS(super1[Qtde],super1[Item],tab_alimentos[[#This Row],[Item]],super1[Bairro],mercado8)+SUMIFS(supercb[Qtde],supercb[Item],tab_alimentos[[#This Row],[Item]],supercb[Bairro],mercado8)</f>
        <v>0</v>
      </c>
      <c r="T343" s="64">
        <f>SUMIFS(super1[Qtde],super1[Item],tab_alimentos[[#This Row],[Item]],super1[Bairro],mercado9)+SUMIFS(supercb[Qtde],supercb[Item],tab_alimentos[[#This Row],[Item]],supercb[Bairro],mercado9)</f>
        <v>0</v>
      </c>
      <c r="U343" s="64">
        <f>SUMIFS(super1[Qtde],super1[Item],tab_alimentos[[#This Row],[Item]],super1[Bairro],mercado10)+SUMIFS(supercb[Qtde],supercb[Item],tab_alimentos[[#This Row],[Item]],supercb[Bairro],mercado10)</f>
        <v>0</v>
      </c>
      <c r="V343" s="64">
        <f>SUMIFS(super1[Qtde],super1[Item],tab_alimentos[[#This Row],[Item]],super1[Bairro],mercado11)+SUMIFS(supercb[Qtde],supercb[Item],tab_alimentos[[#This Row],[Item]],supercb[Bairro],mercado11)</f>
        <v>0</v>
      </c>
      <c r="W343" s="64">
        <f>SUMIFS(super1[Qtde],super1[Item],tab_alimentos[[#This Row],[Item]],super1[Bairro],mercado12)+SUMIFS(supercb[Qtde],supercb[Item],tab_alimentos[[#This Row],[Item]],supercb[Bairro],mercado12)</f>
        <v>0</v>
      </c>
      <c r="X343" s="64">
        <f>SUMIFS(super1[Qtde],super1[Item],tab_alimentos[[#This Row],[Item]],super1[Bairro],mercado13)+SUMIFS(supercb[Qtde],supercb[Item],tab_alimentos[[#This Row],[Item]],supercb[Bairro],mercado13)</f>
        <v>0</v>
      </c>
      <c r="Y343" s="64">
        <f>SUMIFS(super1[Qtde],super1[Item],tab_alimentos[[#This Row],[Item]],super1[Bairro],mercado14)+SUMIFS(supercb[Qtde],supercb[Item],tab_alimentos[[#This Row],[Item]],supercb[Bairro],mercado14)</f>
        <v>0</v>
      </c>
      <c r="Z343" s="64">
        <f>SUMIFS(super1[Qtde],super1[Item],tab_alimentos[[#This Row],[Item]],super1[Bairro],mercado15)+SUMIFS(supercb[Qtde],supercb[Item],tab_alimentos[[#This Row],[Item]],supercb[Bairro],mercado15)</f>
        <v>0</v>
      </c>
      <c r="AA343" s="64">
        <f>SUMIFS(super1[Qtde],super1[Item],tab_alimentos[[#This Row],[Item]],super1[Bairro],mercado16)+SUMIFS(supercb[Qtde],supercb[Item],tab_alimentos[[#This Row],[Item]],supercb[Bairro],mercado16)</f>
        <v>0</v>
      </c>
      <c r="AB343" s="64">
        <f>SUMIFS(super1[Qtde],super1[Item],tab_alimentos[[#This Row],[Item]],super1[Bairro],mercado17)+SUMIFS(supercb[Qtde],supercb[Item],tab_alimentos[[#This Row],[Item]],supercb[Bairro],mercado17)</f>
        <v>0</v>
      </c>
      <c r="AC343" s="64">
        <f>SUMIFS(super1[Qtde],super1[Item],tab_alimentos[[#This Row],[Item]],super1[Bairro],mercado18)+SUMIFS(supercb[Qtde],supercb[Item],tab_alimentos[[#This Row],[Item]],supercb[Bairro],mercado18)</f>
        <v>0</v>
      </c>
      <c r="AD343" s="64">
        <f>SUMIFS(super1[Qtde],super1[Item],tab_alimentos[[#This Row],[Item]],super1[Bairro],extras)+SUMIFS(supercb[Qtde],supercb[Item],tab_alimentos[[#This Row],[Item]],supercb[Bairro],extras)</f>
        <v>0</v>
      </c>
      <c r="AE343" s="61">
        <f t="shared" si="94"/>
        <v>0</v>
      </c>
      <c r="AF343" s="61">
        <f t="shared" si="95"/>
        <v>0</v>
      </c>
      <c r="AG343" s="62">
        <f t="shared" si="96"/>
        <v>0</v>
      </c>
    </row>
    <row r="344" spans="9:33" x14ac:dyDescent="0.25">
      <c r="I344" s="65" t="e">
        <f>alimentos[[#This Row],[Item]]</f>
        <v>#VALUE!</v>
      </c>
      <c r="J344" s="61">
        <f>IFERROR(alimentos[[#This Row],[kg/embalagem]],0)</f>
        <v>0</v>
      </c>
      <c r="K344" s="64">
        <f>IFERROR(alimentos[[#This Row],[Preço]],0)</f>
        <v>0</v>
      </c>
      <c r="L344" s="64">
        <f>SUMIFS(super1[Qtde],super1[Item],tab_alimentos[[#This Row],[Item]],super1[Bairro],mercado1)+SUMIFS(supercb[Qtde],supercb[Item],tab_alimentos[[#This Row],[Item]],supercb[Bairro],mercado1)</f>
        <v>0</v>
      </c>
      <c r="M344" s="64">
        <f>SUMIFS(super1[Qtde],super1[Item],tab_alimentos[[#This Row],[Item]],super1[Bairro],mercado2)+SUMIFS(supercb[Qtde],supercb[Item],tab_alimentos[[#This Row],[Item]],supercb[Bairro],mercado2)</f>
        <v>0</v>
      </c>
      <c r="N344" s="61">
        <f>SUMIFS(super1[Qtde],super1[Item],tab_alimentos[[#This Row],[Item]],super1[Bairro],mercado3)+SUMIFS(supercb[Qtde],supercb[Item],tab_alimentos[[#This Row],[Item]],supercb[Bairro],mercado3)</f>
        <v>0</v>
      </c>
      <c r="O344" s="64">
        <f>SUMIFS(super1[Qtde],super1[Item],tab_alimentos[[#This Row],[Item]],super1[Bairro],mercado4)+SUMIFS(supercb[Qtde],supercb[Item],tab_alimentos[[#This Row],[Item]],supercb[Bairro],mercado4)</f>
        <v>0</v>
      </c>
      <c r="P344" s="64">
        <f>SUMIFS(super1[Qtde],super1[Item],tab_alimentos[[#This Row],[Item]],super1[Bairro],mercado5)+SUMIFS(supercb[Qtde],supercb[Item],tab_alimentos[[#This Row],[Item]],supercb[Bairro],mercado5)</f>
        <v>0</v>
      </c>
      <c r="Q344" s="64">
        <f>SUMIFS(super1[Qtde],super1[Item],tab_alimentos[[#This Row],[Item]],super1[Bairro],mercado6)+SUMIFS(supercb[Qtde],supercb[Item],tab_alimentos[[#This Row],[Item]],supercb[Bairro],mercado6)</f>
        <v>0</v>
      </c>
      <c r="R344" s="64">
        <f>SUMIFS(super1[Qtde],super1[Item],tab_alimentos[[#This Row],[Item]],super1[Bairro],mercado7)+SUMIFS(supercb[Qtde],supercb[Item],tab_alimentos[[#This Row],[Item]],supercb[Bairro],mercado7)</f>
        <v>0</v>
      </c>
      <c r="S344" s="64">
        <f>SUMIFS(super1[Qtde],super1[Item],tab_alimentos[[#This Row],[Item]],super1[Bairro],mercado8)+SUMIFS(supercb[Qtde],supercb[Item],tab_alimentos[[#This Row],[Item]],supercb[Bairro],mercado8)</f>
        <v>0</v>
      </c>
      <c r="T344" s="64">
        <f>SUMIFS(super1[Qtde],super1[Item],tab_alimentos[[#This Row],[Item]],super1[Bairro],mercado9)+SUMIFS(supercb[Qtde],supercb[Item],tab_alimentos[[#This Row],[Item]],supercb[Bairro],mercado9)</f>
        <v>0</v>
      </c>
      <c r="U344" s="64">
        <f>SUMIFS(super1[Qtde],super1[Item],tab_alimentos[[#This Row],[Item]],super1[Bairro],mercado10)+SUMIFS(supercb[Qtde],supercb[Item],tab_alimentos[[#This Row],[Item]],supercb[Bairro],mercado10)</f>
        <v>0</v>
      </c>
      <c r="V344" s="64">
        <f>SUMIFS(super1[Qtde],super1[Item],tab_alimentos[[#This Row],[Item]],super1[Bairro],mercado11)+SUMIFS(supercb[Qtde],supercb[Item],tab_alimentos[[#This Row],[Item]],supercb[Bairro],mercado11)</f>
        <v>0</v>
      </c>
      <c r="W344" s="64">
        <f>SUMIFS(super1[Qtde],super1[Item],tab_alimentos[[#This Row],[Item]],super1[Bairro],mercado12)+SUMIFS(supercb[Qtde],supercb[Item],tab_alimentos[[#This Row],[Item]],supercb[Bairro],mercado12)</f>
        <v>0</v>
      </c>
      <c r="X344" s="64">
        <f>SUMIFS(super1[Qtde],super1[Item],tab_alimentos[[#This Row],[Item]],super1[Bairro],mercado13)+SUMIFS(supercb[Qtde],supercb[Item],tab_alimentos[[#This Row],[Item]],supercb[Bairro],mercado13)</f>
        <v>0</v>
      </c>
      <c r="Y344" s="64">
        <f>SUMIFS(super1[Qtde],super1[Item],tab_alimentos[[#This Row],[Item]],super1[Bairro],mercado14)+SUMIFS(supercb[Qtde],supercb[Item],tab_alimentos[[#This Row],[Item]],supercb[Bairro],mercado14)</f>
        <v>0</v>
      </c>
      <c r="Z344" s="64">
        <f>SUMIFS(super1[Qtde],super1[Item],tab_alimentos[[#This Row],[Item]],super1[Bairro],mercado15)+SUMIFS(supercb[Qtde],supercb[Item],tab_alimentos[[#This Row],[Item]],supercb[Bairro],mercado15)</f>
        <v>0</v>
      </c>
      <c r="AA344" s="64">
        <f>SUMIFS(super1[Qtde],super1[Item],tab_alimentos[[#This Row],[Item]],super1[Bairro],mercado16)+SUMIFS(supercb[Qtde],supercb[Item],tab_alimentos[[#This Row],[Item]],supercb[Bairro],mercado16)</f>
        <v>0</v>
      </c>
      <c r="AB344" s="64">
        <f>SUMIFS(super1[Qtde],super1[Item],tab_alimentos[[#This Row],[Item]],super1[Bairro],mercado17)+SUMIFS(supercb[Qtde],supercb[Item],tab_alimentos[[#This Row],[Item]],supercb[Bairro],mercado17)</f>
        <v>0</v>
      </c>
      <c r="AC344" s="64">
        <f>SUMIFS(super1[Qtde],super1[Item],tab_alimentos[[#This Row],[Item]],super1[Bairro],mercado18)+SUMIFS(supercb[Qtde],supercb[Item],tab_alimentos[[#This Row],[Item]],supercb[Bairro],mercado18)</f>
        <v>0</v>
      </c>
      <c r="AD344" s="64">
        <f>SUMIFS(super1[Qtde],super1[Item],tab_alimentos[[#This Row],[Item]],super1[Bairro],extras)+SUMIFS(supercb[Qtde],supercb[Item],tab_alimentos[[#This Row],[Item]],supercb[Bairro],extras)</f>
        <v>0</v>
      </c>
      <c r="AE344" s="61">
        <f t="shared" si="94"/>
        <v>0</v>
      </c>
      <c r="AF344" s="61">
        <f t="shared" si="95"/>
        <v>0</v>
      </c>
      <c r="AG344" s="62">
        <f t="shared" si="96"/>
        <v>0</v>
      </c>
    </row>
    <row r="345" spans="9:33" x14ac:dyDescent="0.25">
      <c r="I345" s="65" t="e">
        <f>alimentos[[#This Row],[Item]]</f>
        <v>#VALUE!</v>
      </c>
      <c r="J345" s="61">
        <f>IFERROR(alimentos[[#This Row],[kg/embalagem]],0)</f>
        <v>0</v>
      </c>
      <c r="K345" s="64">
        <f>IFERROR(alimentos[[#This Row],[Preço]],0)</f>
        <v>0</v>
      </c>
      <c r="L345" s="64">
        <f>SUMIFS(super1[Qtde],super1[Item],tab_alimentos[[#This Row],[Item]],super1[Bairro],mercado1)+SUMIFS(supercb[Qtde],supercb[Item],tab_alimentos[[#This Row],[Item]],supercb[Bairro],mercado1)</f>
        <v>0</v>
      </c>
      <c r="M345" s="64">
        <f>SUMIFS(super1[Qtde],super1[Item],tab_alimentos[[#This Row],[Item]],super1[Bairro],mercado2)+SUMIFS(supercb[Qtde],supercb[Item],tab_alimentos[[#This Row],[Item]],supercb[Bairro],mercado2)</f>
        <v>0</v>
      </c>
      <c r="N345" s="61">
        <f>SUMIFS(super1[Qtde],super1[Item],tab_alimentos[[#This Row],[Item]],super1[Bairro],mercado3)+SUMIFS(supercb[Qtde],supercb[Item],tab_alimentos[[#This Row],[Item]],supercb[Bairro],mercado3)</f>
        <v>0</v>
      </c>
      <c r="O345" s="64">
        <f>SUMIFS(super1[Qtde],super1[Item],tab_alimentos[[#This Row],[Item]],super1[Bairro],mercado4)+SUMIFS(supercb[Qtde],supercb[Item],tab_alimentos[[#This Row],[Item]],supercb[Bairro],mercado4)</f>
        <v>0</v>
      </c>
      <c r="P345" s="64">
        <f>SUMIFS(super1[Qtde],super1[Item],tab_alimentos[[#This Row],[Item]],super1[Bairro],mercado5)+SUMIFS(supercb[Qtde],supercb[Item],tab_alimentos[[#This Row],[Item]],supercb[Bairro],mercado5)</f>
        <v>0</v>
      </c>
      <c r="Q345" s="64">
        <f>SUMIFS(super1[Qtde],super1[Item],tab_alimentos[[#This Row],[Item]],super1[Bairro],mercado6)+SUMIFS(supercb[Qtde],supercb[Item],tab_alimentos[[#This Row],[Item]],supercb[Bairro],mercado6)</f>
        <v>0</v>
      </c>
      <c r="R345" s="64">
        <f>SUMIFS(super1[Qtde],super1[Item],tab_alimentos[[#This Row],[Item]],super1[Bairro],mercado7)+SUMIFS(supercb[Qtde],supercb[Item],tab_alimentos[[#This Row],[Item]],supercb[Bairro],mercado7)</f>
        <v>0</v>
      </c>
      <c r="S345" s="64">
        <f>SUMIFS(super1[Qtde],super1[Item],tab_alimentos[[#This Row],[Item]],super1[Bairro],mercado8)+SUMIFS(supercb[Qtde],supercb[Item],tab_alimentos[[#This Row],[Item]],supercb[Bairro],mercado8)</f>
        <v>0</v>
      </c>
      <c r="T345" s="64">
        <f>SUMIFS(super1[Qtde],super1[Item],tab_alimentos[[#This Row],[Item]],super1[Bairro],mercado9)+SUMIFS(supercb[Qtde],supercb[Item],tab_alimentos[[#This Row],[Item]],supercb[Bairro],mercado9)</f>
        <v>0</v>
      </c>
      <c r="U345" s="64">
        <f>SUMIFS(super1[Qtde],super1[Item],tab_alimentos[[#This Row],[Item]],super1[Bairro],mercado10)+SUMIFS(supercb[Qtde],supercb[Item],tab_alimentos[[#This Row],[Item]],supercb[Bairro],mercado10)</f>
        <v>0</v>
      </c>
      <c r="V345" s="64">
        <f>SUMIFS(super1[Qtde],super1[Item],tab_alimentos[[#This Row],[Item]],super1[Bairro],mercado11)+SUMIFS(supercb[Qtde],supercb[Item],tab_alimentos[[#This Row],[Item]],supercb[Bairro],mercado11)</f>
        <v>0</v>
      </c>
      <c r="W345" s="64">
        <f>SUMIFS(super1[Qtde],super1[Item],tab_alimentos[[#This Row],[Item]],super1[Bairro],mercado12)+SUMIFS(supercb[Qtde],supercb[Item],tab_alimentos[[#This Row],[Item]],supercb[Bairro],mercado12)</f>
        <v>0</v>
      </c>
      <c r="X345" s="64">
        <f>SUMIFS(super1[Qtde],super1[Item],tab_alimentos[[#This Row],[Item]],super1[Bairro],mercado13)+SUMIFS(supercb[Qtde],supercb[Item],tab_alimentos[[#This Row],[Item]],supercb[Bairro],mercado13)</f>
        <v>0</v>
      </c>
      <c r="Y345" s="64">
        <f>SUMIFS(super1[Qtde],super1[Item],tab_alimentos[[#This Row],[Item]],super1[Bairro],mercado14)+SUMIFS(supercb[Qtde],supercb[Item],tab_alimentos[[#This Row],[Item]],supercb[Bairro],mercado14)</f>
        <v>0</v>
      </c>
      <c r="Z345" s="64">
        <f>SUMIFS(super1[Qtde],super1[Item],tab_alimentos[[#This Row],[Item]],super1[Bairro],mercado15)+SUMIFS(supercb[Qtde],supercb[Item],tab_alimentos[[#This Row],[Item]],supercb[Bairro],mercado15)</f>
        <v>0</v>
      </c>
      <c r="AA345" s="64">
        <f>SUMIFS(super1[Qtde],super1[Item],tab_alimentos[[#This Row],[Item]],super1[Bairro],mercado16)+SUMIFS(supercb[Qtde],supercb[Item],tab_alimentos[[#This Row],[Item]],supercb[Bairro],mercado16)</f>
        <v>0</v>
      </c>
      <c r="AB345" s="64">
        <f>SUMIFS(super1[Qtde],super1[Item],tab_alimentos[[#This Row],[Item]],super1[Bairro],mercado17)+SUMIFS(supercb[Qtde],supercb[Item],tab_alimentos[[#This Row],[Item]],supercb[Bairro],mercado17)</f>
        <v>0</v>
      </c>
      <c r="AC345" s="64">
        <f>SUMIFS(super1[Qtde],super1[Item],tab_alimentos[[#This Row],[Item]],super1[Bairro],mercado18)+SUMIFS(supercb[Qtde],supercb[Item],tab_alimentos[[#This Row],[Item]],supercb[Bairro],mercado18)</f>
        <v>0</v>
      </c>
      <c r="AD345" s="64">
        <f>SUMIFS(super1[Qtde],super1[Item],tab_alimentos[[#This Row],[Item]],super1[Bairro],extras)+SUMIFS(supercb[Qtde],supercb[Item],tab_alimentos[[#This Row],[Item]],supercb[Bairro],extras)</f>
        <v>0</v>
      </c>
      <c r="AE345" s="61">
        <f t="shared" si="94"/>
        <v>0</v>
      </c>
      <c r="AF345" s="61">
        <f t="shared" si="95"/>
        <v>0</v>
      </c>
      <c r="AG345" s="62">
        <f t="shared" si="96"/>
        <v>0</v>
      </c>
    </row>
    <row r="346" spans="9:33" x14ac:dyDescent="0.25">
      <c r="I346" s="65" t="e">
        <f>alimentos[[#This Row],[Item]]</f>
        <v>#VALUE!</v>
      </c>
      <c r="J346" s="61">
        <f>IFERROR(alimentos[[#This Row],[kg/embalagem]],0)</f>
        <v>0</v>
      </c>
      <c r="K346" s="64">
        <f>IFERROR(alimentos[[#This Row],[Preço]],0)</f>
        <v>0</v>
      </c>
      <c r="L346" s="64">
        <f>SUMIFS(super1[Qtde],super1[Item],tab_alimentos[[#This Row],[Item]],super1[Bairro],mercado1)+SUMIFS(supercb[Qtde],supercb[Item],tab_alimentos[[#This Row],[Item]],supercb[Bairro],mercado1)</f>
        <v>0</v>
      </c>
      <c r="M346" s="64">
        <f>SUMIFS(super1[Qtde],super1[Item],tab_alimentos[[#This Row],[Item]],super1[Bairro],mercado2)+SUMIFS(supercb[Qtde],supercb[Item],tab_alimentos[[#This Row],[Item]],supercb[Bairro],mercado2)</f>
        <v>0</v>
      </c>
      <c r="N346" s="61">
        <f>SUMIFS(super1[Qtde],super1[Item],tab_alimentos[[#This Row],[Item]],super1[Bairro],mercado3)+SUMIFS(supercb[Qtde],supercb[Item],tab_alimentos[[#This Row],[Item]],supercb[Bairro],mercado3)</f>
        <v>0</v>
      </c>
      <c r="O346" s="64">
        <f>SUMIFS(super1[Qtde],super1[Item],tab_alimentos[[#This Row],[Item]],super1[Bairro],mercado4)+SUMIFS(supercb[Qtde],supercb[Item],tab_alimentos[[#This Row],[Item]],supercb[Bairro],mercado4)</f>
        <v>0</v>
      </c>
      <c r="P346" s="64">
        <f>SUMIFS(super1[Qtde],super1[Item],tab_alimentos[[#This Row],[Item]],super1[Bairro],mercado5)+SUMIFS(supercb[Qtde],supercb[Item],tab_alimentos[[#This Row],[Item]],supercb[Bairro],mercado5)</f>
        <v>0</v>
      </c>
      <c r="Q346" s="64">
        <f>SUMIFS(super1[Qtde],super1[Item],tab_alimentos[[#This Row],[Item]],super1[Bairro],mercado6)+SUMIFS(supercb[Qtde],supercb[Item],tab_alimentos[[#This Row],[Item]],supercb[Bairro],mercado6)</f>
        <v>0</v>
      </c>
      <c r="R346" s="64">
        <f>SUMIFS(super1[Qtde],super1[Item],tab_alimentos[[#This Row],[Item]],super1[Bairro],mercado7)+SUMIFS(supercb[Qtde],supercb[Item],tab_alimentos[[#This Row],[Item]],supercb[Bairro],mercado7)</f>
        <v>0</v>
      </c>
      <c r="S346" s="64">
        <f>SUMIFS(super1[Qtde],super1[Item],tab_alimentos[[#This Row],[Item]],super1[Bairro],mercado8)+SUMIFS(supercb[Qtde],supercb[Item],tab_alimentos[[#This Row],[Item]],supercb[Bairro],mercado8)</f>
        <v>0</v>
      </c>
      <c r="T346" s="64">
        <f>SUMIFS(super1[Qtde],super1[Item],tab_alimentos[[#This Row],[Item]],super1[Bairro],mercado9)+SUMIFS(supercb[Qtde],supercb[Item],tab_alimentos[[#This Row],[Item]],supercb[Bairro],mercado9)</f>
        <v>0</v>
      </c>
      <c r="U346" s="64">
        <f>SUMIFS(super1[Qtde],super1[Item],tab_alimentos[[#This Row],[Item]],super1[Bairro],mercado10)+SUMIFS(supercb[Qtde],supercb[Item],tab_alimentos[[#This Row],[Item]],supercb[Bairro],mercado10)</f>
        <v>0</v>
      </c>
      <c r="V346" s="64">
        <f>SUMIFS(super1[Qtde],super1[Item],tab_alimentos[[#This Row],[Item]],super1[Bairro],mercado11)+SUMIFS(supercb[Qtde],supercb[Item],tab_alimentos[[#This Row],[Item]],supercb[Bairro],mercado11)</f>
        <v>0</v>
      </c>
      <c r="W346" s="64">
        <f>SUMIFS(super1[Qtde],super1[Item],tab_alimentos[[#This Row],[Item]],super1[Bairro],mercado12)+SUMIFS(supercb[Qtde],supercb[Item],tab_alimentos[[#This Row],[Item]],supercb[Bairro],mercado12)</f>
        <v>0</v>
      </c>
      <c r="X346" s="64">
        <f>SUMIFS(super1[Qtde],super1[Item],tab_alimentos[[#This Row],[Item]],super1[Bairro],mercado13)+SUMIFS(supercb[Qtde],supercb[Item],tab_alimentos[[#This Row],[Item]],supercb[Bairro],mercado13)</f>
        <v>0</v>
      </c>
      <c r="Y346" s="64">
        <f>SUMIFS(super1[Qtde],super1[Item],tab_alimentos[[#This Row],[Item]],super1[Bairro],mercado14)+SUMIFS(supercb[Qtde],supercb[Item],tab_alimentos[[#This Row],[Item]],supercb[Bairro],mercado14)</f>
        <v>0</v>
      </c>
      <c r="Z346" s="64">
        <f>SUMIFS(super1[Qtde],super1[Item],tab_alimentos[[#This Row],[Item]],super1[Bairro],mercado15)+SUMIFS(supercb[Qtde],supercb[Item],tab_alimentos[[#This Row],[Item]],supercb[Bairro],mercado15)</f>
        <v>0</v>
      </c>
      <c r="AA346" s="64">
        <f>SUMIFS(super1[Qtde],super1[Item],tab_alimentos[[#This Row],[Item]],super1[Bairro],mercado16)+SUMIFS(supercb[Qtde],supercb[Item],tab_alimentos[[#This Row],[Item]],supercb[Bairro],mercado16)</f>
        <v>0</v>
      </c>
      <c r="AB346" s="64">
        <f>SUMIFS(super1[Qtde],super1[Item],tab_alimentos[[#This Row],[Item]],super1[Bairro],mercado17)+SUMIFS(supercb[Qtde],supercb[Item],tab_alimentos[[#This Row],[Item]],supercb[Bairro],mercado17)</f>
        <v>0</v>
      </c>
      <c r="AC346" s="64">
        <f>SUMIFS(super1[Qtde],super1[Item],tab_alimentos[[#This Row],[Item]],super1[Bairro],mercado18)+SUMIFS(supercb[Qtde],supercb[Item],tab_alimentos[[#This Row],[Item]],supercb[Bairro],mercado18)</f>
        <v>0</v>
      </c>
      <c r="AD346" s="64">
        <f>SUMIFS(super1[Qtde],super1[Item],tab_alimentos[[#This Row],[Item]],super1[Bairro],extras)+SUMIFS(supercb[Qtde],supercb[Item],tab_alimentos[[#This Row],[Item]],supercb[Bairro],extras)</f>
        <v>0</v>
      </c>
      <c r="AE346" s="61">
        <f t="shared" si="94"/>
        <v>0</v>
      </c>
      <c r="AF346" s="61">
        <f t="shared" si="95"/>
        <v>0</v>
      </c>
      <c r="AG346" s="62">
        <f t="shared" si="96"/>
        <v>0</v>
      </c>
    </row>
    <row r="347" spans="9:33" x14ac:dyDescent="0.25">
      <c r="I347" s="65" t="e">
        <f>alimentos[[#This Row],[Item]]</f>
        <v>#VALUE!</v>
      </c>
      <c r="J347" s="61">
        <f>IFERROR(alimentos[[#This Row],[kg/embalagem]],0)</f>
        <v>0</v>
      </c>
      <c r="K347" s="64">
        <f>IFERROR(alimentos[[#This Row],[Preço]],0)</f>
        <v>0</v>
      </c>
      <c r="L347" s="64">
        <f>SUMIFS(super1[Qtde],super1[Item],tab_alimentos[[#This Row],[Item]],super1[Bairro],mercado1)+SUMIFS(supercb[Qtde],supercb[Item],tab_alimentos[[#This Row],[Item]],supercb[Bairro],mercado1)</f>
        <v>0</v>
      </c>
      <c r="M347" s="64">
        <f>SUMIFS(super1[Qtde],super1[Item],tab_alimentos[[#This Row],[Item]],super1[Bairro],mercado2)+SUMIFS(supercb[Qtde],supercb[Item],tab_alimentos[[#This Row],[Item]],supercb[Bairro],mercado2)</f>
        <v>0</v>
      </c>
      <c r="N347" s="61">
        <f>SUMIFS(super1[Qtde],super1[Item],tab_alimentos[[#This Row],[Item]],super1[Bairro],mercado3)+SUMIFS(supercb[Qtde],supercb[Item],tab_alimentos[[#This Row],[Item]],supercb[Bairro],mercado3)</f>
        <v>0</v>
      </c>
      <c r="O347" s="64">
        <f>SUMIFS(super1[Qtde],super1[Item],tab_alimentos[[#This Row],[Item]],super1[Bairro],mercado4)+SUMIFS(supercb[Qtde],supercb[Item],tab_alimentos[[#This Row],[Item]],supercb[Bairro],mercado4)</f>
        <v>0</v>
      </c>
      <c r="P347" s="64">
        <f>SUMIFS(super1[Qtde],super1[Item],tab_alimentos[[#This Row],[Item]],super1[Bairro],mercado5)+SUMIFS(supercb[Qtde],supercb[Item],tab_alimentos[[#This Row],[Item]],supercb[Bairro],mercado5)</f>
        <v>0</v>
      </c>
      <c r="Q347" s="64">
        <f>SUMIFS(super1[Qtde],super1[Item],tab_alimentos[[#This Row],[Item]],super1[Bairro],mercado6)+SUMIFS(supercb[Qtde],supercb[Item],tab_alimentos[[#This Row],[Item]],supercb[Bairro],mercado6)</f>
        <v>0</v>
      </c>
      <c r="R347" s="64">
        <f>SUMIFS(super1[Qtde],super1[Item],tab_alimentos[[#This Row],[Item]],super1[Bairro],mercado7)+SUMIFS(supercb[Qtde],supercb[Item],tab_alimentos[[#This Row],[Item]],supercb[Bairro],mercado7)</f>
        <v>0</v>
      </c>
      <c r="S347" s="64">
        <f>SUMIFS(super1[Qtde],super1[Item],tab_alimentos[[#This Row],[Item]],super1[Bairro],mercado8)+SUMIFS(supercb[Qtde],supercb[Item],tab_alimentos[[#This Row],[Item]],supercb[Bairro],mercado8)</f>
        <v>0</v>
      </c>
      <c r="T347" s="64">
        <f>SUMIFS(super1[Qtde],super1[Item],tab_alimentos[[#This Row],[Item]],super1[Bairro],mercado9)+SUMIFS(supercb[Qtde],supercb[Item],tab_alimentos[[#This Row],[Item]],supercb[Bairro],mercado9)</f>
        <v>0</v>
      </c>
      <c r="U347" s="64">
        <f>SUMIFS(super1[Qtde],super1[Item],tab_alimentos[[#This Row],[Item]],super1[Bairro],mercado10)+SUMIFS(supercb[Qtde],supercb[Item],tab_alimentos[[#This Row],[Item]],supercb[Bairro],mercado10)</f>
        <v>0</v>
      </c>
      <c r="V347" s="64">
        <f>SUMIFS(super1[Qtde],super1[Item],tab_alimentos[[#This Row],[Item]],super1[Bairro],mercado11)+SUMIFS(supercb[Qtde],supercb[Item],tab_alimentos[[#This Row],[Item]],supercb[Bairro],mercado11)</f>
        <v>0</v>
      </c>
      <c r="W347" s="64">
        <f>SUMIFS(super1[Qtde],super1[Item],tab_alimentos[[#This Row],[Item]],super1[Bairro],mercado12)+SUMIFS(supercb[Qtde],supercb[Item],tab_alimentos[[#This Row],[Item]],supercb[Bairro],mercado12)</f>
        <v>0</v>
      </c>
      <c r="X347" s="64">
        <f>SUMIFS(super1[Qtde],super1[Item],tab_alimentos[[#This Row],[Item]],super1[Bairro],mercado13)+SUMIFS(supercb[Qtde],supercb[Item],tab_alimentos[[#This Row],[Item]],supercb[Bairro],mercado13)</f>
        <v>0</v>
      </c>
      <c r="Y347" s="64">
        <f>SUMIFS(super1[Qtde],super1[Item],tab_alimentos[[#This Row],[Item]],super1[Bairro],mercado14)+SUMIFS(supercb[Qtde],supercb[Item],tab_alimentos[[#This Row],[Item]],supercb[Bairro],mercado14)</f>
        <v>0</v>
      </c>
      <c r="Z347" s="64">
        <f>SUMIFS(super1[Qtde],super1[Item],tab_alimentos[[#This Row],[Item]],super1[Bairro],mercado15)+SUMIFS(supercb[Qtde],supercb[Item],tab_alimentos[[#This Row],[Item]],supercb[Bairro],mercado15)</f>
        <v>0</v>
      </c>
      <c r="AA347" s="64">
        <f>SUMIFS(super1[Qtde],super1[Item],tab_alimentos[[#This Row],[Item]],super1[Bairro],mercado16)+SUMIFS(supercb[Qtde],supercb[Item],tab_alimentos[[#This Row],[Item]],supercb[Bairro],mercado16)</f>
        <v>0</v>
      </c>
      <c r="AB347" s="64">
        <f>SUMIFS(super1[Qtde],super1[Item],tab_alimentos[[#This Row],[Item]],super1[Bairro],mercado17)+SUMIFS(supercb[Qtde],supercb[Item],tab_alimentos[[#This Row],[Item]],supercb[Bairro],mercado17)</f>
        <v>0</v>
      </c>
      <c r="AC347" s="64">
        <f>SUMIFS(super1[Qtde],super1[Item],tab_alimentos[[#This Row],[Item]],super1[Bairro],mercado18)+SUMIFS(supercb[Qtde],supercb[Item],tab_alimentos[[#This Row],[Item]],supercb[Bairro],mercado18)</f>
        <v>0</v>
      </c>
      <c r="AD347" s="64">
        <f>SUMIFS(super1[Qtde],super1[Item],tab_alimentos[[#This Row],[Item]],super1[Bairro],extras)+SUMIFS(supercb[Qtde],supercb[Item],tab_alimentos[[#This Row],[Item]],supercb[Bairro],extras)</f>
        <v>0</v>
      </c>
      <c r="AE347" s="61">
        <f t="shared" si="94"/>
        <v>0</v>
      </c>
      <c r="AF347" s="61">
        <f t="shared" si="95"/>
        <v>0</v>
      </c>
      <c r="AG347" s="62">
        <f t="shared" si="96"/>
        <v>0</v>
      </c>
    </row>
    <row r="348" spans="9:33" x14ac:dyDescent="0.25">
      <c r="I348" s="65" t="e">
        <f>alimentos[[#This Row],[Item]]</f>
        <v>#VALUE!</v>
      </c>
      <c r="J348" s="61">
        <f>IFERROR(alimentos[[#This Row],[kg/embalagem]],0)</f>
        <v>0</v>
      </c>
      <c r="K348" s="64">
        <f>IFERROR(alimentos[[#This Row],[Preço]],0)</f>
        <v>0</v>
      </c>
      <c r="L348" s="64">
        <f>SUMIFS(super1[Qtde],super1[Item],tab_alimentos[[#This Row],[Item]],super1[Bairro],mercado1)+SUMIFS(supercb[Qtde],supercb[Item],tab_alimentos[[#This Row],[Item]],supercb[Bairro],mercado1)</f>
        <v>0</v>
      </c>
      <c r="M348" s="64">
        <f>SUMIFS(super1[Qtde],super1[Item],tab_alimentos[[#This Row],[Item]],super1[Bairro],mercado2)+SUMIFS(supercb[Qtde],supercb[Item],tab_alimentos[[#This Row],[Item]],supercb[Bairro],mercado2)</f>
        <v>0</v>
      </c>
      <c r="N348" s="61">
        <f>SUMIFS(super1[Qtde],super1[Item],tab_alimentos[[#This Row],[Item]],super1[Bairro],mercado3)+SUMIFS(supercb[Qtde],supercb[Item],tab_alimentos[[#This Row],[Item]],supercb[Bairro],mercado3)</f>
        <v>0</v>
      </c>
      <c r="O348" s="64">
        <f>SUMIFS(super1[Qtde],super1[Item],tab_alimentos[[#This Row],[Item]],super1[Bairro],mercado4)+SUMIFS(supercb[Qtde],supercb[Item],tab_alimentos[[#This Row],[Item]],supercb[Bairro],mercado4)</f>
        <v>0</v>
      </c>
      <c r="P348" s="64">
        <f>SUMIFS(super1[Qtde],super1[Item],tab_alimentos[[#This Row],[Item]],super1[Bairro],mercado5)+SUMIFS(supercb[Qtde],supercb[Item],tab_alimentos[[#This Row],[Item]],supercb[Bairro],mercado5)</f>
        <v>0</v>
      </c>
      <c r="Q348" s="64">
        <f>SUMIFS(super1[Qtde],super1[Item],tab_alimentos[[#This Row],[Item]],super1[Bairro],mercado6)+SUMIFS(supercb[Qtde],supercb[Item],tab_alimentos[[#This Row],[Item]],supercb[Bairro],mercado6)</f>
        <v>0</v>
      </c>
      <c r="R348" s="64">
        <f>SUMIFS(super1[Qtde],super1[Item],tab_alimentos[[#This Row],[Item]],super1[Bairro],mercado7)+SUMIFS(supercb[Qtde],supercb[Item],tab_alimentos[[#This Row],[Item]],supercb[Bairro],mercado7)</f>
        <v>0</v>
      </c>
      <c r="S348" s="64">
        <f>SUMIFS(super1[Qtde],super1[Item],tab_alimentos[[#This Row],[Item]],super1[Bairro],mercado8)+SUMIFS(supercb[Qtde],supercb[Item],tab_alimentos[[#This Row],[Item]],supercb[Bairro],mercado8)</f>
        <v>0</v>
      </c>
      <c r="T348" s="64">
        <f>SUMIFS(super1[Qtde],super1[Item],tab_alimentos[[#This Row],[Item]],super1[Bairro],mercado9)+SUMIFS(supercb[Qtde],supercb[Item],tab_alimentos[[#This Row],[Item]],supercb[Bairro],mercado9)</f>
        <v>0</v>
      </c>
      <c r="U348" s="64">
        <f>SUMIFS(super1[Qtde],super1[Item],tab_alimentos[[#This Row],[Item]],super1[Bairro],mercado10)+SUMIFS(supercb[Qtde],supercb[Item],tab_alimentos[[#This Row],[Item]],supercb[Bairro],mercado10)</f>
        <v>0</v>
      </c>
      <c r="V348" s="64">
        <f>SUMIFS(super1[Qtde],super1[Item],tab_alimentos[[#This Row],[Item]],super1[Bairro],mercado11)+SUMIFS(supercb[Qtde],supercb[Item],tab_alimentos[[#This Row],[Item]],supercb[Bairro],mercado11)</f>
        <v>0</v>
      </c>
      <c r="W348" s="64">
        <f>SUMIFS(super1[Qtde],super1[Item],tab_alimentos[[#This Row],[Item]],super1[Bairro],mercado12)+SUMIFS(supercb[Qtde],supercb[Item],tab_alimentos[[#This Row],[Item]],supercb[Bairro],mercado12)</f>
        <v>0</v>
      </c>
      <c r="X348" s="64">
        <f>SUMIFS(super1[Qtde],super1[Item],tab_alimentos[[#This Row],[Item]],super1[Bairro],mercado13)+SUMIFS(supercb[Qtde],supercb[Item],tab_alimentos[[#This Row],[Item]],supercb[Bairro],mercado13)</f>
        <v>0</v>
      </c>
      <c r="Y348" s="64">
        <f>SUMIFS(super1[Qtde],super1[Item],tab_alimentos[[#This Row],[Item]],super1[Bairro],mercado14)+SUMIFS(supercb[Qtde],supercb[Item],tab_alimentos[[#This Row],[Item]],supercb[Bairro],mercado14)</f>
        <v>0</v>
      </c>
      <c r="Z348" s="64">
        <f>SUMIFS(super1[Qtde],super1[Item],tab_alimentos[[#This Row],[Item]],super1[Bairro],mercado15)+SUMIFS(supercb[Qtde],supercb[Item],tab_alimentos[[#This Row],[Item]],supercb[Bairro],mercado15)</f>
        <v>0</v>
      </c>
      <c r="AA348" s="64">
        <f>SUMIFS(super1[Qtde],super1[Item],tab_alimentos[[#This Row],[Item]],super1[Bairro],mercado16)+SUMIFS(supercb[Qtde],supercb[Item],tab_alimentos[[#This Row],[Item]],supercb[Bairro],mercado16)</f>
        <v>0</v>
      </c>
      <c r="AB348" s="64">
        <f>SUMIFS(super1[Qtde],super1[Item],tab_alimentos[[#This Row],[Item]],super1[Bairro],mercado17)+SUMIFS(supercb[Qtde],supercb[Item],tab_alimentos[[#This Row],[Item]],supercb[Bairro],mercado17)</f>
        <v>0</v>
      </c>
      <c r="AC348" s="64">
        <f>SUMIFS(super1[Qtde],super1[Item],tab_alimentos[[#This Row],[Item]],super1[Bairro],mercado18)+SUMIFS(supercb[Qtde],supercb[Item],tab_alimentos[[#This Row],[Item]],supercb[Bairro],mercado18)</f>
        <v>0</v>
      </c>
      <c r="AD348" s="64">
        <f>SUMIFS(super1[Qtde],super1[Item],tab_alimentos[[#This Row],[Item]],super1[Bairro],extras)+SUMIFS(supercb[Qtde],supercb[Item],tab_alimentos[[#This Row],[Item]],supercb[Bairro],extras)</f>
        <v>0</v>
      </c>
      <c r="AE348" s="61">
        <f t="shared" si="94"/>
        <v>0</v>
      </c>
      <c r="AF348" s="61">
        <f t="shared" si="95"/>
        <v>0</v>
      </c>
      <c r="AG348" s="62">
        <f t="shared" si="96"/>
        <v>0</v>
      </c>
    </row>
    <row r="349" spans="9:33" x14ac:dyDescent="0.25">
      <c r="I349" s="65" t="e">
        <f>alimentos[[#This Row],[Item]]</f>
        <v>#VALUE!</v>
      </c>
      <c r="J349" s="61">
        <f>IFERROR(alimentos[[#This Row],[kg/embalagem]],0)</f>
        <v>0</v>
      </c>
      <c r="K349" s="64">
        <f>IFERROR(alimentos[[#This Row],[Preço]],0)</f>
        <v>0</v>
      </c>
      <c r="L349" s="64">
        <f>SUMIFS(super1[Qtde],super1[Item],tab_alimentos[[#This Row],[Item]],super1[Bairro],mercado1)+SUMIFS(supercb[Qtde],supercb[Item],tab_alimentos[[#This Row],[Item]],supercb[Bairro],mercado1)</f>
        <v>0</v>
      </c>
      <c r="M349" s="64">
        <f>SUMIFS(super1[Qtde],super1[Item],tab_alimentos[[#This Row],[Item]],super1[Bairro],mercado2)+SUMIFS(supercb[Qtde],supercb[Item],tab_alimentos[[#This Row],[Item]],supercb[Bairro],mercado2)</f>
        <v>0</v>
      </c>
      <c r="N349" s="61">
        <f>SUMIFS(super1[Qtde],super1[Item],tab_alimentos[[#This Row],[Item]],super1[Bairro],mercado3)+SUMIFS(supercb[Qtde],supercb[Item],tab_alimentos[[#This Row],[Item]],supercb[Bairro],mercado3)</f>
        <v>0</v>
      </c>
      <c r="O349" s="64">
        <f>SUMIFS(super1[Qtde],super1[Item],tab_alimentos[[#This Row],[Item]],super1[Bairro],mercado4)+SUMIFS(supercb[Qtde],supercb[Item],tab_alimentos[[#This Row],[Item]],supercb[Bairro],mercado4)</f>
        <v>0</v>
      </c>
      <c r="P349" s="64">
        <f>SUMIFS(super1[Qtde],super1[Item],tab_alimentos[[#This Row],[Item]],super1[Bairro],mercado5)+SUMIFS(supercb[Qtde],supercb[Item],tab_alimentos[[#This Row],[Item]],supercb[Bairro],mercado5)</f>
        <v>0</v>
      </c>
      <c r="Q349" s="64">
        <f>SUMIFS(super1[Qtde],super1[Item],tab_alimentos[[#This Row],[Item]],super1[Bairro],mercado6)+SUMIFS(supercb[Qtde],supercb[Item],tab_alimentos[[#This Row],[Item]],supercb[Bairro],mercado6)</f>
        <v>0</v>
      </c>
      <c r="R349" s="64">
        <f>SUMIFS(super1[Qtde],super1[Item],tab_alimentos[[#This Row],[Item]],super1[Bairro],mercado7)+SUMIFS(supercb[Qtde],supercb[Item],tab_alimentos[[#This Row],[Item]],supercb[Bairro],mercado7)</f>
        <v>0</v>
      </c>
      <c r="S349" s="64">
        <f>SUMIFS(super1[Qtde],super1[Item],tab_alimentos[[#This Row],[Item]],super1[Bairro],mercado8)+SUMIFS(supercb[Qtde],supercb[Item],tab_alimentos[[#This Row],[Item]],supercb[Bairro],mercado8)</f>
        <v>0</v>
      </c>
      <c r="T349" s="64">
        <f>SUMIFS(super1[Qtde],super1[Item],tab_alimentos[[#This Row],[Item]],super1[Bairro],mercado9)+SUMIFS(supercb[Qtde],supercb[Item],tab_alimentos[[#This Row],[Item]],supercb[Bairro],mercado9)</f>
        <v>0</v>
      </c>
      <c r="U349" s="64">
        <f>SUMIFS(super1[Qtde],super1[Item],tab_alimentos[[#This Row],[Item]],super1[Bairro],mercado10)+SUMIFS(supercb[Qtde],supercb[Item],tab_alimentos[[#This Row],[Item]],supercb[Bairro],mercado10)</f>
        <v>0</v>
      </c>
      <c r="V349" s="64">
        <f>SUMIFS(super1[Qtde],super1[Item],tab_alimentos[[#This Row],[Item]],super1[Bairro],mercado11)+SUMIFS(supercb[Qtde],supercb[Item],tab_alimentos[[#This Row],[Item]],supercb[Bairro],mercado11)</f>
        <v>0</v>
      </c>
      <c r="W349" s="64">
        <f>SUMIFS(super1[Qtde],super1[Item],tab_alimentos[[#This Row],[Item]],super1[Bairro],mercado12)+SUMIFS(supercb[Qtde],supercb[Item],tab_alimentos[[#This Row],[Item]],supercb[Bairro],mercado12)</f>
        <v>0</v>
      </c>
      <c r="X349" s="64">
        <f>SUMIFS(super1[Qtde],super1[Item],tab_alimentos[[#This Row],[Item]],super1[Bairro],mercado13)+SUMIFS(supercb[Qtde],supercb[Item],tab_alimentos[[#This Row],[Item]],supercb[Bairro],mercado13)</f>
        <v>0</v>
      </c>
      <c r="Y349" s="64">
        <f>SUMIFS(super1[Qtde],super1[Item],tab_alimentos[[#This Row],[Item]],super1[Bairro],mercado14)+SUMIFS(supercb[Qtde],supercb[Item],tab_alimentos[[#This Row],[Item]],supercb[Bairro],mercado14)</f>
        <v>0</v>
      </c>
      <c r="Z349" s="64">
        <f>SUMIFS(super1[Qtde],super1[Item],tab_alimentos[[#This Row],[Item]],super1[Bairro],mercado15)+SUMIFS(supercb[Qtde],supercb[Item],tab_alimentos[[#This Row],[Item]],supercb[Bairro],mercado15)</f>
        <v>0</v>
      </c>
      <c r="AA349" s="64">
        <f>SUMIFS(super1[Qtde],super1[Item],tab_alimentos[[#This Row],[Item]],super1[Bairro],mercado16)+SUMIFS(supercb[Qtde],supercb[Item],tab_alimentos[[#This Row],[Item]],supercb[Bairro],mercado16)</f>
        <v>0</v>
      </c>
      <c r="AB349" s="64">
        <f>SUMIFS(super1[Qtde],super1[Item],tab_alimentos[[#This Row],[Item]],super1[Bairro],mercado17)+SUMIFS(supercb[Qtde],supercb[Item],tab_alimentos[[#This Row],[Item]],supercb[Bairro],mercado17)</f>
        <v>0</v>
      </c>
      <c r="AC349" s="64">
        <f>SUMIFS(super1[Qtde],super1[Item],tab_alimentos[[#This Row],[Item]],super1[Bairro],mercado18)+SUMIFS(supercb[Qtde],supercb[Item],tab_alimentos[[#This Row],[Item]],supercb[Bairro],mercado18)</f>
        <v>0</v>
      </c>
      <c r="AD349" s="64">
        <f>SUMIFS(super1[Qtde],super1[Item],tab_alimentos[[#This Row],[Item]],super1[Bairro],extras)+SUMIFS(supercb[Qtde],supercb[Item],tab_alimentos[[#This Row],[Item]],supercb[Bairro],extras)</f>
        <v>0</v>
      </c>
      <c r="AE349" s="61">
        <f t="shared" si="94"/>
        <v>0</v>
      </c>
      <c r="AF349" s="61">
        <f t="shared" si="95"/>
        <v>0</v>
      </c>
      <c r="AG349" s="62">
        <f t="shared" si="96"/>
        <v>0</v>
      </c>
    </row>
    <row r="350" spans="9:33" x14ac:dyDescent="0.25">
      <c r="I350" s="65" t="e">
        <f>alimentos[[#This Row],[Item]]</f>
        <v>#VALUE!</v>
      </c>
      <c r="J350" s="61">
        <f>IFERROR(alimentos[[#This Row],[kg/embalagem]],0)</f>
        <v>0</v>
      </c>
      <c r="K350" s="64">
        <f>IFERROR(alimentos[[#This Row],[Preço]],0)</f>
        <v>0</v>
      </c>
      <c r="L350" s="64">
        <f>SUMIFS(super1[Qtde],super1[Item],tab_alimentos[[#This Row],[Item]],super1[Bairro],mercado1)+SUMIFS(supercb[Qtde],supercb[Item],tab_alimentos[[#This Row],[Item]],supercb[Bairro],mercado1)</f>
        <v>0</v>
      </c>
      <c r="M350" s="64">
        <f>SUMIFS(super1[Qtde],super1[Item],tab_alimentos[[#This Row],[Item]],super1[Bairro],mercado2)+SUMIFS(supercb[Qtde],supercb[Item],tab_alimentos[[#This Row],[Item]],supercb[Bairro],mercado2)</f>
        <v>0</v>
      </c>
      <c r="N350" s="61">
        <f>SUMIFS(super1[Qtde],super1[Item],tab_alimentos[[#This Row],[Item]],super1[Bairro],mercado3)+SUMIFS(supercb[Qtde],supercb[Item],tab_alimentos[[#This Row],[Item]],supercb[Bairro],mercado3)</f>
        <v>0</v>
      </c>
      <c r="O350" s="64">
        <f>SUMIFS(super1[Qtde],super1[Item],tab_alimentos[[#This Row],[Item]],super1[Bairro],mercado4)+SUMIFS(supercb[Qtde],supercb[Item],tab_alimentos[[#This Row],[Item]],supercb[Bairro],mercado4)</f>
        <v>0</v>
      </c>
      <c r="P350" s="64">
        <f>SUMIFS(super1[Qtde],super1[Item],tab_alimentos[[#This Row],[Item]],super1[Bairro],mercado5)+SUMIFS(supercb[Qtde],supercb[Item],tab_alimentos[[#This Row],[Item]],supercb[Bairro],mercado5)</f>
        <v>0</v>
      </c>
      <c r="Q350" s="64">
        <f>SUMIFS(super1[Qtde],super1[Item],tab_alimentos[[#This Row],[Item]],super1[Bairro],mercado6)+SUMIFS(supercb[Qtde],supercb[Item],tab_alimentos[[#This Row],[Item]],supercb[Bairro],mercado6)</f>
        <v>0</v>
      </c>
      <c r="R350" s="64">
        <f>SUMIFS(super1[Qtde],super1[Item],tab_alimentos[[#This Row],[Item]],super1[Bairro],mercado7)+SUMIFS(supercb[Qtde],supercb[Item],tab_alimentos[[#This Row],[Item]],supercb[Bairro],mercado7)</f>
        <v>0</v>
      </c>
      <c r="S350" s="64">
        <f>SUMIFS(super1[Qtde],super1[Item],tab_alimentos[[#This Row],[Item]],super1[Bairro],mercado8)+SUMIFS(supercb[Qtde],supercb[Item],tab_alimentos[[#This Row],[Item]],supercb[Bairro],mercado8)</f>
        <v>0</v>
      </c>
      <c r="T350" s="64">
        <f>SUMIFS(super1[Qtde],super1[Item],tab_alimentos[[#This Row],[Item]],super1[Bairro],mercado9)+SUMIFS(supercb[Qtde],supercb[Item],tab_alimentos[[#This Row],[Item]],supercb[Bairro],mercado9)</f>
        <v>0</v>
      </c>
      <c r="U350" s="64">
        <f>SUMIFS(super1[Qtde],super1[Item],tab_alimentos[[#This Row],[Item]],super1[Bairro],mercado10)+SUMIFS(supercb[Qtde],supercb[Item],tab_alimentos[[#This Row],[Item]],supercb[Bairro],mercado10)</f>
        <v>0</v>
      </c>
      <c r="V350" s="64">
        <f>SUMIFS(super1[Qtde],super1[Item],tab_alimentos[[#This Row],[Item]],super1[Bairro],mercado11)+SUMIFS(supercb[Qtde],supercb[Item],tab_alimentos[[#This Row],[Item]],supercb[Bairro],mercado11)</f>
        <v>0</v>
      </c>
      <c r="W350" s="64">
        <f>SUMIFS(super1[Qtde],super1[Item],tab_alimentos[[#This Row],[Item]],super1[Bairro],mercado12)+SUMIFS(supercb[Qtde],supercb[Item],tab_alimentos[[#This Row],[Item]],supercb[Bairro],mercado12)</f>
        <v>0</v>
      </c>
      <c r="X350" s="64">
        <f>SUMIFS(super1[Qtde],super1[Item],tab_alimentos[[#This Row],[Item]],super1[Bairro],mercado13)+SUMIFS(supercb[Qtde],supercb[Item],tab_alimentos[[#This Row],[Item]],supercb[Bairro],mercado13)</f>
        <v>0</v>
      </c>
      <c r="Y350" s="64">
        <f>SUMIFS(super1[Qtde],super1[Item],tab_alimentos[[#This Row],[Item]],super1[Bairro],mercado14)+SUMIFS(supercb[Qtde],supercb[Item],tab_alimentos[[#This Row],[Item]],supercb[Bairro],mercado14)</f>
        <v>0</v>
      </c>
      <c r="Z350" s="64">
        <f>SUMIFS(super1[Qtde],super1[Item],tab_alimentos[[#This Row],[Item]],super1[Bairro],mercado15)+SUMIFS(supercb[Qtde],supercb[Item],tab_alimentos[[#This Row],[Item]],supercb[Bairro],mercado15)</f>
        <v>0</v>
      </c>
      <c r="AA350" s="64">
        <f>SUMIFS(super1[Qtde],super1[Item],tab_alimentos[[#This Row],[Item]],super1[Bairro],mercado16)+SUMIFS(supercb[Qtde],supercb[Item],tab_alimentos[[#This Row],[Item]],supercb[Bairro],mercado16)</f>
        <v>0</v>
      </c>
      <c r="AB350" s="64">
        <f>SUMIFS(super1[Qtde],super1[Item],tab_alimentos[[#This Row],[Item]],super1[Bairro],mercado17)+SUMIFS(supercb[Qtde],supercb[Item],tab_alimentos[[#This Row],[Item]],supercb[Bairro],mercado17)</f>
        <v>0</v>
      </c>
      <c r="AC350" s="64">
        <f>SUMIFS(super1[Qtde],super1[Item],tab_alimentos[[#This Row],[Item]],super1[Bairro],mercado18)+SUMIFS(supercb[Qtde],supercb[Item],tab_alimentos[[#This Row],[Item]],supercb[Bairro],mercado18)</f>
        <v>0</v>
      </c>
      <c r="AD350" s="64">
        <f>SUMIFS(super1[Qtde],super1[Item],tab_alimentos[[#This Row],[Item]],super1[Bairro],extras)+SUMIFS(supercb[Qtde],supercb[Item],tab_alimentos[[#This Row],[Item]],supercb[Bairro],extras)</f>
        <v>0</v>
      </c>
      <c r="AE350" s="61">
        <f t="shared" si="94"/>
        <v>0</v>
      </c>
      <c r="AF350" s="61">
        <f t="shared" si="95"/>
        <v>0</v>
      </c>
      <c r="AG350" s="62">
        <f t="shared" si="96"/>
        <v>0</v>
      </c>
    </row>
    <row r="351" spans="9:33" x14ac:dyDescent="0.25">
      <c r="I351" s="65" t="e">
        <f>alimentos[[#This Row],[Item]]</f>
        <v>#VALUE!</v>
      </c>
      <c r="J351" s="61">
        <f>IFERROR(alimentos[[#This Row],[kg/embalagem]],0)</f>
        <v>0</v>
      </c>
      <c r="K351" s="64">
        <f>IFERROR(alimentos[[#This Row],[Preço]],0)</f>
        <v>0</v>
      </c>
      <c r="L351" s="64">
        <f>SUMIFS(super1[Qtde],super1[Item],tab_alimentos[[#This Row],[Item]],super1[Bairro],mercado1)+SUMIFS(supercb[Qtde],supercb[Item],tab_alimentos[[#This Row],[Item]],supercb[Bairro],mercado1)</f>
        <v>0</v>
      </c>
      <c r="M351" s="64">
        <f>SUMIFS(super1[Qtde],super1[Item],tab_alimentos[[#This Row],[Item]],super1[Bairro],mercado2)+SUMIFS(supercb[Qtde],supercb[Item],tab_alimentos[[#This Row],[Item]],supercb[Bairro],mercado2)</f>
        <v>0</v>
      </c>
      <c r="N351" s="61">
        <f>SUMIFS(super1[Qtde],super1[Item],tab_alimentos[[#This Row],[Item]],super1[Bairro],mercado3)+SUMIFS(supercb[Qtde],supercb[Item],tab_alimentos[[#This Row],[Item]],supercb[Bairro],mercado3)</f>
        <v>0</v>
      </c>
      <c r="O351" s="64">
        <f>SUMIFS(super1[Qtde],super1[Item],tab_alimentos[[#This Row],[Item]],super1[Bairro],mercado4)+SUMIFS(supercb[Qtde],supercb[Item],tab_alimentos[[#This Row],[Item]],supercb[Bairro],mercado4)</f>
        <v>0</v>
      </c>
      <c r="P351" s="64">
        <f>SUMIFS(super1[Qtde],super1[Item],tab_alimentos[[#This Row],[Item]],super1[Bairro],mercado5)+SUMIFS(supercb[Qtde],supercb[Item],tab_alimentos[[#This Row],[Item]],supercb[Bairro],mercado5)</f>
        <v>0</v>
      </c>
      <c r="Q351" s="64">
        <f>SUMIFS(super1[Qtde],super1[Item],tab_alimentos[[#This Row],[Item]],super1[Bairro],mercado6)+SUMIFS(supercb[Qtde],supercb[Item],tab_alimentos[[#This Row],[Item]],supercb[Bairro],mercado6)</f>
        <v>0</v>
      </c>
      <c r="R351" s="64">
        <f>SUMIFS(super1[Qtde],super1[Item],tab_alimentos[[#This Row],[Item]],super1[Bairro],mercado7)+SUMIFS(supercb[Qtde],supercb[Item],tab_alimentos[[#This Row],[Item]],supercb[Bairro],mercado7)</f>
        <v>0</v>
      </c>
      <c r="S351" s="64">
        <f>SUMIFS(super1[Qtde],super1[Item],tab_alimentos[[#This Row],[Item]],super1[Bairro],mercado8)+SUMIFS(supercb[Qtde],supercb[Item],tab_alimentos[[#This Row],[Item]],supercb[Bairro],mercado8)</f>
        <v>0</v>
      </c>
      <c r="T351" s="64">
        <f>SUMIFS(super1[Qtde],super1[Item],tab_alimentos[[#This Row],[Item]],super1[Bairro],mercado9)+SUMIFS(supercb[Qtde],supercb[Item],tab_alimentos[[#This Row],[Item]],supercb[Bairro],mercado9)</f>
        <v>0</v>
      </c>
      <c r="U351" s="64">
        <f>SUMIFS(super1[Qtde],super1[Item],tab_alimentos[[#This Row],[Item]],super1[Bairro],mercado10)+SUMIFS(supercb[Qtde],supercb[Item],tab_alimentos[[#This Row],[Item]],supercb[Bairro],mercado10)</f>
        <v>0</v>
      </c>
      <c r="V351" s="64">
        <f>SUMIFS(super1[Qtde],super1[Item],tab_alimentos[[#This Row],[Item]],super1[Bairro],mercado11)+SUMIFS(supercb[Qtde],supercb[Item],tab_alimentos[[#This Row],[Item]],supercb[Bairro],mercado11)</f>
        <v>0</v>
      </c>
      <c r="W351" s="64">
        <f>SUMIFS(super1[Qtde],super1[Item],tab_alimentos[[#This Row],[Item]],super1[Bairro],mercado12)+SUMIFS(supercb[Qtde],supercb[Item],tab_alimentos[[#This Row],[Item]],supercb[Bairro],mercado12)</f>
        <v>0</v>
      </c>
      <c r="X351" s="64">
        <f>SUMIFS(super1[Qtde],super1[Item],tab_alimentos[[#This Row],[Item]],super1[Bairro],mercado13)+SUMIFS(supercb[Qtde],supercb[Item],tab_alimentos[[#This Row],[Item]],supercb[Bairro],mercado13)</f>
        <v>0</v>
      </c>
      <c r="Y351" s="64">
        <f>SUMIFS(super1[Qtde],super1[Item],tab_alimentos[[#This Row],[Item]],super1[Bairro],mercado14)+SUMIFS(supercb[Qtde],supercb[Item],tab_alimentos[[#This Row],[Item]],supercb[Bairro],mercado14)</f>
        <v>0</v>
      </c>
      <c r="Z351" s="64">
        <f>SUMIFS(super1[Qtde],super1[Item],tab_alimentos[[#This Row],[Item]],super1[Bairro],mercado15)+SUMIFS(supercb[Qtde],supercb[Item],tab_alimentos[[#This Row],[Item]],supercb[Bairro],mercado15)</f>
        <v>0</v>
      </c>
      <c r="AA351" s="64">
        <f>SUMIFS(super1[Qtde],super1[Item],tab_alimentos[[#This Row],[Item]],super1[Bairro],mercado16)+SUMIFS(supercb[Qtde],supercb[Item],tab_alimentos[[#This Row],[Item]],supercb[Bairro],mercado16)</f>
        <v>0</v>
      </c>
      <c r="AB351" s="64">
        <f>SUMIFS(super1[Qtde],super1[Item],tab_alimentos[[#This Row],[Item]],super1[Bairro],mercado17)+SUMIFS(supercb[Qtde],supercb[Item],tab_alimentos[[#This Row],[Item]],supercb[Bairro],mercado17)</f>
        <v>0</v>
      </c>
      <c r="AC351" s="64">
        <f>SUMIFS(super1[Qtde],super1[Item],tab_alimentos[[#This Row],[Item]],super1[Bairro],mercado18)+SUMIFS(supercb[Qtde],supercb[Item],tab_alimentos[[#This Row],[Item]],supercb[Bairro],mercado18)</f>
        <v>0</v>
      </c>
      <c r="AD351" s="64">
        <f>SUMIFS(super1[Qtde],super1[Item],tab_alimentos[[#This Row],[Item]],super1[Bairro],extras)+SUMIFS(supercb[Qtde],supercb[Item],tab_alimentos[[#This Row],[Item]],supercb[Bairro],extras)</f>
        <v>0</v>
      </c>
      <c r="AE351" s="61">
        <f t="shared" si="94"/>
        <v>0</v>
      </c>
      <c r="AF351" s="61">
        <f t="shared" si="95"/>
        <v>0</v>
      </c>
      <c r="AG351" s="62">
        <f t="shared" si="96"/>
        <v>0</v>
      </c>
    </row>
    <row r="352" spans="9:33" x14ac:dyDescent="0.25">
      <c r="I352" s="65" t="e">
        <f>alimentos[[#This Row],[Item]]</f>
        <v>#VALUE!</v>
      </c>
      <c r="J352" s="61">
        <f>IFERROR(alimentos[[#This Row],[kg/embalagem]],0)</f>
        <v>0</v>
      </c>
      <c r="K352" s="64">
        <f>IFERROR(alimentos[[#This Row],[Preço]],0)</f>
        <v>0</v>
      </c>
      <c r="L352" s="64">
        <f>SUMIFS(super1[Qtde],super1[Item],tab_alimentos[[#This Row],[Item]],super1[Bairro],mercado1)+SUMIFS(supercb[Qtde],supercb[Item],tab_alimentos[[#This Row],[Item]],supercb[Bairro],mercado1)</f>
        <v>0</v>
      </c>
      <c r="M352" s="64">
        <f>SUMIFS(super1[Qtde],super1[Item],tab_alimentos[[#This Row],[Item]],super1[Bairro],mercado2)+SUMIFS(supercb[Qtde],supercb[Item],tab_alimentos[[#This Row],[Item]],supercb[Bairro],mercado2)</f>
        <v>0</v>
      </c>
      <c r="N352" s="61">
        <f>SUMIFS(super1[Qtde],super1[Item],tab_alimentos[[#This Row],[Item]],super1[Bairro],mercado3)+SUMIFS(supercb[Qtde],supercb[Item],tab_alimentos[[#This Row],[Item]],supercb[Bairro],mercado3)</f>
        <v>0</v>
      </c>
      <c r="O352" s="64">
        <f>SUMIFS(super1[Qtde],super1[Item],tab_alimentos[[#This Row],[Item]],super1[Bairro],mercado4)+SUMIFS(supercb[Qtde],supercb[Item],tab_alimentos[[#This Row],[Item]],supercb[Bairro],mercado4)</f>
        <v>0</v>
      </c>
      <c r="P352" s="64">
        <f>SUMIFS(super1[Qtde],super1[Item],tab_alimentos[[#This Row],[Item]],super1[Bairro],mercado5)+SUMIFS(supercb[Qtde],supercb[Item],tab_alimentos[[#This Row],[Item]],supercb[Bairro],mercado5)</f>
        <v>0</v>
      </c>
      <c r="Q352" s="64">
        <f>SUMIFS(super1[Qtde],super1[Item],tab_alimentos[[#This Row],[Item]],super1[Bairro],mercado6)+SUMIFS(supercb[Qtde],supercb[Item],tab_alimentos[[#This Row],[Item]],supercb[Bairro],mercado6)</f>
        <v>0</v>
      </c>
      <c r="R352" s="64">
        <f>SUMIFS(super1[Qtde],super1[Item],tab_alimentos[[#This Row],[Item]],super1[Bairro],mercado7)+SUMIFS(supercb[Qtde],supercb[Item],tab_alimentos[[#This Row],[Item]],supercb[Bairro],mercado7)</f>
        <v>0</v>
      </c>
      <c r="S352" s="64">
        <f>SUMIFS(super1[Qtde],super1[Item],tab_alimentos[[#This Row],[Item]],super1[Bairro],mercado8)+SUMIFS(supercb[Qtde],supercb[Item],tab_alimentos[[#This Row],[Item]],supercb[Bairro],mercado8)</f>
        <v>0</v>
      </c>
      <c r="T352" s="64">
        <f>SUMIFS(super1[Qtde],super1[Item],tab_alimentos[[#This Row],[Item]],super1[Bairro],mercado9)+SUMIFS(supercb[Qtde],supercb[Item],tab_alimentos[[#This Row],[Item]],supercb[Bairro],mercado9)</f>
        <v>0</v>
      </c>
      <c r="U352" s="64">
        <f>SUMIFS(super1[Qtde],super1[Item],tab_alimentos[[#This Row],[Item]],super1[Bairro],mercado10)+SUMIFS(supercb[Qtde],supercb[Item],tab_alimentos[[#This Row],[Item]],supercb[Bairro],mercado10)</f>
        <v>0</v>
      </c>
      <c r="V352" s="64">
        <f>SUMIFS(super1[Qtde],super1[Item],tab_alimentos[[#This Row],[Item]],super1[Bairro],mercado11)+SUMIFS(supercb[Qtde],supercb[Item],tab_alimentos[[#This Row],[Item]],supercb[Bairro],mercado11)</f>
        <v>0</v>
      </c>
      <c r="W352" s="64">
        <f>SUMIFS(super1[Qtde],super1[Item],tab_alimentos[[#This Row],[Item]],super1[Bairro],mercado12)+SUMIFS(supercb[Qtde],supercb[Item],tab_alimentos[[#This Row],[Item]],supercb[Bairro],mercado12)</f>
        <v>0</v>
      </c>
      <c r="X352" s="64">
        <f>SUMIFS(super1[Qtde],super1[Item],tab_alimentos[[#This Row],[Item]],super1[Bairro],mercado13)+SUMIFS(supercb[Qtde],supercb[Item],tab_alimentos[[#This Row],[Item]],supercb[Bairro],mercado13)</f>
        <v>0</v>
      </c>
      <c r="Y352" s="64">
        <f>SUMIFS(super1[Qtde],super1[Item],tab_alimentos[[#This Row],[Item]],super1[Bairro],mercado14)+SUMIFS(supercb[Qtde],supercb[Item],tab_alimentos[[#This Row],[Item]],supercb[Bairro],mercado14)</f>
        <v>0</v>
      </c>
      <c r="Z352" s="64">
        <f>SUMIFS(super1[Qtde],super1[Item],tab_alimentos[[#This Row],[Item]],super1[Bairro],mercado15)+SUMIFS(supercb[Qtde],supercb[Item],tab_alimentos[[#This Row],[Item]],supercb[Bairro],mercado15)</f>
        <v>0</v>
      </c>
      <c r="AA352" s="64">
        <f>SUMIFS(super1[Qtde],super1[Item],tab_alimentos[[#This Row],[Item]],super1[Bairro],mercado16)+SUMIFS(supercb[Qtde],supercb[Item],tab_alimentos[[#This Row],[Item]],supercb[Bairro],mercado16)</f>
        <v>0</v>
      </c>
      <c r="AB352" s="64">
        <f>SUMIFS(super1[Qtde],super1[Item],tab_alimentos[[#This Row],[Item]],super1[Bairro],mercado17)+SUMIFS(supercb[Qtde],supercb[Item],tab_alimentos[[#This Row],[Item]],supercb[Bairro],mercado17)</f>
        <v>0</v>
      </c>
      <c r="AC352" s="64">
        <f>SUMIFS(super1[Qtde],super1[Item],tab_alimentos[[#This Row],[Item]],super1[Bairro],mercado18)+SUMIFS(supercb[Qtde],supercb[Item],tab_alimentos[[#This Row],[Item]],supercb[Bairro],mercado18)</f>
        <v>0</v>
      </c>
      <c r="AD352" s="64">
        <f>SUMIFS(super1[Qtde],super1[Item],tab_alimentos[[#This Row],[Item]],super1[Bairro],extras)+SUMIFS(supercb[Qtde],supercb[Item],tab_alimentos[[#This Row],[Item]],supercb[Bairro],extras)</f>
        <v>0</v>
      </c>
      <c r="AE352" s="61">
        <f t="shared" si="94"/>
        <v>0</v>
      </c>
      <c r="AF352" s="61">
        <f t="shared" si="95"/>
        <v>0</v>
      </c>
      <c r="AG352" s="62">
        <f t="shared" si="96"/>
        <v>0</v>
      </c>
    </row>
    <row r="353" spans="9:33" x14ac:dyDescent="0.25">
      <c r="I353" s="65" t="e">
        <f>alimentos[[#This Row],[Item]]</f>
        <v>#VALUE!</v>
      </c>
      <c r="J353" s="61">
        <f>IFERROR(alimentos[[#This Row],[kg/embalagem]],0)</f>
        <v>0</v>
      </c>
      <c r="K353" s="64">
        <f>IFERROR(alimentos[[#This Row],[Preço]],0)</f>
        <v>0</v>
      </c>
      <c r="L353" s="64">
        <f>SUMIFS(super1[Qtde],super1[Item],tab_alimentos[[#This Row],[Item]],super1[Bairro],mercado1)+SUMIFS(supercb[Qtde],supercb[Item],tab_alimentos[[#This Row],[Item]],supercb[Bairro],mercado1)</f>
        <v>0</v>
      </c>
      <c r="M353" s="64">
        <f>SUMIFS(super1[Qtde],super1[Item],tab_alimentos[[#This Row],[Item]],super1[Bairro],mercado2)+SUMIFS(supercb[Qtde],supercb[Item],tab_alimentos[[#This Row],[Item]],supercb[Bairro],mercado2)</f>
        <v>0</v>
      </c>
      <c r="N353" s="61">
        <f>SUMIFS(super1[Qtde],super1[Item],tab_alimentos[[#This Row],[Item]],super1[Bairro],mercado3)+SUMIFS(supercb[Qtde],supercb[Item],tab_alimentos[[#This Row],[Item]],supercb[Bairro],mercado3)</f>
        <v>0</v>
      </c>
      <c r="O353" s="64">
        <f>SUMIFS(super1[Qtde],super1[Item],tab_alimentos[[#This Row],[Item]],super1[Bairro],mercado4)+SUMIFS(supercb[Qtde],supercb[Item],tab_alimentos[[#This Row],[Item]],supercb[Bairro],mercado4)</f>
        <v>0</v>
      </c>
      <c r="P353" s="64">
        <f>SUMIFS(super1[Qtde],super1[Item],tab_alimentos[[#This Row],[Item]],super1[Bairro],mercado5)+SUMIFS(supercb[Qtde],supercb[Item],tab_alimentos[[#This Row],[Item]],supercb[Bairro],mercado5)</f>
        <v>0</v>
      </c>
      <c r="Q353" s="64">
        <f>SUMIFS(super1[Qtde],super1[Item],tab_alimentos[[#This Row],[Item]],super1[Bairro],mercado6)+SUMIFS(supercb[Qtde],supercb[Item],tab_alimentos[[#This Row],[Item]],supercb[Bairro],mercado6)</f>
        <v>0</v>
      </c>
      <c r="R353" s="64">
        <f>SUMIFS(super1[Qtde],super1[Item],tab_alimentos[[#This Row],[Item]],super1[Bairro],mercado7)+SUMIFS(supercb[Qtde],supercb[Item],tab_alimentos[[#This Row],[Item]],supercb[Bairro],mercado7)</f>
        <v>0</v>
      </c>
      <c r="S353" s="64">
        <f>SUMIFS(super1[Qtde],super1[Item],tab_alimentos[[#This Row],[Item]],super1[Bairro],mercado8)+SUMIFS(supercb[Qtde],supercb[Item],tab_alimentos[[#This Row],[Item]],supercb[Bairro],mercado8)</f>
        <v>0</v>
      </c>
      <c r="T353" s="64">
        <f>SUMIFS(super1[Qtde],super1[Item],tab_alimentos[[#This Row],[Item]],super1[Bairro],mercado9)+SUMIFS(supercb[Qtde],supercb[Item],tab_alimentos[[#This Row],[Item]],supercb[Bairro],mercado9)</f>
        <v>0</v>
      </c>
      <c r="U353" s="64">
        <f>SUMIFS(super1[Qtde],super1[Item],tab_alimentos[[#This Row],[Item]],super1[Bairro],mercado10)+SUMIFS(supercb[Qtde],supercb[Item],tab_alimentos[[#This Row],[Item]],supercb[Bairro],mercado10)</f>
        <v>0</v>
      </c>
      <c r="V353" s="64">
        <f>SUMIFS(super1[Qtde],super1[Item],tab_alimentos[[#This Row],[Item]],super1[Bairro],mercado11)+SUMIFS(supercb[Qtde],supercb[Item],tab_alimentos[[#This Row],[Item]],supercb[Bairro],mercado11)</f>
        <v>0</v>
      </c>
      <c r="W353" s="64">
        <f>SUMIFS(super1[Qtde],super1[Item],tab_alimentos[[#This Row],[Item]],super1[Bairro],mercado12)+SUMIFS(supercb[Qtde],supercb[Item],tab_alimentos[[#This Row],[Item]],supercb[Bairro],mercado12)</f>
        <v>0</v>
      </c>
      <c r="X353" s="64">
        <f>SUMIFS(super1[Qtde],super1[Item],tab_alimentos[[#This Row],[Item]],super1[Bairro],mercado13)+SUMIFS(supercb[Qtde],supercb[Item],tab_alimentos[[#This Row],[Item]],supercb[Bairro],mercado13)</f>
        <v>0</v>
      </c>
      <c r="Y353" s="64">
        <f>SUMIFS(super1[Qtde],super1[Item],tab_alimentos[[#This Row],[Item]],super1[Bairro],mercado14)+SUMIFS(supercb[Qtde],supercb[Item],tab_alimentos[[#This Row],[Item]],supercb[Bairro],mercado14)</f>
        <v>0</v>
      </c>
      <c r="Z353" s="64">
        <f>SUMIFS(super1[Qtde],super1[Item],tab_alimentos[[#This Row],[Item]],super1[Bairro],mercado15)+SUMIFS(supercb[Qtde],supercb[Item],tab_alimentos[[#This Row],[Item]],supercb[Bairro],mercado15)</f>
        <v>0</v>
      </c>
      <c r="AA353" s="64">
        <f>SUMIFS(super1[Qtde],super1[Item],tab_alimentos[[#This Row],[Item]],super1[Bairro],mercado16)+SUMIFS(supercb[Qtde],supercb[Item],tab_alimentos[[#This Row],[Item]],supercb[Bairro],mercado16)</f>
        <v>0</v>
      </c>
      <c r="AB353" s="64">
        <f>SUMIFS(super1[Qtde],super1[Item],tab_alimentos[[#This Row],[Item]],super1[Bairro],mercado17)+SUMIFS(supercb[Qtde],supercb[Item],tab_alimentos[[#This Row],[Item]],supercb[Bairro],mercado17)</f>
        <v>0</v>
      </c>
      <c r="AC353" s="64">
        <f>SUMIFS(super1[Qtde],super1[Item],tab_alimentos[[#This Row],[Item]],super1[Bairro],mercado18)+SUMIFS(supercb[Qtde],supercb[Item],tab_alimentos[[#This Row],[Item]],supercb[Bairro],mercado18)</f>
        <v>0</v>
      </c>
      <c r="AD353" s="64">
        <f>SUMIFS(super1[Qtde],super1[Item],tab_alimentos[[#This Row],[Item]],super1[Bairro],extras)+SUMIFS(supercb[Qtde],supercb[Item],tab_alimentos[[#This Row],[Item]],supercb[Bairro],extras)</f>
        <v>0</v>
      </c>
      <c r="AE353" s="61">
        <f t="shared" si="94"/>
        <v>0</v>
      </c>
      <c r="AF353" s="61">
        <f t="shared" si="95"/>
        <v>0</v>
      </c>
      <c r="AG353" s="62">
        <f t="shared" si="96"/>
        <v>0</v>
      </c>
    </row>
    <row r="354" spans="9:33" x14ac:dyDescent="0.25">
      <c r="I354" s="65" t="e">
        <f>alimentos[[#This Row],[Item]]</f>
        <v>#VALUE!</v>
      </c>
      <c r="J354" s="61">
        <f>IFERROR(alimentos[[#This Row],[kg/embalagem]],0)</f>
        <v>0</v>
      </c>
      <c r="K354" s="64">
        <f>IFERROR(alimentos[[#This Row],[Preço]],0)</f>
        <v>0</v>
      </c>
      <c r="L354" s="64">
        <f>SUMIFS(super1[Qtde],super1[Item],tab_alimentos[[#This Row],[Item]],super1[Bairro],mercado1)+SUMIFS(supercb[Qtde],supercb[Item],tab_alimentos[[#This Row],[Item]],supercb[Bairro],mercado1)</f>
        <v>0</v>
      </c>
      <c r="M354" s="64">
        <f>SUMIFS(super1[Qtde],super1[Item],tab_alimentos[[#This Row],[Item]],super1[Bairro],mercado2)+SUMIFS(supercb[Qtde],supercb[Item],tab_alimentos[[#This Row],[Item]],supercb[Bairro],mercado2)</f>
        <v>0</v>
      </c>
      <c r="N354" s="61">
        <f>SUMIFS(super1[Qtde],super1[Item],tab_alimentos[[#This Row],[Item]],super1[Bairro],mercado3)+SUMIFS(supercb[Qtde],supercb[Item],tab_alimentos[[#This Row],[Item]],supercb[Bairro],mercado3)</f>
        <v>0</v>
      </c>
      <c r="O354" s="64">
        <f>SUMIFS(super1[Qtde],super1[Item],tab_alimentos[[#This Row],[Item]],super1[Bairro],mercado4)+SUMIFS(supercb[Qtde],supercb[Item],tab_alimentos[[#This Row],[Item]],supercb[Bairro],mercado4)</f>
        <v>0</v>
      </c>
      <c r="P354" s="64">
        <f>SUMIFS(super1[Qtde],super1[Item],tab_alimentos[[#This Row],[Item]],super1[Bairro],mercado5)+SUMIFS(supercb[Qtde],supercb[Item],tab_alimentos[[#This Row],[Item]],supercb[Bairro],mercado5)</f>
        <v>0</v>
      </c>
      <c r="Q354" s="64">
        <f>SUMIFS(super1[Qtde],super1[Item],tab_alimentos[[#This Row],[Item]],super1[Bairro],mercado6)+SUMIFS(supercb[Qtde],supercb[Item],tab_alimentos[[#This Row],[Item]],supercb[Bairro],mercado6)</f>
        <v>0</v>
      </c>
      <c r="R354" s="64">
        <f>SUMIFS(super1[Qtde],super1[Item],tab_alimentos[[#This Row],[Item]],super1[Bairro],mercado7)+SUMIFS(supercb[Qtde],supercb[Item],tab_alimentos[[#This Row],[Item]],supercb[Bairro],mercado7)</f>
        <v>0</v>
      </c>
      <c r="S354" s="64">
        <f>SUMIFS(super1[Qtde],super1[Item],tab_alimentos[[#This Row],[Item]],super1[Bairro],mercado8)+SUMIFS(supercb[Qtde],supercb[Item],tab_alimentos[[#This Row],[Item]],supercb[Bairro],mercado8)</f>
        <v>0</v>
      </c>
      <c r="T354" s="64">
        <f>SUMIFS(super1[Qtde],super1[Item],tab_alimentos[[#This Row],[Item]],super1[Bairro],mercado9)+SUMIFS(supercb[Qtde],supercb[Item],tab_alimentos[[#This Row],[Item]],supercb[Bairro],mercado9)</f>
        <v>0</v>
      </c>
      <c r="U354" s="64">
        <f>SUMIFS(super1[Qtde],super1[Item],tab_alimentos[[#This Row],[Item]],super1[Bairro],mercado10)+SUMIFS(supercb[Qtde],supercb[Item],tab_alimentos[[#This Row],[Item]],supercb[Bairro],mercado10)</f>
        <v>0</v>
      </c>
      <c r="V354" s="64">
        <f>SUMIFS(super1[Qtde],super1[Item],tab_alimentos[[#This Row],[Item]],super1[Bairro],mercado11)+SUMIFS(supercb[Qtde],supercb[Item],tab_alimentos[[#This Row],[Item]],supercb[Bairro],mercado11)</f>
        <v>0</v>
      </c>
      <c r="W354" s="64">
        <f>SUMIFS(super1[Qtde],super1[Item],tab_alimentos[[#This Row],[Item]],super1[Bairro],mercado12)+SUMIFS(supercb[Qtde],supercb[Item],tab_alimentos[[#This Row],[Item]],supercb[Bairro],mercado12)</f>
        <v>0</v>
      </c>
      <c r="X354" s="64">
        <f>SUMIFS(super1[Qtde],super1[Item],tab_alimentos[[#This Row],[Item]],super1[Bairro],mercado13)+SUMIFS(supercb[Qtde],supercb[Item],tab_alimentos[[#This Row],[Item]],supercb[Bairro],mercado13)</f>
        <v>0</v>
      </c>
      <c r="Y354" s="64">
        <f>SUMIFS(super1[Qtde],super1[Item],tab_alimentos[[#This Row],[Item]],super1[Bairro],mercado14)+SUMIFS(supercb[Qtde],supercb[Item],tab_alimentos[[#This Row],[Item]],supercb[Bairro],mercado14)</f>
        <v>0</v>
      </c>
      <c r="Z354" s="64">
        <f>SUMIFS(super1[Qtde],super1[Item],tab_alimentos[[#This Row],[Item]],super1[Bairro],mercado15)+SUMIFS(supercb[Qtde],supercb[Item],tab_alimentos[[#This Row],[Item]],supercb[Bairro],mercado15)</f>
        <v>0</v>
      </c>
      <c r="AA354" s="64">
        <f>SUMIFS(super1[Qtde],super1[Item],tab_alimentos[[#This Row],[Item]],super1[Bairro],mercado16)+SUMIFS(supercb[Qtde],supercb[Item],tab_alimentos[[#This Row],[Item]],supercb[Bairro],mercado16)</f>
        <v>0</v>
      </c>
      <c r="AB354" s="64">
        <f>SUMIFS(super1[Qtde],super1[Item],tab_alimentos[[#This Row],[Item]],super1[Bairro],mercado17)+SUMIFS(supercb[Qtde],supercb[Item],tab_alimentos[[#This Row],[Item]],supercb[Bairro],mercado17)</f>
        <v>0</v>
      </c>
      <c r="AC354" s="64">
        <f>SUMIFS(super1[Qtde],super1[Item],tab_alimentos[[#This Row],[Item]],super1[Bairro],mercado18)+SUMIFS(supercb[Qtde],supercb[Item],tab_alimentos[[#This Row],[Item]],supercb[Bairro],mercado18)</f>
        <v>0</v>
      </c>
      <c r="AD354" s="64">
        <f>SUMIFS(super1[Qtde],super1[Item],tab_alimentos[[#This Row],[Item]],super1[Bairro],extras)+SUMIFS(supercb[Qtde],supercb[Item],tab_alimentos[[#This Row],[Item]],supercb[Bairro],extras)</f>
        <v>0</v>
      </c>
      <c r="AE354" s="61">
        <f t="shared" si="94"/>
        <v>0</v>
      </c>
      <c r="AF354" s="61">
        <f t="shared" si="95"/>
        <v>0</v>
      </c>
      <c r="AG354" s="62">
        <f t="shared" si="96"/>
        <v>0</v>
      </c>
    </row>
    <row r="355" spans="9:33" x14ac:dyDescent="0.25">
      <c r="I355" s="65" t="e">
        <f>alimentos[[#This Row],[Item]]</f>
        <v>#VALUE!</v>
      </c>
      <c r="J355" s="61">
        <f>IFERROR(alimentos[[#This Row],[kg/embalagem]],0)</f>
        <v>0</v>
      </c>
      <c r="K355" s="64">
        <f>IFERROR(alimentos[[#This Row],[Preço]],0)</f>
        <v>0</v>
      </c>
      <c r="L355" s="64">
        <f>SUMIFS(super1[Qtde],super1[Item],tab_alimentos[[#This Row],[Item]],super1[Bairro],mercado1)+SUMIFS(supercb[Qtde],supercb[Item],tab_alimentos[[#This Row],[Item]],supercb[Bairro],mercado1)</f>
        <v>0</v>
      </c>
      <c r="M355" s="64">
        <f>SUMIFS(super1[Qtde],super1[Item],tab_alimentos[[#This Row],[Item]],super1[Bairro],mercado2)+SUMIFS(supercb[Qtde],supercb[Item],tab_alimentos[[#This Row],[Item]],supercb[Bairro],mercado2)</f>
        <v>0</v>
      </c>
      <c r="N355" s="61">
        <f>SUMIFS(super1[Qtde],super1[Item],tab_alimentos[[#This Row],[Item]],super1[Bairro],mercado3)+SUMIFS(supercb[Qtde],supercb[Item],tab_alimentos[[#This Row],[Item]],supercb[Bairro],mercado3)</f>
        <v>0</v>
      </c>
      <c r="O355" s="64">
        <f>SUMIFS(super1[Qtde],super1[Item],tab_alimentos[[#This Row],[Item]],super1[Bairro],mercado4)+SUMIFS(supercb[Qtde],supercb[Item],tab_alimentos[[#This Row],[Item]],supercb[Bairro],mercado4)</f>
        <v>0</v>
      </c>
      <c r="P355" s="64">
        <f>SUMIFS(super1[Qtde],super1[Item],tab_alimentos[[#This Row],[Item]],super1[Bairro],mercado5)+SUMIFS(supercb[Qtde],supercb[Item],tab_alimentos[[#This Row],[Item]],supercb[Bairro],mercado5)</f>
        <v>0</v>
      </c>
      <c r="Q355" s="64">
        <f>SUMIFS(super1[Qtde],super1[Item],tab_alimentos[[#This Row],[Item]],super1[Bairro],mercado6)+SUMIFS(supercb[Qtde],supercb[Item],tab_alimentos[[#This Row],[Item]],supercb[Bairro],mercado6)</f>
        <v>0</v>
      </c>
      <c r="R355" s="64">
        <f>SUMIFS(super1[Qtde],super1[Item],tab_alimentos[[#This Row],[Item]],super1[Bairro],mercado7)+SUMIFS(supercb[Qtde],supercb[Item],tab_alimentos[[#This Row],[Item]],supercb[Bairro],mercado7)</f>
        <v>0</v>
      </c>
      <c r="S355" s="64">
        <f>SUMIFS(super1[Qtde],super1[Item],tab_alimentos[[#This Row],[Item]],super1[Bairro],mercado8)+SUMIFS(supercb[Qtde],supercb[Item],tab_alimentos[[#This Row],[Item]],supercb[Bairro],mercado8)</f>
        <v>0</v>
      </c>
      <c r="T355" s="64">
        <f>SUMIFS(super1[Qtde],super1[Item],tab_alimentos[[#This Row],[Item]],super1[Bairro],mercado9)+SUMIFS(supercb[Qtde],supercb[Item],tab_alimentos[[#This Row],[Item]],supercb[Bairro],mercado9)</f>
        <v>0</v>
      </c>
      <c r="U355" s="64">
        <f>SUMIFS(super1[Qtde],super1[Item],tab_alimentos[[#This Row],[Item]],super1[Bairro],mercado10)+SUMIFS(supercb[Qtde],supercb[Item],tab_alimentos[[#This Row],[Item]],supercb[Bairro],mercado10)</f>
        <v>0</v>
      </c>
      <c r="V355" s="64">
        <f>SUMIFS(super1[Qtde],super1[Item],tab_alimentos[[#This Row],[Item]],super1[Bairro],mercado11)+SUMIFS(supercb[Qtde],supercb[Item],tab_alimentos[[#This Row],[Item]],supercb[Bairro],mercado11)</f>
        <v>0</v>
      </c>
      <c r="W355" s="64">
        <f>SUMIFS(super1[Qtde],super1[Item],tab_alimentos[[#This Row],[Item]],super1[Bairro],mercado12)+SUMIFS(supercb[Qtde],supercb[Item],tab_alimentos[[#This Row],[Item]],supercb[Bairro],mercado12)</f>
        <v>0</v>
      </c>
      <c r="X355" s="64">
        <f>SUMIFS(super1[Qtde],super1[Item],tab_alimentos[[#This Row],[Item]],super1[Bairro],mercado13)+SUMIFS(supercb[Qtde],supercb[Item],tab_alimentos[[#This Row],[Item]],supercb[Bairro],mercado13)</f>
        <v>0</v>
      </c>
      <c r="Y355" s="64">
        <f>SUMIFS(super1[Qtde],super1[Item],tab_alimentos[[#This Row],[Item]],super1[Bairro],mercado14)+SUMIFS(supercb[Qtde],supercb[Item],tab_alimentos[[#This Row],[Item]],supercb[Bairro],mercado14)</f>
        <v>0</v>
      </c>
      <c r="Z355" s="64">
        <f>SUMIFS(super1[Qtde],super1[Item],tab_alimentos[[#This Row],[Item]],super1[Bairro],mercado15)+SUMIFS(supercb[Qtde],supercb[Item],tab_alimentos[[#This Row],[Item]],supercb[Bairro],mercado15)</f>
        <v>0</v>
      </c>
      <c r="AA355" s="64">
        <f>SUMIFS(super1[Qtde],super1[Item],tab_alimentos[[#This Row],[Item]],super1[Bairro],mercado16)+SUMIFS(supercb[Qtde],supercb[Item],tab_alimentos[[#This Row],[Item]],supercb[Bairro],mercado16)</f>
        <v>0</v>
      </c>
      <c r="AB355" s="64">
        <f>SUMIFS(super1[Qtde],super1[Item],tab_alimentos[[#This Row],[Item]],super1[Bairro],mercado17)+SUMIFS(supercb[Qtde],supercb[Item],tab_alimentos[[#This Row],[Item]],supercb[Bairro],mercado17)</f>
        <v>0</v>
      </c>
      <c r="AC355" s="64">
        <f>SUMIFS(super1[Qtde],super1[Item],tab_alimentos[[#This Row],[Item]],super1[Bairro],mercado18)+SUMIFS(supercb[Qtde],supercb[Item],tab_alimentos[[#This Row],[Item]],supercb[Bairro],mercado18)</f>
        <v>0</v>
      </c>
      <c r="AD355" s="64">
        <f>SUMIFS(super1[Qtde],super1[Item],tab_alimentos[[#This Row],[Item]],super1[Bairro],extras)+SUMIFS(supercb[Qtde],supercb[Item],tab_alimentos[[#This Row],[Item]],supercb[Bairro],extras)</f>
        <v>0</v>
      </c>
      <c r="AE355" s="61">
        <f t="shared" si="94"/>
        <v>0</v>
      </c>
      <c r="AF355" s="61">
        <f t="shared" si="95"/>
        <v>0</v>
      </c>
      <c r="AG355" s="62">
        <f t="shared" si="96"/>
        <v>0</v>
      </c>
    </row>
    <row r="356" spans="9:33" x14ac:dyDescent="0.25">
      <c r="I356" s="65" t="e">
        <f>alimentos[[#This Row],[Item]]</f>
        <v>#VALUE!</v>
      </c>
      <c r="J356" s="61">
        <f>IFERROR(alimentos[[#This Row],[kg/embalagem]],0)</f>
        <v>0</v>
      </c>
      <c r="K356" s="64">
        <f>IFERROR(alimentos[[#This Row],[Preço]],0)</f>
        <v>0</v>
      </c>
      <c r="L356" s="64">
        <f>SUMIFS(super1[Qtde],super1[Item],tab_alimentos[[#This Row],[Item]],super1[Bairro],mercado1)+SUMIFS(supercb[Qtde],supercb[Item],tab_alimentos[[#This Row],[Item]],supercb[Bairro],mercado1)</f>
        <v>0</v>
      </c>
      <c r="M356" s="64">
        <f>SUMIFS(super1[Qtde],super1[Item],tab_alimentos[[#This Row],[Item]],super1[Bairro],mercado2)+SUMIFS(supercb[Qtde],supercb[Item],tab_alimentos[[#This Row],[Item]],supercb[Bairro],mercado2)</f>
        <v>0</v>
      </c>
      <c r="N356" s="61">
        <f>SUMIFS(super1[Qtde],super1[Item],tab_alimentos[[#This Row],[Item]],super1[Bairro],mercado3)+SUMIFS(supercb[Qtde],supercb[Item],tab_alimentos[[#This Row],[Item]],supercb[Bairro],mercado3)</f>
        <v>0</v>
      </c>
      <c r="O356" s="64">
        <f>SUMIFS(super1[Qtde],super1[Item],tab_alimentos[[#This Row],[Item]],super1[Bairro],mercado4)+SUMIFS(supercb[Qtde],supercb[Item],tab_alimentos[[#This Row],[Item]],supercb[Bairro],mercado4)</f>
        <v>0</v>
      </c>
      <c r="P356" s="64">
        <f>SUMIFS(super1[Qtde],super1[Item],tab_alimentos[[#This Row],[Item]],super1[Bairro],mercado5)+SUMIFS(supercb[Qtde],supercb[Item],tab_alimentos[[#This Row],[Item]],supercb[Bairro],mercado5)</f>
        <v>0</v>
      </c>
      <c r="Q356" s="64">
        <f>SUMIFS(super1[Qtde],super1[Item],tab_alimentos[[#This Row],[Item]],super1[Bairro],mercado6)+SUMIFS(supercb[Qtde],supercb[Item],tab_alimentos[[#This Row],[Item]],supercb[Bairro],mercado6)</f>
        <v>0</v>
      </c>
      <c r="R356" s="64">
        <f>SUMIFS(super1[Qtde],super1[Item],tab_alimentos[[#This Row],[Item]],super1[Bairro],mercado7)+SUMIFS(supercb[Qtde],supercb[Item],tab_alimentos[[#This Row],[Item]],supercb[Bairro],mercado7)</f>
        <v>0</v>
      </c>
      <c r="S356" s="64">
        <f>SUMIFS(super1[Qtde],super1[Item],tab_alimentos[[#This Row],[Item]],super1[Bairro],mercado8)+SUMIFS(supercb[Qtde],supercb[Item],tab_alimentos[[#This Row],[Item]],supercb[Bairro],mercado8)</f>
        <v>0</v>
      </c>
      <c r="T356" s="64">
        <f>SUMIFS(super1[Qtde],super1[Item],tab_alimentos[[#This Row],[Item]],super1[Bairro],mercado9)+SUMIFS(supercb[Qtde],supercb[Item],tab_alimentos[[#This Row],[Item]],supercb[Bairro],mercado9)</f>
        <v>0</v>
      </c>
      <c r="U356" s="64">
        <f>SUMIFS(super1[Qtde],super1[Item],tab_alimentos[[#This Row],[Item]],super1[Bairro],mercado10)+SUMIFS(supercb[Qtde],supercb[Item],tab_alimentos[[#This Row],[Item]],supercb[Bairro],mercado10)</f>
        <v>0</v>
      </c>
      <c r="V356" s="64">
        <f>SUMIFS(super1[Qtde],super1[Item],tab_alimentos[[#This Row],[Item]],super1[Bairro],mercado11)+SUMIFS(supercb[Qtde],supercb[Item],tab_alimentos[[#This Row],[Item]],supercb[Bairro],mercado11)</f>
        <v>0</v>
      </c>
      <c r="W356" s="64">
        <f>SUMIFS(super1[Qtde],super1[Item],tab_alimentos[[#This Row],[Item]],super1[Bairro],mercado12)+SUMIFS(supercb[Qtde],supercb[Item],tab_alimentos[[#This Row],[Item]],supercb[Bairro],mercado12)</f>
        <v>0</v>
      </c>
      <c r="X356" s="64">
        <f>SUMIFS(super1[Qtde],super1[Item],tab_alimentos[[#This Row],[Item]],super1[Bairro],mercado13)+SUMIFS(supercb[Qtde],supercb[Item],tab_alimentos[[#This Row],[Item]],supercb[Bairro],mercado13)</f>
        <v>0</v>
      </c>
      <c r="Y356" s="64">
        <f>SUMIFS(super1[Qtde],super1[Item],tab_alimentos[[#This Row],[Item]],super1[Bairro],mercado14)+SUMIFS(supercb[Qtde],supercb[Item],tab_alimentos[[#This Row],[Item]],supercb[Bairro],mercado14)</f>
        <v>0</v>
      </c>
      <c r="Z356" s="64">
        <f>SUMIFS(super1[Qtde],super1[Item],tab_alimentos[[#This Row],[Item]],super1[Bairro],mercado15)+SUMIFS(supercb[Qtde],supercb[Item],tab_alimentos[[#This Row],[Item]],supercb[Bairro],mercado15)</f>
        <v>0</v>
      </c>
      <c r="AA356" s="64">
        <f>SUMIFS(super1[Qtde],super1[Item],tab_alimentos[[#This Row],[Item]],super1[Bairro],mercado16)+SUMIFS(supercb[Qtde],supercb[Item],tab_alimentos[[#This Row],[Item]],supercb[Bairro],mercado16)</f>
        <v>0</v>
      </c>
      <c r="AB356" s="64">
        <f>SUMIFS(super1[Qtde],super1[Item],tab_alimentos[[#This Row],[Item]],super1[Bairro],mercado17)+SUMIFS(supercb[Qtde],supercb[Item],tab_alimentos[[#This Row],[Item]],supercb[Bairro],mercado17)</f>
        <v>0</v>
      </c>
      <c r="AC356" s="64">
        <f>SUMIFS(super1[Qtde],super1[Item],tab_alimentos[[#This Row],[Item]],super1[Bairro],mercado18)+SUMIFS(supercb[Qtde],supercb[Item],tab_alimentos[[#This Row],[Item]],supercb[Bairro],mercado18)</f>
        <v>0</v>
      </c>
      <c r="AD356" s="64">
        <f>SUMIFS(super1[Qtde],super1[Item],tab_alimentos[[#This Row],[Item]],super1[Bairro],extras)+SUMIFS(supercb[Qtde],supercb[Item],tab_alimentos[[#This Row],[Item]],supercb[Bairro],extras)</f>
        <v>0</v>
      </c>
      <c r="AE356" s="61">
        <f t="shared" si="94"/>
        <v>0</v>
      </c>
      <c r="AF356" s="61">
        <f t="shared" si="95"/>
        <v>0</v>
      </c>
      <c r="AG356" s="62">
        <f t="shared" si="96"/>
        <v>0</v>
      </c>
    </row>
    <row r="357" spans="9:33" x14ac:dyDescent="0.25">
      <c r="I357" s="65" t="e">
        <f>alimentos[[#This Row],[Item]]</f>
        <v>#VALUE!</v>
      </c>
      <c r="J357" s="61">
        <f>IFERROR(alimentos[[#This Row],[kg/embalagem]],0)</f>
        <v>0</v>
      </c>
      <c r="K357" s="64">
        <f>IFERROR(alimentos[[#This Row],[Preço]],0)</f>
        <v>0</v>
      </c>
      <c r="L357" s="64">
        <f>SUMIFS(super1[Qtde],super1[Item],tab_alimentos[[#This Row],[Item]],super1[Bairro],mercado1)+SUMIFS(supercb[Qtde],supercb[Item],tab_alimentos[[#This Row],[Item]],supercb[Bairro],mercado1)</f>
        <v>0</v>
      </c>
      <c r="M357" s="64">
        <f>SUMIFS(super1[Qtde],super1[Item],tab_alimentos[[#This Row],[Item]],super1[Bairro],mercado2)+SUMIFS(supercb[Qtde],supercb[Item],tab_alimentos[[#This Row],[Item]],supercb[Bairro],mercado2)</f>
        <v>0</v>
      </c>
      <c r="N357" s="61">
        <f>SUMIFS(super1[Qtde],super1[Item],tab_alimentos[[#This Row],[Item]],super1[Bairro],mercado3)+SUMIFS(supercb[Qtde],supercb[Item],tab_alimentos[[#This Row],[Item]],supercb[Bairro],mercado3)</f>
        <v>0</v>
      </c>
      <c r="O357" s="64">
        <f>SUMIFS(super1[Qtde],super1[Item],tab_alimentos[[#This Row],[Item]],super1[Bairro],mercado4)+SUMIFS(supercb[Qtde],supercb[Item],tab_alimentos[[#This Row],[Item]],supercb[Bairro],mercado4)</f>
        <v>0</v>
      </c>
      <c r="P357" s="64">
        <f>SUMIFS(super1[Qtde],super1[Item],tab_alimentos[[#This Row],[Item]],super1[Bairro],mercado5)+SUMIFS(supercb[Qtde],supercb[Item],tab_alimentos[[#This Row],[Item]],supercb[Bairro],mercado5)</f>
        <v>0</v>
      </c>
      <c r="Q357" s="64">
        <f>SUMIFS(super1[Qtde],super1[Item],tab_alimentos[[#This Row],[Item]],super1[Bairro],mercado6)+SUMIFS(supercb[Qtde],supercb[Item],tab_alimentos[[#This Row],[Item]],supercb[Bairro],mercado6)</f>
        <v>0</v>
      </c>
      <c r="R357" s="64">
        <f>SUMIFS(super1[Qtde],super1[Item],tab_alimentos[[#This Row],[Item]],super1[Bairro],mercado7)+SUMIFS(supercb[Qtde],supercb[Item],tab_alimentos[[#This Row],[Item]],supercb[Bairro],mercado7)</f>
        <v>0</v>
      </c>
      <c r="S357" s="64">
        <f>SUMIFS(super1[Qtde],super1[Item],tab_alimentos[[#This Row],[Item]],super1[Bairro],mercado8)+SUMIFS(supercb[Qtde],supercb[Item],tab_alimentos[[#This Row],[Item]],supercb[Bairro],mercado8)</f>
        <v>0</v>
      </c>
      <c r="T357" s="64">
        <f>SUMIFS(super1[Qtde],super1[Item],tab_alimentos[[#This Row],[Item]],super1[Bairro],mercado9)+SUMIFS(supercb[Qtde],supercb[Item],tab_alimentos[[#This Row],[Item]],supercb[Bairro],mercado9)</f>
        <v>0</v>
      </c>
      <c r="U357" s="64">
        <f>SUMIFS(super1[Qtde],super1[Item],tab_alimentos[[#This Row],[Item]],super1[Bairro],mercado10)+SUMIFS(supercb[Qtde],supercb[Item],tab_alimentos[[#This Row],[Item]],supercb[Bairro],mercado10)</f>
        <v>0</v>
      </c>
      <c r="V357" s="64">
        <f>SUMIFS(super1[Qtde],super1[Item],tab_alimentos[[#This Row],[Item]],super1[Bairro],mercado11)+SUMIFS(supercb[Qtde],supercb[Item],tab_alimentos[[#This Row],[Item]],supercb[Bairro],mercado11)</f>
        <v>0</v>
      </c>
      <c r="W357" s="64">
        <f>SUMIFS(super1[Qtde],super1[Item],tab_alimentos[[#This Row],[Item]],super1[Bairro],mercado12)+SUMIFS(supercb[Qtde],supercb[Item],tab_alimentos[[#This Row],[Item]],supercb[Bairro],mercado12)</f>
        <v>0</v>
      </c>
      <c r="X357" s="64">
        <f>SUMIFS(super1[Qtde],super1[Item],tab_alimentos[[#This Row],[Item]],super1[Bairro],mercado13)+SUMIFS(supercb[Qtde],supercb[Item],tab_alimentos[[#This Row],[Item]],supercb[Bairro],mercado13)</f>
        <v>0</v>
      </c>
      <c r="Y357" s="64">
        <f>SUMIFS(super1[Qtde],super1[Item],tab_alimentos[[#This Row],[Item]],super1[Bairro],mercado14)+SUMIFS(supercb[Qtde],supercb[Item],tab_alimentos[[#This Row],[Item]],supercb[Bairro],mercado14)</f>
        <v>0</v>
      </c>
      <c r="Z357" s="64">
        <f>SUMIFS(super1[Qtde],super1[Item],tab_alimentos[[#This Row],[Item]],super1[Bairro],mercado15)+SUMIFS(supercb[Qtde],supercb[Item],tab_alimentos[[#This Row],[Item]],supercb[Bairro],mercado15)</f>
        <v>0</v>
      </c>
      <c r="AA357" s="64">
        <f>SUMIFS(super1[Qtde],super1[Item],tab_alimentos[[#This Row],[Item]],super1[Bairro],mercado16)+SUMIFS(supercb[Qtde],supercb[Item],tab_alimentos[[#This Row],[Item]],supercb[Bairro],mercado16)</f>
        <v>0</v>
      </c>
      <c r="AB357" s="64">
        <f>SUMIFS(super1[Qtde],super1[Item],tab_alimentos[[#This Row],[Item]],super1[Bairro],mercado17)+SUMIFS(supercb[Qtde],supercb[Item],tab_alimentos[[#This Row],[Item]],supercb[Bairro],mercado17)</f>
        <v>0</v>
      </c>
      <c r="AC357" s="64">
        <f>SUMIFS(super1[Qtde],super1[Item],tab_alimentos[[#This Row],[Item]],super1[Bairro],mercado18)+SUMIFS(supercb[Qtde],supercb[Item],tab_alimentos[[#This Row],[Item]],supercb[Bairro],mercado18)</f>
        <v>0</v>
      </c>
      <c r="AD357" s="64">
        <f>SUMIFS(super1[Qtde],super1[Item],tab_alimentos[[#This Row],[Item]],super1[Bairro],extras)+SUMIFS(supercb[Qtde],supercb[Item],tab_alimentos[[#This Row],[Item]],supercb[Bairro],extras)</f>
        <v>0</v>
      </c>
      <c r="AE357" s="61">
        <f t="shared" si="94"/>
        <v>0</v>
      </c>
      <c r="AF357" s="61">
        <f t="shared" si="95"/>
        <v>0</v>
      </c>
      <c r="AG357" s="62">
        <f t="shared" si="96"/>
        <v>0</v>
      </c>
    </row>
    <row r="358" spans="9:33" x14ac:dyDescent="0.25">
      <c r="I358" s="65" t="e">
        <f>alimentos[[#This Row],[Item]]</f>
        <v>#VALUE!</v>
      </c>
      <c r="J358" s="61">
        <f>IFERROR(alimentos[[#This Row],[kg/embalagem]],0)</f>
        <v>0</v>
      </c>
      <c r="K358" s="64">
        <f>IFERROR(alimentos[[#This Row],[Preço]],0)</f>
        <v>0</v>
      </c>
      <c r="L358" s="64">
        <f>SUMIFS(super1[Qtde],super1[Item],tab_alimentos[[#This Row],[Item]],super1[Bairro],mercado1)+SUMIFS(supercb[Qtde],supercb[Item],tab_alimentos[[#This Row],[Item]],supercb[Bairro],mercado1)</f>
        <v>0</v>
      </c>
      <c r="M358" s="64">
        <f>SUMIFS(super1[Qtde],super1[Item],tab_alimentos[[#This Row],[Item]],super1[Bairro],mercado2)+SUMIFS(supercb[Qtde],supercb[Item],tab_alimentos[[#This Row],[Item]],supercb[Bairro],mercado2)</f>
        <v>0</v>
      </c>
      <c r="N358" s="61">
        <f>SUMIFS(super1[Qtde],super1[Item],tab_alimentos[[#This Row],[Item]],super1[Bairro],mercado3)+SUMIFS(supercb[Qtde],supercb[Item],tab_alimentos[[#This Row],[Item]],supercb[Bairro],mercado3)</f>
        <v>0</v>
      </c>
      <c r="O358" s="64">
        <f>SUMIFS(super1[Qtde],super1[Item],tab_alimentos[[#This Row],[Item]],super1[Bairro],mercado4)+SUMIFS(supercb[Qtde],supercb[Item],tab_alimentos[[#This Row],[Item]],supercb[Bairro],mercado4)</f>
        <v>0</v>
      </c>
      <c r="P358" s="64">
        <f>SUMIFS(super1[Qtde],super1[Item],tab_alimentos[[#This Row],[Item]],super1[Bairro],mercado5)+SUMIFS(supercb[Qtde],supercb[Item],tab_alimentos[[#This Row],[Item]],supercb[Bairro],mercado5)</f>
        <v>0</v>
      </c>
      <c r="Q358" s="64">
        <f>SUMIFS(super1[Qtde],super1[Item],tab_alimentos[[#This Row],[Item]],super1[Bairro],mercado6)+SUMIFS(supercb[Qtde],supercb[Item],tab_alimentos[[#This Row],[Item]],supercb[Bairro],mercado6)</f>
        <v>0</v>
      </c>
      <c r="R358" s="64">
        <f>SUMIFS(super1[Qtde],super1[Item],tab_alimentos[[#This Row],[Item]],super1[Bairro],mercado7)+SUMIFS(supercb[Qtde],supercb[Item],tab_alimentos[[#This Row],[Item]],supercb[Bairro],mercado7)</f>
        <v>0</v>
      </c>
      <c r="S358" s="64">
        <f>SUMIFS(super1[Qtde],super1[Item],tab_alimentos[[#This Row],[Item]],super1[Bairro],mercado8)+SUMIFS(supercb[Qtde],supercb[Item],tab_alimentos[[#This Row],[Item]],supercb[Bairro],mercado8)</f>
        <v>0</v>
      </c>
      <c r="T358" s="64">
        <f>SUMIFS(super1[Qtde],super1[Item],tab_alimentos[[#This Row],[Item]],super1[Bairro],mercado9)+SUMIFS(supercb[Qtde],supercb[Item],tab_alimentos[[#This Row],[Item]],supercb[Bairro],mercado9)</f>
        <v>0</v>
      </c>
      <c r="U358" s="64">
        <f>SUMIFS(super1[Qtde],super1[Item],tab_alimentos[[#This Row],[Item]],super1[Bairro],mercado10)+SUMIFS(supercb[Qtde],supercb[Item],tab_alimentos[[#This Row],[Item]],supercb[Bairro],mercado10)</f>
        <v>0</v>
      </c>
      <c r="V358" s="64">
        <f>SUMIFS(super1[Qtde],super1[Item],tab_alimentos[[#This Row],[Item]],super1[Bairro],mercado11)+SUMIFS(supercb[Qtde],supercb[Item],tab_alimentos[[#This Row],[Item]],supercb[Bairro],mercado11)</f>
        <v>0</v>
      </c>
      <c r="W358" s="64">
        <f>SUMIFS(super1[Qtde],super1[Item],tab_alimentos[[#This Row],[Item]],super1[Bairro],mercado12)+SUMIFS(supercb[Qtde],supercb[Item],tab_alimentos[[#This Row],[Item]],supercb[Bairro],mercado12)</f>
        <v>0</v>
      </c>
      <c r="X358" s="64">
        <f>SUMIFS(super1[Qtde],super1[Item],tab_alimentos[[#This Row],[Item]],super1[Bairro],mercado13)+SUMIFS(supercb[Qtde],supercb[Item],tab_alimentos[[#This Row],[Item]],supercb[Bairro],mercado13)</f>
        <v>0</v>
      </c>
      <c r="Y358" s="64">
        <f>SUMIFS(super1[Qtde],super1[Item],tab_alimentos[[#This Row],[Item]],super1[Bairro],mercado14)+SUMIFS(supercb[Qtde],supercb[Item],tab_alimentos[[#This Row],[Item]],supercb[Bairro],mercado14)</f>
        <v>0</v>
      </c>
      <c r="Z358" s="64">
        <f>SUMIFS(super1[Qtde],super1[Item],tab_alimentos[[#This Row],[Item]],super1[Bairro],mercado15)+SUMIFS(supercb[Qtde],supercb[Item],tab_alimentos[[#This Row],[Item]],supercb[Bairro],mercado15)</f>
        <v>0</v>
      </c>
      <c r="AA358" s="64">
        <f>SUMIFS(super1[Qtde],super1[Item],tab_alimentos[[#This Row],[Item]],super1[Bairro],mercado16)+SUMIFS(supercb[Qtde],supercb[Item],tab_alimentos[[#This Row],[Item]],supercb[Bairro],mercado16)</f>
        <v>0</v>
      </c>
      <c r="AB358" s="64">
        <f>SUMIFS(super1[Qtde],super1[Item],tab_alimentos[[#This Row],[Item]],super1[Bairro],mercado17)+SUMIFS(supercb[Qtde],supercb[Item],tab_alimentos[[#This Row],[Item]],supercb[Bairro],mercado17)</f>
        <v>0</v>
      </c>
      <c r="AC358" s="64">
        <f>SUMIFS(super1[Qtde],super1[Item],tab_alimentos[[#This Row],[Item]],super1[Bairro],mercado18)+SUMIFS(supercb[Qtde],supercb[Item],tab_alimentos[[#This Row],[Item]],supercb[Bairro],mercado18)</f>
        <v>0</v>
      </c>
      <c r="AD358" s="64">
        <f>SUMIFS(super1[Qtde],super1[Item],tab_alimentos[[#This Row],[Item]],super1[Bairro],extras)+SUMIFS(supercb[Qtde],supercb[Item],tab_alimentos[[#This Row],[Item]],supercb[Bairro],extras)</f>
        <v>0</v>
      </c>
      <c r="AE358" s="61">
        <f t="shared" si="94"/>
        <v>0</v>
      </c>
      <c r="AF358" s="61">
        <f t="shared" si="95"/>
        <v>0</v>
      </c>
      <c r="AG358" s="62">
        <f t="shared" si="96"/>
        <v>0</v>
      </c>
    </row>
    <row r="359" spans="9:33" x14ac:dyDescent="0.25">
      <c r="I359" s="65" t="e">
        <f>alimentos[[#This Row],[Item]]</f>
        <v>#VALUE!</v>
      </c>
      <c r="J359" s="61">
        <f>IFERROR(alimentos[[#This Row],[kg/embalagem]],0)</f>
        <v>0</v>
      </c>
      <c r="K359" s="64">
        <f>IFERROR(alimentos[[#This Row],[Preço]],0)</f>
        <v>0</v>
      </c>
      <c r="L359" s="64">
        <f>SUMIFS(super1[Qtde],super1[Item],tab_alimentos[[#This Row],[Item]],super1[Bairro],mercado1)+SUMIFS(supercb[Qtde],supercb[Item],tab_alimentos[[#This Row],[Item]],supercb[Bairro],mercado1)</f>
        <v>0</v>
      </c>
      <c r="M359" s="64">
        <f>SUMIFS(super1[Qtde],super1[Item],tab_alimentos[[#This Row],[Item]],super1[Bairro],mercado2)+SUMIFS(supercb[Qtde],supercb[Item],tab_alimentos[[#This Row],[Item]],supercb[Bairro],mercado2)</f>
        <v>0</v>
      </c>
      <c r="N359" s="61">
        <f>SUMIFS(super1[Qtde],super1[Item],tab_alimentos[[#This Row],[Item]],super1[Bairro],mercado3)+SUMIFS(supercb[Qtde],supercb[Item],tab_alimentos[[#This Row],[Item]],supercb[Bairro],mercado3)</f>
        <v>0</v>
      </c>
      <c r="O359" s="64">
        <f>SUMIFS(super1[Qtde],super1[Item],tab_alimentos[[#This Row],[Item]],super1[Bairro],mercado4)+SUMIFS(supercb[Qtde],supercb[Item],tab_alimentos[[#This Row],[Item]],supercb[Bairro],mercado4)</f>
        <v>0</v>
      </c>
      <c r="P359" s="64">
        <f>SUMIFS(super1[Qtde],super1[Item],tab_alimentos[[#This Row],[Item]],super1[Bairro],mercado5)+SUMIFS(supercb[Qtde],supercb[Item],tab_alimentos[[#This Row],[Item]],supercb[Bairro],mercado5)</f>
        <v>0</v>
      </c>
      <c r="Q359" s="64">
        <f>SUMIFS(super1[Qtde],super1[Item],tab_alimentos[[#This Row],[Item]],super1[Bairro],mercado6)+SUMIFS(supercb[Qtde],supercb[Item],tab_alimentos[[#This Row],[Item]],supercb[Bairro],mercado6)</f>
        <v>0</v>
      </c>
      <c r="R359" s="64">
        <f>SUMIFS(super1[Qtde],super1[Item],tab_alimentos[[#This Row],[Item]],super1[Bairro],mercado7)+SUMIFS(supercb[Qtde],supercb[Item],tab_alimentos[[#This Row],[Item]],supercb[Bairro],mercado7)</f>
        <v>0</v>
      </c>
      <c r="S359" s="64">
        <f>SUMIFS(super1[Qtde],super1[Item],tab_alimentos[[#This Row],[Item]],super1[Bairro],mercado8)+SUMIFS(supercb[Qtde],supercb[Item],tab_alimentos[[#This Row],[Item]],supercb[Bairro],mercado8)</f>
        <v>0</v>
      </c>
      <c r="T359" s="64">
        <f>SUMIFS(super1[Qtde],super1[Item],tab_alimentos[[#This Row],[Item]],super1[Bairro],mercado9)+SUMIFS(supercb[Qtde],supercb[Item],tab_alimentos[[#This Row],[Item]],supercb[Bairro],mercado9)</f>
        <v>0</v>
      </c>
      <c r="U359" s="64">
        <f>SUMIFS(super1[Qtde],super1[Item],tab_alimentos[[#This Row],[Item]],super1[Bairro],mercado10)+SUMIFS(supercb[Qtde],supercb[Item],tab_alimentos[[#This Row],[Item]],supercb[Bairro],mercado10)</f>
        <v>0</v>
      </c>
      <c r="V359" s="64">
        <f>SUMIFS(super1[Qtde],super1[Item],tab_alimentos[[#This Row],[Item]],super1[Bairro],mercado11)+SUMIFS(supercb[Qtde],supercb[Item],tab_alimentos[[#This Row],[Item]],supercb[Bairro],mercado11)</f>
        <v>0</v>
      </c>
      <c r="W359" s="64">
        <f>SUMIFS(super1[Qtde],super1[Item],tab_alimentos[[#This Row],[Item]],super1[Bairro],mercado12)+SUMIFS(supercb[Qtde],supercb[Item],tab_alimentos[[#This Row],[Item]],supercb[Bairro],mercado12)</f>
        <v>0</v>
      </c>
      <c r="X359" s="64">
        <f>SUMIFS(super1[Qtde],super1[Item],tab_alimentos[[#This Row],[Item]],super1[Bairro],mercado13)+SUMIFS(supercb[Qtde],supercb[Item],tab_alimentos[[#This Row],[Item]],supercb[Bairro],mercado13)</f>
        <v>0</v>
      </c>
      <c r="Y359" s="64">
        <f>SUMIFS(super1[Qtde],super1[Item],tab_alimentos[[#This Row],[Item]],super1[Bairro],mercado14)+SUMIFS(supercb[Qtde],supercb[Item],tab_alimentos[[#This Row],[Item]],supercb[Bairro],mercado14)</f>
        <v>0</v>
      </c>
      <c r="Z359" s="64">
        <f>SUMIFS(super1[Qtde],super1[Item],tab_alimentos[[#This Row],[Item]],super1[Bairro],mercado15)+SUMIFS(supercb[Qtde],supercb[Item],tab_alimentos[[#This Row],[Item]],supercb[Bairro],mercado15)</f>
        <v>0</v>
      </c>
      <c r="AA359" s="64">
        <f>SUMIFS(super1[Qtde],super1[Item],tab_alimentos[[#This Row],[Item]],super1[Bairro],mercado16)+SUMIFS(supercb[Qtde],supercb[Item],tab_alimentos[[#This Row],[Item]],supercb[Bairro],mercado16)</f>
        <v>0</v>
      </c>
      <c r="AB359" s="64">
        <f>SUMIFS(super1[Qtde],super1[Item],tab_alimentos[[#This Row],[Item]],super1[Bairro],mercado17)+SUMIFS(supercb[Qtde],supercb[Item],tab_alimentos[[#This Row],[Item]],supercb[Bairro],mercado17)</f>
        <v>0</v>
      </c>
      <c r="AC359" s="64">
        <f>SUMIFS(super1[Qtde],super1[Item],tab_alimentos[[#This Row],[Item]],super1[Bairro],mercado18)+SUMIFS(supercb[Qtde],supercb[Item],tab_alimentos[[#This Row],[Item]],supercb[Bairro],mercado18)</f>
        <v>0</v>
      </c>
      <c r="AD359" s="64">
        <f>SUMIFS(super1[Qtde],super1[Item],tab_alimentos[[#This Row],[Item]],super1[Bairro],extras)+SUMIFS(supercb[Qtde],supercb[Item],tab_alimentos[[#This Row],[Item]],supercb[Bairro],extras)</f>
        <v>0</v>
      </c>
      <c r="AE359" s="61">
        <f t="shared" si="94"/>
        <v>0</v>
      </c>
      <c r="AF359" s="61">
        <f t="shared" si="95"/>
        <v>0</v>
      </c>
      <c r="AG359" s="62">
        <f t="shared" si="96"/>
        <v>0</v>
      </c>
    </row>
    <row r="360" spans="9:33" x14ac:dyDescent="0.25">
      <c r="I360" s="65" t="e">
        <f>alimentos[[#This Row],[Item]]</f>
        <v>#VALUE!</v>
      </c>
      <c r="J360" s="61">
        <f>IFERROR(alimentos[[#This Row],[kg/embalagem]],0)</f>
        <v>0</v>
      </c>
      <c r="K360" s="64">
        <f>IFERROR(alimentos[[#This Row],[Preço]],0)</f>
        <v>0</v>
      </c>
      <c r="L360" s="64">
        <f>SUMIFS(super1[Qtde],super1[Item],tab_alimentos[[#This Row],[Item]],super1[Bairro],mercado1)+SUMIFS(supercb[Qtde],supercb[Item],tab_alimentos[[#This Row],[Item]],supercb[Bairro],mercado1)</f>
        <v>0</v>
      </c>
      <c r="M360" s="64">
        <f>SUMIFS(super1[Qtde],super1[Item],tab_alimentos[[#This Row],[Item]],super1[Bairro],mercado2)+SUMIFS(supercb[Qtde],supercb[Item],tab_alimentos[[#This Row],[Item]],supercb[Bairro],mercado2)</f>
        <v>0</v>
      </c>
      <c r="N360" s="61">
        <f>SUMIFS(super1[Qtde],super1[Item],tab_alimentos[[#This Row],[Item]],super1[Bairro],mercado3)+SUMIFS(supercb[Qtde],supercb[Item],tab_alimentos[[#This Row],[Item]],supercb[Bairro],mercado3)</f>
        <v>0</v>
      </c>
      <c r="O360" s="64">
        <f>SUMIFS(super1[Qtde],super1[Item],tab_alimentos[[#This Row],[Item]],super1[Bairro],mercado4)+SUMIFS(supercb[Qtde],supercb[Item],tab_alimentos[[#This Row],[Item]],supercb[Bairro],mercado4)</f>
        <v>0</v>
      </c>
      <c r="P360" s="64">
        <f>SUMIFS(super1[Qtde],super1[Item],tab_alimentos[[#This Row],[Item]],super1[Bairro],mercado5)+SUMIFS(supercb[Qtde],supercb[Item],tab_alimentos[[#This Row],[Item]],supercb[Bairro],mercado5)</f>
        <v>0</v>
      </c>
      <c r="Q360" s="64">
        <f>SUMIFS(super1[Qtde],super1[Item],tab_alimentos[[#This Row],[Item]],super1[Bairro],mercado6)+SUMIFS(supercb[Qtde],supercb[Item],tab_alimentos[[#This Row],[Item]],supercb[Bairro],mercado6)</f>
        <v>0</v>
      </c>
      <c r="R360" s="64">
        <f>SUMIFS(super1[Qtde],super1[Item],tab_alimentos[[#This Row],[Item]],super1[Bairro],mercado7)+SUMIFS(supercb[Qtde],supercb[Item],tab_alimentos[[#This Row],[Item]],supercb[Bairro],mercado7)</f>
        <v>0</v>
      </c>
      <c r="S360" s="64">
        <f>SUMIFS(super1[Qtde],super1[Item],tab_alimentos[[#This Row],[Item]],super1[Bairro],mercado8)+SUMIFS(supercb[Qtde],supercb[Item],tab_alimentos[[#This Row],[Item]],supercb[Bairro],mercado8)</f>
        <v>0</v>
      </c>
      <c r="T360" s="64">
        <f>SUMIFS(super1[Qtde],super1[Item],tab_alimentos[[#This Row],[Item]],super1[Bairro],mercado9)+SUMIFS(supercb[Qtde],supercb[Item],tab_alimentos[[#This Row],[Item]],supercb[Bairro],mercado9)</f>
        <v>0</v>
      </c>
      <c r="U360" s="64">
        <f>SUMIFS(super1[Qtde],super1[Item],tab_alimentos[[#This Row],[Item]],super1[Bairro],mercado10)+SUMIFS(supercb[Qtde],supercb[Item],tab_alimentos[[#This Row],[Item]],supercb[Bairro],mercado10)</f>
        <v>0</v>
      </c>
      <c r="V360" s="64">
        <f>SUMIFS(super1[Qtde],super1[Item],tab_alimentos[[#This Row],[Item]],super1[Bairro],mercado11)+SUMIFS(supercb[Qtde],supercb[Item],tab_alimentos[[#This Row],[Item]],supercb[Bairro],mercado11)</f>
        <v>0</v>
      </c>
      <c r="W360" s="64">
        <f>SUMIFS(super1[Qtde],super1[Item],tab_alimentos[[#This Row],[Item]],super1[Bairro],mercado12)+SUMIFS(supercb[Qtde],supercb[Item],tab_alimentos[[#This Row],[Item]],supercb[Bairro],mercado12)</f>
        <v>0</v>
      </c>
      <c r="X360" s="64">
        <f>SUMIFS(super1[Qtde],super1[Item],tab_alimentos[[#This Row],[Item]],super1[Bairro],mercado13)+SUMIFS(supercb[Qtde],supercb[Item],tab_alimentos[[#This Row],[Item]],supercb[Bairro],mercado13)</f>
        <v>0</v>
      </c>
      <c r="Y360" s="64">
        <f>SUMIFS(super1[Qtde],super1[Item],tab_alimentos[[#This Row],[Item]],super1[Bairro],mercado14)+SUMIFS(supercb[Qtde],supercb[Item],tab_alimentos[[#This Row],[Item]],supercb[Bairro],mercado14)</f>
        <v>0</v>
      </c>
      <c r="Z360" s="64">
        <f>SUMIFS(super1[Qtde],super1[Item],tab_alimentos[[#This Row],[Item]],super1[Bairro],mercado15)+SUMIFS(supercb[Qtde],supercb[Item],tab_alimentos[[#This Row],[Item]],supercb[Bairro],mercado15)</f>
        <v>0</v>
      </c>
      <c r="AA360" s="64">
        <f>SUMIFS(super1[Qtde],super1[Item],tab_alimentos[[#This Row],[Item]],super1[Bairro],mercado16)+SUMIFS(supercb[Qtde],supercb[Item],tab_alimentos[[#This Row],[Item]],supercb[Bairro],mercado16)</f>
        <v>0</v>
      </c>
      <c r="AB360" s="64">
        <f>SUMIFS(super1[Qtde],super1[Item],tab_alimentos[[#This Row],[Item]],super1[Bairro],mercado17)+SUMIFS(supercb[Qtde],supercb[Item],tab_alimentos[[#This Row],[Item]],supercb[Bairro],mercado17)</f>
        <v>0</v>
      </c>
      <c r="AC360" s="64">
        <f>SUMIFS(super1[Qtde],super1[Item],tab_alimentos[[#This Row],[Item]],super1[Bairro],mercado18)+SUMIFS(supercb[Qtde],supercb[Item],tab_alimentos[[#This Row],[Item]],supercb[Bairro],mercado18)</f>
        <v>0</v>
      </c>
      <c r="AD360" s="64">
        <f>SUMIFS(super1[Qtde],super1[Item],tab_alimentos[[#This Row],[Item]],super1[Bairro],extras)+SUMIFS(supercb[Qtde],supercb[Item],tab_alimentos[[#This Row],[Item]],supercb[Bairro],extras)</f>
        <v>0</v>
      </c>
      <c r="AE360" s="61">
        <f t="shared" si="94"/>
        <v>0</v>
      </c>
      <c r="AF360" s="61">
        <f t="shared" si="95"/>
        <v>0</v>
      </c>
      <c r="AG360" s="62">
        <f t="shared" si="96"/>
        <v>0</v>
      </c>
    </row>
    <row r="361" spans="9:33" x14ac:dyDescent="0.25">
      <c r="I361" s="65" t="e">
        <f>alimentos[[#This Row],[Item]]</f>
        <v>#VALUE!</v>
      </c>
      <c r="J361" s="61">
        <f>IFERROR(alimentos[[#This Row],[kg/embalagem]],0)</f>
        <v>0</v>
      </c>
      <c r="K361" s="64">
        <f>IFERROR(alimentos[[#This Row],[Preço]],0)</f>
        <v>0</v>
      </c>
      <c r="L361" s="64">
        <f>SUMIFS(super1[Qtde],super1[Item],tab_alimentos[[#This Row],[Item]],super1[Bairro],mercado1)+SUMIFS(supercb[Qtde],supercb[Item],tab_alimentos[[#This Row],[Item]],supercb[Bairro],mercado1)</f>
        <v>0</v>
      </c>
      <c r="M361" s="64">
        <f>SUMIFS(super1[Qtde],super1[Item],tab_alimentos[[#This Row],[Item]],super1[Bairro],mercado2)+SUMIFS(supercb[Qtde],supercb[Item],tab_alimentos[[#This Row],[Item]],supercb[Bairro],mercado2)</f>
        <v>0</v>
      </c>
      <c r="N361" s="61">
        <f>SUMIFS(super1[Qtde],super1[Item],tab_alimentos[[#This Row],[Item]],super1[Bairro],mercado3)+SUMIFS(supercb[Qtde],supercb[Item],tab_alimentos[[#This Row],[Item]],supercb[Bairro],mercado3)</f>
        <v>0</v>
      </c>
      <c r="O361" s="64">
        <f>SUMIFS(super1[Qtde],super1[Item],tab_alimentos[[#This Row],[Item]],super1[Bairro],mercado4)+SUMIFS(supercb[Qtde],supercb[Item],tab_alimentos[[#This Row],[Item]],supercb[Bairro],mercado4)</f>
        <v>0</v>
      </c>
      <c r="P361" s="64">
        <f>SUMIFS(super1[Qtde],super1[Item],tab_alimentos[[#This Row],[Item]],super1[Bairro],mercado5)+SUMIFS(supercb[Qtde],supercb[Item],tab_alimentos[[#This Row],[Item]],supercb[Bairro],mercado5)</f>
        <v>0</v>
      </c>
      <c r="Q361" s="64">
        <f>SUMIFS(super1[Qtde],super1[Item],tab_alimentos[[#This Row],[Item]],super1[Bairro],mercado6)+SUMIFS(supercb[Qtde],supercb[Item],tab_alimentos[[#This Row],[Item]],supercb[Bairro],mercado6)</f>
        <v>0</v>
      </c>
      <c r="R361" s="64">
        <f>SUMIFS(super1[Qtde],super1[Item],tab_alimentos[[#This Row],[Item]],super1[Bairro],mercado7)+SUMIFS(supercb[Qtde],supercb[Item],tab_alimentos[[#This Row],[Item]],supercb[Bairro],mercado7)</f>
        <v>0</v>
      </c>
      <c r="S361" s="64">
        <f>SUMIFS(super1[Qtde],super1[Item],tab_alimentos[[#This Row],[Item]],super1[Bairro],mercado8)+SUMIFS(supercb[Qtde],supercb[Item],tab_alimentos[[#This Row],[Item]],supercb[Bairro],mercado8)</f>
        <v>0</v>
      </c>
      <c r="T361" s="64">
        <f>SUMIFS(super1[Qtde],super1[Item],tab_alimentos[[#This Row],[Item]],super1[Bairro],mercado9)+SUMIFS(supercb[Qtde],supercb[Item],tab_alimentos[[#This Row],[Item]],supercb[Bairro],mercado9)</f>
        <v>0</v>
      </c>
      <c r="U361" s="64">
        <f>SUMIFS(super1[Qtde],super1[Item],tab_alimentos[[#This Row],[Item]],super1[Bairro],mercado10)+SUMIFS(supercb[Qtde],supercb[Item],tab_alimentos[[#This Row],[Item]],supercb[Bairro],mercado10)</f>
        <v>0</v>
      </c>
      <c r="V361" s="64">
        <f>SUMIFS(super1[Qtde],super1[Item],tab_alimentos[[#This Row],[Item]],super1[Bairro],mercado11)+SUMIFS(supercb[Qtde],supercb[Item],tab_alimentos[[#This Row],[Item]],supercb[Bairro],mercado11)</f>
        <v>0</v>
      </c>
      <c r="W361" s="64">
        <f>SUMIFS(super1[Qtde],super1[Item],tab_alimentos[[#This Row],[Item]],super1[Bairro],mercado12)+SUMIFS(supercb[Qtde],supercb[Item],tab_alimentos[[#This Row],[Item]],supercb[Bairro],mercado12)</f>
        <v>0</v>
      </c>
      <c r="X361" s="64">
        <f>SUMIFS(super1[Qtde],super1[Item],tab_alimentos[[#This Row],[Item]],super1[Bairro],mercado13)+SUMIFS(supercb[Qtde],supercb[Item],tab_alimentos[[#This Row],[Item]],supercb[Bairro],mercado13)</f>
        <v>0</v>
      </c>
      <c r="Y361" s="64">
        <f>SUMIFS(super1[Qtde],super1[Item],tab_alimentos[[#This Row],[Item]],super1[Bairro],mercado14)+SUMIFS(supercb[Qtde],supercb[Item],tab_alimentos[[#This Row],[Item]],supercb[Bairro],mercado14)</f>
        <v>0</v>
      </c>
      <c r="Z361" s="64">
        <f>SUMIFS(super1[Qtde],super1[Item],tab_alimentos[[#This Row],[Item]],super1[Bairro],mercado15)+SUMIFS(supercb[Qtde],supercb[Item],tab_alimentos[[#This Row],[Item]],supercb[Bairro],mercado15)</f>
        <v>0</v>
      </c>
      <c r="AA361" s="64">
        <f>SUMIFS(super1[Qtde],super1[Item],tab_alimentos[[#This Row],[Item]],super1[Bairro],mercado16)+SUMIFS(supercb[Qtde],supercb[Item],tab_alimentos[[#This Row],[Item]],supercb[Bairro],mercado16)</f>
        <v>0</v>
      </c>
      <c r="AB361" s="64">
        <f>SUMIFS(super1[Qtde],super1[Item],tab_alimentos[[#This Row],[Item]],super1[Bairro],mercado17)+SUMIFS(supercb[Qtde],supercb[Item],tab_alimentos[[#This Row],[Item]],supercb[Bairro],mercado17)</f>
        <v>0</v>
      </c>
      <c r="AC361" s="64">
        <f>SUMIFS(super1[Qtde],super1[Item],tab_alimentos[[#This Row],[Item]],super1[Bairro],mercado18)+SUMIFS(supercb[Qtde],supercb[Item],tab_alimentos[[#This Row],[Item]],supercb[Bairro],mercado18)</f>
        <v>0</v>
      </c>
      <c r="AD361" s="64">
        <f>SUMIFS(super1[Qtde],super1[Item],tab_alimentos[[#This Row],[Item]],super1[Bairro],extras)+SUMIFS(supercb[Qtde],supercb[Item],tab_alimentos[[#This Row],[Item]],supercb[Bairro],extras)</f>
        <v>0</v>
      </c>
      <c r="AE361" s="61">
        <f t="shared" si="94"/>
        <v>0</v>
      </c>
      <c r="AF361" s="61">
        <f t="shared" si="95"/>
        <v>0</v>
      </c>
      <c r="AG361" s="62">
        <f t="shared" si="96"/>
        <v>0</v>
      </c>
    </row>
    <row r="362" spans="9:33" x14ac:dyDescent="0.25">
      <c r="I362" s="65" t="e">
        <f>alimentos[[#This Row],[Item]]</f>
        <v>#VALUE!</v>
      </c>
      <c r="J362" s="61">
        <f>IFERROR(alimentos[[#This Row],[kg/embalagem]],0)</f>
        <v>0</v>
      </c>
      <c r="K362" s="64">
        <f>IFERROR(alimentos[[#This Row],[Preço]],0)</f>
        <v>0</v>
      </c>
      <c r="L362" s="64">
        <f>SUMIFS(super1[Qtde],super1[Item],tab_alimentos[[#This Row],[Item]],super1[Bairro],mercado1)+SUMIFS(supercb[Qtde],supercb[Item],tab_alimentos[[#This Row],[Item]],supercb[Bairro],mercado1)</f>
        <v>0</v>
      </c>
      <c r="M362" s="64">
        <f>SUMIFS(super1[Qtde],super1[Item],tab_alimentos[[#This Row],[Item]],super1[Bairro],mercado2)+SUMIFS(supercb[Qtde],supercb[Item],tab_alimentos[[#This Row],[Item]],supercb[Bairro],mercado2)</f>
        <v>0</v>
      </c>
      <c r="N362" s="61">
        <f>SUMIFS(super1[Qtde],super1[Item],tab_alimentos[[#This Row],[Item]],super1[Bairro],mercado3)+SUMIFS(supercb[Qtde],supercb[Item],tab_alimentos[[#This Row],[Item]],supercb[Bairro],mercado3)</f>
        <v>0</v>
      </c>
      <c r="O362" s="64">
        <f>SUMIFS(super1[Qtde],super1[Item],tab_alimentos[[#This Row],[Item]],super1[Bairro],mercado4)+SUMIFS(supercb[Qtde],supercb[Item],tab_alimentos[[#This Row],[Item]],supercb[Bairro],mercado4)</f>
        <v>0</v>
      </c>
      <c r="P362" s="64">
        <f>SUMIFS(super1[Qtde],super1[Item],tab_alimentos[[#This Row],[Item]],super1[Bairro],mercado5)+SUMIFS(supercb[Qtde],supercb[Item],tab_alimentos[[#This Row],[Item]],supercb[Bairro],mercado5)</f>
        <v>0</v>
      </c>
      <c r="Q362" s="64">
        <f>SUMIFS(super1[Qtde],super1[Item],tab_alimentos[[#This Row],[Item]],super1[Bairro],mercado6)+SUMIFS(supercb[Qtde],supercb[Item],tab_alimentos[[#This Row],[Item]],supercb[Bairro],mercado6)</f>
        <v>0</v>
      </c>
      <c r="R362" s="64">
        <f>SUMIFS(super1[Qtde],super1[Item],tab_alimentos[[#This Row],[Item]],super1[Bairro],mercado7)+SUMIFS(supercb[Qtde],supercb[Item],tab_alimentos[[#This Row],[Item]],supercb[Bairro],mercado7)</f>
        <v>0</v>
      </c>
      <c r="S362" s="64">
        <f>SUMIFS(super1[Qtde],super1[Item],tab_alimentos[[#This Row],[Item]],super1[Bairro],mercado8)+SUMIFS(supercb[Qtde],supercb[Item],tab_alimentos[[#This Row],[Item]],supercb[Bairro],mercado8)</f>
        <v>0</v>
      </c>
      <c r="T362" s="64">
        <f>SUMIFS(super1[Qtde],super1[Item],tab_alimentos[[#This Row],[Item]],super1[Bairro],mercado9)+SUMIFS(supercb[Qtde],supercb[Item],tab_alimentos[[#This Row],[Item]],supercb[Bairro],mercado9)</f>
        <v>0</v>
      </c>
      <c r="U362" s="64">
        <f>SUMIFS(super1[Qtde],super1[Item],tab_alimentos[[#This Row],[Item]],super1[Bairro],mercado10)+SUMIFS(supercb[Qtde],supercb[Item],tab_alimentos[[#This Row],[Item]],supercb[Bairro],mercado10)</f>
        <v>0</v>
      </c>
      <c r="V362" s="64">
        <f>SUMIFS(super1[Qtde],super1[Item],tab_alimentos[[#This Row],[Item]],super1[Bairro],mercado11)+SUMIFS(supercb[Qtde],supercb[Item],tab_alimentos[[#This Row],[Item]],supercb[Bairro],mercado11)</f>
        <v>0</v>
      </c>
      <c r="W362" s="64">
        <f>SUMIFS(super1[Qtde],super1[Item],tab_alimentos[[#This Row],[Item]],super1[Bairro],mercado12)+SUMIFS(supercb[Qtde],supercb[Item],tab_alimentos[[#This Row],[Item]],supercb[Bairro],mercado12)</f>
        <v>0</v>
      </c>
      <c r="X362" s="64">
        <f>SUMIFS(super1[Qtde],super1[Item],tab_alimentos[[#This Row],[Item]],super1[Bairro],mercado13)+SUMIFS(supercb[Qtde],supercb[Item],tab_alimentos[[#This Row],[Item]],supercb[Bairro],mercado13)</f>
        <v>0</v>
      </c>
      <c r="Y362" s="64">
        <f>SUMIFS(super1[Qtde],super1[Item],tab_alimentos[[#This Row],[Item]],super1[Bairro],mercado14)+SUMIFS(supercb[Qtde],supercb[Item],tab_alimentos[[#This Row],[Item]],supercb[Bairro],mercado14)</f>
        <v>0</v>
      </c>
      <c r="Z362" s="64">
        <f>SUMIFS(super1[Qtde],super1[Item],tab_alimentos[[#This Row],[Item]],super1[Bairro],mercado15)+SUMIFS(supercb[Qtde],supercb[Item],tab_alimentos[[#This Row],[Item]],supercb[Bairro],mercado15)</f>
        <v>0</v>
      </c>
      <c r="AA362" s="64">
        <f>SUMIFS(super1[Qtde],super1[Item],tab_alimentos[[#This Row],[Item]],super1[Bairro],mercado16)+SUMIFS(supercb[Qtde],supercb[Item],tab_alimentos[[#This Row],[Item]],supercb[Bairro],mercado16)</f>
        <v>0</v>
      </c>
      <c r="AB362" s="64">
        <f>SUMIFS(super1[Qtde],super1[Item],tab_alimentos[[#This Row],[Item]],super1[Bairro],mercado17)+SUMIFS(supercb[Qtde],supercb[Item],tab_alimentos[[#This Row],[Item]],supercb[Bairro],mercado17)</f>
        <v>0</v>
      </c>
      <c r="AC362" s="64">
        <f>SUMIFS(super1[Qtde],super1[Item],tab_alimentos[[#This Row],[Item]],super1[Bairro],mercado18)+SUMIFS(supercb[Qtde],supercb[Item],tab_alimentos[[#This Row],[Item]],supercb[Bairro],mercado18)</f>
        <v>0</v>
      </c>
      <c r="AD362" s="64">
        <f>SUMIFS(super1[Qtde],super1[Item],tab_alimentos[[#This Row],[Item]],super1[Bairro],extras)+SUMIFS(supercb[Qtde],supercb[Item],tab_alimentos[[#This Row],[Item]],supercb[Bairro],extras)</f>
        <v>0</v>
      </c>
      <c r="AE362" s="61">
        <f t="shared" si="94"/>
        <v>0</v>
      </c>
      <c r="AF362" s="61">
        <f t="shared" si="95"/>
        <v>0</v>
      </c>
      <c r="AG362" s="62">
        <f t="shared" si="96"/>
        <v>0</v>
      </c>
    </row>
    <row r="363" spans="9:33" x14ac:dyDescent="0.25">
      <c r="I363" s="65" t="e">
        <f>alimentos[[#This Row],[Item]]</f>
        <v>#VALUE!</v>
      </c>
      <c r="J363" s="61">
        <f>IFERROR(alimentos[[#This Row],[kg/embalagem]],0)</f>
        <v>0</v>
      </c>
      <c r="K363" s="64">
        <f>IFERROR(alimentos[[#This Row],[Preço]],0)</f>
        <v>0</v>
      </c>
      <c r="L363" s="64">
        <f>SUMIFS(super1[Qtde],super1[Item],tab_alimentos[[#This Row],[Item]],super1[Bairro],mercado1)+SUMIFS(supercb[Qtde],supercb[Item],tab_alimentos[[#This Row],[Item]],supercb[Bairro],mercado1)</f>
        <v>0</v>
      </c>
      <c r="M363" s="64">
        <f>SUMIFS(super1[Qtde],super1[Item],tab_alimentos[[#This Row],[Item]],super1[Bairro],mercado2)+SUMIFS(supercb[Qtde],supercb[Item],tab_alimentos[[#This Row],[Item]],supercb[Bairro],mercado2)</f>
        <v>0</v>
      </c>
      <c r="N363" s="61">
        <f>SUMIFS(super1[Qtde],super1[Item],tab_alimentos[[#This Row],[Item]],super1[Bairro],mercado3)+SUMIFS(supercb[Qtde],supercb[Item],tab_alimentos[[#This Row],[Item]],supercb[Bairro],mercado3)</f>
        <v>0</v>
      </c>
      <c r="O363" s="64">
        <f>SUMIFS(super1[Qtde],super1[Item],tab_alimentos[[#This Row],[Item]],super1[Bairro],mercado4)+SUMIFS(supercb[Qtde],supercb[Item],tab_alimentos[[#This Row],[Item]],supercb[Bairro],mercado4)</f>
        <v>0</v>
      </c>
      <c r="P363" s="64">
        <f>SUMIFS(super1[Qtde],super1[Item],tab_alimentos[[#This Row],[Item]],super1[Bairro],mercado5)+SUMIFS(supercb[Qtde],supercb[Item],tab_alimentos[[#This Row],[Item]],supercb[Bairro],mercado5)</f>
        <v>0</v>
      </c>
      <c r="Q363" s="64">
        <f>SUMIFS(super1[Qtde],super1[Item],tab_alimentos[[#This Row],[Item]],super1[Bairro],mercado6)+SUMIFS(supercb[Qtde],supercb[Item],tab_alimentos[[#This Row],[Item]],supercb[Bairro],mercado6)</f>
        <v>0</v>
      </c>
      <c r="R363" s="64">
        <f>SUMIFS(super1[Qtde],super1[Item],tab_alimentos[[#This Row],[Item]],super1[Bairro],mercado7)+SUMIFS(supercb[Qtde],supercb[Item],tab_alimentos[[#This Row],[Item]],supercb[Bairro],mercado7)</f>
        <v>0</v>
      </c>
      <c r="S363" s="64">
        <f>SUMIFS(super1[Qtde],super1[Item],tab_alimentos[[#This Row],[Item]],super1[Bairro],mercado8)+SUMIFS(supercb[Qtde],supercb[Item],tab_alimentos[[#This Row],[Item]],supercb[Bairro],mercado8)</f>
        <v>0</v>
      </c>
      <c r="T363" s="64">
        <f>SUMIFS(super1[Qtde],super1[Item],tab_alimentos[[#This Row],[Item]],super1[Bairro],mercado9)+SUMIFS(supercb[Qtde],supercb[Item],tab_alimentos[[#This Row],[Item]],supercb[Bairro],mercado9)</f>
        <v>0</v>
      </c>
      <c r="U363" s="64">
        <f>SUMIFS(super1[Qtde],super1[Item],tab_alimentos[[#This Row],[Item]],super1[Bairro],mercado10)+SUMIFS(supercb[Qtde],supercb[Item],tab_alimentos[[#This Row],[Item]],supercb[Bairro],mercado10)</f>
        <v>0</v>
      </c>
      <c r="V363" s="64">
        <f>SUMIFS(super1[Qtde],super1[Item],tab_alimentos[[#This Row],[Item]],super1[Bairro],mercado11)+SUMIFS(supercb[Qtde],supercb[Item],tab_alimentos[[#This Row],[Item]],supercb[Bairro],mercado11)</f>
        <v>0</v>
      </c>
      <c r="W363" s="64">
        <f>SUMIFS(super1[Qtde],super1[Item],tab_alimentos[[#This Row],[Item]],super1[Bairro],mercado12)+SUMIFS(supercb[Qtde],supercb[Item],tab_alimentos[[#This Row],[Item]],supercb[Bairro],mercado12)</f>
        <v>0</v>
      </c>
      <c r="X363" s="64">
        <f>SUMIFS(super1[Qtde],super1[Item],tab_alimentos[[#This Row],[Item]],super1[Bairro],mercado13)+SUMIFS(supercb[Qtde],supercb[Item],tab_alimentos[[#This Row],[Item]],supercb[Bairro],mercado13)</f>
        <v>0</v>
      </c>
      <c r="Y363" s="64">
        <f>SUMIFS(super1[Qtde],super1[Item],tab_alimentos[[#This Row],[Item]],super1[Bairro],mercado14)+SUMIFS(supercb[Qtde],supercb[Item],tab_alimentos[[#This Row],[Item]],supercb[Bairro],mercado14)</f>
        <v>0</v>
      </c>
      <c r="Z363" s="64">
        <f>SUMIFS(super1[Qtde],super1[Item],tab_alimentos[[#This Row],[Item]],super1[Bairro],mercado15)+SUMIFS(supercb[Qtde],supercb[Item],tab_alimentos[[#This Row],[Item]],supercb[Bairro],mercado15)</f>
        <v>0</v>
      </c>
      <c r="AA363" s="64">
        <f>SUMIFS(super1[Qtde],super1[Item],tab_alimentos[[#This Row],[Item]],super1[Bairro],mercado16)+SUMIFS(supercb[Qtde],supercb[Item],tab_alimentos[[#This Row],[Item]],supercb[Bairro],mercado16)</f>
        <v>0</v>
      </c>
      <c r="AB363" s="64">
        <f>SUMIFS(super1[Qtde],super1[Item],tab_alimentos[[#This Row],[Item]],super1[Bairro],mercado17)+SUMIFS(supercb[Qtde],supercb[Item],tab_alimentos[[#This Row],[Item]],supercb[Bairro],mercado17)</f>
        <v>0</v>
      </c>
      <c r="AC363" s="64">
        <f>SUMIFS(super1[Qtde],super1[Item],tab_alimentos[[#This Row],[Item]],super1[Bairro],mercado18)+SUMIFS(supercb[Qtde],supercb[Item],tab_alimentos[[#This Row],[Item]],supercb[Bairro],mercado18)</f>
        <v>0</v>
      </c>
      <c r="AD363" s="64">
        <f>SUMIFS(super1[Qtde],super1[Item],tab_alimentos[[#This Row],[Item]],super1[Bairro],extras)+SUMIFS(supercb[Qtde],supercb[Item],tab_alimentos[[#This Row],[Item]],supercb[Bairro],extras)</f>
        <v>0</v>
      </c>
      <c r="AE363" s="61">
        <f t="shared" si="94"/>
        <v>0</v>
      </c>
      <c r="AF363" s="61">
        <f t="shared" si="95"/>
        <v>0</v>
      </c>
      <c r="AG363" s="62">
        <f t="shared" si="96"/>
        <v>0</v>
      </c>
    </row>
    <row r="364" spans="9:33" x14ac:dyDescent="0.25">
      <c r="I364" s="65" t="e">
        <f>alimentos[[#This Row],[Item]]</f>
        <v>#VALUE!</v>
      </c>
      <c r="J364" s="61">
        <f>IFERROR(alimentos[[#This Row],[kg/embalagem]],0)</f>
        <v>0</v>
      </c>
      <c r="K364" s="64">
        <f>IFERROR(alimentos[[#This Row],[Preço]],0)</f>
        <v>0</v>
      </c>
      <c r="L364" s="64">
        <f>SUMIFS(super1[Qtde],super1[Item],tab_alimentos[[#This Row],[Item]],super1[Bairro],mercado1)+SUMIFS(supercb[Qtde],supercb[Item],tab_alimentos[[#This Row],[Item]],supercb[Bairro],mercado1)</f>
        <v>0</v>
      </c>
      <c r="M364" s="64">
        <f>SUMIFS(super1[Qtde],super1[Item],tab_alimentos[[#This Row],[Item]],super1[Bairro],mercado2)+SUMIFS(supercb[Qtde],supercb[Item],tab_alimentos[[#This Row],[Item]],supercb[Bairro],mercado2)</f>
        <v>0</v>
      </c>
      <c r="N364" s="61">
        <f>SUMIFS(super1[Qtde],super1[Item],tab_alimentos[[#This Row],[Item]],super1[Bairro],mercado3)+SUMIFS(supercb[Qtde],supercb[Item],tab_alimentos[[#This Row],[Item]],supercb[Bairro],mercado3)</f>
        <v>0</v>
      </c>
      <c r="O364" s="64">
        <f>SUMIFS(super1[Qtde],super1[Item],tab_alimentos[[#This Row],[Item]],super1[Bairro],mercado4)+SUMIFS(supercb[Qtde],supercb[Item],tab_alimentos[[#This Row],[Item]],supercb[Bairro],mercado4)</f>
        <v>0</v>
      </c>
      <c r="P364" s="64">
        <f>SUMIFS(super1[Qtde],super1[Item],tab_alimentos[[#This Row],[Item]],super1[Bairro],mercado5)+SUMIFS(supercb[Qtde],supercb[Item],tab_alimentos[[#This Row],[Item]],supercb[Bairro],mercado5)</f>
        <v>0</v>
      </c>
      <c r="Q364" s="64">
        <f>SUMIFS(super1[Qtde],super1[Item],tab_alimentos[[#This Row],[Item]],super1[Bairro],mercado6)+SUMIFS(supercb[Qtde],supercb[Item],tab_alimentos[[#This Row],[Item]],supercb[Bairro],mercado6)</f>
        <v>0</v>
      </c>
      <c r="R364" s="64">
        <f>SUMIFS(super1[Qtde],super1[Item],tab_alimentos[[#This Row],[Item]],super1[Bairro],mercado7)+SUMIFS(supercb[Qtde],supercb[Item],tab_alimentos[[#This Row],[Item]],supercb[Bairro],mercado7)</f>
        <v>0</v>
      </c>
      <c r="S364" s="64">
        <f>SUMIFS(super1[Qtde],super1[Item],tab_alimentos[[#This Row],[Item]],super1[Bairro],mercado8)+SUMIFS(supercb[Qtde],supercb[Item],tab_alimentos[[#This Row],[Item]],supercb[Bairro],mercado8)</f>
        <v>0</v>
      </c>
      <c r="T364" s="64">
        <f>SUMIFS(super1[Qtde],super1[Item],tab_alimentos[[#This Row],[Item]],super1[Bairro],mercado9)+SUMIFS(supercb[Qtde],supercb[Item],tab_alimentos[[#This Row],[Item]],supercb[Bairro],mercado9)</f>
        <v>0</v>
      </c>
      <c r="U364" s="64">
        <f>SUMIFS(super1[Qtde],super1[Item],tab_alimentos[[#This Row],[Item]],super1[Bairro],mercado10)+SUMIFS(supercb[Qtde],supercb[Item],tab_alimentos[[#This Row],[Item]],supercb[Bairro],mercado10)</f>
        <v>0</v>
      </c>
      <c r="V364" s="64">
        <f>SUMIFS(super1[Qtde],super1[Item],tab_alimentos[[#This Row],[Item]],super1[Bairro],mercado11)+SUMIFS(supercb[Qtde],supercb[Item],tab_alimentos[[#This Row],[Item]],supercb[Bairro],mercado11)</f>
        <v>0</v>
      </c>
      <c r="W364" s="64">
        <f>SUMIFS(super1[Qtde],super1[Item],tab_alimentos[[#This Row],[Item]],super1[Bairro],mercado12)+SUMIFS(supercb[Qtde],supercb[Item],tab_alimentos[[#This Row],[Item]],supercb[Bairro],mercado12)</f>
        <v>0</v>
      </c>
      <c r="X364" s="64">
        <f>SUMIFS(super1[Qtde],super1[Item],tab_alimentos[[#This Row],[Item]],super1[Bairro],mercado13)+SUMIFS(supercb[Qtde],supercb[Item],tab_alimentos[[#This Row],[Item]],supercb[Bairro],mercado13)</f>
        <v>0</v>
      </c>
      <c r="Y364" s="64">
        <f>SUMIFS(super1[Qtde],super1[Item],tab_alimentos[[#This Row],[Item]],super1[Bairro],mercado14)+SUMIFS(supercb[Qtde],supercb[Item],tab_alimentos[[#This Row],[Item]],supercb[Bairro],mercado14)</f>
        <v>0</v>
      </c>
      <c r="Z364" s="64">
        <f>SUMIFS(super1[Qtde],super1[Item],tab_alimentos[[#This Row],[Item]],super1[Bairro],mercado15)+SUMIFS(supercb[Qtde],supercb[Item],tab_alimentos[[#This Row],[Item]],supercb[Bairro],mercado15)</f>
        <v>0</v>
      </c>
      <c r="AA364" s="64">
        <f>SUMIFS(super1[Qtde],super1[Item],tab_alimentos[[#This Row],[Item]],super1[Bairro],mercado16)+SUMIFS(supercb[Qtde],supercb[Item],tab_alimentos[[#This Row],[Item]],supercb[Bairro],mercado16)</f>
        <v>0</v>
      </c>
      <c r="AB364" s="64">
        <f>SUMIFS(super1[Qtde],super1[Item],tab_alimentos[[#This Row],[Item]],super1[Bairro],mercado17)+SUMIFS(supercb[Qtde],supercb[Item],tab_alimentos[[#This Row],[Item]],supercb[Bairro],mercado17)</f>
        <v>0</v>
      </c>
      <c r="AC364" s="64">
        <f>SUMIFS(super1[Qtde],super1[Item],tab_alimentos[[#This Row],[Item]],super1[Bairro],mercado18)+SUMIFS(supercb[Qtde],supercb[Item],tab_alimentos[[#This Row],[Item]],supercb[Bairro],mercado18)</f>
        <v>0</v>
      </c>
      <c r="AD364" s="64">
        <f>SUMIFS(super1[Qtde],super1[Item],tab_alimentos[[#This Row],[Item]],super1[Bairro],extras)+SUMIFS(supercb[Qtde],supercb[Item],tab_alimentos[[#This Row],[Item]],supercb[Bairro],extras)</f>
        <v>0</v>
      </c>
      <c r="AE364" s="61">
        <f t="shared" si="94"/>
        <v>0</v>
      </c>
      <c r="AF364" s="61">
        <f t="shared" si="95"/>
        <v>0</v>
      </c>
      <c r="AG364" s="62">
        <f t="shared" si="96"/>
        <v>0</v>
      </c>
    </row>
    <row r="365" spans="9:33" x14ac:dyDescent="0.25">
      <c r="I365" s="65" t="e">
        <f>alimentos[[#This Row],[Item]]</f>
        <v>#VALUE!</v>
      </c>
      <c r="J365" s="61">
        <f>IFERROR(alimentos[[#This Row],[kg/embalagem]],0)</f>
        <v>0</v>
      </c>
      <c r="K365" s="64">
        <f>IFERROR(alimentos[[#This Row],[Preço]],0)</f>
        <v>0</v>
      </c>
      <c r="L365" s="64">
        <f>SUMIFS(super1[Qtde],super1[Item],tab_alimentos[[#This Row],[Item]],super1[Bairro],mercado1)+SUMIFS(supercb[Qtde],supercb[Item],tab_alimentos[[#This Row],[Item]],supercb[Bairro],mercado1)</f>
        <v>0</v>
      </c>
      <c r="M365" s="64">
        <f>SUMIFS(super1[Qtde],super1[Item],tab_alimentos[[#This Row],[Item]],super1[Bairro],mercado2)+SUMIFS(supercb[Qtde],supercb[Item],tab_alimentos[[#This Row],[Item]],supercb[Bairro],mercado2)</f>
        <v>0</v>
      </c>
      <c r="N365" s="61">
        <f>SUMIFS(super1[Qtde],super1[Item],tab_alimentos[[#This Row],[Item]],super1[Bairro],mercado3)+SUMIFS(supercb[Qtde],supercb[Item],tab_alimentos[[#This Row],[Item]],supercb[Bairro],mercado3)</f>
        <v>0</v>
      </c>
      <c r="O365" s="64">
        <f>SUMIFS(super1[Qtde],super1[Item],tab_alimentos[[#This Row],[Item]],super1[Bairro],mercado4)+SUMIFS(supercb[Qtde],supercb[Item],tab_alimentos[[#This Row],[Item]],supercb[Bairro],mercado4)</f>
        <v>0</v>
      </c>
      <c r="P365" s="64">
        <f>SUMIFS(super1[Qtde],super1[Item],tab_alimentos[[#This Row],[Item]],super1[Bairro],mercado5)+SUMIFS(supercb[Qtde],supercb[Item],tab_alimentos[[#This Row],[Item]],supercb[Bairro],mercado5)</f>
        <v>0</v>
      </c>
      <c r="Q365" s="64">
        <f>SUMIFS(super1[Qtde],super1[Item],tab_alimentos[[#This Row],[Item]],super1[Bairro],mercado6)+SUMIFS(supercb[Qtde],supercb[Item],tab_alimentos[[#This Row],[Item]],supercb[Bairro],mercado6)</f>
        <v>0</v>
      </c>
      <c r="R365" s="64">
        <f>SUMIFS(super1[Qtde],super1[Item],tab_alimentos[[#This Row],[Item]],super1[Bairro],mercado7)+SUMIFS(supercb[Qtde],supercb[Item],tab_alimentos[[#This Row],[Item]],supercb[Bairro],mercado7)</f>
        <v>0</v>
      </c>
      <c r="S365" s="64">
        <f>SUMIFS(super1[Qtde],super1[Item],tab_alimentos[[#This Row],[Item]],super1[Bairro],mercado8)+SUMIFS(supercb[Qtde],supercb[Item],tab_alimentos[[#This Row],[Item]],supercb[Bairro],mercado8)</f>
        <v>0</v>
      </c>
      <c r="T365" s="64">
        <f>SUMIFS(super1[Qtde],super1[Item],tab_alimentos[[#This Row],[Item]],super1[Bairro],mercado9)+SUMIFS(supercb[Qtde],supercb[Item],tab_alimentos[[#This Row],[Item]],supercb[Bairro],mercado9)</f>
        <v>0</v>
      </c>
      <c r="U365" s="64">
        <f>SUMIFS(super1[Qtde],super1[Item],tab_alimentos[[#This Row],[Item]],super1[Bairro],mercado10)+SUMIFS(supercb[Qtde],supercb[Item],tab_alimentos[[#This Row],[Item]],supercb[Bairro],mercado10)</f>
        <v>0</v>
      </c>
      <c r="V365" s="64">
        <f>SUMIFS(super1[Qtde],super1[Item],tab_alimentos[[#This Row],[Item]],super1[Bairro],mercado11)+SUMIFS(supercb[Qtde],supercb[Item],tab_alimentos[[#This Row],[Item]],supercb[Bairro],mercado11)</f>
        <v>0</v>
      </c>
      <c r="W365" s="64">
        <f>SUMIFS(super1[Qtde],super1[Item],tab_alimentos[[#This Row],[Item]],super1[Bairro],mercado12)+SUMIFS(supercb[Qtde],supercb[Item],tab_alimentos[[#This Row],[Item]],supercb[Bairro],mercado12)</f>
        <v>0</v>
      </c>
      <c r="X365" s="64">
        <f>SUMIFS(super1[Qtde],super1[Item],tab_alimentos[[#This Row],[Item]],super1[Bairro],mercado13)+SUMIFS(supercb[Qtde],supercb[Item],tab_alimentos[[#This Row],[Item]],supercb[Bairro],mercado13)</f>
        <v>0</v>
      </c>
      <c r="Y365" s="64">
        <f>SUMIFS(super1[Qtde],super1[Item],tab_alimentos[[#This Row],[Item]],super1[Bairro],mercado14)+SUMIFS(supercb[Qtde],supercb[Item],tab_alimentos[[#This Row],[Item]],supercb[Bairro],mercado14)</f>
        <v>0</v>
      </c>
      <c r="Z365" s="64">
        <f>SUMIFS(super1[Qtde],super1[Item],tab_alimentos[[#This Row],[Item]],super1[Bairro],mercado15)+SUMIFS(supercb[Qtde],supercb[Item],tab_alimentos[[#This Row],[Item]],supercb[Bairro],mercado15)</f>
        <v>0</v>
      </c>
      <c r="AA365" s="64">
        <f>SUMIFS(super1[Qtde],super1[Item],tab_alimentos[[#This Row],[Item]],super1[Bairro],mercado16)+SUMIFS(supercb[Qtde],supercb[Item],tab_alimentos[[#This Row],[Item]],supercb[Bairro],mercado16)</f>
        <v>0</v>
      </c>
      <c r="AB365" s="64">
        <f>SUMIFS(super1[Qtde],super1[Item],tab_alimentos[[#This Row],[Item]],super1[Bairro],mercado17)+SUMIFS(supercb[Qtde],supercb[Item],tab_alimentos[[#This Row],[Item]],supercb[Bairro],mercado17)</f>
        <v>0</v>
      </c>
      <c r="AC365" s="64">
        <f>SUMIFS(super1[Qtde],super1[Item],tab_alimentos[[#This Row],[Item]],super1[Bairro],mercado18)+SUMIFS(supercb[Qtde],supercb[Item],tab_alimentos[[#This Row],[Item]],supercb[Bairro],mercado18)</f>
        <v>0</v>
      </c>
      <c r="AD365" s="64">
        <f>SUMIFS(super1[Qtde],super1[Item],tab_alimentos[[#This Row],[Item]],super1[Bairro],extras)+SUMIFS(supercb[Qtde],supercb[Item],tab_alimentos[[#This Row],[Item]],supercb[Bairro],extras)</f>
        <v>0</v>
      </c>
      <c r="AE365" s="61">
        <f t="shared" si="94"/>
        <v>0</v>
      </c>
      <c r="AF365" s="61">
        <f t="shared" si="95"/>
        <v>0</v>
      </c>
      <c r="AG365" s="62">
        <f t="shared" si="96"/>
        <v>0</v>
      </c>
    </row>
    <row r="366" spans="9:33" x14ac:dyDescent="0.25">
      <c r="I366" s="65" t="e">
        <f>alimentos[[#This Row],[Item]]</f>
        <v>#VALUE!</v>
      </c>
      <c r="J366" s="61">
        <f>IFERROR(alimentos[[#This Row],[kg/embalagem]],0)</f>
        <v>0</v>
      </c>
      <c r="K366" s="64">
        <f>IFERROR(alimentos[[#This Row],[Preço]],0)</f>
        <v>0</v>
      </c>
      <c r="L366" s="64">
        <f>SUMIFS(super1[Qtde],super1[Item],tab_alimentos[[#This Row],[Item]],super1[Bairro],mercado1)+SUMIFS(supercb[Qtde],supercb[Item],tab_alimentos[[#This Row],[Item]],supercb[Bairro],mercado1)</f>
        <v>0</v>
      </c>
      <c r="M366" s="64">
        <f>SUMIFS(super1[Qtde],super1[Item],tab_alimentos[[#This Row],[Item]],super1[Bairro],mercado2)+SUMIFS(supercb[Qtde],supercb[Item],tab_alimentos[[#This Row],[Item]],supercb[Bairro],mercado2)</f>
        <v>0</v>
      </c>
      <c r="N366" s="61">
        <f>SUMIFS(super1[Qtde],super1[Item],tab_alimentos[[#This Row],[Item]],super1[Bairro],mercado3)+SUMIFS(supercb[Qtde],supercb[Item],tab_alimentos[[#This Row],[Item]],supercb[Bairro],mercado3)</f>
        <v>0</v>
      </c>
      <c r="O366" s="64">
        <f>SUMIFS(super1[Qtde],super1[Item],tab_alimentos[[#This Row],[Item]],super1[Bairro],mercado4)+SUMIFS(supercb[Qtde],supercb[Item],tab_alimentos[[#This Row],[Item]],supercb[Bairro],mercado4)</f>
        <v>0</v>
      </c>
      <c r="P366" s="64">
        <f>SUMIFS(super1[Qtde],super1[Item],tab_alimentos[[#This Row],[Item]],super1[Bairro],mercado5)+SUMIFS(supercb[Qtde],supercb[Item],tab_alimentos[[#This Row],[Item]],supercb[Bairro],mercado5)</f>
        <v>0</v>
      </c>
      <c r="Q366" s="64">
        <f>SUMIFS(super1[Qtde],super1[Item],tab_alimentos[[#This Row],[Item]],super1[Bairro],mercado6)+SUMIFS(supercb[Qtde],supercb[Item],tab_alimentos[[#This Row],[Item]],supercb[Bairro],mercado6)</f>
        <v>0</v>
      </c>
      <c r="R366" s="64">
        <f>SUMIFS(super1[Qtde],super1[Item],tab_alimentos[[#This Row],[Item]],super1[Bairro],mercado7)+SUMIFS(supercb[Qtde],supercb[Item],tab_alimentos[[#This Row],[Item]],supercb[Bairro],mercado7)</f>
        <v>0</v>
      </c>
      <c r="S366" s="64">
        <f>SUMIFS(super1[Qtde],super1[Item],tab_alimentos[[#This Row],[Item]],super1[Bairro],mercado8)+SUMIFS(supercb[Qtde],supercb[Item],tab_alimentos[[#This Row],[Item]],supercb[Bairro],mercado8)</f>
        <v>0</v>
      </c>
      <c r="T366" s="64">
        <f>SUMIFS(super1[Qtde],super1[Item],tab_alimentos[[#This Row],[Item]],super1[Bairro],mercado9)+SUMIFS(supercb[Qtde],supercb[Item],tab_alimentos[[#This Row],[Item]],supercb[Bairro],mercado9)</f>
        <v>0</v>
      </c>
      <c r="U366" s="64">
        <f>SUMIFS(super1[Qtde],super1[Item],tab_alimentos[[#This Row],[Item]],super1[Bairro],mercado10)+SUMIFS(supercb[Qtde],supercb[Item],tab_alimentos[[#This Row],[Item]],supercb[Bairro],mercado10)</f>
        <v>0</v>
      </c>
      <c r="V366" s="64">
        <f>SUMIFS(super1[Qtde],super1[Item],tab_alimentos[[#This Row],[Item]],super1[Bairro],mercado11)+SUMIFS(supercb[Qtde],supercb[Item],tab_alimentos[[#This Row],[Item]],supercb[Bairro],mercado11)</f>
        <v>0</v>
      </c>
      <c r="W366" s="64">
        <f>SUMIFS(super1[Qtde],super1[Item],tab_alimentos[[#This Row],[Item]],super1[Bairro],mercado12)+SUMIFS(supercb[Qtde],supercb[Item],tab_alimentos[[#This Row],[Item]],supercb[Bairro],mercado12)</f>
        <v>0</v>
      </c>
      <c r="X366" s="64">
        <f>SUMIFS(super1[Qtde],super1[Item],tab_alimentos[[#This Row],[Item]],super1[Bairro],mercado13)+SUMIFS(supercb[Qtde],supercb[Item],tab_alimentos[[#This Row],[Item]],supercb[Bairro],mercado13)</f>
        <v>0</v>
      </c>
      <c r="Y366" s="64">
        <f>SUMIFS(super1[Qtde],super1[Item],tab_alimentos[[#This Row],[Item]],super1[Bairro],mercado14)+SUMIFS(supercb[Qtde],supercb[Item],tab_alimentos[[#This Row],[Item]],supercb[Bairro],mercado14)</f>
        <v>0</v>
      </c>
      <c r="Z366" s="64">
        <f>SUMIFS(super1[Qtde],super1[Item],tab_alimentos[[#This Row],[Item]],super1[Bairro],mercado15)+SUMIFS(supercb[Qtde],supercb[Item],tab_alimentos[[#This Row],[Item]],supercb[Bairro],mercado15)</f>
        <v>0</v>
      </c>
      <c r="AA366" s="64">
        <f>SUMIFS(super1[Qtde],super1[Item],tab_alimentos[[#This Row],[Item]],super1[Bairro],mercado16)+SUMIFS(supercb[Qtde],supercb[Item],tab_alimentos[[#This Row],[Item]],supercb[Bairro],mercado16)</f>
        <v>0</v>
      </c>
      <c r="AB366" s="64">
        <f>SUMIFS(super1[Qtde],super1[Item],tab_alimentos[[#This Row],[Item]],super1[Bairro],mercado17)+SUMIFS(supercb[Qtde],supercb[Item],tab_alimentos[[#This Row],[Item]],supercb[Bairro],mercado17)</f>
        <v>0</v>
      </c>
      <c r="AC366" s="64">
        <f>SUMIFS(super1[Qtde],super1[Item],tab_alimentos[[#This Row],[Item]],super1[Bairro],mercado18)+SUMIFS(supercb[Qtde],supercb[Item],tab_alimentos[[#This Row],[Item]],supercb[Bairro],mercado18)</f>
        <v>0</v>
      </c>
      <c r="AD366" s="64">
        <f>SUMIFS(super1[Qtde],super1[Item],tab_alimentos[[#This Row],[Item]],super1[Bairro],extras)+SUMIFS(supercb[Qtde],supercb[Item],tab_alimentos[[#This Row],[Item]],supercb[Bairro],extras)</f>
        <v>0</v>
      </c>
      <c r="AE366" s="61">
        <f t="shared" si="94"/>
        <v>0</v>
      </c>
      <c r="AF366" s="61">
        <f t="shared" si="95"/>
        <v>0</v>
      </c>
      <c r="AG366" s="62">
        <f t="shared" si="96"/>
        <v>0</v>
      </c>
    </row>
    <row r="367" spans="9:33" x14ac:dyDescent="0.25">
      <c r="I367" s="65" t="e">
        <f>alimentos[[#This Row],[Item]]</f>
        <v>#VALUE!</v>
      </c>
      <c r="J367" s="61">
        <f>IFERROR(alimentos[[#This Row],[kg/embalagem]],0)</f>
        <v>0</v>
      </c>
      <c r="K367" s="64">
        <f>IFERROR(alimentos[[#This Row],[Preço]],0)</f>
        <v>0</v>
      </c>
      <c r="L367" s="64">
        <f>SUMIFS(super1[Qtde],super1[Item],tab_alimentos[[#This Row],[Item]],super1[Bairro],mercado1)+SUMIFS(supercb[Qtde],supercb[Item],tab_alimentos[[#This Row],[Item]],supercb[Bairro],mercado1)</f>
        <v>0</v>
      </c>
      <c r="M367" s="64">
        <f>SUMIFS(super1[Qtde],super1[Item],tab_alimentos[[#This Row],[Item]],super1[Bairro],mercado2)+SUMIFS(supercb[Qtde],supercb[Item],tab_alimentos[[#This Row],[Item]],supercb[Bairro],mercado2)</f>
        <v>0</v>
      </c>
      <c r="N367" s="61">
        <f>SUMIFS(super1[Qtde],super1[Item],tab_alimentos[[#This Row],[Item]],super1[Bairro],mercado3)+SUMIFS(supercb[Qtde],supercb[Item],tab_alimentos[[#This Row],[Item]],supercb[Bairro],mercado3)</f>
        <v>0</v>
      </c>
      <c r="O367" s="64">
        <f>SUMIFS(super1[Qtde],super1[Item],tab_alimentos[[#This Row],[Item]],super1[Bairro],mercado4)+SUMIFS(supercb[Qtde],supercb[Item],tab_alimentos[[#This Row],[Item]],supercb[Bairro],mercado4)</f>
        <v>0</v>
      </c>
      <c r="P367" s="64">
        <f>SUMIFS(super1[Qtde],super1[Item],tab_alimentos[[#This Row],[Item]],super1[Bairro],mercado5)+SUMIFS(supercb[Qtde],supercb[Item],tab_alimentos[[#This Row],[Item]],supercb[Bairro],mercado5)</f>
        <v>0</v>
      </c>
      <c r="Q367" s="64">
        <f>SUMIFS(super1[Qtde],super1[Item],tab_alimentos[[#This Row],[Item]],super1[Bairro],mercado6)+SUMIFS(supercb[Qtde],supercb[Item],tab_alimentos[[#This Row],[Item]],supercb[Bairro],mercado6)</f>
        <v>0</v>
      </c>
      <c r="R367" s="64">
        <f>SUMIFS(super1[Qtde],super1[Item],tab_alimentos[[#This Row],[Item]],super1[Bairro],mercado7)+SUMIFS(supercb[Qtde],supercb[Item],tab_alimentos[[#This Row],[Item]],supercb[Bairro],mercado7)</f>
        <v>0</v>
      </c>
      <c r="S367" s="64">
        <f>SUMIFS(super1[Qtde],super1[Item],tab_alimentos[[#This Row],[Item]],super1[Bairro],mercado8)+SUMIFS(supercb[Qtde],supercb[Item],tab_alimentos[[#This Row],[Item]],supercb[Bairro],mercado8)</f>
        <v>0</v>
      </c>
      <c r="T367" s="64">
        <f>SUMIFS(super1[Qtde],super1[Item],tab_alimentos[[#This Row],[Item]],super1[Bairro],mercado9)+SUMIFS(supercb[Qtde],supercb[Item],tab_alimentos[[#This Row],[Item]],supercb[Bairro],mercado9)</f>
        <v>0</v>
      </c>
      <c r="U367" s="64">
        <f>SUMIFS(super1[Qtde],super1[Item],tab_alimentos[[#This Row],[Item]],super1[Bairro],mercado10)+SUMIFS(supercb[Qtde],supercb[Item],tab_alimentos[[#This Row],[Item]],supercb[Bairro],mercado10)</f>
        <v>0</v>
      </c>
      <c r="V367" s="64">
        <f>SUMIFS(super1[Qtde],super1[Item],tab_alimentos[[#This Row],[Item]],super1[Bairro],mercado11)+SUMIFS(supercb[Qtde],supercb[Item],tab_alimentos[[#This Row],[Item]],supercb[Bairro],mercado11)</f>
        <v>0</v>
      </c>
      <c r="W367" s="64">
        <f>SUMIFS(super1[Qtde],super1[Item],tab_alimentos[[#This Row],[Item]],super1[Bairro],mercado12)+SUMIFS(supercb[Qtde],supercb[Item],tab_alimentos[[#This Row],[Item]],supercb[Bairro],mercado12)</f>
        <v>0</v>
      </c>
      <c r="X367" s="64">
        <f>SUMIFS(super1[Qtde],super1[Item],tab_alimentos[[#This Row],[Item]],super1[Bairro],mercado13)+SUMIFS(supercb[Qtde],supercb[Item],tab_alimentos[[#This Row],[Item]],supercb[Bairro],mercado13)</f>
        <v>0</v>
      </c>
      <c r="Y367" s="64">
        <f>SUMIFS(super1[Qtde],super1[Item],tab_alimentos[[#This Row],[Item]],super1[Bairro],mercado14)+SUMIFS(supercb[Qtde],supercb[Item],tab_alimentos[[#This Row],[Item]],supercb[Bairro],mercado14)</f>
        <v>0</v>
      </c>
      <c r="Z367" s="64">
        <f>SUMIFS(super1[Qtde],super1[Item],tab_alimentos[[#This Row],[Item]],super1[Bairro],mercado15)+SUMIFS(supercb[Qtde],supercb[Item],tab_alimentos[[#This Row],[Item]],supercb[Bairro],mercado15)</f>
        <v>0</v>
      </c>
      <c r="AA367" s="64">
        <f>SUMIFS(super1[Qtde],super1[Item],tab_alimentos[[#This Row],[Item]],super1[Bairro],mercado16)+SUMIFS(supercb[Qtde],supercb[Item],tab_alimentos[[#This Row],[Item]],supercb[Bairro],mercado16)</f>
        <v>0</v>
      </c>
      <c r="AB367" s="64">
        <f>SUMIFS(super1[Qtde],super1[Item],tab_alimentos[[#This Row],[Item]],super1[Bairro],mercado17)+SUMIFS(supercb[Qtde],supercb[Item],tab_alimentos[[#This Row],[Item]],supercb[Bairro],mercado17)</f>
        <v>0</v>
      </c>
      <c r="AC367" s="64">
        <f>SUMIFS(super1[Qtde],super1[Item],tab_alimentos[[#This Row],[Item]],super1[Bairro],mercado18)+SUMIFS(supercb[Qtde],supercb[Item],tab_alimentos[[#This Row],[Item]],supercb[Bairro],mercado18)</f>
        <v>0</v>
      </c>
      <c r="AD367" s="64">
        <f>SUMIFS(super1[Qtde],super1[Item],tab_alimentos[[#This Row],[Item]],super1[Bairro],extras)+SUMIFS(supercb[Qtde],supercb[Item],tab_alimentos[[#This Row],[Item]],supercb[Bairro],extras)</f>
        <v>0</v>
      </c>
      <c r="AE367" s="61">
        <f t="shared" si="94"/>
        <v>0</v>
      </c>
      <c r="AF367" s="61">
        <f t="shared" si="95"/>
        <v>0</v>
      </c>
      <c r="AG367" s="62">
        <f t="shared" si="96"/>
        <v>0</v>
      </c>
    </row>
    <row r="368" spans="9:33" x14ac:dyDescent="0.25">
      <c r="I368" s="65" t="e">
        <f>alimentos[[#This Row],[Item]]</f>
        <v>#VALUE!</v>
      </c>
      <c r="J368" s="61">
        <f>IFERROR(alimentos[[#This Row],[kg/embalagem]],0)</f>
        <v>0</v>
      </c>
      <c r="K368" s="64">
        <f>IFERROR(alimentos[[#This Row],[Preço]],0)</f>
        <v>0</v>
      </c>
      <c r="L368" s="64">
        <f>SUMIFS(super1[Qtde],super1[Item],tab_alimentos[[#This Row],[Item]],super1[Bairro],mercado1)+SUMIFS(supercb[Qtde],supercb[Item],tab_alimentos[[#This Row],[Item]],supercb[Bairro],mercado1)</f>
        <v>0</v>
      </c>
      <c r="M368" s="64">
        <f>SUMIFS(super1[Qtde],super1[Item],tab_alimentos[[#This Row],[Item]],super1[Bairro],mercado2)+SUMIFS(supercb[Qtde],supercb[Item],tab_alimentos[[#This Row],[Item]],supercb[Bairro],mercado2)</f>
        <v>0</v>
      </c>
      <c r="N368" s="61">
        <f>SUMIFS(super1[Qtde],super1[Item],tab_alimentos[[#This Row],[Item]],super1[Bairro],mercado3)+SUMIFS(supercb[Qtde],supercb[Item],tab_alimentos[[#This Row],[Item]],supercb[Bairro],mercado3)</f>
        <v>0</v>
      </c>
      <c r="O368" s="64">
        <f>SUMIFS(super1[Qtde],super1[Item],tab_alimentos[[#This Row],[Item]],super1[Bairro],mercado4)+SUMIFS(supercb[Qtde],supercb[Item],tab_alimentos[[#This Row],[Item]],supercb[Bairro],mercado4)</f>
        <v>0</v>
      </c>
      <c r="P368" s="64">
        <f>SUMIFS(super1[Qtde],super1[Item],tab_alimentos[[#This Row],[Item]],super1[Bairro],mercado5)+SUMIFS(supercb[Qtde],supercb[Item],tab_alimentos[[#This Row],[Item]],supercb[Bairro],mercado5)</f>
        <v>0</v>
      </c>
      <c r="Q368" s="64">
        <f>SUMIFS(super1[Qtde],super1[Item],tab_alimentos[[#This Row],[Item]],super1[Bairro],mercado6)+SUMIFS(supercb[Qtde],supercb[Item],tab_alimentos[[#This Row],[Item]],supercb[Bairro],mercado6)</f>
        <v>0</v>
      </c>
      <c r="R368" s="64">
        <f>SUMIFS(super1[Qtde],super1[Item],tab_alimentos[[#This Row],[Item]],super1[Bairro],mercado7)+SUMIFS(supercb[Qtde],supercb[Item],tab_alimentos[[#This Row],[Item]],supercb[Bairro],mercado7)</f>
        <v>0</v>
      </c>
      <c r="S368" s="64">
        <f>SUMIFS(super1[Qtde],super1[Item],tab_alimentos[[#This Row],[Item]],super1[Bairro],mercado8)+SUMIFS(supercb[Qtde],supercb[Item],tab_alimentos[[#This Row],[Item]],supercb[Bairro],mercado8)</f>
        <v>0</v>
      </c>
      <c r="T368" s="64">
        <f>SUMIFS(super1[Qtde],super1[Item],tab_alimentos[[#This Row],[Item]],super1[Bairro],mercado9)+SUMIFS(supercb[Qtde],supercb[Item],tab_alimentos[[#This Row],[Item]],supercb[Bairro],mercado9)</f>
        <v>0</v>
      </c>
      <c r="U368" s="64">
        <f>SUMIFS(super1[Qtde],super1[Item],tab_alimentos[[#This Row],[Item]],super1[Bairro],mercado10)+SUMIFS(supercb[Qtde],supercb[Item],tab_alimentos[[#This Row],[Item]],supercb[Bairro],mercado10)</f>
        <v>0</v>
      </c>
      <c r="V368" s="64">
        <f>SUMIFS(super1[Qtde],super1[Item],tab_alimentos[[#This Row],[Item]],super1[Bairro],mercado11)+SUMIFS(supercb[Qtde],supercb[Item],tab_alimentos[[#This Row],[Item]],supercb[Bairro],mercado11)</f>
        <v>0</v>
      </c>
      <c r="W368" s="64">
        <f>SUMIFS(super1[Qtde],super1[Item],tab_alimentos[[#This Row],[Item]],super1[Bairro],mercado12)+SUMIFS(supercb[Qtde],supercb[Item],tab_alimentos[[#This Row],[Item]],supercb[Bairro],mercado12)</f>
        <v>0</v>
      </c>
      <c r="X368" s="64">
        <f>SUMIFS(super1[Qtde],super1[Item],tab_alimentos[[#This Row],[Item]],super1[Bairro],mercado13)+SUMIFS(supercb[Qtde],supercb[Item],tab_alimentos[[#This Row],[Item]],supercb[Bairro],mercado13)</f>
        <v>0</v>
      </c>
      <c r="Y368" s="64">
        <f>SUMIFS(super1[Qtde],super1[Item],tab_alimentos[[#This Row],[Item]],super1[Bairro],mercado14)+SUMIFS(supercb[Qtde],supercb[Item],tab_alimentos[[#This Row],[Item]],supercb[Bairro],mercado14)</f>
        <v>0</v>
      </c>
      <c r="Z368" s="64">
        <f>SUMIFS(super1[Qtde],super1[Item],tab_alimentos[[#This Row],[Item]],super1[Bairro],mercado15)+SUMIFS(supercb[Qtde],supercb[Item],tab_alimentos[[#This Row],[Item]],supercb[Bairro],mercado15)</f>
        <v>0</v>
      </c>
      <c r="AA368" s="64">
        <f>SUMIFS(super1[Qtde],super1[Item],tab_alimentos[[#This Row],[Item]],super1[Bairro],mercado16)+SUMIFS(supercb[Qtde],supercb[Item],tab_alimentos[[#This Row],[Item]],supercb[Bairro],mercado16)</f>
        <v>0</v>
      </c>
      <c r="AB368" s="64">
        <f>SUMIFS(super1[Qtde],super1[Item],tab_alimentos[[#This Row],[Item]],super1[Bairro],mercado17)+SUMIFS(supercb[Qtde],supercb[Item],tab_alimentos[[#This Row],[Item]],supercb[Bairro],mercado17)</f>
        <v>0</v>
      </c>
      <c r="AC368" s="64">
        <f>SUMIFS(super1[Qtde],super1[Item],tab_alimentos[[#This Row],[Item]],super1[Bairro],mercado18)+SUMIFS(supercb[Qtde],supercb[Item],tab_alimentos[[#This Row],[Item]],supercb[Bairro],mercado18)</f>
        <v>0</v>
      </c>
      <c r="AD368" s="64">
        <f>SUMIFS(super1[Qtde],super1[Item],tab_alimentos[[#This Row],[Item]],super1[Bairro],extras)+SUMIFS(supercb[Qtde],supercb[Item],tab_alimentos[[#This Row],[Item]],supercb[Bairro],extras)</f>
        <v>0</v>
      </c>
      <c r="AE368" s="61">
        <f t="shared" si="94"/>
        <v>0</v>
      </c>
      <c r="AF368" s="61">
        <f t="shared" si="95"/>
        <v>0</v>
      </c>
      <c r="AG368" s="62">
        <f t="shared" si="96"/>
        <v>0</v>
      </c>
    </row>
    <row r="369" spans="9:33" x14ac:dyDescent="0.25">
      <c r="I369" s="65" t="e">
        <f>alimentos[[#This Row],[Item]]</f>
        <v>#VALUE!</v>
      </c>
      <c r="J369" s="61">
        <f>IFERROR(alimentos[[#This Row],[kg/embalagem]],0)</f>
        <v>0</v>
      </c>
      <c r="K369" s="64">
        <f>IFERROR(alimentos[[#This Row],[Preço]],0)</f>
        <v>0</v>
      </c>
      <c r="L369" s="64">
        <f>SUMIFS(super1[Qtde],super1[Item],tab_alimentos[[#This Row],[Item]],super1[Bairro],mercado1)+SUMIFS(supercb[Qtde],supercb[Item],tab_alimentos[[#This Row],[Item]],supercb[Bairro],mercado1)</f>
        <v>0</v>
      </c>
      <c r="M369" s="64">
        <f>SUMIFS(super1[Qtde],super1[Item],tab_alimentos[[#This Row],[Item]],super1[Bairro],mercado2)+SUMIFS(supercb[Qtde],supercb[Item],tab_alimentos[[#This Row],[Item]],supercb[Bairro],mercado2)</f>
        <v>0</v>
      </c>
      <c r="N369" s="61">
        <f>SUMIFS(super1[Qtde],super1[Item],tab_alimentos[[#This Row],[Item]],super1[Bairro],mercado3)+SUMIFS(supercb[Qtde],supercb[Item],tab_alimentos[[#This Row],[Item]],supercb[Bairro],mercado3)</f>
        <v>0</v>
      </c>
      <c r="O369" s="64">
        <f>SUMIFS(super1[Qtde],super1[Item],tab_alimentos[[#This Row],[Item]],super1[Bairro],mercado4)+SUMIFS(supercb[Qtde],supercb[Item],tab_alimentos[[#This Row],[Item]],supercb[Bairro],mercado4)</f>
        <v>0</v>
      </c>
      <c r="P369" s="64">
        <f>SUMIFS(super1[Qtde],super1[Item],tab_alimentos[[#This Row],[Item]],super1[Bairro],mercado5)+SUMIFS(supercb[Qtde],supercb[Item],tab_alimentos[[#This Row],[Item]],supercb[Bairro],mercado5)</f>
        <v>0</v>
      </c>
      <c r="Q369" s="64">
        <f>SUMIFS(super1[Qtde],super1[Item],tab_alimentos[[#This Row],[Item]],super1[Bairro],mercado6)+SUMIFS(supercb[Qtde],supercb[Item],tab_alimentos[[#This Row],[Item]],supercb[Bairro],mercado6)</f>
        <v>0</v>
      </c>
      <c r="R369" s="64">
        <f>SUMIFS(super1[Qtde],super1[Item],tab_alimentos[[#This Row],[Item]],super1[Bairro],mercado7)+SUMIFS(supercb[Qtde],supercb[Item],tab_alimentos[[#This Row],[Item]],supercb[Bairro],mercado7)</f>
        <v>0</v>
      </c>
      <c r="S369" s="64">
        <f>SUMIFS(super1[Qtde],super1[Item],tab_alimentos[[#This Row],[Item]],super1[Bairro],mercado8)+SUMIFS(supercb[Qtde],supercb[Item],tab_alimentos[[#This Row],[Item]],supercb[Bairro],mercado8)</f>
        <v>0</v>
      </c>
      <c r="T369" s="64">
        <f>SUMIFS(super1[Qtde],super1[Item],tab_alimentos[[#This Row],[Item]],super1[Bairro],mercado9)+SUMIFS(supercb[Qtde],supercb[Item],tab_alimentos[[#This Row],[Item]],supercb[Bairro],mercado9)</f>
        <v>0</v>
      </c>
      <c r="U369" s="64">
        <f>SUMIFS(super1[Qtde],super1[Item],tab_alimentos[[#This Row],[Item]],super1[Bairro],mercado10)+SUMIFS(supercb[Qtde],supercb[Item],tab_alimentos[[#This Row],[Item]],supercb[Bairro],mercado10)</f>
        <v>0</v>
      </c>
      <c r="V369" s="64">
        <f>SUMIFS(super1[Qtde],super1[Item],tab_alimentos[[#This Row],[Item]],super1[Bairro],mercado11)+SUMIFS(supercb[Qtde],supercb[Item],tab_alimentos[[#This Row],[Item]],supercb[Bairro],mercado11)</f>
        <v>0</v>
      </c>
      <c r="W369" s="64">
        <f>SUMIFS(super1[Qtde],super1[Item],tab_alimentos[[#This Row],[Item]],super1[Bairro],mercado12)+SUMIFS(supercb[Qtde],supercb[Item],tab_alimentos[[#This Row],[Item]],supercb[Bairro],mercado12)</f>
        <v>0</v>
      </c>
      <c r="X369" s="64">
        <f>SUMIFS(super1[Qtde],super1[Item],tab_alimentos[[#This Row],[Item]],super1[Bairro],mercado13)+SUMIFS(supercb[Qtde],supercb[Item],tab_alimentos[[#This Row],[Item]],supercb[Bairro],mercado13)</f>
        <v>0</v>
      </c>
      <c r="Y369" s="64">
        <f>SUMIFS(super1[Qtde],super1[Item],tab_alimentos[[#This Row],[Item]],super1[Bairro],mercado14)+SUMIFS(supercb[Qtde],supercb[Item],tab_alimentos[[#This Row],[Item]],supercb[Bairro],mercado14)</f>
        <v>0</v>
      </c>
      <c r="Z369" s="64">
        <f>SUMIFS(super1[Qtde],super1[Item],tab_alimentos[[#This Row],[Item]],super1[Bairro],mercado15)+SUMIFS(supercb[Qtde],supercb[Item],tab_alimentos[[#This Row],[Item]],supercb[Bairro],mercado15)</f>
        <v>0</v>
      </c>
      <c r="AA369" s="64">
        <f>SUMIFS(super1[Qtde],super1[Item],tab_alimentos[[#This Row],[Item]],super1[Bairro],mercado16)+SUMIFS(supercb[Qtde],supercb[Item],tab_alimentos[[#This Row],[Item]],supercb[Bairro],mercado16)</f>
        <v>0</v>
      </c>
      <c r="AB369" s="64">
        <f>SUMIFS(super1[Qtde],super1[Item],tab_alimentos[[#This Row],[Item]],super1[Bairro],mercado17)+SUMIFS(supercb[Qtde],supercb[Item],tab_alimentos[[#This Row],[Item]],supercb[Bairro],mercado17)</f>
        <v>0</v>
      </c>
      <c r="AC369" s="64">
        <f>SUMIFS(super1[Qtde],super1[Item],tab_alimentos[[#This Row],[Item]],super1[Bairro],mercado18)+SUMIFS(supercb[Qtde],supercb[Item],tab_alimentos[[#This Row],[Item]],supercb[Bairro],mercado18)</f>
        <v>0</v>
      </c>
      <c r="AD369" s="64">
        <f>SUMIFS(super1[Qtde],super1[Item],tab_alimentos[[#This Row],[Item]],super1[Bairro],extras)+SUMIFS(supercb[Qtde],supercb[Item],tab_alimentos[[#This Row],[Item]],supercb[Bairro],extras)</f>
        <v>0</v>
      </c>
      <c r="AE369" s="61">
        <f t="shared" si="94"/>
        <v>0</v>
      </c>
      <c r="AF369" s="61">
        <f t="shared" si="95"/>
        <v>0</v>
      </c>
      <c r="AG369" s="62">
        <f t="shared" si="96"/>
        <v>0</v>
      </c>
    </row>
    <row r="370" spans="9:33" x14ac:dyDescent="0.25">
      <c r="I370" s="65" t="e">
        <f>alimentos[[#This Row],[Item]]</f>
        <v>#VALUE!</v>
      </c>
      <c r="J370" s="61">
        <f>IFERROR(alimentos[[#This Row],[kg/embalagem]],0)</f>
        <v>0</v>
      </c>
      <c r="K370" s="64">
        <f>IFERROR(alimentos[[#This Row],[Preço]],0)</f>
        <v>0</v>
      </c>
      <c r="L370" s="64">
        <f>SUMIFS(super1[Qtde],super1[Item],tab_alimentos[[#This Row],[Item]],super1[Bairro],mercado1)+SUMIFS(supercb[Qtde],supercb[Item],tab_alimentos[[#This Row],[Item]],supercb[Bairro],mercado1)</f>
        <v>0</v>
      </c>
      <c r="M370" s="64">
        <f>SUMIFS(super1[Qtde],super1[Item],tab_alimentos[[#This Row],[Item]],super1[Bairro],mercado2)+SUMIFS(supercb[Qtde],supercb[Item],tab_alimentos[[#This Row],[Item]],supercb[Bairro],mercado2)</f>
        <v>0</v>
      </c>
      <c r="N370" s="61">
        <f>SUMIFS(super1[Qtde],super1[Item],tab_alimentos[[#This Row],[Item]],super1[Bairro],mercado3)+SUMIFS(supercb[Qtde],supercb[Item],tab_alimentos[[#This Row],[Item]],supercb[Bairro],mercado3)</f>
        <v>0</v>
      </c>
      <c r="O370" s="64">
        <f>SUMIFS(super1[Qtde],super1[Item],tab_alimentos[[#This Row],[Item]],super1[Bairro],mercado4)+SUMIFS(supercb[Qtde],supercb[Item],tab_alimentos[[#This Row],[Item]],supercb[Bairro],mercado4)</f>
        <v>0</v>
      </c>
      <c r="P370" s="64">
        <f>SUMIFS(super1[Qtde],super1[Item],tab_alimentos[[#This Row],[Item]],super1[Bairro],mercado5)+SUMIFS(supercb[Qtde],supercb[Item],tab_alimentos[[#This Row],[Item]],supercb[Bairro],mercado5)</f>
        <v>0</v>
      </c>
      <c r="Q370" s="64">
        <f>SUMIFS(super1[Qtde],super1[Item],tab_alimentos[[#This Row],[Item]],super1[Bairro],mercado6)+SUMIFS(supercb[Qtde],supercb[Item],tab_alimentos[[#This Row],[Item]],supercb[Bairro],mercado6)</f>
        <v>0</v>
      </c>
      <c r="R370" s="64">
        <f>SUMIFS(super1[Qtde],super1[Item],tab_alimentos[[#This Row],[Item]],super1[Bairro],mercado7)+SUMIFS(supercb[Qtde],supercb[Item],tab_alimentos[[#This Row],[Item]],supercb[Bairro],mercado7)</f>
        <v>0</v>
      </c>
      <c r="S370" s="64">
        <f>SUMIFS(super1[Qtde],super1[Item],tab_alimentos[[#This Row],[Item]],super1[Bairro],mercado8)+SUMIFS(supercb[Qtde],supercb[Item],tab_alimentos[[#This Row],[Item]],supercb[Bairro],mercado8)</f>
        <v>0</v>
      </c>
      <c r="T370" s="64">
        <f>SUMIFS(super1[Qtde],super1[Item],tab_alimentos[[#This Row],[Item]],super1[Bairro],mercado9)+SUMIFS(supercb[Qtde],supercb[Item],tab_alimentos[[#This Row],[Item]],supercb[Bairro],mercado9)</f>
        <v>0</v>
      </c>
      <c r="U370" s="64">
        <f>SUMIFS(super1[Qtde],super1[Item],tab_alimentos[[#This Row],[Item]],super1[Bairro],mercado10)+SUMIFS(supercb[Qtde],supercb[Item],tab_alimentos[[#This Row],[Item]],supercb[Bairro],mercado10)</f>
        <v>0</v>
      </c>
      <c r="V370" s="64">
        <f>SUMIFS(super1[Qtde],super1[Item],tab_alimentos[[#This Row],[Item]],super1[Bairro],mercado11)+SUMIFS(supercb[Qtde],supercb[Item],tab_alimentos[[#This Row],[Item]],supercb[Bairro],mercado11)</f>
        <v>0</v>
      </c>
      <c r="W370" s="64">
        <f>SUMIFS(super1[Qtde],super1[Item],tab_alimentos[[#This Row],[Item]],super1[Bairro],mercado12)+SUMIFS(supercb[Qtde],supercb[Item],tab_alimentos[[#This Row],[Item]],supercb[Bairro],mercado12)</f>
        <v>0</v>
      </c>
      <c r="X370" s="64">
        <f>SUMIFS(super1[Qtde],super1[Item],tab_alimentos[[#This Row],[Item]],super1[Bairro],mercado13)+SUMIFS(supercb[Qtde],supercb[Item],tab_alimentos[[#This Row],[Item]],supercb[Bairro],mercado13)</f>
        <v>0</v>
      </c>
      <c r="Y370" s="64">
        <f>SUMIFS(super1[Qtde],super1[Item],tab_alimentos[[#This Row],[Item]],super1[Bairro],mercado14)+SUMIFS(supercb[Qtde],supercb[Item],tab_alimentos[[#This Row],[Item]],supercb[Bairro],mercado14)</f>
        <v>0</v>
      </c>
      <c r="Z370" s="64">
        <f>SUMIFS(super1[Qtde],super1[Item],tab_alimentos[[#This Row],[Item]],super1[Bairro],mercado15)+SUMIFS(supercb[Qtde],supercb[Item],tab_alimentos[[#This Row],[Item]],supercb[Bairro],mercado15)</f>
        <v>0</v>
      </c>
      <c r="AA370" s="64">
        <f>SUMIFS(super1[Qtde],super1[Item],tab_alimentos[[#This Row],[Item]],super1[Bairro],mercado16)+SUMIFS(supercb[Qtde],supercb[Item],tab_alimentos[[#This Row],[Item]],supercb[Bairro],mercado16)</f>
        <v>0</v>
      </c>
      <c r="AB370" s="64">
        <f>SUMIFS(super1[Qtde],super1[Item],tab_alimentos[[#This Row],[Item]],super1[Bairro],mercado17)+SUMIFS(supercb[Qtde],supercb[Item],tab_alimentos[[#This Row],[Item]],supercb[Bairro],mercado17)</f>
        <v>0</v>
      </c>
      <c r="AC370" s="64">
        <f>SUMIFS(super1[Qtde],super1[Item],tab_alimentos[[#This Row],[Item]],super1[Bairro],mercado18)+SUMIFS(supercb[Qtde],supercb[Item],tab_alimentos[[#This Row],[Item]],supercb[Bairro],mercado18)</f>
        <v>0</v>
      </c>
      <c r="AD370" s="64">
        <f>SUMIFS(super1[Qtde],super1[Item],tab_alimentos[[#This Row],[Item]],super1[Bairro],extras)+SUMIFS(supercb[Qtde],supercb[Item],tab_alimentos[[#This Row],[Item]],supercb[Bairro],extras)</f>
        <v>0</v>
      </c>
      <c r="AE370" s="61">
        <f t="shared" si="94"/>
        <v>0</v>
      </c>
      <c r="AF370" s="61">
        <f t="shared" si="95"/>
        <v>0</v>
      </c>
      <c r="AG370" s="62">
        <f t="shared" si="96"/>
        <v>0</v>
      </c>
    </row>
    <row r="371" spans="9:33" x14ac:dyDescent="0.25">
      <c r="I371" s="65" t="e">
        <f>alimentos[[#This Row],[Item]]</f>
        <v>#VALUE!</v>
      </c>
      <c r="J371" s="61">
        <f>IFERROR(alimentos[[#This Row],[kg/embalagem]],0)</f>
        <v>0</v>
      </c>
      <c r="K371" s="64">
        <f>IFERROR(alimentos[[#This Row],[Preço]],0)</f>
        <v>0</v>
      </c>
      <c r="L371" s="64">
        <f>SUMIFS(super1[Qtde],super1[Item],tab_alimentos[[#This Row],[Item]],super1[Bairro],mercado1)+SUMIFS(supercb[Qtde],supercb[Item],tab_alimentos[[#This Row],[Item]],supercb[Bairro],mercado1)</f>
        <v>0</v>
      </c>
      <c r="M371" s="64">
        <f>SUMIFS(super1[Qtde],super1[Item],tab_alimentos[[#This Row],[Item]],super1[Bairro],mercado2)+SUMIFS(supercb[Qtde],supercb[Item],tab_alimentos[[#This Row],[Item]],supercb[Bairro],mercado2)</f>
        <v>0</v>
      </c>
      <c r="N371" s="61">
        <f>SUMIFS(super1[Qtde],super1[Item],tab_alimentos[[#This Row],[Item]],super1[Bairro],mercado3)+SUMIFS(supercb[Qtde],supercb[Item],tab_alimentos[[#This Row],[Item]],supercb[Bairro],mercado3)</f>
        <v>0</v>
      </c>
      <c r="O371" s="64">
        <f>SUMIFS(super1[Qtde],super1[Item],tab_alimentos[[#This Row],[Item]],super1[Bairro],mercado4)+SUMIFS(supercb[Qtde],supercb[Item],tab_alimentos[[#This Row],[Item]],supercb[Bairro],mercado4)</f>
        <v>0</v>
      </c>
      <c r="P371" s="64">
        <f>SUMIFS(super1[Qtde],super1[Item],tab_alimentos[[#This Row],[Item]],super1[Bairro],mercado5)+SUMIFS(supercb[Qtde],supercb[Item],tab_alimentos[[#This Row],[Item]],supercb[Bairro],mercado5)</f>
        <v>0</v>
      </c>
      <c r="Q371" s="64">
        <f>SUMIFS(super1[Qtde],super1[Item],tab_alimentos[[#This Row],[Item]],super1[Bairro],mercado6)+SUMIFS(supercb[Qtde],supercb[Item],tab_alimentos[[#This Row],[Item]],supercb[Bairro],mercado6)</f>
        <v>0</v>
      </c>
      <c r="R371" s="64">
        <f>SUMIFS(super1[Qtde],super1[Item],tab_alimentos[[#This Row],[Item]],super1[Bairro],mercado7)+SUMIFS(supercb[Qtde],supercb[Item],tab_alimentos[[#This Row],[Item]],supercb[Bairro],mercado7)</f>
        <v>0</v>
      </c>
      <c r="S371" s="64">
        <f>SUMIFS(super1[Qtde],super1[Item],tab_alimentos[[#This Row],[Item]],super1[Bairro],mercado8)+SUMIFS(supercb[Qtde],supercb[Item],tab_alimentos[[#This Row],[Item]],supercb[Bairro],mercado8)</f>
        <v>0</v>
      </c>
      <c r="T371" s="64">
        <f>SUMIFS(super1[Qtde],super1[Item],tab_alimentos[[#This Row],[Item]],super1[Bairro],mercado9)+SUMIFS(supercb[Qtde],supercb[Item],tab_alimentos[[#This Row],[Item]],supercb[Bairro],mercado9)</f>
        <v>0</v>
      </c>
      <c r="U371" s="64">
        <f>SUMIFS(super1[Qtde],super1[Item],tab_alimentos[[#This Row],[Item]],super1[Bairro],mercado10)+SUMIFS(supercb[Qtde],supercb[Item],tab_alimentos[[#This Row],[Item]],supercb[Bairro],mercado10)</f>
        <v>0</v>
      </c>
      <c r="V371" s="64">
        <f>SUMIFS(super1[Qtde],super1[Item],tab_alimentos[[#This Row],[Item]],super1[Bairro],mercado11)+SUMIFS(supercb[Qtde],supercb[Item],tab_alimentos[[#This Row],[Item]],supercb[Bairro],mercado11)</f>
        <v>0</v>
      </c>
      <c r="W371" s="64">
        <f>SUMIFS(super1[Qtde],super1[Item],tab_alimentos[[#This Row],[Item]],super1[Bairro],mercado12)+SUMIFS(supercb[Qtde],supercb[Item],tab_alimentos[[#This Row],[Item]],supercb[Bairro],mercado12)</f>
        <v>0</v>
      </c>
      <c r="X371" s="64">
        <f>SUMIFS(super1[Qtde],super1[Item],tab_alimentos[[#This Row],[Item]],super1[Bairro],mercado13)+SUMIFS(supercb[Qtde],supercb[Item],tab_alimentos[[#This Row],[Item]],supercb[Bairro],mercado13)</f>
        <v>0</v>
      </c>
      <c r="Y371" s="64">
        <f>SUMIFS(super1[Qtde],super1[Item],tab_alimentos[[#This Row],[Item]],super1[Bairro],mercado14)+SUMIFS(supercb[Qtde],supercb[Item],tab_alimentos[[#This Row],[Item]],supercb[Bairro],mercado14)</f>
        <v>0</v>
      </c>
      <c r="Z371" s="64">
        <f>SUMIFS(super1[Qtde],super1[Item],tab_alimentos[[#This Row],[Item]],super1[Bairro],mercado15)+SUMIFS(supercb[Qtde],supercb[Item],tab_alimentos[[#This Row],[Item]],supercb[Bairro],mercado15)</f>
        <v>0</v>
      </c>
      <c r="AA371" s="64">
        <f>SUMIFS(super1[Qtde],super1[Item],tab_alimentos[[#This Row],[Item]],super1[Bairro],mercado16)+SUMIFS(supercb[Qtde],supercb[Item],tab_alimentos[[#This Row],[Item]],supercb[Bairro],mercado16)</f>
        <v>0</v>
      </c>
      <c r="AB371" s="64">
        <f>SUMIFS(super1[Qtde],super1[Item],tab_alimentos[[#This Row],[Item]],super1[Bairro],mercado17)+SUMIFS(supercb[Qtde],supercb[Item],tab_alimentos[[#This Row],[Item]],supercb[Bairro],mercado17)</f>
        <v>0</v>
      </c>
      <c r="AC371" s="64">
        <f>SUMIFS(super1[Qtde],super1[Item],tab_alimentos[[#This Row],[Item]],super1[Bairro],mercado18)+SUMIFS(supercb[Qtde],supercb[Item],tab_alimentos[[#This Row],[Item]],supercb[Bairro],mercado18)</f>
        <v>0</v>
      </c>
      <c r="AD371" s="64">
        <f>SUMIFS(super1[Qtde],super1[Item],tab_alimentos[[#This Row],[Item]],super1[Bairro],extras)+SUMIFS(supercb[Qtde],supercb[Item],tab_alimentos[[#This Row],[Item]],supercb[Bairro],extras)</f>
        <v>0</v>
      </c>
      <c r="AE371" s="61">
        <f t="shared" si="94"/>
        <v>0</v>
      </c>
      <c r="AF371" s="61">
        <f t="shared" si="95"/>
        <v>0</v>
      </c>
      <c r="AG371" s="62">
        <f t="shared" si="96"/>
        <v>0</v>
      </c>
    </row>
    <row r="372" spans="9:33" x14ac:dyDescent="0.25">
      <c r="I372" s="65" t="e">
        <f>alimentos[[#This Row],[Item]]</f>
        <v>#VALUE!</v>
      </c>
      <c r="J372" s="61">
        <f>IFERROR(alimentos[[#This Row],[kg/embalagem]],0)</f>
        <v>0</v>
      </c>
      <c r="K372" s="64">
        <f>IFERROR(alimentos[[#This Row],[Preço]],0)</f>
        <v>0</v>
      </c>
      <c r="L372" s="64">
        <f>SUMIFS(super1[Qtde],super1[Item],tab_alimentos[[#This Row],[Item]],super1[Bairro],mercado1)+SUMIFS(supercb[Qtde],supercb[Item],tab_alimentos[[#This Row],[Item]],supercb[Bairro],mercado1)</f>
        <v>0</v>
      </c>
      <c r="M372" s="64">
        <f>SUMIFS(super1[Qtde],super1[Item],tab_alimentos[[#This Row],[Item]],super1[Bairro],mercado2)+SUMIFS(supercb[Qtde],supercb[Item],tab_alimentos[[#This Row],[Item]],supercb[Bairro],mercado2)</f>
        <v>0</v>
      </c>
      <c r="N372" s="61">
        <f>SUMIFS(super1[Qtde],super1[Item],tab_alimentos[[#This Row],[Item]],super1[Bairro],mercado3)+SUMIFS(supercb[Qtde],supercb[Item],tab_alimentos[[#This Row],[Item]],supercb[Bairro],mercado3)</f>
        <v>0</v>
      </c>
      <c r="O372" s="64">
        <f>SUMIFS(super1[Qtde],super1[Item],tab_alimentos[[#This Row],[Item]],super1[Bairro],mercado4)+SUMIFS(supercb[Qtde],supercb[Item],tab_alimentos[[#This Row],[Item]],supercb[Bairro],mercado4)</f>
        <v>0</v>
      </c>
      <c r="P372" s="64">
        <f>SUMIFS(super1[Qtde],super1[Item],tab_alimentos[[#This Row],[Item]],super1[Bairro],mercado5)+SUMIFS(supercb[Qtde],supercb[Item],tab_alimentos[[#This Row],[Item]],supercb[Bairro],mercado5)</f>
        <v>0</v>
      </c>
      <c r="Q372" s="64">
        <f>SUMIFS(super1[Qtde],super1[Item],tab_alimentos[[#This Row],[Item]],super1[Bairro],mercado6)+SUMIFS(supercb[Qtde],supercb[Item],tab_alimentos[[#This Row],[Item]],supercb[Bairro],mercado6)</f>
        <v>0</v>
      </c>
      <c r="R372" s="64">
        <f>SUMIFS(super1[Qtde],super1[Item],tab_alimentos[[#This Row],[Item]],super1[Bairro],mercado7)+SUMIFS(supercb[Qtde],supercb[Item],tab_alimentos[[#This Row],[Item]],supercb[Bairro],mercado7)</f>
        <v>0</v>
      </c>
      <c r="S372" s="64">
        <f>SUMIFS(super1[Qtde],super1[Item],tab_alimentos[[#This Row],[Item]],super1[Bairro],mercado8)+SUMIFS(supercb[Qtde],supercb[Item],tab_alimentos[[#This Row],[Item]],supercb[Bairro],mercado8)</f>
        <v>0</v>
      </c>
      <c r="T372" s="64">
        <f>SUMIFS(super1[Qtde],super1[Item],tab_alimentos[[#This Row],[Item]],super1[Bairro],mercado9)+SUMIFS(supercb[Qtde],supercb[Item],tab_alimentos[[#This Row],[Item]],supercb[Bairro],mercado9)</f>
        <v>0</v>
      </c>
      <c r="U372" s="64">
        <f>SUMIFS(super1[Qtde],super1[Item],tab_alimentos[[#This Row],[Item]],super1[Bairro],mercado10)+SUMIFS(supercb[Qtde],supercb[Item],tab_alimentos[[#This Row],[Item]],supercb[Bairro],mercado10)</f>
        <v>0</v>
      </c>
      <c r="V372" s="64">
        <f>SUMIFS(super1[Qtde],super1[Item],tab_alimentos[[#This Row],[Item]],super1[Bairro],mercado11)+SUMIFS(supercb[Qtde],supercb[Item],tab_alimentos[[#This Row],[Item]],supercb[Bairro],mercado11)</f>
        <v>0</v>
      </c>
      <c r="W372" s="64">
        <f>SUMIFS(super1[Qtde],super1[Item],tab_alimentos[[#This Row],[Item]],super1[Bairro],mercado12)+SUMIFS(supercb[Qtde],supercb[Item],tab_alimentos[[#This Row],[Item]],supercb[Bairro],mercado12)</f>
        <v>0</v>
      </c>
      <c r="X372" s="64">
        <f>SUMIFS(super1[Qtde],super1[Item],tab_alimentos[[#This Row],[Item]],super1[Bairro],mercado13)+SUMIFS(supercb[Qtde],supercb[Item],tab_alimentos[[#This Row],[Item]],supercb[Bairro],mercado13)</f>
        <v>0</v>
      </c>
      <c r="Y372" s="64">
        <f>SUMIFS(super1[Qtde],super1[Item],tab_alimentos[[#This Row],[Item]],super1[Bairro],mercado14)+SUMIFS(supercb[Qtde],supercb[Item],tab_alimentos[[#This Row],[Item]],supercb[Bairro],mercado14)</f>
        <v>0</v>
      </c>
      <c r="Z372" s="64">
        <f>SUMIFS(super1[Qtde],super1[Item],tab_alimentos[[#This Row],[Item]],super1[Bairro],mercado15)+SUMIFS(supercb[Qtde],supercb[Item],tab_alimentos[[#This Row],[Item]],supercb[Bairro],mercado15)</f>
        <v>0</v>
      </c>
      <c r="AA372" s="64">
        <f>SUMIFS(super1[Qtde],super1[Item],tab_alimentos[[#This Row],[Item]],super1[Bairro],mercado16)+SUMIFS(supercb[Qtde],supercb[Item],tab_alimentos[[#This Row],[Item]],supercb[Bairro],mercado16)</f>
        <v>0</v>
      </c>
      <c r="AB372" s="64">
        <f>SUMIFS(super1[Qtde],super1[Item],tab_alimentos[[#This Row],[Item]],super1[Bairro],mercado17)+SUMIFS(supercb[Qtde],supercb[Item],tab_alimentos[[#This Row],[Item]],supercb[Bairro],mercado17)</f>
        <v>0</v>
      </c>
      <c r="AC372" s="64">
        <f>SUMIFS(super1[Qtde],super1[Item],tab_alimentos[[#This Row],[Item]],super1[Bairro],mercado18)+SUMIFS(supercb[Qtde],supercb[Item],tab_alimentos[[#This Row],[Item]],supercb[Bairro],mercado18)</f>
        <v>0</v>
      </c>
      <c r="AD372" s="64">
        <f>SUMIFS(super1[Qtde],super1[Item],tab_alimentos[[#This Row],[Item]],super1[Bairro],extras)+SUMIFS(supercb[Qtde],supercb[Item],tab_alimentos[[#This Row],[Item]],supercb[Bairro],extras)</f>
        <v>0</v>
      </c>
      <c r="AE372" s="61">
        <f t="shared" si="94"/>
        <v>0</v>
      </c>
      <c r="AF372" s="61">
        <f t="shared" si="95"/>
        <v>0</v>
      </c>
      <c r="AG372" s="62">
        <f t="shared" si="96"/>
        <v>0</v>
      </c>
    </row>
    <row r="373" spans="9:33" x14ac:dyDescent="0.25">
      <c r="I373" s="65" t="e">
        <f>alimentos[[#This Row],[Item]]</f>
        <v>#VALUE!</v>
      </c>
      <c r="J373" s="61">
        <f>IFERROR(alimentos[[#This Row],[kg/embalagem]],0)</f>
        <v>0</v>
      </c>
      <c r="K373" s="64">
        <f>IFERROR(alimentos[[#This Row],[Preço]],0)</f>
        <v>0</v>
      </c>
      <c r="L373" s="64">
        <f>SUMIFS(super1[Qtde],super1[Item],tab_alimentos[[#This Row],[Item]],super1[Bairro],mercado1)+SUMIFS(supercb[Qtde],supercb[Item],tab_alimentos[[#This Row],[Item]],supercb[Bairro],mercado1)</f>
        <v>0</v>
      </c>
      <c r="M373" s="64">
        <f>SUMIFS(super1[Qtde],super1[Item],tab_alimentos[[#This Row],[Item]],super1[Bairro],mercado2)+SUMIFS(supercb[Qtde],supercb[Item],tab_alimentos[[#This Row],[Item]],supercb[Bairro],mercado2)</f>
        <v>0</v>
      </c>
      <c r="N373" s="61">
        <f>SUMIFS(super1[Qtde],super1[Item],tab_alimentos[[#This Row],[Item]],super1[Bairro],mercado3)+SUMIFS(supercb[Qtde],supercb[Item],tab_alimentos[[#This Row],[Item]],supercb[Bairro],mercado3)</f>
        <v>0</v>
      </c>
      <c r="O373" s="64">
        <f>SUMIFS(super1[Qtde],super1[Item],tab_alimentos[[#This Row],[Item]],super1[Bairro],mercado4)+SUMIFS(supercb[Qtde],supercb[Item],tab_alimentos[[#This Row],[Item]],supercb[Bairro],mercado4)</f>
        <v>0</v>
      </c>
      <c r="P373" s="64">
        <f>SUMIFS(super1[Qtde],super1[Item],tab_alimentos[[#This Row],[Item]],super1[Bairro],mercado5)+SUMIFS(supercb[Qtde],supercb[Item],tab_alimentos[[#This Row],[Item]],supercb[Bairro],mercado5)</f>
        <v>0</v>
      </c>
      <c r="Q373" s="64">
        <f>SUMIFS(super1[Qtde],super1[Item],tab_alimentos[[#This Row],[Item]],super1[Bairro],mercado6)+SUMIFS(supercb[Qtde],supercb[Item],tab_alimentos[[#This Row],[Item]],supercb[Bairro],mercado6)</f>
        <v>0</v>
      </c>
      <c r="R373" s="64">
        <f>SUMIFS(super1[Qtde],super1[Item],tab_alimentos[[#This Row],[Item]],super1[Bairro],mercado7)+SUMIFS(supercb[Qtde],supercb[Item],tab_alimentos[[#This Row],[Item]],supercb[Bairro],mercado7)</f>
        <v>0</v>
      </c>
      <c r="S373" s="64">
        <f>SUMIFS(super1[Qtde],super1[Item],tab_alimentos[[#This Row],[Item]],super1[Bairro],mercado8)+SUMIFS(supercb[Qtde],supercb[Item],tab_alimentos[[#This Row],[Item]],supercb[Bairro],mercado8)</f>
        <v>0</v>
      </c>
      <c r="T373" s="64">
        <f>SUMIFS(super1[Qtde],super1[Item],tab_alimentos[[#This Row],[Item]],super1[Bairro],mercado9)+SUMIFS(supercb[Qtde],supercb[Item],tab_alimentos[[#This Row],[Item]],supercb[Bairro],mercado9)</f>
        <v>0</v>
      </c>
      <c r="U373" s="64">
        <f>SUMIFS(super1[Qtde],super1[Item],tab_alimentos[[#This Row],[Item]],super1[Bairro],mercado10)+SUMIFS(supercb[Qtde],supercb[Item],tab_alimentos[[#This Row],[Item]],supercb[Bairro],mercado10)</f>
        <v>0</v>
      </c>
      <c r="V373" s="64">
        <f>SUMIFS(super1[Qtde],super1[Item],tab_alimentos[[#This Row],[Item]],super1[Bairro],mercado11)+SUMIFS(supercb[Qtde],supercb[Item],tab_alimentos[[#This Row],[Item]],supercb[Bairro],mercado11)</f>
        <v>0</v>
      </c>
      <c r="W373" s="64">
        <f>SUMIFS(super1[Qtde],super1[Item],tab_alimentos[[#This Row],[Item]],super1[Bairro],mercado12)+SUMIFS(supercb[Qtde],supercb[Item],tab_alimentos[[#This Row],[Item]],supercb[Bairro],mercado12)</f>
        <v>0</v>
      </c>
      <c r="X373" s="64">
        <f>SUMIFS(super1[Qtde],super1[Item],tab_alimentos[[#This Row],[Item]],super1[Bairro],mercado13)+SUMIFS(supercb[Qtde],supercb[Item],tab_alimentos[[#This Row],[Item]],supercb[Bairro],mercado13)</f>
        <v>0</v>
      </c>
      <c r="Y373" s="64">
        <f>SUMIFS(super1[Qtde],super1[Item],tab_alimentos[[#This Row],[Item]],super1[Bairro],mercado14)+SUMIFS(supercb[Qtde],supercb[Item],tab_alimentos[[#This Row],[Item]],supercb[Bairro],mercado14)</f>
        <v>0</v>
      </c>
      <c r="Z373" s="64">
        <f>SUMIFS(super1[Qtde],super1[Item],tab_alimentos[[#This Row],[Item]],super1[Bairro],mercado15)+SUMIFS(supercb[Qtde],supercb[Item],tab_alimentos[[#This Row],[Item]],supercb[Bairro],mercado15)</f>
        <v>0</v>
      </c>
      <c r="AA373" s="64">
        <f>SUMIFS(super1[Qtde],super1[Item],tab_alimentos[[#This Row],[Item]],super1[Bairro],mercado16)+SUMIFS(supercb[Qtde],supercb[Item],tab_alimentos[[#This Row],[Item]],supercb[Bairro],mercado16)</f>
        <v>0</v>
      </c>
      <c r="AB373" s="64">
        <f>SUMIFS(super1[Qtde],super1[Item],tab_alimentos[[#This Row],[Item]],super1[Bairro],mercado17)+SUMIFS(supercb[Qtde],supercb[Item],tab_alimentos[[#This Row],[Item]],supercb[Bairro],mercado17)</f>
        <v>0</v>
      </c>
      <c r="AC373" s="64">
        <f>SUMIFS(super1[Qtde],super1[Item],tab_alimentos[[#This Row],[Item]],super1[Bairro],mercado18)+SUMIFS(supercb[Qtde],supercb[Item],tab_alimentos[[#This Row],[Item]],supercb[Bairro],mercado18)</f>
        <v>0</v>
      </c>
      <c r="AD373" s="64">
        <f>SUMIFS(super1[Qtde],super1[Item],tab_alimentos[[#This Row],[Item]],super1[Bairro],extras)+SUMIFS(supercb[Qtde],supercb[Item],tab_alimentos[[#This Row],[Item]],supercb[Bairro],extras)</f>
        <v>0</v>
      </c>
      <c r="AE373" s="61">
        <f t="shared" si="94"/>
        <v>0</v>
      </c>
      <c r="AF373" s="61">
        <f t="shared" si="95"/>
        <v>0</v>
      </c>
      <c r="AG373" s="62">
        <f t="shared" si="96"/>
        <v>0</v>
      </c>
    </row>
    <row r="374" spans="9:33" x14ac:dyDescent="0.25">
      <c r="I374" s="65" t="e">
        <f>alimentos[[#This Row],[Item]]</f>
        <v>#VALUE!</v>
      </c>
      <c r="J374" s="61">
        <f>IFERROR(alimentos[[#This Row],[kg/embalagem]],0)</f>
        <v>0</v>
      </c>
      <c r="K374" s="64">
        <f>IFERROR(alimentos[[#This Row],[Preço]],0)</f>
        <v>0</v>
      </c>
      <c r="L374" s="64">
        <f>SUMIFS(super1[Qtde],super1[Item],tab_alimentos[[#This Row],[Item]],super1[Bairro],mercado1)+SUMIFS(supercb[Qtde],supercb[Item],tab_alimentos[[#This Row],[Item]],supercb[Bairro],mercado1)</f>
        <v>0</v>
      </c>
      <c r="M374" s="64">
        <f>SUMIFS(super1[Qtde],super1[Item],tab_alimentos[[#This Row],[Item]],super1[Bairro],mercado2)+SUMIFS(supercb[Qtde],supercb[Item],tab_alimentos[[#This Row],[Item]],supercb[Bairro],mercado2)</f>
        <v>0</v>
      </c>
      <c r="N374" s="61">
        <f>SUMIFS(super1[Qtde],super1[Item],tab_alimentos[[#This Row],[Item]],super1[Bairro],mercado3)+SUMIFS(supercb[Qtde],supercb[Item],tab_alimentos[[#This Row],[Item]],supercb[Bairro],mercado3)</f>
        <v>0</v>
      </c>
      <c r="O374" s="64">
        <f>SUMIFS(super1[Qtde],super1[Item],tab_alimentos[[#This Row],[Item]],super1[Bairro],mercado4)+SUMIFS(supercb[Qtde],supercb[Item],tab_alimentos[[#This Row],[Item]],supercb[Bairro],mercado4)</f>
        <v>0</v>
      </c>
      <c r="P374" s="64">
        <f>SUMIFS(super1[Qtde],super1[Item],tab_alimentos[[#This Row],[Item]],super1[Bairro],mercado5)+SUMIFS(supercb[Qtde],supercb[Item],tab_alimentos[[#This Row],[Item]],supercb[Bairro],mercado5)</f>
        <v>0</v>
      </c>
      <c r="Q374" s="64">
        <f>SUMIFS(super1[Qtde],super1[Item],tab_alimentos[[#This Row],[Item]],super1[Bairro],mercado6)+SUMIFS(supercb[Qtde],supercb[Item],tab_alimentos[[#This Row],[Item]],supercb[Bairro],mercado6)</f>
        <v>0</v>
      </c>
      <c r="R374" s="64">
        <f>SUMIFS(super1[Qtde],super1[Item],tab_alimentos[[#This Row],[Item]],super1[Bairro],mercado7)+SUMIFS(supercb[Qtde],supercb[Item],tab_alimentos[[#This Row],[Item]],supercb[Bairro],mercado7)</f>
        <v>0</v>
      </c>
      <c r="S374" s="64">
        <f>SUMIFS(super1[Qtde],super1[Item],tab_alimentos[[#This Row],[Item]],super1[Bairro],mercado8)+SUMIFS(supercb[Qtde],supercb[Item],tab_alimentos[[#This Row],[Item]],supercb[Bairro],mercado8)</f>
        <v>0</v>
      </c>
      <c r="T374" s="64">
        <f>SUMIFS(super1[Qtde],super1[Item],tab_alimentos[[#This Row],[Item]],super1[Bairro],mercado9)+SUMIFS(supercb[Qtde],supercb[Item],tab_alimentos[[#This Row],[Item]],supercb[Bairro],mercado9)</f>
        <v>0</v>
      </c>
      <c r="U374" s="64">
        <f>SUMIFS(super1[Qtde],super1[Item],tab_alimentos[[#This Row],[Item]],super1[Bairro],mercado10)+SUMIFS(supercb[Qtde],supercb[Item],tab_alimentos[[#This Row],[Item]],supercb[Bairro],mercado10)</f>
        <v>0</v>
      </c>
      <c r="V374" s="64">
        <f>SUMIFS(super1[Qtde],super1[Item],tab_alimentos[[#This Row],[Item]],super1[Bairro],mercado11)+SUMIFS(supercb[Qtde],supercb[Item],tab_alimentos[[#This Row],[Item]],supercb[Bairro],mercado11)</f>
        <v>0</v>
      </c>
      <c r="W374" s="64">
        <f>SUMIFS(super1[Qtde],super1[Item],tab_alimentos[[#This Row],[Item]],super1[Bairro],mercado12)+SUMIFS(supercb[Qtde],supercb[Item],tab_alimentos[[#This Row],[Item]],supercb[Bairro],mercado12)</f>
        <v>0</v>
      </c>
      <c r="X374" s="64">
        <f>SUMIFS(super1[Qtde],super1[Item],tab_alimentos[[#This Row],[Item]],super1[Bairro],mercado13)+SUMIFS(supercb[Qtde],supercb[Item],tab_alimentos[[#This Row],[Item]],supercb[Bairro],mercado13)</f>
        <v>0</v>
      </c>
      <c r="Y374" s="64">
        <f>SUMIFS(super1[Qtde],super1[Item],tab_alimentos[[#This Row],[Item]],super1[Bairro],mercado14)+SUMIFS(supercb[Qtde],supercb[Item],tab_alimentos[[#This Row],[Item]],supercb[Bairro],mercado14)</f>
        <v>0</v>
      </c>
      <c r="Z374" s="64">
        <f>SUMIFS(super1[Qtde],super1[Item],tab_alimentos[[#This Row],[Item]],super1[Bairro],mercado15)+SUMIFS(supercb[Qtde],supercb[Item],tab_alimentos[[#This Row],[Item]],supercb[Bairro],mercado15)</f>
        <v>0</v>
      </c>
      <c r="AA374" s="64">
        <f>SUMIFS(super1[Qtde],super1[Item],tab_alimentos[[#This Row],[Item]],super1[Bairro],mercado16)+SUMIFS(supercb[Qtde],supercb[Item],tab_alimentos[[#This Row],[Item]],supercb[Bairro],mercado16)</f>
        <v>0</v>
      </c>
      <c r="AB374" s="64">
        <f>SUMIFS(super1[Qtde],super1[Item],tab_alimentos[[#This Row],[Item]],super1[Bairro],mercado17)+SUMIFS(supercb[Qtde],supercb[Item],tab_alimentos[[#This Row],[Item]],supercb[Bairro],mercado17)</f>
        <v>0</v>
      </c>
      <c r="AC374" s="64">
        <f>SUMIFS(super1[Qtde],super1[Item],tab_alimentos[[#This Row],[Item]],super1[Bairro],mercado18)+SUMIFS(supercb[Qtde],supercb[Item],tab_alimentos[[#This Row],[Item]],supercb[Bairro],mercado18)</f>
        <v>0</v>
      </c>
      <c r="AD374" s="64">
        <f>SUMIFS(super1[Qtde],super1[Item],tab_alimentos[[#This Row],[Item]],super1[Bairro],extras)+SUMIFS(supercb[Qtde],supercb[Item],tab_alimentos[[#This Row],[Item]],supercb[Bairro],extras)</f>
        <v>0</v>
      </c>
      <c r="AE374" s="61">
        <f t="shared" si="94"/>
        <v>0</v>
      </c>
      <c r="AF374" s="61">
        <f t="shared" si="95"/>
        <v>0</v>
      </c>
      <c r="AG374" s="62">
        <f t="shared" si="96"/>
        <v>0</v>
      </c>
    </row>
    <row r="375" spans="9:33" x14ac:dyDescent="0.25">
      <c r="I375" s="65" t="e">
        <f>alimentos[[#This Row],[Item]]</f>
        <v>#VALUE!</v>
      </c>
      <c r="J375" s="61">
        <f>IFERROR(alimentos[[#This Row],[kg/embalagem]],0)</f>
        <v>0</v>
      </c>
      <c r="K375" s="64">
        <f>IFERROR(alimentos[[#This Row],[Preço]],0)</f>
        <v>0</v>
      </c>
      <c r="L375" s="64">
        <f>SUMIFS(super1[Qtde],super1[Item],tab_alimentos[[#This Row],[Item]],super1[Bairro],mercado1)+SUMIFS(supercb[Qtde],supercb[Item],tab_alimentos[[#This Row],[Item]],supercb[Bairro],mercado1)</f>
        <v>0</v>
      </c>
      <c r="M375" s="64">
        <f>SUMIFS(super1[Qtde],super1[Item],tab_alimentos[[#This Row],[Item]],super1[Bairro],mercado2)+SUMIFS(supercb[Qtde],supercb[Item],tab_alimentos[[#This Row],[Item]],supercb[Bairro],mercado2)</f>
        <v>0</v>
      </c>
      <c r="N375" s="61">
        <f>SUMIFS(super1[Qtde],super1[Item],tab_alimentos[[#This Row],[Item]],super1[Bairro],mercado3)+SUMIFS(supercb[Qtde],supercb[Item],tab_alimentos[[#This Row],[Item]],supercb[Bairro],mercado3)</f>
        <v>0</v>
      </c>
      <c r="O375" s="64">
        <f>SUMIFS(super1[Qtde],super1[Item],tab_alimentos[[#This Row],[Item]],super1[Bairro],mercado4)+SUMIFS(supercb[Qtde],supercb[Item],tab_alimentos[[#This Row],[Item]],supercb[Bairro],mercado4)</f>
        <v>0</v>
      </c>
      <c r="P375" s="64">
        <f>SUMIFS(super1[Qtde],super1[Item],tab_alimentos[[#This Row],[Item]],super1[Bairro],mercado5)+SUMIFS(supercb[Qtde],supercb[Item],tab_alimentos[[#This Row],[Item]],supercb[Bairro],mercado5)</f>
        <v>0</v>
      </c>
      <c r="Q375" s="64">
        <f>SUMIFS(super1[Qtde],super1[Item],tab_alimentos[[#This Row],[Item]],super1[Bairro],mercado6)+SUMIFS(supercb[Qtde],supercb[Item],tab_alimentos[[#This Row],[Item]],supercb[Bairro],mercado6)</f>
        <v>0</v>
      </c>
      <c r="R375" s="64">
        <f>SUMIFS(super1[Qtde],super1[Item],tab_alimentos[[#This Row],[Item]],super1[Bairro],mercado7)+SUMIFS(supercb[Qtde],supercb[Item],tab_alimentos[[#This Row],[Item]],supercb[Bairro],mercado7)</f>
        <v>0</v>
      </c>
      <c r="S375" s="64">
        <f>SUMIFS(super1[Qtde],super1[Item],tab_alimentos[[#This Row],[Item]],super1[Bairro],mercado8)+SUMIFS(supercb[Qtde],supercb[Item],tab_alimentos[[#This Row],[Item]],supercb[Bairro],mercado8)</f>
        <v>0</v>
      </c>
      <c r="T375" s="64">
        <f>SUMIFS(super1[Qtde],super1[Item],tab_alimentos[[#This Row],[Item]],super1[Bairro],mercado9)+SUMIFS(supercb[Qtde],supercb[Item],tab_alimentos[[#This Row],[Item]],supercb[Bairro],mercado9)</f>
        <v>0</v>
      </c>
      <c r="U375" s="64">
        <f>SUMIFS(super1[Qtde],super1[Item],tab_alimentos[[#This Row],[Item]],super1[Bairro],mercado10)+SUMIFS(supercb[Qtde],supercb[Item],tab_alimentos[[#This Row],[Item]],supercb[Bairro],mercado10)</f>
        <v>0</v>
      </c>
      <c r="V375" s="64">
        <f>SUMIFS(super1[Qtde],super1[Item],tab_alimentos[[#This Row],[Item]],super1[Bairro],mercado11)+SUMIFS(supercb[Qtde],supercb[Item],tab_alimentos[[#This Row],[Item]],supercb[Bairro],mercado11)</f>
        <v>0</v>
      </c>
      <c r="W375" s="64">
        <f>SUMIFS(super1[Qtde],super1[Item],tab_alimentos[[#This Row],[Item]],super1[Bairro],mercado12)+SUMIFS(supercb[Qtde],supercb[Item],tab_alimentos[[#This Row],[Item]],supercb[Bairro],mercado12)</f>
        <v>0</v>
      </c>
      <c r="X375" s="64">
        <f>SUMIFS(super1[Qtde],super1[Item],tab_alimentos[[#This Row],[Item]],super1[Bairro],mercado13)+SUMIFS(supercb[Qtde],supercb[Item],tab_alimentos[[#This Row],[Item]],supercb[Bairro],mercado13)</f>
        <v>0</v>
      </c>
      <c r="Y375" s="64">
        <f>SUMIFS(super1[Qtde],super1[Item],tab_alimentos[[#This Row],[Item]],super1[Bairro],mercado14)+SUMIFS(supercb[Qtde],supercb[Item],tab_alimentos[[#This Row],[Item]],supercb[Bairro],mercado14)</f>
        <v>0</v>
      </c>
      <c r="Z375" s="64">
        <f>SUMIFS(super1[Qtde],super1[Item],tab_alimentos[[#This Row],[Item]],super1[Bairro],mercado15)+SUMIFS(supercb[Qtde],supercb[Item],tab_alimentos[[#This Row],[Item]],supercb[Bairro],mercado15)</f>
        <v>0</v>
      </c>
      <c r="AA375" s="64">
        <f>SUMIFS(super1[Qtde],super1[Item],tab_alimentos[[#This Row],[Item]],super1[Bairro],mercado16)+SUMIFS(supercb[Qtde],supercb[Item],tab_alimentos[[#This Row],[Item]],supercb[Bairro],mercado16)</f>
        <v>0</v>
      </c>
      <c r="AB375" s="64">
        <f>SUMIFS(super1[Qtde],super1[Item],tab_alimentos[[#This Row],[Item]],super1[Bairro],mercado17)+SUMIFS(supercb[Qtde],supercb[Item],tab_alimentos[[#This Row],[Item]],supercb[Bairro],mercado17)</f>
        <v>0</v>
      </c>
      <c r="AC375" s="64">
        <f>SUMIFS(super1[Qtde],super1[Item],tab_alimentos[[#This Row],[Item]],super1[Bairro],mercado18)+SUMIFS(supercb[Qtde],supercb[Item],tab_alimentos[[#This Row],[Item]],supercb[Bairro],mercado18)</f>
        <v>0</v>
      </c>
      <c r="AD375" s="64">
        <f>SUMIFS(super1[Qtde],super1[Item],tab_alimentos[[#This Row],[Item]],super1[Bairro],extras)+SUMIFS(supercb[Qtde],supercb[Item],tab_alimentos[[#This Row],[Item]],supercb[Bairro],extras)</f>
        <v>0</v>
      </c>
      <c r="AE375" s="61">
        <f t="shared" si="94"/>
        <v>0</v>
      </c>
      <c r="AF375" s="61">
        <f t="shared" si="95"/>
        <v>0</v>
      </c>
      <c r="AG375" s="62">
        <f t="shared" si="96"/>
        <v>0</v>
      </c>
    </row>
  </sheetData>
  <sheetProtection formatCells="0" formatColumns="0" formatRows="0" insertColumns="0" insertRows="0" insertHyperlinks="0" deleteColumns="0" deleteRows="0" sort="0" autoFilter="0" pivotTables="0"/>
  <mergeCells count="21">
    <mergeCell ref="BP3:BW3"/>
    <mergeCell ref="A3:G3"/>
    <mergeCell ref="B7:C7"/>
    <mergeCell ref="D7:E7"/>
    <mergeCell ref="F7:G7"/>
    <mergeCell ref="A7:A8"/>
    <mergeCell ref="A5:C5"/>
    <mergeCell ref="D5:G5"/>
    <mergeCell ref="AH3:BF3"/>
    <mergeCell ref="I3:AG3"/>
    <mergeCell ref="BI3:BN3"/>
    <mergeCell ref="A44:G45"/>
    <mergeCell ref="A31:G31"/>
    <mergeCell ref="A34:G34"/>
    <mergeCell ref="A37:G37"/>
    <mergeCell ref="A40:G40"/>
    <mergeCell ref="A43:G43"/>
    <mergeCell ref="A32:G33"/>
    <mergeCell ref="A35:G36"/>
    <mergeCell ref="A38:G39"/>
    <mergeCell ref="A41:G42"/>
  </mergeCells>
  <conditionalFormatting sqref="K5:AG375 AJ5:BF315">
    <cfRule type="cellIs" dxfId="85" priority="12" operator="greaterThan">
      <formula>0</formula>
    </cfRule>
  </conditionalFormatting>
  <conditionalFormatting sqref="A32">
    <cfRule type="cellIs" dxfId="84" priority="8" operator="greaterThan">
      <formula>0</formula>
    </cfRule>
  </conditionalFormatting>
  <conditionalFormatting sqref="A35">
    <cfRule type="cellIs" dxfId="83" priority="7" operator="greaterThan">
      <formula>0</formula>
    </cfRule>
  </conditionalFormatting>
  <conditionalFormatting sqref="A44">
    <cfRule type="cellIs" dxfId="82" priority="6" operator="greaterThan">
      <formula>0</formula>
    </cfRule>
  </conditionalFormatting>
  <conditionalFormatting sqref="A41">
    <cfRule type="cellIs" dxfId="81" priority="4" operator="greaterThan">
      <formula>0</formula>
    </cfRule>
  </conditionalFormatting>
  <conditionalFormatting sqref="A38">
    <cfRule type="cellIs" dxfId="80" priority="2" operator="greaterThan">
      <formula>0</formula>
    </cfRule>
  </conditionalFormatting>
  <hyperlinks>
    <hyperlink ref="I1" location="toporesumo" display="Topo" xr:uid="{00000000-0004-0000-0200-000000000000}"/>
    <hyperlink ref="A3" location="topocategorias" display="Categorias" xr:uid="{00000000-0004-0000-0200-000001000000}"/>
    <hyperlink ref="A5:C5" location="topo1" display="Cadastro" xr:uid="{00000000-0004-0000-0200-000002000000}"/>
    <hyperlink ref="D5:G5" location="topo_cb" display="CadastroCB" xr:uid="{00000000-0004-0000-0200-000003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Duplicata_alimentio">
                <anchor moveWithCells="1" sizeWithCells="1">
                  <from>
                    <xdr:col>60</xdr:col>
                    <xdr:colOff>304800</xdr:colOff>
                    <xdr:row>0</xdr:row>
                    <xdr:rowOff>85725</xdr:rowOff>
                  </from>
                  <to>
                    <xdr:col>60</xdr:col>
                    <xdr:colOff>1476375</xdr:colOff>
                    <xdr:row>1</xdr:row>
                    <xdr:rowOff>38100</xdr:rowOff>
                  </to>
                </anchor>
              </controlPr>
            </control>
          </mc:Choice>
        </mc:AlternateContent>
        <mc:AlternateContent xmlns:mc="http://schemas.openxmlformats.org/markup-compatibility/2006">
          <mc:Choice Requires="x14">
            <control shapeId="3074" r:id="rId4" name="Button 2">
              <controlPr defaultSize="0" print="0" autoFill="0" autoPict="0" macro="[0]!Duplicata_higiene">
                <anchor moveWithCells="1" sizeWithCells="1">
                  <from>
                    <xdr:col>67</xdr:col>
                    <xdr:colOff>304800</xdr:colOff>
                    <xdr:row>0</xdr:row>
                    <xdr:rowOff>85725</xdr:rowOff>
                  </from>
                  <to>
                    <xdr:col>67</xdr:col>
                    <xdr:colOff>1476375</xdr:colOff>
                    <xdr:row>1</xdr:row>
                    <xdr:rowOff>38100</xdr:rowOff>
                  </to>
                </anchor>
              </controlPr>
            </control>
          </mc:Choice>
        </mc:AlternateContent>
      </controls>
    </mc:Choice>
  </mc:AlternateContent>
  <tableParts count="2">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92D050"/>
  </sheetPr>
  <dimension ref="A3:J12"/>
  <sheetViews>
    <sheetView showGridLines="0" zoomScaleNormal="100" workbookViewId="0">
      <selection activeCell="R7" sqref="R7"/>
    </sheetView>
  </sheetViews>
  <sheetFormatPr defaultRowHeight="15" x14ac:dyDescent="0.25"/>
  <cols>
    <col min="1" max="1" width="17" bestFit="1" customWidth="1"/>
    <col min="2" max="2" width="16.7109375" bestFit="1" customWidth="1"/>
    <col min="3" max="3" width="16.5703125" customWidth="1"/>
    <col min="4" max="4" width="16.5703125" bestFit="1" customWidth="1"/>
    <col min="5" max="8" width="16.5703125" customWidth="1"/>
    <col min="9" max="9" width="17.5703125" customWidth="1"/>
    <col min="10" max="10" width="16.7109375" customWidth="1"/>
    <col min="17" max="17" width="26.42578125" customWidth="1"/>
    <col min="18" max="18" width="22.42578125" bestFit="1" customWidth="1"/>
  </cols>
  <sheetData>
    <row r="3" spans="1:10" x14ac:dyDescent="0.25">
      <c r="A3" s="9" t="s">
        <v>72</v>
      </c>
      <c r="B3" t="s">
        <v>75</v>
      </c>
      <c r="I3" s="9" t="s">
        <v>72</v>
      </c>
      <c r="J3" t="s">
        <v>75</v>
      </c>
    </row>
    <row r="4" spans="1:10" x14ac:dyDescent="0.25">
      <c r="A4" s="10" t="s">
        <v>24</v>
      </c>
      <c r="B4" s="11">
        <v>1</v>
      </c>
      <c r="I4" s="10" t="s">
        <v>30</v>
      </c>
      <c r="J4" s="11">
        <v>1</v>
      </c>
    </row>
    <row r="5" spans="1:10" x14ac:dyDescent="0.25">
      <c r="A5" s="10" t="s">
        <v>4</v>
      </c>
      <c r="B5" s="11">
        <v>6</v>
      </c>
      <c r="I5" s="10" t="s">
        <v>35</v>
      </c>
      <c r="J5" s="11">
        <v>2</v>
      </c>
    </row>
    <row r="6" spans="1:10" x14ac:dyDescent="0.25">
      <c r="A6" s="10" t="s">
        <v>5</v>
      </c>
      <c r="B6" s="11">
        <v>7</v>
      </c>
      <c r="I6" s="10" t="s">
        <v>73</v>
      </c>
      <c r="J6" s="11">
        <v>3</v>
      </c>
    </row>
    <row r="7" spans="1:10" x14ac:dyDescent="0.25">
      <c r="A7" s="10" t="s">
        <v>6</v>
      </c>
      <c r="B7" s="11">
        <v>5</v>
      </c>
    </row>
    <row r="8" spans="1:10" x14ac:dyDescent="0.25">
      <c r="A8" s="10" t="s">
        <v>7</v>
      </c>
      <c r="B8" s="11">
        <v>3</v>
      </c>
    </row>
    <row r="9" spans="1:10" x14ac:dyDescent="0.25">
      <c r="A9" s="10" t="s">
        <v>8</v>
      </c>
      <c r="B9" s="11">
        <v>7</v>
      </c>
    </row>
    <row r="10" spans="1:10" x14ac:dyDescent="0.25">
      <c r="A10" s="10" t="s">
        <v>14</v>
      </c>
      <c r="B10" s="11">
        <v>1</v>
      </c>
    </row>
    <row r="11" spans="1:10" x14ac:dyDescent="0.25">
      <c r="A11" s="10" t="s">
        <v>15</v>
      </c>
      <c r="B11" s="11">
        <v>7</v>
      </c>
    </row>
    <row r="12" spans="1:10" x14ac:dyDescent="0.25">
      <c r="A12" s="10" t="s">
        <v>73</v>
      </c>
      <c r="B12" s="11">
        <v>37</v>
      </c>
    </row>
  </sheetData>
  <pageMargins left="0.7" right="0.7" top="0.75" bottom="0.75" header="0.3" footer="0.3"/>
  <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002060"/>
  </sheetPr>
  <dimension ref="A1:Q526"/>
  <sheetViews>
    <sheetView showGridLines="0" workbookViewId="0">
      <pane xSplit="2" ySplit="2" topLeftCell="G189" activePane="bottomRight" state="frozen"/>
      <selection pane="topRight" activeCell="C1" sqref="C1"/>
      <selection pane="bottomLeft" activeCell="A3" sqref="A3"/>
      <selection pane="bottomRight" activeCell="J198" sqref="J198"/>
    </sheetView>
  </sheetViews>
  <sheetFormatPr defaultRowHeight="15" x14ac:dyDescent="0.25"/>
  <cols>
    <col min="1" max="1" width="30.42578125" customWidth="1"/>
    <col min="2" max="2" width="2.5703125" customWidth="1"/>
    <col min="3" max="3" width="2.28515625" customWidth="1"/>
    <col min="4" max="4" width="30.5703125" bestFit="1" customWidth="1"/>
    <col min="5" max="5" width="19" bestFit="1" customWidth="1"/>
    <col min="6" max="6" width="19" customWidth="1"/>
    <col min="7" max="7" width="3.140625" customWidth="1"/>
    <col min="8" max="8" width="31.7109375" bestFit="1" customWidth="1"/>
    <col min="9" max="9" width="19" bestFit="1" customWidth="1"/>
    <col min="10" max="11" width="19" customWidth="1"/>
    <col min="12" max="12" width="3.42578125" customWidth="1"/>
    <col min="13" max="13" width="30.42578125" customWidth="1"/>
  </cols>
  <sheetData>
    <row r="1" spans="1:17" ht="21" customHeight="1" x14ac:dyDescent="0.25">
      <c r="D1" s="43" t="s">
        <v>102</v>
      </c>
    </row>
    <row r="3" spans="1:17" x14ac:dyDescent="0.25">
      <c r="A3" s="100" t="s">
        <v>101</v>
      </c>
      <c r="B3" s="100"/>
      <c r="D3" s="98" t="s">
        <v>0</v>
      </c>
      <c r="E3" s="99"/>
      <c r="F3" s="16"/>
      <c r="H3" s="98" t="s">
        <v>25</v>
      </c>
      <c r="I3" s="99"/>
      <c r="J3" s="16"/>
      <c r="K3" s="16"/>
      <c r="M3" s="24" t="s">
        <v>1390</v>
      </c>
    </row>
    <row r="4" spans="1:17" x14ac:dyDescent="0.25">
      <c r="A4" s="12"/>
      <c r="B4" s="12"/>
      <c r="D4" s="2" t="s">
        <v>26</v>
      </c>
      <c r="E4" s="2" t="s">
        <v>27</v>
      </c>
      <c r="F4" s="2" t="s">
        <v>176</v>
      </c>
      <c r="H4" s="4" t="s">
        <v>26</v>
      </c>
      <c r="I4" s="5" t="s">
        <v>235</v>
      </c>
      <c r="J4" s="5" t="s">
        <v>192</v>
      </c>
      <c r="K4" s="17" t="s">
        <v>193</v>
      </c>
      <c r="M4" s="24"/>
      <c r="Q4" s="24" t="str">
        <f t="shared" ref="Q4:Q58" si="0">D5</f>
        <v>A</v>
      </c>
    </row>
    <row r="5" spans="1:17" x14ac:dyDescent="0.25">
      <c r="A5" s="27"/>
      <c r="B5" s="27"/>
      <c r="D5" s="71" t="s">
        <v>76</v>
      </c>
      <c r="E5" s="69"/>
      <c r="F5" s="52"/>
      <c r="G5" s="19"/>
      <c r="H5" s="54" t="s">
        <v>76</v>
      </c>
      <c r="I5" s="55"/>
      <c r="J5" s="55" t="s">
        <v>1316</v>
      </c>
      <c r="K5" s="57">
        <f>IFERROR(higiene[[#This Row],[Preço por produto]]/PMA,0)</f>
        <v>0</v>
      </c>
      <c r="Q5" s="24" t="str">
        <f t="shared" si="0"/>
        <v>Abacaxi em calda (820g)</v>
      </c>
    </row>
    <row r="6" spans="1:17" x14ac:dyDescent="0.25">
      <c r="A6" s="100" t="s">
        <v>392</v>
      </c>
      <c r="B6" s="100"/>
      <c r="D6" s="71" t="s">
        <v>1261</v>
      </c>
      <c r="E6" s="69">
        <v>0.82</v>
      </c>
      <c r="F6" s="52">
        <v>7.95</v>
      </c>
      <c r="G6" s="19"/>
      <c r="H6" s="54" t="s">
        <v>257</v>
      </c>
      <c r="I6" s="55">
        <v>8</v>
      </c>
      <c r="J6" s="55">
        <v>3.5</v>
      </c>
      <c r="K6" s="57">
        <f>IFERROR(higiene[[#This Row],[Preço por produto]]/PMA,0)</f>
        <v>1.0566317401281049</v>
      </c>
      <c r="Q6" s="24" t="str">
        <f t="shared" si="0"/>
        <v>Abacaxi em calda (830g)</v>
      </c>
    </row>
    <row r="7" spans="1:17" x14ac:dyDescent="0.25">
      <c r="A7" s="22"/>
      <c r="B7" s="22"/>
      <c r="D7" s="71" t="s">
        <v>1262</v>
      </c>
      <c r="E7" s="69">
        <v>0.83</v>
      </c>
      <c r="F7" s="52">
        <v>8.75</v>
      </c>
      <c r="G7" s="19"/>
      <c r="H7" s="54" t="s">
        <v>239</v>
      </c>
      <c r="I7" s="55">
        <v>15</v>
      </c>
      <c r="J7" s="55">
        <v>5.69</v>
      </c>
      <c r="K7" s="57">
        <f>IFERROR(higiene[[#This Row],[Preço por produto]]/PMA,0)</f>
        <v>1.7177813146654048</v>
      </c>
      <c r="Q7" s="24" t="str">
        <f t="shared" si="0"/>
        <v>Achocolatado (1kg)</v>
      </c>
    </row>
    <row r="8" spans="1:17" x14ac:dyDescent="0.25">
      <c r="D8" s="71" t="s">
        <v>336</v>
      </c>
      <c r="E8" s="69">
        <v>1</v>
      </c>
      <c r="F8" s="52">
        <v>12.191999999999998</v>
      </c>
      <c r="G8" s="19"/>
      <c r="H8" s="54" t="s">
        <v>258</v>
      </c>
      <c r="I8" s="55">
        <v>16</v>
      </c>
      <c r="J8" s="55">
        <v>6.4079999999999995</v>
      </c>
      <c r="K8" s="57">
        <f>IFERROR(higiene[[#This Row],[Preço por produto]]/PMA,0)</f>
        <v>1.934541768783113</v>
      </c>
      <c r="M8" t="s">
        <v>116</v>
      </c>
      <c r="Q8" s="24" t="str">
        <f t="shared" si="0"/>
        <v>Achocolatado (200g)</v>
      </c>
    </row>
    <row r="9" spans="1:17" x14ac:dyDescent="0.25">
      <c r="A9" s="100" t="s">
        <v>104</v>
      </c>
      <c r="B9" s="100"/>
      <c r="D9" s="71" t="s">
        <v>117</v>
      </c>
      <c r="E9" s="69">
        <v>0.2</v>
      </c>
      <c r="F9" s="52">
        <v>4.1900000000000004</v>
      </c>
      <c r="G9" s="19"/>
      <c r="H9" s="54" t="s">
        <v>259</v>
      </c>
      <c r="I9" s="55">
        <v>32</v>
      </c>
      <c r="J9" s="55">
        <v>14.368</v>
      </c>
      <c r="K9" s="57">
        <f>IFERROR(higiene[[#This Row],[Preço por produto]]/PMA,0)</f>
        <v>4.3376242406173171</v>
      </c>
      <c r="M9" s="48" t="s">
        <v>1320</v>
      </c>
      <c r="Q9" s="24" t="str">
        <f t="shared" si="0"/>
        <v>Achocolatado (300g)</v>
      </c>
    </row>
    <row r="10" spans="1:17" x14ac:dyDescent="0.25">
      <c r="B10" s="14"/>
      <c r="D10" s="71" t="s">
        <v>1241</v>
      </c>
      <c r="E10" s="69">
        <v>0.3</v>
      </c>
      <c r="F10" s="52">
        <v>7.0175000000000001</v>
      </c>
      <c r="G10" s="19"/>
      <c r="H10" s="54" t="s">
        <v>354</v>
      </c>
      <c r="I10" s="55">
        <v>36</v>
      </c>
      <c r="J10" s="55">
        <v>20.43</v>
      </c>
      <c r="K10" s="58">
        <f>IFERROR(higiene[[#This Row],[Preço por produto]]/PMA,0)</f>
        <v>6.1677104145191946</v>
      </c>
      <c r="M10" s="48" t="s">
        <v>1319</v>
      </c>
      <c r="Q10" s="24" t="str">
        <f t="shared" si="0"/>
        <v>Achocolatado (400g)</v>
      </c>
    </row>
    <row r="11" spans="1:17" x14ac:dyDescent="0.25">
      <c r="D11" s="71" t="s">
        <v>118</v>
      </c>
      <c r="E11" s="69">
        <v>0.4</v>
      </c>
      <c r="F11" s="52">
        <v>3.8533333333333331</v>
      </c>
      <c r="G11" s="19"/>
      <c r="H11" s="54" t="s">
        <v>343</v>
      </c>
      <c r="I11" s="55">
        <v>40</v>
      </c>
      <c r="J11" s="55">
        <v>9.5299999999999994</v>
      </c>
      <c r="K11" s="58">
        <f>IFERROR(higiene[[#This Row],[Preço por produto]]/PMA,0)</f>
        <v>2.8770572809773824</v>
      </c>
      <c r="M11" s="48" t="s">
        <v>1323</v>
      </c>
      <c r="Q11" s="24" t="str">
        <f t="shared" si="0"/>
        <v>Achocolatado (500g)</v>
      </c>
    </row>
    <row r="12" spans="1:17" x14ac:dyDescent="0.25">
      <c r="D12" s="71" t="s">
        <v>119</v>
      </c>
      <c r="E12" s="69">
        <v>0.5</v>
      </c>
      <c r="F12" s="52">
        <v>5.99</v>
      </c>
      <c r="G12" s="19"/>
      <c r="H12" s="54" t="s">
        <v>260</v>
      </c>
      <c r="I12" s="55">
        <v>60</v>
      </c>
      <c r="J12" s="55">
        <v>15.85</v>
      </c>
      <c r="K12" s="57">
        <f>IFERROR(higiene[[#This Row],[Preço por produto]]/PMA,0)</f>
        <v>4.785032308865846</v>
      </c>
      <c r="M12" s="48" t="s">
        <v>1327</v>
      </c>
      <c r="Q12" s="24" t="str">
        <f t="shared" si="0"/>
        <v>Achocolatado (700g)</v>
      </c>
    </row>
    <row r="13" spans="1:17" x14ac:dyDescent="0.25">
      <c r="D13" s="71" t="s">
        <v>340</v>
      </c>
      <c r="E13" s="69">
        <v>0.7</v>
      </c>
      <c r="F13" s="52">
        <v>7.2566666666666668</v>
      </c>
      <c r="G13" s="19"/>
      <c r="H13" s="54" t="s">
        <v>1330</v>
      </c>
      <c r="I13" s="55">
        <v>80</v>
      </c>
      <c r="J13" s="55">
        <v>14.98</v>
      </c>
      <c r="K13" s="57">
        <f>IFERROR(higiene[[#This Row],[Preço por produto]]/PMA,0)</f>
        <v>4.5223838477482889</v>
      </c>
      <c r="M13" s="48" t="s">
        <v>1318</v>
      </c>
      <c r="Q13" s="24" t="str">
        <f t="shared" si="0"/>
        <v>Achocolatado (800g)</v>
      </c>
    </row>
    <row r="14" spans="1:17" x14ac:dyDescent="0.25">
      <c r="D14" s="71" t="s">
        <v>120</v>
      </c>
      <c r="E14" s="69">
        <v>0.8</v>
      </c>
      <c r="F14" s="52">
        <v>10.123333333333335</v>
      </c>
      <c r="G14" s="19"/>
      <c r="H14" s="54" t="s">
        <v>28</v>
      </c>
      <c r="I14" s="55">
        <v>1</v>
      </c>
      <c r="J14" s="55">
        <v>2.548</v>
      </c>
      <c r="K14" s="57">
        <f>IFERROR(higiene[[#This Row],[Preço por produto]]/PMA,0)</f>
        <v>0.76922790681326036</v>
      </c>
      <c r="M14" s="48" t="s">
        <v>1317</v>
      </c>
      <c r="Q14" s="24" t="str">
        <f t="shared" si="0"/>
        <v>Açúcar (1kg)</v>
      </c>
    </row>
    <row r="15" spans="1:17" x14ac:dyDescent="0.25">
      <c r="D15" s="71" t="s">
        <v>121</v>
      </c>
      <c r="E15" s="69">
        <v>1</v>
      </c>
      <c r="F15" s="52">
        <v>1.7183333333333335</v>
      </c>
      <c r="G15" s="19"/>
      <c r="H15" s="54" t="s">
        <v>29</v>
      </c>
      <c r="I15" s="55">
        <v>2</v>
      </c>
      <c r="J15" s="55">
        <v>3.6240000000000001</v>
      </c>
      <c r="K15" s="57">
        <f>IFERROR(higiene[[#This Row],[Preço por produto]]/PMA,0)</f>
        <v>1.0940666932069292</v>
      </c>
      <c r="M15" s="24" t="s">
        <v>1325</v>
      </c>
      <c r="Q15" s="24" t="str">
        <f t="shared" si="0"/>
        <v>Açúcar (2kg)</v>
      </c>
    </row>
    <row r="16" spans="1:17" x14ac:dyDescent="0.25">
      <c r="D16" s="71" t="s">
        <v>122</v>
      </c>
      <c r="E16" s="69">
        <v>2</v>
      </c>
      <c r="F16" s="52">
        <v>3.3400000000000003</v>
      </c>
      <c r="G16" s="19"/>
      <c r="H16" s="54" t="s">
        <v>30</v>
      </c>
      <c r="I16" s="55">
        <v>5</v>
      </c>
      <c r="J16" s="55">
        <v>12.35</v>
      </c>
      <c r="K16" s="57">
        <f>IFERROR(higiene[[#This Row],[Preço por produto]]/PMA,0)</f>
        <v>3.7284005687377415</v>
      </c>
      <c r="M16" s="48" t="s">
        <v>1324</v>
      </c>
      <c r="Q16" s="24" t="str">
        <f t="shared" si="0"/>
        <v>Açucar (500g)</v>
      </c>
    </row>
    <row r="17" spans="4:17" x14ac:dyDescent="0.25">
      <c r="D17" s="71" t="s">
        <v>1223</v>
      </c>
      <c r="E17" s="69">
        <v>0.5</v>
      </c>
      <c r="F17" s="52">
        <v>3.45</v>
      </c>
      <c r="G17" s="19"/>
      <c r="H17" s="54" t="s">
        <v>195</v>
      </c>
      <c r="I17" s="55">
        <v>1</v>
      </c>
      <c r="J17" s="55">
        <v>5.5579999999999998</v>
      </c>
      <c r="K17" s="58">
        <f>IFERROR(higiene[[#This Row],[Preço por produto]]/PMA,0)</f>
        <v>1.6779312033234304</v>
      </c>
      <c r="M17" s="48" t="s">
        <v>1322</v>
      </c>
      <c r="Q17" s="24" t="str">
        <f t="shared" si="0"/>
        <v>Açúcar (5kg)</v>
      </c>
    </row>
    <row r="18" spans="4:17" x14ac:dyDescent="0.25">
      <c r="D18" s="71" t="s">
        <v>123</v>
      </c>
      <c r="E18" s="69">
        <v>5</v>
      </c>
      <c r="F18" s="52">
        <v>6.9866666666666681</v>
      </c>
      <c r="G18" s="19"/>
      <c r="H18" s="54" t="s">
        <v>342</v>
      </c>
      <c r="I18" s="55">
        <v>1</v>
      </c>
      <c r="J18" s="55">
        <v>6.49</v>
      </c>
      <c r="K18" s="57">
        <f>IFERROR(higiene[[#This Row],[Preço por produto]]/PMA,0)</f>
        <v>1.9592971409804003</v>
      </c>
      <c r="M18" s="48" t="s">
        <v>1321</v>
      </c>
      <c r="Q18" s="24" t="str">
        <f t="shared" si="0"/>
        <v>Adoçante</v>
      </c>
    </row>
    <row r="19" spans="4:17" x14ac:dyDescent="0.25">
      <c r="D19" s="71" t="s">
        <v>1</v>
      </c>
      <c r="E19" s="69">
        <v>0.1</v>
      </c>
      <c r="F19" s="52">
        <v>3.0466666666666669</v>
      </c>
      <c r="G19" s="19"/>
      <c r="H19" s="54" t="s">
        <v>205</v>
      </c>
      <c r="I19" s="55">
        <v>0.5</v>
      </c>
      <c r="J19" s="55">
        <v>6.1374999999999993</v>
      </c>
      <c r="K19" s="58">
        <f>IFERROR(higiene[[#This Row],[Preço por produto]]/PMA,0)</f>
        <v>1.8528792300103551</v>
      </c>
      <c r="M19" s="24" t="s">
        <v>1326</v>
      </c>
      <c r="Q19" s="24" t="str">
        <f t="shared" si="0"/>
        <v>Água de Coco (2L)</v>
      </c>
    </row>
    <row r="20" spans="4:17" x14ac:dyDescent="0.25">
      <c r="D20" s="71" t="s">
        <v>1200</v>
      </c>
      <c r="E20" s="69">
        <v>2</v>
      </c>
      <c r="F20" s="52">
        <v>6.2374999999999998</v>
      </c>
      <c r="G20" s="19"/>
      <c r="H20" s="54" t="s">
        <v>1253</v>
      </c>
      <c r="I20" s="55">
        <v>2.5000000000000001E-2</v>
      </c>
      <c r="J20" s="55">
        <v>2.16</v>
      </c>
      <c r="K20" s="57">
        <f>IFERROR(higiene[[#This Row],[Preço por produto]]/PMA,0)</f>
        <v>0.6520927310504876</v>
      </c>
      <c r="M20" s="48"/>
      <c r="Q20" s="24" t="str">
        <f t="shared" si="0"/>
        <v>Arroz (1kg)</v>
      </c>
    </row>
    <row r="21" spans="4:17" x14ac:dyDescent="0.25">
      <c r="D21" s="71" t="s">
        <v>2</v>
      </c>
      <c r="E21" s="69">
        <v>1</v>
      </c>
      <c r="F21" s="52">
        <v>3.2500000000000004</v>
      </c>
      <c r="G21" s="19"/>
      <c r="H21" s="54" t="s">
        <v>196</v>
      </c>
      <c r="I21" s="55">
        <v>0.05</v>
      </c>
      <c r="J21" s="55">
        <v>3.5859999999999999</v>
      </c>
      <c r="K21" s="57">
        <f>IFERROR(higiene[[#This Row],[Preço por produto]]/PMA,0)</f>
        <v>1.0825946914569669</v>
      </c>
      <c r="M21" s="48" t="s">
        <v>1328</v>
      </c>
      <c r="Q21" s="24" t="str">
        <f t="shared" si="0"/>
        <v>Arroz (2kg)</v>
      </c>
    </row>
    <row r="22" spans="4:17" x14ac:dyDescent="0.25">
      <c r="D22" s="71" t="s">
        <v>3</v>
      </c>
      <c r="E22" s="69">
        <v>2</v>
      </c>
      <c r="F22" s="52">
        <v>5.1300000000000008</v>
      </c>
      <c r="G22" s="19"/>
      <c r="H22" s="54" t="s">
        <v>31</v>
      </c>
      <c r="I22" s="55">
        <v>1</v>
      </c>
      <c r="J22" s="55">
        <v>6.29</v>
      </c>
      <c r="K22" s="57">
        <f>IFERROR(higiene[[#This Row],[Preço por produto]]/PMA,0)</f>
        <v>1.8989181844016514</v>
      </c>
      <c r="M22" s="48" t="s">
        <v>1329</v>
      </c>
      <c r="Q22" s="24" t="str">
        <f t="shared" si="0"/>
        <v>Arroz (5kg)</v>
      </c>
    </row>
    <row r="23" spans="4:17" x14ac:dyDescent="0.25">
      <c r="D23" s="71" t="s">
        <v>4</v>
      </c>
      <c r="E23" s="69">
        <v>5</v>
      </c>
      <c r="F23" s="52">
        <v>11.381666666666666</v>
      </c>
      <c r="G23" s="19"/>
      <c r="H23" s="54" t="s">
        <v>32</v>
      </c>
      <c r="I23" s="55">
        <v>2</v>
      </c>
      <c r="J23" s="55">
        <v>9.048</v>
      </c>
      <c r="K23" s="57">
        <f>IFERROR(higiene[[#This Row],[Preço por produto]]/PMA,0)</f>
        <v>2.731543995622598</v>
      </c>
      <c r="M23" s="48"/>
      <c r="Q23" s="24" t="str">
        <f t="shared" si="0"/>
        <v>Arroz integral (1kg)</v>
      </c>
    </row>
    <row r="24" spans="4:17" x14ac:dyDescent="0.25">
      <c r="D24" s="71" t="s">
        <v>125</v>
      </c>
      <c r="E24" s="69">
        <v>1</v>
      </c>
      <c r="F24" s="52">
        <v>3.782</v>
      </c>
      <c r="G24" s="19"/>
      <c r="H24" s="54" t="s">
        <v>1331</v>
      </c>
      <c r="I24" s="55">
        <v>2</v>
      </c>
      <c r="J24" s="55">
        <v>9.68</v>
      </c>
      <c r="K24" s="57">
        <f>IFERROR(higiene[[#This Row],[Preço por produto]]/PMA,0)</f>
        <v>2.9223414984114444</v>
      </c>
      <c r="M24" s="48"/>
      <c r="Q24" s="24" t="str">
        <f t="shared" si="0"/>
        <v>Arroz integral (500g)</v>
      </c>
    </row>
    <row r="25" spans="4:17" x14ac:dyDescent="0.25">
      <c r="D25" s="71" t="s">
        <v>124</v>
      </c>
      <c r="E25" s="69">
        <v>0.5</v>
      </c>
      <c r="F25" s="104">
        <v>4.76</v>
      </c>
      <c r="G25" s="19"/>
      <c r="H25" s="54" t="s">
        <v>33</v>
      </c>
      <c r="I25" s="55">
        <v>0.5</v>
      </c>
      <c r="J25" s="55">
        <v>4.4624999999999995</v>
      </c>
      <c r="K25" s="57">
        <f>IFERROR(higiene[[#This Row],[Preço por produto]]/PMA,0)</f>
        <v>1.3472054686633335</v>
      </c>
      <c r="M25" s="48"/>
      <c r="Q25" s="24" t="str">
        <f t="shared" si="0"/>
        <v>Atum (170g)</v>
      </c>
    </row>
    <row r="26" spans="4:17" x14ac:dyDescent="0.25">
      <c r="D26" s="71" t="s">
        <v>207</v>
      </c>
      <c r="E26" s="69">
        <v>0.17</v>
      </c>
      <c r="F26" s="52">
        <v>4.6940000000000008</v>
      </c>
      <c r="G26" s="19"/>
      <c r="H26" s="54" t="s">
        <v>167</v>
      </c>
      <c r="I26" s="55">
        <v>5</v>
      </c>
      <c r="J26" s="55">
        <v>6.3879999999999999</v>
      </c>
      <c r="K26" s="57">
        <f>IFERROR(higiene[[#This Row],[Preço por produto]]/PMA,0)</f>
        <v>1.9285038731252382</v>
      </c>
      <c r="M26" s="49"/>
      <c r="Q26" s="24" t="str">
        <f t="shared" si="0"/>
        <v>Atum (325g)</v>
      </c>
    </row>
    <row r="27" spans="4:17" x14ac:dyDescent="0.25">
      <c r="D27" s="71" t="s">
        <v>188</v>
      </c>
      <c r="E27" s="69">
        <v>0.32500000000000001</v>
      </c>
      <c r="F27" s="104">
        <v>7.52</v>
      </c>
      <c r="G27" s="19"/>
      <c r="H27" s="54" t="s">
        <v>34</v>
      </c>
      <c r="I27" s="55">
        <v>0.1</v>
      </c>
      <c r="J27" s="55">
        <v>9.9160000000000004</v>
      </c>
      <c r="K27" s="57">
        <f>IFERROR(higiene[[#This Row],[Preço por produto]]/PMA,0)</f>
        <v>2.9935886671743681</v>
      </c>
      <c r="M27" s="40"/>
      <c r="Q27" s="24" t="str">
        <f t="shared" si="0"/>
        <v>Aveia (200g)</v>
      </c>
    </row>
    <row r="28" spans="4:17" x14ac:dyDescent="0.25">
      <c r="D28" s="71" t="s">
        <v>208</v>
      </c>
      <c r="E28" s="69">
        <v>0.2</v>
      </c>
      <c r="F28" s="52">
        <v>2.726</v>
      </c>
      <c r="G28" s="19"/>
      <c r="H28" s="54" t="s">
        <v>1334</v>
      </c>
      <c r="I28" s="55">
        <v>2</v>
      </c>
      <c r="J28" s="106">
        <v>8.18</v>
      </c>
      <c r="K28" s="58">
        <f>IFERROR(higiene[[#This Row],[Preço por produto]]/PMA,0)</f>
        <v>2.4694993240708278</v>
      </c>
      <c r="Q28" s="24" t="str">
        <f t="shared" si="0"/>
        <v>Aveia (500g)</v>
      </c>
    </row>
    <row r="29" spans="4:17" x14ac:dyDescent="0.25">
      <c r="D29" s="71" t="s">
        <v>1222</v>
      </c>
      <c r="E29" s="69">
        <v>0.5</v>
      </c>
      <c r="F29" s="52">
        <v>7.6479999999999988</v>
      </c>
      <c r="G29" s="19"/>
      <c r="H29" s="54" t="s">
        <v>1332</v>
      </c>
      <c r="I29" s="55"/>
      <c r="J29" s="55">
        <v>18.5</v>
      </c>
      <c r="K29" s="58">
        <f>IFERROR(higiene[[#This Row],[Preço por produto]]/PMA,0)</f>
        <v>5.5850534835342689</v>
      </c>
      <c r="Q29" s="24" t="str">
        <f t="shared" si="0"/>
        <v>Azeite (200mL)</v>
      </c>
    </row>
    <row r="30" spans="4:17" x14ac:dyDescent="0.25">
      <c r="D30" s="71" t="s">
        <v>1238</v>
      </c>
      <c r="E30" s="69">
        <v>0.2</v>
      </c>
      <c r="F30" s="52">
        <v>9.0960000000000001</v>
      </c>
      <c r="G30" s="19"/>
      <c r="H30" s="54" t="s">
        <v>1333</v>
      </c>
      <c r="I30" s="55" t="s">
        <v>879</v>
      </c>
      <c r="J30" s="55">
        <v>3.99</v>
      </c>
      <c r="K30" s="58">
        <f>IFERROR(higiene[[#This Row],[Preço por produto]]/PMA,0)</f>
        <v>1.2045601837460396</v>
      </c>
      <c r="Q30" s="24" t="str">
        <f t="shared" si="0"/>
        <v>Azeite (500mL)</v>
      </c>
    </row>
    <row r="31" spans="4:17" x14ac:dyDescent="0.25">
      <c r="D31" s="71" t="s">
        <v>268</v>
      </c>
      <c r="E31" s="69">
        <v>0.5</v>
      </c>
      <c r="F31" s="52">
        <v>10.606666666666667</v>
      </c>
      <c r="G31" s="19"/>
      <c r="H31" s="54" t="s">
        <v>206</v>
      </c>
      <c r="I31" s="55">
        <v>1</v>
      </c>
      <c r="J31" s="55">
        <v>4.5599999999999996</v>
      </c>
      <c r="K31" s="57">
        <f>IFERROR(higiene[[#This Row],[Preço por produto]]/PMA,0)</f>
        <v>1.3766402099954735</v>
      </c>
      <c r="Q31" s="24" t="str">
        <f t="shared" si="0"/>
        <v>Azeitona (100g)</v>
      </c>
    </row>
    <row r="32" spans="4:17" x14ac:dyDescent="0.25">
      <c r="D32" s="71" t="s">
        <v>1221</v>
      </c>
      <c r="E32" s="69">
        <v>0.1</v>
      </c>
      <c r="F32" s="52">
        <v>2.2599999999999998</v>
      </c>
      <c r="G32" s="19"/>
      <c r="H32" s="54" t="s">
        <v>1335</v>
      </c>
      <c r="I32" s="55"/>
      <c r="J32" s="55">
        <v>11.98</v>
      </c>
      <c r="K32" s="58">
        <f>IFERROR(higiene[[#This Row],[Preço por produto]]/PMA,0)</f>
        <v>3.6166994990670562</v>
      </c>
      <c r="Q32" s="24" t="str">
        <f t="shared" si="0"/>
        <v>Azeitona (120g)</v>
      </c>
    </row>
    <row r="33" spans="4:17" x14ac:dyDescent="0.25">
      <c r="D33" s="71" t="s">
        <v>1263</v>
      </c>
      <c r="E33" s="69">
        <v>0.12</v>
      </c>
      <c r="F33" s="52">
        <v>4.45</v>
      </c>
      <c r="G33" s="19"/>
      <c r="H33" s="54" t="s">
        <v>77</v>
      </c>
      <c r="I33" s="55"/>
      <c r="J33" s="55" t="s">
        <v>1316</v>
      </c>
      <c r="K33" s="57">
        <f>IFERROR(higiene[[#This Row],[Preço por produto]]/PMA,0)</f>
        <v>0</v>
      </c>
      <c r="Q33" s="24" t="str">
        <f t="shared" si="0"/>
        <v>Azeitona (150g)</v>
      </c>
    </row>
    <row r="34" spans="4:17" x14ac:dyDescent="0.25">
      <c r="D34" s="71" t="s">
        <v>1264</v>
      </c>
      <c r="E34" s="69">
        <v>0.15</v>
      </c>
      <c r="F34" s="52">
        <v>3.28</v>
      </c>
      <c r="G34" s="19"/>
      <c r="H34" s="54" t="s">
        <v>1022</v>
      </c>
      <c r="I34" s="55">
        <v>1</v>
      </c>
      <c r="J34" s="55">
        <v>8.44</v>
      </c>
      <c r="K34" s="58">
        <f>IFERROR(higiene[[#This Row],[Preço por produto]]/PMA,0)</f>
        <v>2.5479919676232012</v>
      </c>
      <c r="Q34" s="24" t="str">
        <f t="shared" si="0"/>
        <v>Azeitona (160g)</v>
      </c>
    </row>
    <row r="35" spans="4:17" x14ac:dyDescent="0.25">
      <c r="D35" s="71" t="s">
        <v>1258</v>
      </c>
      <c r="E35" s="69">
        <v>0.16</v>
      </c>
      <c r="F35" s="52">
        <v>4.2175000000000002</v>
      </c>
      <c r="G35" s="19"/>
      <c r="H35" s="54" t="s">
        <v>1336</v>
      </c>
      <c r="I35" s="55">
        <v>1</v>
      </c>
      <c r="J35" s="55">
        <v>4.25</v>
      </c>
      <c r="K35" s="57">
        <f>IFERROR(higiene[[#This Row],[Preço por produto]]/PMA,0)</f>
        <v>1.283052827298413</v>
      </c>
      <c r="Q35" s="24" t="str">
        <f t="shared" si="0"/>
        <v>Azeitona (1kg)</v>
      </c>
    </row>
    <row r="36" spans="4:17" x14ac:dyDescent="0.25">
      <c r="D36" s="71" t="s">
        <v>1265</v>
      </c>
      <c r="E36" s="69">
        <v>1</v>
      </c>
      <c r="F36" s="52">
        <v>13.98</v>
      </c>
      <c r="G36" s="19"/>
      <c r="H36" s="54" t="s">
        <v>1337</v>
      </c>
      <c r="I36" s="55"/>
      <c r="J36" s="55">
        <v>11.49</v>
      </c>
      <c r="K36" s="57">
        <f>IFERROR(higiene[[#This Row],[Preço por produto]]/PMA,0)</f>
        <v>3.4687710554491216</v>
      </c>
      <c r="Q36" s="24" t="str">
        <f t="shared" si="0"/>
        <v>Azeitona (270g)</v>
      </c>
    </row>
    <row r="37" spans="4:17" x14ac:dyDescent="0.25">
      <c r="D37" s="71" t="s">
        <v>1251</v>
      </c>
      <c r="E37" s="69">
        <v>0.27</v>
      </c>
      <c r="F37" s="52">
        <v>6.99</v>
      </c>
      <c r="G37" s="19"/>
      <c r="H37" s="54" t="s">
        <v>1225</v>
      </c>
      <c r="I37" s="55">
        <v>0.5</v>
      </c>
      <c r="J37" s="55">
        <v>5.89</v>
      </c>
      <c r="K37" s="57">
        <f>IFERROR(higiene[[#This Row],[Preço por produto]]/PMA,0)</f>
        <v>1.7781602712441535</v>
      </c>
      <c r="Q37" s="24" t="str">
        <f t="shared" si="0"/>
        <v>B</v>
      </c>
    </row>
    <row r="38" spans="4:17" x14ac:dyDescent="0.25">
      <c r="D38" s="71" t="s">
        <v>77</v>
      </c>
      <c r="E38" s="69"/>
      <c r="F38" s="52"/>
      <c r="G38" s="19"/>
      <c r="H38" s="54" t="s">
        <v>1338</v>
      </c>
      <c r="I38" s="55">
        <v>1</v>
      </c>
      <c r="J38" s="55">
        <v>1.89</v>
      </c>
      <c r="K38" s="57">
        <f>IFERROR(higiene[[#This Row],[Preço por produto]]/PMA,0)</f>
        <v>0.57058113966917656</v>
      </c>
      <c r="Q38" s="24" t="str">
        <f t="shared" si="0"/>
        <v>Barra de Cereal (4un)</v>
      </c>
    </row>
    <row r="39" spans="4:17" x14ac:dyDescent="0.25">
      <c r="D39" s="80" t="s">
        <v>1565</v>
      </c>
      <c r="E39" s="81">
        <v>0.08</v>
      </c>
      <c r="F39" s="104">
        <v>4.17</v>
      </c>
      <c r="G39" s="19"/>
      <c r="H39" s="54" t="s">
        <v>78</v>
      </c>
      <c r="I39" s="55"/>
      <c r="J39" s="55" t="s">
        <v>1316</v>
      </c>
      <c r="K39" s="57">
        <f>IFERROR(higiene[[#This Row],[Preço por produto]]/PMA,0)</f>
        <v>0</v>
      </c>
      <c r="Q39" s="24" t="str">
        <f t="shared" si="0"/>
        <v>Batata Palha (120g)</v>
      </c>
    </row>
    <row r="40" spans="4:17" x14ac:dyDescent="0.25">
      <c r="D40" s="71" t="s">
        <v>1254</v>
      </c>
      <c r="E40" s="69">
        <v>0.12</v>
      </c>
      <c r="F40" s="52">
        <v>4.5716666666666672</v>
      </c>
      <c r="G40" s="19"/>
      <c r="H40" s="54" t="s">
        <v>1203</v>
      </c>
      <c r="I40" s="55">
        <v>0.3</v>
      </c>
      <c r="J40" s="55">
        <v>9.0233333333333334</v>
      </c>
      <c r="K40" s="57">
        <f>IFERROR(higiene[[#This Row],[Preço por produto]]/PMA,0)</f>
        <v>2.7240972576445524</v>
      </c>
      <c r="Q40" s="24" t="str">
        <f t="shared" si="0"/>
        <v>Bebida Láctea Chocolate (180mL)</v>
      </c>
    </row>
    <row r="41" spans="4:17" x14ac:dyDescent="0.25">
      <c r="D41" s="71" t="s">
        <v>218</v>
      </c>
      <c r="E41" s="69">
        <v>0.18</v>
      </c>
      <c r="F41" s="52">
        <v>1.0620000000000001</v>
      </c>
      <c r="G41" s="19"/>
      <c r="H41" s="54" t="s">
        <v>1339</v>
      </c>
      <c r="I41" s="55">
        <v>5</v>
      </c>
      <c r="J41" s="55">
        <v>26.5</v>
      </c>
      <c r="K41" s="57">
        <f>IFERROR(higiene[[#This Row],[Preço por produto]]/PMA,0)</f>
        <v>8.0002117466842222</v>
      </c>
      <c r="Q41" s="24" t="str">
        <f t="shared" si="0"/>
        <v>bebida láctea chocolate (1l)</v>
      </c>
    </row>
    <row r="42" spans="4:17" x14ac:dyDescent="0.25">
      <c r="D42" s="80" t="s">
        <v>1571</v>
      </c>
      <c r="E42" s="81">
        <v>1</v>
      </c>
      <c r="F42" s="104">
        <v>5.48</v>
      </c>
      <c r="G42" s="19"/>
      <c r="H42" s="54" t="s">
        <v>1340</v>
      </c>
      <c r="I42" s="55">
        <v>0.75</v>
      </c>
      <c r="J42" s="55">
        <v>8.49</v>
      </c>
      <c r="K42" s="57">
        <f>IFERROR(higiene[[#This Row],[Preço por produto]]/PMA,0)</f>
        <v>2.5630867067678889</v>
      </c>
      <c r="Q42" s="24" t="str">
        <f t="shared" si="0"/>
        <v>Biscoito de Polvinho</v>
      </c>
    </row>
    <row r="43" spans="4:17" x14ac:dyDescent="0.25">
      <c r="D43" s="71" t="s">
        <v>1204</v>
      </c>
      <c r="E43" s="69">
        <v>0.3</v>
      </c>
      <c r="F43" s="52">
        <v>3.7066666666666666</v>
      </c>
      <c r="G43" s="19"/>
      <c r="H43" s="54" t="s">
        <v>1341</v>
      </c>
      <c r="I43" s="55">
        <v>0.5</v>
      </c>
      <c r="J43" s="55">
        <v>7.19</v>
      </c>
      <c r="K43" s="57">
        <f>IFERROR(higiene[[#This Row],[Preço por produto]]/PMA,0)</f>
        <v>2.1706234890060214</v>
      </c>
      <c r="Q43" s="24" t="str">
        <f t="shared" si="0"/>
        <v>Bisnaguinha (300g)</v>
      </c>
    </row>
    <row r="44" spans="4:17" x14ac:dyDescent="0.25">
      <c r="D44" s="103" t="s">
        <v>1498</v>
      </c>
      <c r="E44" s="69">
        <v>0.3</v>
      </c>
      <c r="F44" s="52">
        <v>4</v>
      </c>
      <c r="G44" s="19"/>
      <c r="H44" s="54" t="s">
        <v>1342</v>
      </c>
      <c r="I44" s="55">
        <v>1</v>
      </c>
      <c r="J44" s="55">
        <v>6.99</v>
      </c>
      <c r="K44" s="57">
        <f>IFERROR(higiene[[#This Row],[Preço por produto]]/PMA,0)</f>
        <v>2.1102445324272723</v>
      </c>
      <c r="Q44" s="24" t="str">
        <f t="shared" si="0"/>
        <v>Bolacha (090g)</v>
      </c>
    </row>
    <row r="45" spans="4:17" x14ac:dyDescent="0.25">
      <c r="D45" s="71" t="s">
        <v>373</v>
      </c>
      <c r="E45" s="69">
        <v>0.09</v>
      </c>
      <c r="F45" s="52">
        <v>1.81</v>
      </c>
      <c r="G45" s="19"/>
      <c r="H45" s="54" t="s">
        <v>1343</v>
      </c>
      <c r="I45" s="55">
        <v>1</v>
      </c>
      <c r="J45" s="55">
        <v>17.59</v>
      </c>
      <c r="K45" s="58">
        <f>IFERROR(higiene[[#This Row],[Preço por produto]]/PMA,0)</f>
        <v>5.3103292311009609</v>
      </c>
      <c r="Q45" s="24" t="str">
        <f t="shared" si="0"/>
        <v>Bolacha (100g)</v>
      </c>
    </row>
    <row r="46" spans="4:17" x14ac:dyDescent="0.25">
      <c r="D46" s="71" t="s">
        <v>180</v>
      </c>
      <c r="E46" s="69">
        <v>0.1</v>
      </c>
      <c r="F46" s="52">
        <v>1.7100000000000002</v>
      </c>
      <c r="G46" s="19"/>
      <c r="H46" s="54" t="s">
        <v>36</v>
      </c>
      <c r="I46" s="55">
        <v>1</v>
      </c>
      <c r="J46" s="55">
        <v>2.8300000000000005</v>
      </c>
      <c r="K46" s="58">
        <f>IFERROR(higiene[[#This Row],[Preço por produto]]/PMA,0)</f>
        <v>0.85436223558929636</v>
      </c>
      <c r="Q46" s="24" t="str">
        <f t="shared" si="0"/>
        <v>Bolacha (110g)</v>
      </c>
    </row>
    <row r="47" spans="4:17" x14ac:dyDescent="0.25">
      <c r="D47" s="71" t="s">
        <v>197</v>
      </c>
      <c r="E47" s="69">
        <v>0.11</v>
      </c>
      <c r="F47" s="52">
        <v>2.1033333333333335</v>
      </c>
      <c r="G47" s="19"/>
      <c r="H47" s="54" t="s">
        <v>1344</v>
      </c>
      <c r="I47" s="55">
        <v>6</v>
      </c>
      <c r="J47" s="55">
        <v>7.4320000000000004</v>
      </c>
      <c r="K47" s="57">
        <f>IFERROR(higiene[[#This Row],[Preço por produto]]/PMA,0)</f>
        <v>2.2436820264663075</v>
      </c>
      <c r="Q47" s="24" t="str">
        <f t="shared" si="0"/>
        <v>Bolacha (115g)</v>
      </c>
    </row>
    <row r="48" spans="4:17" x14ac:dyDescent="0.25">
      <c r="D48" s="71" t="s">
        <v>220</v>
      </c>
      <c r="E48" s="69">
        <v>0.115</v>
      </c>
      <c r="F48" s="52">
        <v>1.9300000000000002</v>
      </c>
      <c r="G48" s="19"/>
      <c r="H48" s="54" t="s">
        <v>79</v>
      </c>
      <c r="I48" s="55"/>
      <c r="J48" s="55" t="s">
        <v>1316</v>
      </c>
      <c r="K48" s="57">
        <f>IFERROR(higiene[[#This Row],[Preço por produto]]/PMA,0)</f>
        <v>0</v>
      </c>
      <c r="Q48" s="24" t="str">
        <f t="shared" si="0"/>
        <v>Bolacha (120g)</v>
      </c>
    </row>
    <row r="49" spans="4:17" x14ac:dyDescent="0.25">
      <c r="D49" s="71" t="s">
        <v>181</v>
      </c>
      <c r="E49" s="69">
        <v>0.12</v>
      </c>
      <c r="F49" s="52">
        <v>1.9460000000000002</v>
      </c>
      <c r="G49" s="19"/>
      <c r="H49" s="54" t="s">
        <v>1345</v>
      </c>
      <c r="I49" s="55">
        <v>0.25</v>
      </c>
      <c r="J49" s="55">
        <v>5.79</v>
      </c>
      <c r="K49" s="57">
        <f>IFERROR(higiene[[#This Row],[Preço por produto]]/PMA,0)</f>
        <v>1.7479707929547792</v>
      </c>
      <c r="Q49" s="24" t="str">
        <f t="shared" si="0"/>
        <v>Bolacha (130g)</v>
      </c>
    </row>
    <row r="50" spans="4:17" x14ac:dyDescent="0.25">
      <c r="D50" s="71" t="s">
        <v>182</v>
      </c>
      <c r="E50" s="69">
        <v>0.13</v>
      </c>
      <c r="F50" s="52">
        <v>1.9216666666666669</v>
      </c>
      <c r="G50" s="19"/>
      <c r="H50" s="54" t="s">
        <v>1346</v>
      </c>
      <c r="I50" s="55">
        <v>0.5</v>
      </c>
      <c r="J50" s="55">
        <v>7.49</v>
      </c>
      <c r="K50" s="57">
        <f>IFERROR(higiene[[#This Row],[Preço por produto]]/PMA,0)</f>
        <v>2.2611919238741445</v>
      </c>
      <c r="Q50" s="24" t="str">
        <f t="shared" si="0"/>
        <v>Bolacha (135g)</v>
      </c>
    </row>
    <row r="51" spans="4:17" x14ac:dyDescent="0.25">
      <c r="D51" s="71" t="s">
        <v>209</v>
      </c>
      <c r="E51" s="69">
        <v>0.13500000000000001</v>
      </c>
      <c r="F51" s="52">
        <v>1.9299999999999997</v>
      </c>
      <c r="G51" s="19"/>
      <c r="H51" s="54" t="s">
        <v>37</v>
      </c>
      <c r="I51" s="55">
        <v>1</v>
      </c>
      <c r="J51" s="55">
        <v>7.3875000000000002</v>
      </c>
      <c r="K51" s="58">
        <f>IFERROR(higiene[[#This Row],[Preço por produto]]/PMA,0)</f>
        <v>2.2302477086275356</v>
      </c>
      <c r="Q51" s="24" t="str">
        <f t="shared" si="0"/>
        <v>Bolacha (140g)</v>
      </c>
    </row>
    <row r="52" spans="4:17" x14ac:dyDescent="0.25">
      <c r="D52" s="71" t="s">
        <v>183</v>
      </c>
      <c r="E52" s="69">
        <v>0.14000000000000001</v>
      </c>
      <c r="F52" s="52">
        <v>2.0399999999999996</v>
      </c>
      <c r="G52" s="19"/>
      <c r="H52" s="54" t="s">
        <v>170</v>
      </c>
      <c r="I52" s="55">
        <v>2</v>
      </c>
      <c r="J52" s="55">
        <v>4.8460000000000001</v>
      </c>
      <c r="K52" s="58">
        <f>IFERROR(higiene[[#This Row],[Preço por produto]]/PMA,0)</f>
        <v>1.4629821179030846</v>
      </c>
      <c r="Q52" s="24" t="str">
        <f t="shared" si="0"/>
        <v>Bolacha (145g)</v>
      </c>
    </row>
    <row r="53" spans="4:17" x14ac:dyDescent="0.25">
      <c r="D53" s="80" t="s">
        <v>1566</v>
      </c>
      <c r="E53" s="81">
        <v>0.14499999999999999</v>
      </c>
      <c r="F53" s="104">
        <v>2.13</v>
      </c>
      <c r="G53" s="19"/>
      <c r="H53" s="54" t="s">
        <v>177</v>
      </c>
      <c r="I53" s="55">
        <v>3</v>
      </c>
      <c r="J53" s="55">
        <v>4.9800000000000004</v>
      </c>
      <c r="K53" s="57">
        <f>IFERROR(higiene[[#This Row],[Preço por produto]]/PMA,0)</f>
        <v>1.5034360188108464</v>
      </c>
      <c r="Q53" s="24" t="str">
        <f t="shared" si="0"/>
        <v>Bolacha (150g)</v>
      </c>
    </row>
    <row r="54" spans="4:17" x14ac:dyDescent="0.25">
      <c r="D54" s="71" t="s">
        <v>357</v>
      </c>
      <c r="E54" s="69">
        <v>0.15</v>
      </c>
      <c r="F54" s="52">
        <v>2.17</v>
      </c>
      <c r="G54" s="19"/>
      <c r="H54" s="54" t="s">
        <v>221</v>
      </c>
      <c r="I54" s="55">
        <v>1</v>
      </c>
      <c r="J54" s="55">
        <v>9.7199999999999989</v>
      </c>
      <c r="K54" s="57">
        <f>IFERROR(higiene[[#This Row],[Preço por produto]]/PMA,0)</f>
        <v>2.9344172897271936</v>
      </c>
      <c r="Q54" s="24" t="str">
        <f t="shared" si="0"/>
        <v>Bolacha (160g)</v>
      </c>
    </row>
    <row r="55" spans="4:17" x14ac:dyDescent="0.25">
      <c r="D55" s="71" t="s">
        <v>210</v>
      </c>
      <c r="E55" s="69">
        <v>0.16</v>
      </c>
      <c r="F55" s="52">
        <v>2.0066666666666664</v>
      </c>
      <c r="G55" s="19"/>
      <c r="H55" s="54" t="s">
        <v>169</v>
      </c>
      <c r="I55" s="55">
        <v>3</v>
      </c>
      <c r="J55" s="55">
        <v>3.0375000000000001</v>
      </c>
      <c r="K55" s="57">
        <f>IFERROR(higiene[[#This Row],[Preço por produto]]/PMA,0)</f>
        <v>0.9170054030397482</v>
      </c>
      <c r="Q55" s="24" t="str">
        <f t="shared" si="0"/>
        <v>Bolacha (170g)</v>
      </c>
    </row>
    <row r="56" spans="4:17" x14ac:dyDescent="0.25">
      <c r="D56" s="80" t="s">
        <v>1559</v>
      </c>
      <c r="E56" s="81">
        <v>0.17</v>
      </c>
      <c r="F56" s="104">
        <v>2.11</v>
      </c>
      <c r="G56" s="19"/>
      <c r="H56" s="54" t="s">
        <v>1347</v>
      </c>
      <c r="I56" s="55">
        <v>4</v>
      </c>
      <c r="J56" s="55">
        <v>4.1500000000000004</v>
      </c>
      <c r="K56" s="57">
        <f>IFERROR(higiene[[#This Row],[Preço por produto]]/PMA,0)</f>
        <v>1.2528633490090388</v>
      </c>
      <c r="Q56" s="24" t="str">
        <f t="shared" si="0"/>
        <v>Bolacha (200g)</v>
      </c>
    </row>
    <row r="57" spans="4:17" x14ac:dyDescent="0.25">
      <c r="D57" s="71" t="s">
        <v>184</v>
      </c>
      <c r="E57" s="69">
        <v>0.2</v>
      </c>
      <c r="F57" s="52">
        <v>2.5666666666666669</v>
      </c>
      <c r="G57" s="19"/>
      <c r="H57" s="54" t="s">
        <v>168</v>
      </c>
      <c r="I57" s="55">
        <v>1</v>
      </c>
      <c r="J57" s="55">
        <v>2.6700000000000004</v>
      </c>
      <c r="K57" s="57">
        <f>IFERROR(higiene[[#This Row],[Preço por produto]]/PMA,0)</f>
        <v>0.8060590703262972</v>
      </c>
      <c r="Q57" s="24" t="str">
        <f t="shared" si="0"/>
        <v>Bolacha (250g)</v>
      </c>
    </row>
    <row r="58" spans="4:17" x14ac:dyDescent="0.25">
      <c r="D58" s="71" t="s">
        <v>185</v>
      </c>
      <c r="E58" s="69">
        <v>0.25</v>
      </c>
      <c r="F58" s="52">
        <v>7.59</v>
      </c>
      <c r="G58" s="19"/>
      <c r="H58" s="54" t="s">
        <v>38</v>
      </c>
      <c r="I58" s="55"/>
      <c r="J58" s="55">
        <v>6.3040000000000003</v>
      </c>
      <c r="K58" s="58">
        <f>IFERROR(higiene[[#This Row],[Preço por produto]]/PMA,0)</f>
        <v>1.9031447113621638</v>
      </c>
      <c r="Q58" s="24" t="str">
        <f t="shared" si="0"/>
        <v>Bolacha (300g)</v>
      </c>
    </row>
    <row r="59" spans="4:17" x14ac:dyDescent="0.25">
      <c r="D59" s="71" t="s">
        <v>198</v>
      </c>
      <c r="E59" s="69">
        <v>0.3</v>
      </c>
      <c r="F59" s="52">
        <v>3.2900000000000005</v>
      </c>
      <c r="G59" s="19"/>
      <c r="H59" s="54" t="s">
        <v>1348</v>
      </c>
      <c r="I59" s="55">
        <v>30</v>
      </c>
      <c r="J59" s="55">
        <v>3.99</v>
      </c>
      <c r="K59" s="58">
        <f>IFERROR(higiene[[#This Row],[Preço por produto]]/PMA,0)</f>
        <v>1.2045601837460396</v>
      </c>
      <c r="Q59" s="24" t="e">
        <f>#REF!</f>
        <v>#REF!</v>
      </c>
    </row>
    <row r="60" spans="4:17" x14ac:dyDescent="0.25">
      <c r="D60" s="71" t="s">
        <v>365</v>
      </c>
      <c r="E60" s="69">
        <v>0.315</v>
      </c>
      <c r="F60" s="52">
        <v>7.69</v>
      </c>
      <c r="G60" s="19"/>
      <c r="H60" s="54" t="s">
        <v>1349</v>
      </c>
      <c r="I60" s="55">
        <v>0.05</v>
      </c>
      <c r="J60" s="55">
        <v>5.89</v>
      </c>
      <c r="K60" s="58">
        <f>IFERROR(higiene[[#This Row],[Preço por produto]]/PMA,0)</f>
        <v>1.7781602712441535</v>
      </c>
      <c r="Q60" s="24" t="str">
        <f t="shared" ref="Q60:Q91" si="1">D60</f>
        <v>Bolacha (315g)</v>
      </c>
    </row>
    <row r="61" spans="4:17" x14ac:dyDescent="0.25">
      <c r="D61" s="71" t="s">
        <v>211</v>
      </c>
      <c r="E61" s="69">
        <v>0.33</v>
      </c>
      <c r="F61" s="52">
        <v>5.0039999999999996</v>
      </c>
      <c r="G61" s="19"/>
      <c r="H61" s="54" t="s">
        <v>1350</v>
      </c>
      <c r="I61" s="55">
        <v>1</v>
      </c>
      <c r="J61" s="55">
        <v>5.69</v>
      </c>
      <c r="K61" s="58">
        <f>IFERROR(higiene[[#This Row],[Preço por produto]]/PMA,0)</f>
        <v>1.7177813146654048</v>
      </c>
      <c r="Q61" s="24" t="str">
        <f t="shared" si="1"/>
        <v>Bolacha (330g)</v>
      </c>
    </row>
    <row r="62" spans="4:17" x14ac:dyDescent="0.25">
      <c r="D62" s="71" t="s">
        <v>199</v>
      </c>
      <c r="E62" s="69">
        <v>0.36</v>
      </c>
      <c r="F62" s="52">
        <v>3.1375000000000002</v>
      </c>
      <c r="G62" s="19"/>
      <c r="H62" s="54" t="s">
        <v>39</v>
      </c>
      <c r="I62" s="55">
        <v>10</v>
      </c>
      <c r="J62" s="55">
        <v>1.218</v>
      </c>
      <c r="K62" s="58">
        <f>IFERROR(higiene[[#This Row],[Preço por produto]]/PMA,0)</f>
        <v>0.36770784556458047</v>
      </c>
      <c r="Q62" s="24" t="str">
        <f t="shared" si="1"/>
        <v>Bolacha (360g)</v>
      </c>
    </row>
    <row r="63" spans="4:17" x14ac:dyDescent="0.25">
      <c r="D63" s="71" t="s">
        <v>222</v>
      </c>
      <c r="E63" s="69">
        <v>0.375</v>
      </c>
      <c r="F63" s="52">
        <v>3.79</v>
      </c>
      <c r="G63" s="19"/>
      <c r="H63" s="54" t="s">
        <v>1351</v>
      </c>
      <c r="I63" s="55">
        <v>0.2</v>
      </c>
      <c r="J63" s="55">
        <v>11.984999999999999</v>
      </c>
      <c r="K63" s="58">
        <f>IFERROR(higiene[[#This Row],[Preço por produto]]/PMA,0)</f>
        <v>3.6182089729815248</v>
      </c>
      <c r="Q63" s="24" t="str">
        <f t="shared" si="1"/>
        <v>Bolacha (375g)</v>
      </c>
    </row>
    <row r="64" spans="4:17" x14ac:dyDescent="0.25">
      <c r="D64" s="71" t="s">
        <v>186</v>
      </c>
      <c r="E64" s="69">
        <v>0.4</v>
      </c>
      <c r="F64" s="52">
        <v>4.0883333333333338</v>
      </c>
      <c r="G64" s="19"/>
      <c r="H64" s="54" t="s">
        <v>1352</v>
      </c>
      <c r="I64" s="55">
        <v>40</v>
      </c>
      <c r="J64" s="55">
        <v>8.0024999999999995</v>
      </c>
      <c r="K64" s="57">
        <f>IFERROR(higiene[[#This Row],[Preço por produto]]/PMA,0)</f>
        <v>2.4159130001071882</v>
      </c>
      <c r="Q64" s="24" t="str">
        <f t="shared" si="1"/>
        <v>Bolacha (400g)</v>
      </c>
    </row>
    <row r="65" spans="4:17" x14ac:dyDescent="0.25">
      <c r="D65" s="71" t="s">
        <v>212</v>
      </c>
      <c r="E65" s="69">
        <v>0.42</v>
      </c>
      <c r="F65" s="52">
        <v>5.29</v>
      </c>
      <c r="G65" s="19"/>
      <c r="H65" s="54" t="s">
        <v>1353</v>
      </c>
      <c r="I65" s="55">
        <v>7</v>
      </c>
      <c r="J65" s="55">
        <v>1.1499999999999999</v>
      </c>
      <c r="K65" s="57">
        <f>IFERROR(higiene[[#This Row],[Preço por produto]]/PMA,0)</f>
        <v>0.34717900032780585</v>
      </c>
      <c r="Q65" s="24" t="str">
        <f t="shared" si="1"/>
        <v>Bolacha (420g)</v>
      </c>
    </row>
    <row r="66" spans="4:17" x14ac:dyDescent="0.25">
      <c r="D66" s="71" t="s">
        <v>187</v>
      </c>
      <c r="E66" s="69">
        <v>0.5</v>
      </c>
      <c r="F66" s="52">
        <v>6.6420000000000003</v>
      </c>
      <c r="G66" s="19"/>
      <c r="H66" s="54" t="s">
        <v>80</v>
      </c>
      <c r="I66" s="55">
        <v>8</v>
      </c>
      <c r="J66" s="55" t="s">
        <v>1316</v>
      </c>
      <c r="K66" s="57">
        <f>IFERROR(higiene[[#This Row],[Preço por produto]]/PMA,0)</f>
        <v>0</v>
      </c>
      <c r="Q66" s="24" t="str">
        <f t="shared" si="1"/>
        <v>Bolacha (500g)</v>
      </c>
    </row>
    <row r="67" spans="4:17" x14ac:dyDescent="0.25">
      <c r="D67" s="101" t="s">
        <v>1583</v>
      </c>
      <c r="E67" s="102">
        <v>0.4</v>
      </c>
      <c r="F67" s="105">
        <v>6.98</v>
      </c>
      <c r="G67" s="19"/>
      <c r="H67" s="54" t="s">
        <v>171</v>
      </c>
      <c r="I67" s="55">
        <v>9</v>
      </c>
      <c r="J67" s="55">
        <v>12.506666666666666</v>
      </c>
      <c r="K67" s="57">
        <f>IFERROR(higiene[[#This Row],[Preço por produto]]/PMA,0)</f>
        <v>3.7756974180577614</v>
      </c>
      <c r="Q67" s="24" t="str">
        <f t="shared" si="1"/>
        <v>bolo</v>
      </c>
    </row>
    <row r="68" spans="4:17" x14ac:dyDescent="0.25">
      <c r="D68" s="71" t="s">
        <v>1011</v>
      </c>
      <c r="E68" s="69">
        <v>9.4E-2</v>
      </c>
      <c r="F68" s="52">
        <v>7.2566666666666668</v>
      </c>
      <c r="G68" s="19"/>
      <c r="H68" s="54" t="s">
        <v>1354</v>
      </c>
      <c r="I68" s="55">
        <v>10</v>
      </c>
      <c r="J68" s="55">
        <v>15.69</v>
      </c>
      <c r="K68" s="57">
        <f>IFERROR(higiene[[#This Row],[Preço por produto]]/PMA,0)</f>
        <v>4.7367291436028474</v>
      </c>
      <c r="Q68" s="24" t="str">
        <f t="shared" si="1"/>
        <v>Bombom de Cereja (94g)</v>
      </c>
    </row>
    <row r="69" spans="4:17" x14ac:dyDescent="0.25">
      <c r="D69" s="71" t="s">
        <v>78</v>
      </c>
      <c r="E69" s="69"/>
      <c r="F69" s="52"/>
      <c r="G69" s="19"/>
      <c r="H69" s="54" t="s">
        <v>172</v>
      </c>
      <c r="I69" s="55">
        <v>18</v>
      </c>
      <c r="J69" s="55">
        <v>17.164999999999999</v>
      </c>
      <c r="K69" s="57">
        <f>IFERROR(higiene[[#This Row],[Preço por produto]]/PMA,0)</f>
        <v>5.1820239483711195</v>
      </c>
      <c r="Q69" s="24" t="str">
        <f t="shared" si="1"/>
        <v>C</v>
      </c>
    </row>
    <row r="70" spans="4:17" x14ac:dyDescent="0.25">
      <c r="D70" s="71" t="s">
        <v>9</v>
      </c>
      <c r="E70" s="69">
        <v>1</v>
      </c>
      <c r="F70" s="52">
        <v>27.263333333333332</v>
      </c>
      <c r="G70" s="19"/>
      <c r="H70" s="56" t="s">
        <v>371</v>
      </c>
      <c r="I70" s="59">
        <v>20</v>
      </c>
      <c r="J70" s="59">
        <v>3.3000000000000003</v>
      </c>
      <c r="K70" s="58">
        <f>IFERROR(higiene[[#This Row],[Preço por produto]]/PMA,0)</f>
        <v>0.99625278354935609</v>
      </c>
      <c r="Q70" s="24" t="str">
        <f t="shared" si="1"/>
        <v>Café (1kg)</v>
      </c>
    </row>
    <row r="71" spans="4:17" x14ac:dyDescent="0.25">
      <c r="D71" s="71" t="s">
        <v>126</v>
      </c>
      <c r="E71" s="69">
        <v>0.25</v>
      </c>
      <c r="F71" s="52">
        <v>5.5733333333333333</v>
      </c>
      <c r="G71" s="19"/>
      <c r="H71" s="54" t="s">
        <v>355</v>
      </c>
      <c r="I71" s="55">
        <v>24</v>
      </c>
      <c r="J71" s="55">
        <v>7.043333333333333</v>
      </c>
      <c r="K71" s="57">
        <f>IFERROR(higiene[[#This Row],[Preço por produto]]/PMA,0)</f>
        <v>2.1263455875149386</v>
      </c>
      <c r="Q71" s="24" t="str">
        <f t="shared" si="1"/>
        <v>Café (250g)</v>
      </c>
    </row>
    <row r="72" spans="4:17" x14ac:dyDescent="0.25">
      <c r="D72" s="71" t="s">
        <v>127</v>
      </c>
      <c r="E72" s="69">
        <v>0.5</v>
      </c>
      <c r="F72" s="52">
        <v>7.0066666666666677</v>
      </c>
      <c r="G72" s="19"/>
      <c r="H72" s="54" t="s">
        <v>344</v>
      </c>
      <c r="I72" s="55">
        <v>30</v>
      </c>
      <c r="J72" s="55">
        <v>8.0066666666666659</v>
      </c>
      <c r="K72" s="57">
        <f>IFERROR(higiene[[#This Row],[Preço por produto]]/PMA,0)</f>
        <v>2.4171708950359121</v>
      </c>
      <c r="Q72" s="24" t="str">
        <f t="shared" si="1"/>
        <v>Café (500g)</v>
      </c>
    </row>
    <row r="73" spans="4:17" x14ac:dyDescent="0.25">
      <c r="D73" s="71" t="s">
        <v>859</v>
      </c>
      <c r="E73" s="69">
        <v>0.05</v>
      </c>
      <c r="F73" s="52">
        <v>3.4550000000000005</v>
      </c>
      <c r="G73" s="19"/>
      <c r="H73" s="76" t="s">
        <v>1575</v>
      </c>
      <c r="I73" s="77">
        <v>4</v>
      </c>
      <c r="J73" s="106">
        <v>10.56</v>
      </c>
      <c r="K73" s="58">
        <f>IFERROR(higiene[[#This Row],[Preço por produto]]/PMA,0)</f>
        <v>3.1880089073579394</v>
      </c>
      <c r="Q73" s="24" t="str">
        <f t="shared" si="1"/>
        <v>Café solúvel (50g)</v>
      </c>
    </row>
    <row r="74" spans="4:17" x14ac:dyDescent="0.25">
      <c r="D74" s="101" t="s">
        <v>1574</v>
      </c>
      <c r="E74" s="102">
        <v>0.3</v>
      </c>
      <c r="F74" s="105">
        <v>8.99</v>
      </c>
      <c r="G74" s="19"/>
      <c r="H74" s="54" t="s">
        <v>173</v>
      </c>
      <c r="I74" s="55">
        <v>14</v>
      </c>
      <c r="J74" s="55">
        <v>1.3839999999999999</v>
      </c>
      <c r="K74" s="57">
        <f>IFERROR(higiene[[#This Row],[Preço por produto]]/PMA,0)</f>
        <v>0.417822379524942</v>
      </c>
      <c r="Q74" s="24" t="str">
        <f t="shared" si="1"/>
        <v>Caixa de Bombons</v>
      </c>
    </row>
    <row r="75" spans="4:17" x14ac:dyDescent="0.25">
      <c r="D75" s="71" t="s">
        <v>223</v>
      </c>
      <c r="E75" s="69">
        <v>1</v>
      </c>
      <c r="F75" s="52">
        <v>1.2360000000000002</v>
      </c>
      <c r="G75" s="19"/>
      <c r="H75" s="54" t="s">
        <v>174</v>
      </c>
      <c r="I75" s="55">
        <v>16</v>
      </c>
      <c r="J75" s="55">
        <v>3.3680000000000008</v>
      </c>
      <c r="K75" s="57">
        <f>IFERROR(higiene[[#This Row],[Preço por produto]]/PMA,0)</f>
        <v>1.0167816287861309</v>
      </c>
      <c r="Q75" s="24" t="str">
        <f t="shared" si="1"/>
        <v>Caldo Knor</v>
      </c>
    </row>
    <row r="76" spans="4:17" x14ac:dyDescent="0.25">
      <c r="D76" s="71" t="s">
        <v>1237</v>
      </c>
      <c r="E76" s="69">
        <v>0.5</v>
      </c>
      <c r="F76" s="52">
        <v>3.0733333333333328</v>
      </c>
      <c r="G76" s="19"/>
      <c r="H76" s="54" t="s">
        <v>200</v>
      </c>
      <c r="I76" s="55">
        <v>18</v>
      </c>
      <c r="J76" s="55">
        <v>2.9240000000000004</v>
      </c>
      <c r="K76" s="57">
        <f>IFERROR(higiene[[#This Row],[Preço por produto]]/PMA,0)</f>
        <v>0.88274034518130828</v>
      </c>
      <c r="Q76" s="24" t="str">
        <f t="shared" si="1"/>
        <v>Canjica (500g)</v>
      </c>
    </row>
    <row r="77" spans="4:17" x14ac:dyDescent="0.25">
      <c r="D77" s="71" t="s">
        <v>1266</v>
      </c>
      <c r="E77" s="69">
        <v>0.2</v>
      </c>
      <c r="F77" s="52">
        <v>8.1433333333333326</v>
      </c>
      <c r="G77" s="19"/>
      <c r="H77" s="54" t="s">
        <v>175</v>
      </c>
      <c r="I77" s="55">
        <v>20</v>
      </c>
      <c r="J77" s="55">
        <v>1.488</v>
      </c>
      <c r="K77" s="57">
        <f>IFERROR(higiene[[#This Row],[Preço por produto]]/PMA,0)</f>
        <v>0.44921943694589145</v>
      </c>
      <c r="Q77" s="24" t="str">
        <f t="shared" si="1"/>
        <v>Cappuccino (200g)</v>
      </c>
    </row>
    <row r="78" spans="4:17" x14ac:dyDescent="0.25">
      <c r="D78" s="71" t="s">
        <v>1208</v>
      </c>
      <c r="E78" s="69">
        <v>0.02</v>
      </c>
      <c r="F78" s="52">
        <v>1.69</v>
      </c>
      <c r="G78" s="19"/>
      <c r="H78" s="54" t="s">
        <v>81</v>
      </c>
      <c r="I78" s="55">
        <v>22</v>
      </c>
      <c r="J78" s="55" t="s">
        <v>1316</v>
      </c>
      <c r="K78" s="57">
        <f>IFERROR(higiene[[#This Row],[Preço por produto]]/PMA,0)</f>
        <v>0</v>
      </c>
      <c r="Q78" s="24" t="str">
        <f t="shared" si="1"/>
        <v>Cappuccino (20g)</v>
      </c>
    </row>
    <row r="79" spans="4:17" x14ac:dyDescent="0.25">
      <c r="D79" s="101" t="s">
        <v>1577</v>
      </c>
      <c r="E79" s="102">
        <v>0.12</v>
      </c>
      <c r="F79" s="105">
        <v>3.99</v>
      </c>
      <c r="G79" s="19"/>
      <c r="H79" s="54" t="s">
        <v>1201</v>
      </c>
      <c r="I79" s="55">
        <v>24</v>
      </c>
      <c r="J79" s="55">
        <v>2.79</v>
      </c>
      <c r="K79" s="57">
        <f>IFERROR(higiene[[#This Row],[Preço por produto]]/PMA,0)</f>
        <v>0.84228644427354649</v>
      </c>
      <c r="Q79" s="24" t="str">
        <f t="shared" si="1"/>
        <v>Cereal (120g)</v>
      </c>
    </row>
    <row r="80" spans="4:17" x14ac:dyDescent="0.25">
      <c r="D80" s="71" t="s">
        <v>368</v>
      </c>
      <c r="E80" s="69">
        <v>0.23</v>
      </c>
      <c r="F80" s="52">
        <v>7.65</v>
      </c>
      <c r="G80" s="19"/>
      <c r="H80" s="54" t="s">
        <v>1198</v>
      </c>
      <c r="I80" s="55">
        <v>26</v>
      </c>
      <c r="J80" s="55">
        <v>6.8900000000000006</v>
      </c>
      <c r="K80" s="57">
        <f>IFERROR(higiene[[#This Row],[Preço por produto]]/PMA,0)</f>
        <v>2.0800550541378979</v>
      </c>
      <c r="Q80" s="24" t="str">
        <f t="shared" si="1"/>
        <v>Cereal infantil (230g)</v>
      </c>
    </row>
    <row r="81" spans="4:17" x14ac:dyDescent="0.25">
      <c r="D81" s="71" t="s">
        <v>10</v>
      </c>
      <c r="E81" s="69">
        <v>0.5</v>
      </c>
      <c r="F81" s="52">
        <v>6.9700000000000006</v>
      </c>
      <c r="G81" s="19"/>
      <c r="H81" s="54" t="s">
        <v>1247</v>
      </c>
      <c r="I81" s="55">
        <v>30</v>
      </c>
      <c r="J81" s="55">
        <v>3.59</v>
      </c>
      <c r="K81" s="57">
        <f>IFERROR(higiene[[#This Row],[Preço por produto]]/PMA,0)</f>
        <v>1.0838022705885417</v>
      </c>
      <c r="Q81" s="24" t="str">
        <f t="shared" si="1"/>
        <v>Cevada</v>
      </c>
    </row>
    <row r="82" spans="4:17" x14ac:dyDescent="0.25">
      <c r="D82" s="71" t="s">
        <v>1267</v>
      </c>
      <c r="E82" s="69">
        <v>0.1</v>
      </c>
      <c r="F82" s="52">
        <v>7.99</v>
      </c>
      <c r="G82" s="19"/>
      <c r="H82" s="54" t="s">
        <v>1214</v>
      </c>
      <c r="I82" s="55">
        <v>32</v>
      </c>
      <c r="J82" s="55">
        <v>3.665</v>
      </c>
      <c r="K82" s="57">
        <f>IFERROR(higiene[[#This Row],[Preço por produto]]/PMA,0)</f>
        <v>1.1064443793055727</v>
      </c>
      <c r="Q82" s="24" t="str">
        <f t="shared" si="1"/>
        <v>Chá (100g)</v>
      </c>
    </row>
    <row r="83" spans="4:17" x14ac:dyDescent="0.25">
      <c r="D83" s="71" t="s">
        <v>1228</v>
      </c>
      <c r="E83" s="69">
        <v>0.1</v>
      </c>
      <c r="F83" s="52">
        <v>4.041666666666667</v>
      </c>
      <c r="G83" s="19"/>
      <c r="H83" s="54" t="s">
        <v>1227</v>
      </c>
      <c r="I83" s="55">
        <v>34</v>
      </c>
      <c r="J83" s="55">
        <v>3.7433333333333336</v>
      </c>
      <c r="K83" s="58">
        <f>IFERROR(higiene[[#This Row],[Preço por produto]]/PMA,0)</f>
        <v>1.1300928039655826</v>
      </c>
      <c r="Q83" s="24" t="str">
        <f t="shared" si="1"/>
        <v>Chá (10un)</v>
      </c>
    </row>
    <row r="84" spans="4:17" x14ac:dyDescent="0.25">
      <c r="D84" s="71" t="s">
        <v>1268</v>
      </c>
      <c r="E84" s="69">
        <v>1.2E-2</v>
      </c>
      <c r="F84" s="52">
        <v>6.6</v>
      </c>
      <c r="G84" s="19"/>
      <c r="H84" s="54" t="s">
        <v>1233</v>
      </c>
      <c r="I84" s="55">
        <v>40</v>
      </c>
      <c r="J84" s="55">
        <v>3.19</v>
      </c>
      <c r="K84" s="57">
        <f>IFERROR(higiene[[#This Row],[Preço por produto]]/PMA,0)</f>
        <v>0.96304435743104411</v>
      </c>
      <c r="Q84" s="24" t="str">
        <f t="shared" si="1"/>
        <v>Chá (12g)</v>
      </c>
    </row>
    <row r="85" spans="4:17" x14ac:dyDescent="0.25">
      <c r="D85" s="71" t="s">
        <v>1269</v>
      </c>
      <c r="E85" s="69">
        <v>2.2499999999999999E-2</v>
      </c>
      <c r="F85" s="52">
        <v>7.083333333333333</v>
      </c>
      <c r="G85" s="19"/>
      <c r="H85" s="54" t="s">
        <v>1355</v>
      </c>
      <c r="I85" s="55">
        <v>46</v>
      </c>
      <c r="J85" s="55">
        <v>2.79</v>
      </c>
      <c r="K85" s="57">
        <f>IFERROR(higiene[[#This Row],[Preço por produto]]/PMA,0)</f>
        <v>0.84228644427354649</v>
      </c>
      <c r="Q85" s="24" t="str">
        <f t="shared" si="1"/>
        <v>Chá (22,5g)</v>
      </c>
    </row>
    <row r="86" spans="4:17" x14ac:dyDescent="0.25">
      <c r="D86" s="71" t="s">
        <v>1014</v>
      </c>
      <c r="E86" s="69">
        <v>0.1</v>
      </c>
      <c r="F86" s="52">
        <v>4.8233333333333341</v>
      </c>
      <c r="G86" s="19"/>
      <c r="H86" s="54" t="s">
        <v>201</v>
      </c>
      <c r="I86" s="55">
        <v>50</v>
      </c>
      <c r="J86" s="55">
        <v>16.893999999999998</v>
      </c>
      <c r="K86" s="57">
        <f>IFERROR(higiene[[#This Row],[Preço por produto]]/PMA,0)</f>
        <v>5.1002104622069151</v>
      </c>
      <c r="Q86" s="24" t="str">
        <f t="shared" si="1"/>
        <v>Chocolate barra (100g)</v>
      </c>
    </row>
    <row r="87" spans="4:17" x14ac:dyDescent="0.25">
      <c r="D87" s="71" t="s">
        <v>128</v>
      </c>
      <c r="E87" s="69">
        <v>1.5</v>
      </c>
      <c r="F87" s="52">
        <v>3.89</v>
      </c>
      <c r="G87" s="19"/>
      <c r="H87" s="53" t="s">
        <v>40</v>
      </c>
      <c r="I87" s="55"/>
      <c r="J87" s="55">
        <v>14.794</v>
      </c>
      <c r="K87" s="57">
        <f>IFERROR(higiene[[#This Row],[Preço por produto]]/PMA,0)</f>
        <v>4.4662314181300529</v>
      </c>
      <c r="Q87" s="24" t="str">
        <f t="shared" si="1"/>
        <v>Coca-cola (1,5L)</v>
      </c>
    </row>
    <row r="88" spans="4:17" x14ac:dyDescent="0.25">
      <c r="D88" s="71" t="s">
        <v>130</v>
      </c>
      <c r="E88" s="69">
        <v>2.5</v>
      </c>
      <c r="F88" s="52">
        <v>7.19</v>
      </c>
      <c r="G88" s="19"/>
      <c r="H88" s="54" t="s">
        <v>41</v>
      </c>
      <c r="I88" s="55">
        <v>1</v>
      </c>
      <c r="J88" s="55">
        <v>20.583333333333332</v>
      </c>
      <c r="K88" s="57">
        <f>IFERROR(higiene[[#This Row],[Preço por produto]]/PMA,0)</f>
        <v>6.2140009478962357</v>
      </c>
      <c r="Q88" s="24" t="str">
        <f t="shared" si="1"/>
        <v>Coca-cola (2,5L)</v>
      </c>
    </row>
    <row r="89" spans="4:17" x14ac:dyDescent="0.25">
      <c r="D89" s="71" t="s">
        <v>129</v>
      </c>
      <c r="E89" s="69">
        <v>2</v>
      </c>
      <c r="F89" s="52">
        <v>6.4900000000000011</v>
      </c>
      <c r="G89" s="19"/>
      <c r="H89" s="54" t="s">
        <v>254</v>
      </c>
      <c r="I89" s="55"/>
      <c r="J89" s="55">
        <v>17.79</v>
      </c>
      <c r="K89" s="57">
        <f>IFERROR(higiene[[#This Row],[Preço por produto]]/PMA,0)</f>
        <v>5.3707081876797096</v>
      </c>
      <c r="Q89" s="24" t="str">
        <f t="shared" si="1"/>
        <v>Coca-cola (2L)</v>
      </c>
    </row>
    <row r="90" spans="4:17" x14ac:dyDescent="0.25">
      <c r="D90" s="71" t="s">
        <v>1270</v>
      </c>
      <c r="E90" s="69">
        <v>3</v>
      </c>
      <c r="F90" s="52">
        <v>7.99</v>
      </c>
      <c r="G90" s="19"/>
      <c r="H90" s="54" t="s">
        <v>255</v>
      </c>
      <c r="I90" s="55"/>
      <c r="J90" s="55">
        <v>51.99</v>
      </c>
      <c r="K90" s="57">
        <f>IFERROR(higiene[[#This Row],[Preço por produto]]/PMA,0)</f>
        <v>15.695509762645765</v>
      </c>
      <c r="Q90" s="24" t="str">
        <f t="shared" si="1"/>
        <v>Coca-cola (3L)</v>
      </c>
    </row>
    <row r="91" spans="4:17" x14ac:dyDescent="0.25">
      <c r="D91" s="71" t="s">
        <v>1239</v>
      </c>
      <c r="E91" s="69">
        <v>0.1</v>
      </c>
      <c r="F91" s="52">
        <v>3.84</v>
      </c>
      <c r="G91" s="19"/>
      <c r="H91" s="54" t="s">
        <v>42</v>
      </c>
      <c r="I91" s="55"/>
      <c r="J91" s="55">
        <v>14.223999999999998</v>
      </c>
      <c r="K91" s="57">
        <f>IFERROR(higiene[[#This Row],[Preço por produto]]/PMA,0)</f>
        <v>4.294151391880618</v>
      </c>
      <c r="Q91" s="24" t="str">
        <f t="shared" si="1"/>
        <v>Coco Ralado (100g)</v>
      </c>
    </row>
    <row r="92" spans="4:17" x14ac:dyDescent="0.25">
      <c r="D92" s="71" t="s">
        <v>1229</v>
      </c>
      <c r="E92" s="69">
        <v>0.4</v>
      </c>
      <c r="F92" s="52">
        <v>4.88</v>
      </c>
      <c r="G92" s="19"/>
      <c r="H92" s="54" t="s">
        <v>341</v>
      </c>
      <c r="I92" s="55"/>
      <c r="J92" s="106">
        <v>49.9</v>
      </c>
      <c r="K92" s="57">
        <f>IFERROR(higiene[[#This Row],[Preço por produto]]/PMA,0)</f>
        <v>15.064549666397838</v>
      </c>
      <c r="Q92" s="24" t="str">
        <f t="shared" ref="Q92:Q120" si="2">D92</f>
        <v>Cookie (400g)</v>
      </c>
    </row>
    <row r="93" spans="4:17" x14ac:dyDescent="0.25">
      <c r="D93" s="71" t="s">
        <v>1226</v>
      </c>
      <c r="E93" s="69">
        <v>6.8000000000000005E-2</v>
      </c>
      <c r="F93" s="52">
        <v>5.3000000000000007</v>
      </c>
      <c r="G93" s="19"/>
      <c r="H93" s="54" t="s">
        <v>43</v>
      </c>
      <c r="I93" s="55">
        <v>1</v>
      </c>
      <c r="J93" s="106">
        <v>45.3</v>
      </c>
      <c r="K93" s="57">
        <f>IFERROR(higiene[[#This Row],[Preço por produto]]/PMA,0)</f>
        <v>13.675833665086614</v>
      </c>
      <c r="Q93" s="24" t="str">
        <f t="shared" si="2"/>
        <v>Creme de Cebola em Pó (68g)</v>
      </c>
    </row>
    <row r="94" spans="4:17" x14ac:dyDescent="0.25">
      <c r="D94" s="71" t="s">
        <v>131</v>
      </c>
      <c r="E94" s="69">
        <v>0.2</v>
      </c>
      <c r="F94" s="52">
        <v>2.6466666666666665</v>
      </c>
      <c r="G94" s="19"/>
      <c r="H94" s="54" t="s">
        <v>1363</v>
      </c>
      <c r="I94" s="55">
        <v>12</v>
      </c>
      <c r="J94" s="55">
        <v>13.69</v>
      </c>
      <c r="K94" s="57">
        <f>IFERROR(higiene[[#This Row],[Preço por produto]]/PMA,0)</f>
        <v>4.1329395778153586</v>
      </c>
      <c r="Q94" s="24" t="str">
        <f t="shared" si="2"/>
        <v>Creme de Leite</v>
      </c>
    </row>
    <row r="95" spans="4:17" x14ac:dyDescent="0.25">
      <c r="D95" s="71" t="s">
        <v>1199</v>
      </c>
      <c r="E95" s="69">
        <v>0.5</v>
      </c>
      <c r="F95" s="52">
        <v>7.09</v>
      </c>
      <c r="G95" s="19"/>
      <c r="H95" s="54" t="s">
        <v>224</v>
      </c>
      <c r="I95" s="55">
        <v>2</v>
      </c>
      <c r="J95" s="55">
        <v>18.39</v>
      </c>
      <c r="K95" s="58">
        <f>IFERROR(higiene[[#This Row],[Preço por produto]]/PMA,0)</f>
        <v>5.5518450574159566</v>
      </c>
      <c r="Q95" s="24" t="str">
        <f t="shared" si="2"/>
        <v>Cuscuz (500g)</v>
      </c>
    </row>
    <row r="96" spans="4:17" x14ac:dyDescent="0.25">
      <c r="D96" s="71" t="s">
        <v>79</v>
      </c>
      <c r="E96" s="69"/>
      <c r="F96" s="52"/>
      <c r="G96" s="19"/>
      <c r="H96" s="54" t="s">
        <v>44</v>
      </c>
      <c r="I96" s="55">
        <v>4</v>
      </c>
      <c r="J96" s="55">
        <v>25.287500000000001</v>
      </c>
      <c r="K96" s="57">
        <f>IFERROR(higiene[[#This Row],[Preço por produto]]/PMA,0)</f>
        <v>7.6341643224255584</v>
      </c>
      <c r="Q96" s="24" t="str">
        <f t="shared" si="2"/>
        <v>D</v>
      </c>
    </row>
    <row r="97" spans="4:17" x14ac:dyDescent="0.25">
      <c r="D97" s="72" t="s">
        <v>1271</v>
      </c>
      <c r="E97" s="69">
        <v>0.22</v>
      </c>
      <c r="F97" s="104">
        <v>8.56</v>
      </c>
      <c r="G97" s="19"/>
      <c r="H97" s="54" t="s">
        <v>225</v>
      </c>
      <c r="I97" s="55">
        <v>5</v>
      </c>
      <c r="J97" s="55">
        <v>19.252499999999998</v>
      </c>
      <c r="K97" s="57">
        <f>IFERROR(higiene[[#This Row],[Preço por produto]]/PMA,0)</f>
        <v>5.8122293076618101</v>
      </c>
      <c r="Q97" s="24" t="str">
        <f t="shared" si="2"/>
        <v>Doce de Abóbora (220g)</v>
      </c>
    </row>
    <row r="98" spans="4:17" x14ac:dyDescent="0.25">
      <c r="D98" s="71" t="s">
        <v>1272</v>
      </c>
      <c r="E98" s="69">
        <v>0.15</v>
      </c>
      <c r="F98" s="52">
        <v>3.6659999999999995</v>
      </c>
      <c r="G98" s="19"/>
      <c r="H98" s="54" t="s">
        <v>45</v>
      </c>
      <c r="I98" s="55">
        <v>7</v>
      </c>
      <c r="J98" s="55">
        <v>14.8925</v>
      </c>
      <c r="K98" s="57">
        <f>IFERROR(higiene[[#This Row],[Preço por produto]]/PMA,0)</f>
        <v>4.4959680542450862</v>
      </c>
      <c r="Q98" s="24" t="str">
        <f t="shared" si="2"/>
        <v>Doces (bala - 150g)</v>
      </c>
    </row>
    <row r="99" spans="4:17" x14ac:dyDescent="0.25">
      <c r="D99" s="71" t="s">
        <v>1273</v>
      </c>
      <c r="E99" s="69">
        <v>0.2</v>
      </c>
      <c r="F99" s="52">
        <v>5.1866666666666665</v>
      </c>
      <c r="G99" s="19"/>
      <c r="H99" s="54" t="s">
        <v>262</v>
      </c>
      <c r="I99" s="55">
        <v>8</v>
      </c>
      <c r="J99" s="55">
        <v>19.794</v>
      </c>
      <c r="K99" s="58">
        <f>IFERROR(higiene[[#This Row],[Preço por produto]]/PMA,0)</f>
        <v>5.9757053325987739</v>
      </c>
      <c r="Q99" s="24" t="str">
        <f t="shared" si="2"/>
        <v>Doces (bala - 200g)</v>
      </c>
    </row>
    <row r="100" spans="4:17" x14ac:dyDescent="0.25">
      <c r="D100" s="71" t="s">
        <v>1212</v>
      </c>
      <c r="E100" s="69">
        <v>0.3</v>
      </c>
      <c r="F100" s="52">
        <v>5.19</v>
      </c>
      <c r="G100" s="19"/>
      <c r="H100" s="54" t="s">
        <v>46</v>
      </c>
      <c r="I100" s="55">
        <v>2</v>
      </c>
      <c r="J100" s="55">
        <v>19.792499999999997</v>
      </c>
      <c r="K100" s="57">
        <f>IFERROR(higiene[[#This Row],[Preço por produto]]/PMA,0)</f>
        <v>5.975252490424432</v>
      </c>
      <c r="Q100" s="24" t="str">
        <f t="shared" si="2"/>
        <v>Doces (bala - 300g)</v>
      </c>
    </row>
    <row r="101" spans="4:17" x14ac:dyDescent="0.25">
      <c r="D101" s="71" t="s">
        <v>1274</v>
      </c>
      <c r="E101" s="69">
        <v>0.6</v>
      </c>
      <c r="F101" s="52">
        <v>9.692499999999999</v>
      </c>
      <c r="G101" s="19"/>
      <c r="H101" s="54" t="s">
        <v>47</v>
      </c>
      <c r="I101" s="55">
        <v>5</v>
      </c>
      <c r="J101" s="55">
        <v>28.744999999999997</v>
      </c>
      <c r="K101" s="58">
        <f>IFERROR(higiene[[#This Row],[Preço por produto]]/PMA,0)</f>
        <v>8.677965534280677</v>
      </c>
      <c r="Q101" s="24" t="str">
        <f t="shared" si="2"/>
        <v>Doces (bala - 600g)</v>
      </c>
    </row>
    <row r="102" spans="4:17" x14ac:dyDescent="0.25">
      <c r="D102" s="71" t="s">
        <v>1213</v>
      </c>
      <c r="E102" s="69">
        <v>7.0000000000000007E-2</v>
      </c>
      <c r="F102" s="52">
        <v>3.59</v>
      </c>
      <c r="G102" s="19"/>
      <c r="H102" s="54" t="s">
        <v>1356</v>
      </c>
      <c r="I102" s="55">
        <v>1</v>
      </c>
      <c r="J102" s="55">
        <v>25.98</v>
      </c>
      <c r="K102" s="57">
        <f>IFERROR(higiene[[#This Row],[Preço por produto]]/PMA,0)</f>
        <v>7.8432264595794754</v>
      </c>
      <c r="Q102" s="24" t="str">
        <f t="shared" si="2"/>
        <v>Doces (bala - 70 g)</v>
      </c>
    </row>
    <row r="103" spans="4:17" x14ac:dyDescent="0.25">
      <c r="D103" s="71" t="s">
        <v>80</v>
      </c>
      <c r="E103" s="69"/>
      <c r="F103" s="52"/>
      <c r="G103" s="19"/>
      <c r="H103" s="54" t="s">
        <v>256</v>
      </c>
      <c r="I103" s="55">
        <v>1</v>
      </c>
      <c r="J103" s="55">
        <v>38.012499999999996</v>
      </c>
      <c r="K103" s="57">
        <f>IFERROR(higiene[[#This Row],[Preço por produto]]/PMA,0)</f>
        <v>11.475775434748451</v>
      </c>
      <c r="Q103" s="24" t="str">
        <f t="shared" si="2"/>
        <v>E</v>
      </c>
    </row>
    <row r="104" spans="4:17" x14ac:dyDescent="0.25">
      <c r="D104" s="71" t="s">
        <v>133</v>
      </c>
      <c r="E104" s="69">
        <v>0.3</v>
      </c>
      <c r="F104" s="52">
        <v>1.6900000000000002</v>
      </c>
      <c r="G104" s="19"/>
      <c r="H104" s="54" t="s">
        <v>263</v>
      </c>
      <c r="I104" s="55"/>
      <c r="J104" s="55">
        <v>37.715000000000003</v>
      </c>
      <c r="K104" s="58">
        <f>IFERROR(higiene[[#This Row],[Preço por produto]]/PMA,0)</f>
        <v>11.385961736837565</v>
      </c>
      <c r="Q104" s="24" t="str">
        <f t="shared" si="2"/>
        <v>Ervilha (Sachê)</v>
      </c>
    </row>
    <row r="105" spans="4:17" x14ac:dyDescent="0.25">
      <c r="D105" s="71" t="s">
        <v>132</v>
      </c>
      <c r="E105" s="69">
        <v>0.3</v>
      </c>
      <c r="F105" s="52">
        <v>1.5016666666666667</v>
      </c>
      <c r="G105" s="19"/>
      <c r="H105" s="54" t="s">
        <v>178</v>
      </c>
      <c r="I105" s="55">
        <v>1</v>
      </c>
      <c r="J105" s="55">
        <v>27.472499999999997</v>
      </c>
      <c r="K105" s="58">
        <f>IFERROR(higiene[[#This Row],[Preço por produto]]/PMA,0)</f>
        <v>8.2938044230483872</v>
      </c>
      <c r="Q105" s="24" t="str">
        <f t="shared" si="2"/>
        <v>Ervilha conserva (Lata)</v>
      </c>
    </row>
    <row r="106" spans="4:17" x14ac:dyDescent="0.25">
      <c r="D106" s="71" t="s">
        <v>1220</v>
      </c>
      <c r="E106" s="69">
        <v>0.5</v>
      </c>
      <c r="F106" s="52">
        <v>7.04</v>
      </c>
      <c r="G106" s="19"/>
      <c r="H106" s="76" t="s">
        <v>1581</v>
      </c>
      <c r="I106" s="77">
        <v>1</v>
      </c>
      <c r="J106" s="106">
        <v>23.9</v>
      </c>
      <c r="K106" s="58">
        <f>IFERROR(higiene[[#This Row],[Preço por produto]]/PMA,0)</f>
        <v>7.2152853111604873</v>
      </c>
      <c r="Q106" s="24" t="str">
        <f t="shared" si="2"/>
        <v>Ervilha Seca (500g)</v>
      </c>
    </row>
    <row r="107" spans="4:17" x14ac:dyDescent="0.25">
      <c r="D107" s="71" t="s">
        <v>134</v>
      </c>
      <c r="E107" s="70">
        <v>0.13</v>
      </c>
      <c r="F107" s="68">
        <v>1.9816666666666667</v>
      </c>
      <c r="G107" s="19"/>
      <c r="H107" s="54" t="s">
        <v>1357</v>
      </c>
      <c r="I107" s="55">
        <v>0.2</v>
      </c>
      <c r="J107" s="55">
        <v>45.98</v>
      </c>
      <c r="K107" s="57">
        <f>IFERROR(higiene[[#This Row],[Preço por produto]]/PMA,0)</f>
        <v>13.88112211745436</v>
      </c>
      <c r="Q107" s="24" t="str">
        <f t="shared" si="2"/>
        <v>Extrato de tomate (130g)</v>
      </c>
    </row>
    <row r="108" spans="4:17" x14ac:dyDescent="0.25">
      <c r="D108" s="71" t="s">
        <v>358</v>
      </c>
      <c r="E108" s="69">
        <v>0.28000000000000003</v>
      </c>
      <c r="F108" s="52">
        <v>4.2349999999999994</v>
      </c>
      <c r="G108" s="19"/>
      <c r="H108" s="54" t="s">
        <v>1024</v>
      </c>
      <c r="I108" s="55">
        <v>0.5</v>
      </c>
      <c r="J108" s="55">
        <v>33.796666666666674</v>
      </c>
      <c r="K108" s="58">
        <f>IFERROR(higiene[[#This Row],[Preço por produto]]/PMA,0)</f>
        <v>10.203037345865578</v>
      </c>
      <c r="Q108" s="24" t="str">
        <f t="shared" si="2"/>
        <v>Extrato de tomate (280g)</v>
      </c>
    </row>
    <row r="109" spans="4:17" x14ac:dyDescent="0.25">
      <c r="D109" s="71" t="s">
        <v>135</v>
      </c>
      <c r="E109" s="69">
        <v>0.32</v>
      </c>
      <c r="F109" s="104">
        <v>3.07</v>
      </c>
      <c r="G109" s="19"/>
      <c r="H109" s="54" t="s">
        <v>1358</v>
      </c>
      <c r="I109" s="55">
        <v>0.75</v>
      </c>
      <c r="J109" s="55">
        <v>45.98</v>
      </c>
      <c r="K109" s="58">
        <f>IFERROR(higiene[[#This Row],[Preço por produto]]/PMA,0)</f>
        <v>13.88112211745436</v>
      </c>
      <c r="Q109" s="24" t="str">
        <f t="shared" si="2"/>
        <v>Extrato de tomate (320g)</v>
      </c>
    </row>
    <row r="110" spans="4:17" x14ac:dyDescent="0.25">
      <c r="D110" s="71" t="s">
        <v>136</v>
      </c>
      <c r="E110" s="69">
        <v>0.34</v>
      </c>
      <c r="F110" s="52">
        <v>3.1733333333333333</v>
      </c>
      <c r="G110" s="19"/>
      <c r="H110" s="54" t="s">
        <v>48</v>
      </c>
      <c r="I110" s="55">
        <v>3</v>
      </c>
      <c r="J110" s="55">
        <v>32.454000000000001</v>
      </c>
      <c r="K110" s="57">
        <f>IFERROR(higiene[[#This Row],[Preço por produto]]/PMA,0)</f>
        <v>9.797693284033576</v>
      </c>
      <c r="Q110" s="24" t="str">
        <f t="shared" si="2"/>
        <v>Extrato de tomate (340g)</v>
      </c>
    </row>
    <row r="111" spans="4:17" x14ac:dyDescent="0.25">
      <c r="D111" s="71" t="s">
        <v>213</v>
      </c>
      <c r="E111" s="69">
        <v>0.4</v>
      </c>
      <c r="F111" s="52">
        <v>3.335</v>
      </c>
      <c r="G111" s="19"/>
      <c r="H111" s="54" t="s">
        <v>1359</v>
      </c>
      <c r="I111" s="55"/>
      <c r="J111" s="55">
        <v>34.9</v>
      </c>
      <c r="K111" s="57">
        <f>IFERROR(higiene[[#This Row],[Preço por produto]]/PMA,0)</f>
        <v>10.536127922991675</v>
      </c>
      <c r="Q111" s="24" t="str">
        <f t="shared" si="2"/>
        <v>Extrato de tomate (400g)</v>
      </c>
    </row>
    <row r="112" spans="4:17" x14ac:dyDescent="0.25">
      <c r="D112" s="71" t="s">
        <v>363</v>
      </c>
      <c r="E112" s="69">
        <v>0.52</v>
      </c>
      <c r="F112" s="52">
        <v>2.7199999999999998</v>
      </c>
      <c r="G112" s="19"/>
      <c r="H112" s="54" t="s">
        <v>261</v>
      </c>
      <c r="I112" s="55"/>
      <c r="J112" s="55">
        <v>33.118000000000002</v>
      </c>
      <c r="K112" s="57">
        <f>IFERROR(higiene[[#This Row],[Preço por produto]]/PMA,0)</f>
        <v>9.9981514198750219</v>
      </c>
      <c r="Q112" s="24" t="str">
        <f t="shared" si="2"/>
        <v>Extrato de tomate (520g)</v>
      </c>
    </row>
    <row r="113" spans="4:17" x14ac:dyDescent="0.25">
      <c r="D113" s="71" t="s">
        <v>81</v>
      </c>
      <c r="E113" s="69"/>
      <c r="F113" s="52"/>
      <c r="G113" s="19"/>
      <c r="H113" s="54" t="s">
        <v>1360</v>
      </c>
      <c r="I113" s="55"/>
      <c r="J113" s="55">
        <v>43.98</v>
      </c>
      <c r="K113" s="57">
        <f>IFERROR(higiene[[#This Row],[Preço por produto]]/PMA,0)</f>
        <v>13.277332551666872</v>
      </c>
      <c r="Q113" s="24" t="str">
        <f t="shared" si="2"/>
        <v>F</v>
      </c>
    </row>
    <row r="114" spans="4:17" x14ac:dyDescent="0.25">
      <c r="D114" s="71" t="s">
        <v>1275</v>
      </c>
      <c r="E114" s="69">
        <v>0.5</v>
      </c>
      <c r="F114" s="52">
        <v>3.89</v>
      </c>
      <c r="G114" s="19"/>
      <c r="H114" s="54" t="s">
        <v>1361</v>
      </c>
      <c r="I114" s="55">
        <v>4</v>
      </c>
      <c r="J114" s="55">
        <v>43.98</v>
      </c>
      <c r="K114" s="57">
        <f>IFERROR(higiene[[#This Row],[Preço por produto]]/PMA,0)</f>
        <v>13.277332551666872</v>
      </c>
      <c r="Q114" s="24" t="str">
        <f t="shared" si="2"/>
        <v>Farinha de Kibe (500g)</v>
      </c>
    </row>
    <row r="115" spans="4:17" x14ac:dyDescent="0.25">
      <c r="D115" s="71" t="s">
        <v>1230</v>
      </c>
      <c r="E115" s="69">
        <v>1</v>
      </c>
      <c r="F115" s="52">
        <v>7.99</v>
      </c>
      <c r="G115" s="19"/>
      <c r="H115" s="54" t="s">
        <v>1362</v>
      </c>
      <c r="I115" s="55">
        <v>8</v>
      </c>
      <c r="J115" s="55">
        <v>43.98</v>
      </c>
      <c r="K115" s="57">
        <f>IFERROR(higiene[[#This Row],[Preço por produto]]/PMA,0)</f>
        <v>13.277332551666872</v>
      </c>
      <c r="Q115" s="24" t="str">
        <f t="shared" si="2"/>
        <v>Farinha de Mandioca (1kg)</v>
      </c>
    </row>
    <row r="116" spans="4:17" x14ac:dyDescent="0.25">
      <c r="D116" s="71" t="s">
        <v>353</v>
      </c>
      <c r="E116" s="69">
        <v>0.5</v>
      </c>
      <c r="F116" s="52">
        <v>4.0683333333333334</v>
      </c>
      <c r="G116" s="19"/>
      <c r="H116" s="54" t="s">
        <v>82</v>
      </c>
      <c r="I116" s="55">
        <v>16</v>
      </c>
      <c r="J116" s="55" t="s">
        <v>1316</v>
      </c>
      <c r="K116" s="57">
        <f>IFERROR(higiene[[#This Row],[Preço por produto]]/PMA,0)</f>
        <v>0</v>
      </c>
      <c r="Q116" s="24" t="str">
        <f t="shared" si="2"/>
        <v>Farinha de mandioca (500g)</v>
      </c>
    </row>
    <row r="117" spans="4:17" x14ac:dyDescent="0.25">
      <c r="D117" s="71" t="s">
        <v>1276</v>
      </c>
      <c r="E117" s="69">
        <v>0.5</v>
      </c>
      <c r="F117" s="52">
        <v>3.49</v>
      </c>
      <c r="G117" s="19"/>
      <c r="H117" s="54" t="s">
        <v>228</v>
      </c>
      <c r="I117" s="55">
        <v>24</v>
      </c>
      <c r="J117" s="55">
        <v>1.7066666666666668</v>
      </c>
      <c r="K117" s="57">
        <f>IFERROR(higiene[[#This Row],[Preço por produto]]/PMA,0)</f>
        <v>0.51523376280532351</v>
      </c>
      <c r="Q117" s="24" t="str">
        <f t="shared" si="2"/>
        <v>Farinha de milho(500g)</v>
      </c>
    </row>
    <row r="118" spans="4:17" x14ac:dyDescent="0.25">
      <c r="D118" s="71" t="s">
        <v>1315</v>
      </c>
      <c r="E118" s="69">
        <v>0.5</v>
      </c>
      <c r="F118" s="52">
        <v>4.3000000000000007</v>
      </c>
      <c r="G118" s="19"/>
      <c r="H118" s="54" t="s">
        <v>83</v>
      </c>
      <c r="I118" s="55">
        <v>2</v>
      </c>
      <c r="J118" s="55" t="s">
        <v>1316</v>
      </c>
      <c r="K118" s="57">
        <f>IFERROR(higiene[[#This Row],[Preço por produto]]/PMA,0)</f>
        <v>0</v>
      </c>
      <c r="Q118" s="24" t="str">
        <f t="shared" si="2"/>
        <v>Farinha de rosca (500g)</v>
      </c>
    </row>
    <row r="119" spans="4:17" x14ac:dyDescent="0.25">
      <c r="D119" s="71" t="s">
        <v>1277</v>
      </c>
      <c r="E119" s="69">
        <v>1</v>
      </c>
      <c r="F119" s="52">
        <v>2.74</v>
      </c>
      <c r="G119" s="19"/>
      <c r="H119" s="54" t="s">
        <v>84</v>
      </c>
      <c r="I119" s="55">
        <v>0.18</v>
      </c>
      <c r="J119" s="55" t="s">
        <v>1316</v>
      </c>
      <c r="K119" s="57">
        <f>IFERROR(higiene[[#This Row],[Preço por produto]]/PMA,0)</f>
        <v>0</v>
      </c>
      <c r="Q119" s="24" t="str">
        <f t="shared" si="2"/>
        <v>Farinha de trigo (1kg)</v>
      </c>
    </row>
    <row r="120" spans="4:17" x14ac:dyDescent="0.25">
      <c r="D120" s="71" t="s">
        <v>1252</v>
      </c>
      <c r="E120" s="69">
        <v>0.15</v>
      </c>
      <c r="F120" s="104">
        <v>2.35</v>
      </c>
      <c r="G120" s="19"/>
      <c r="H120" s="54" t="s">
        <v>85</v>
      </c>
      <c r="I120" s="55">
        <v>0.05</v>
      </c>
      <c r="J120" s="55" t="s">
        <v>1316</v>
      </c>
      <c r="K120" s="57">
        <f>IFERROR(higiene[[#This Row],[Preço por produto]]/PMA,0)</f>
        <v>0</v>
      </c>
      <c r="Q120" s="24" t="str">
        <f t="shared" si="2"/>
        <v>Farofa (150g)</v>
      </c>
    </row>
    <row r="121" spans="4:17" x14ac:dyDescent="0.25">
      <c r="D121" s="71" t="s">
        <v>339</v>
      </c>
      <c r="E121" s="69">
        <v>0.25</v>
      </c>
      <c r="F121" s="52">
        <v>2.5619999999999998</v>
      </c>
      <c r="G121" s="19"/>
      <c r="H121" s="54" t="s">
        <v>86</v>
      </c>
      <c r="I121" s="55">
        <v>7.0000000000000007E-2</v>
      </c>
      <c r="J121" s="55" t="s">
        <v>1316</v>
      </c>
      <c r="K121" s="57">
        <f>IFERROR(higiene[[#This Row],[Preço por produto]]/PMA,0)</f>
        <v>0</v>
      </c>
      <c r="Q121" s="24" t="e">
        <f>#REF!</f>
        <v>#REF!</v>
      </c>
    </row>
    <row r="122" spans="4:17" x14ac:dyDescent="0.25">
      <c r="D122" s="71" t="s">
        <v>226</v>
      </c>
      <c r="E122" s="69">
        <v>0.3</v>
      </c>
      <c r="F122" s="52">
        <v>3.39</v>
      </c>
      <c r="G122" s="19"/>
      <c r="H122" s="54" t="s">
        <v>264</v>
      </c>
      <c r="I122" s="55">
        <v>0.09</v>
      </c>
      <c r="J122" s="55">
        <v>22.594999999999999</v>
      </c>
      <c r="K122" s="58">
        <f>IFERROR(higiene[[#This Row],[Preço por produto]]/PMA,0)</f>
        <v>6.8213126194841509</v>
      </c>
      <c r="Q122" s="24" t="e">
        <f>#REF!</f>
        <v>#REF!</v>
      </c>
    </row>
    <row r="123" spans="4:17" x14ac:dyDescent="0.25">
      <c r="D123" s="71" t="s">
        <v>227</v>
      </c>
      <c r="E123" s="69">
        <v>0.5</v>
      </c>
      <c r="F123" s="52">
        <v>4.4060000000000006</v>
      </c>
      <c r="G123" s="19"/>
      <c r="H123" s="54" t="s">
        <v>265</v>
      </c>
      <c r="I123" s="55">
        <v>0.1</v>
      </c>
      <c r="J123" s="55">
        <v>5.99</v>
      </c>
      <c r="K123" s="58">
        <f>IFERROR(higiene[[#This Row],[Preço por produto]]/PMA,0)</f>
        <v>1.8083497495335281</v>
      </c>
      <c r="Q123" s="24" t="str">
        <f t="shared" ref="Q123:Q164" si="3">D121</f>
        <v>Farofa (250g)</v>
      </c>
    </row>
    <row r="124" spans="4:17" x14ac:dyDescent="0.25">
      <c r="D124" s="80" t="s">
        <v>1570</v>
      </c>
      <c r="E124" s="81">
        <v>0.25</v>
      </c>
      <c r="F124" s="104">
        <v>2.57</v>
      </c>
      <c r="G124" s="19"/>
      <c r="H124" s="54" t="s">
        <v>345</v>
      </c>
      <c r="I124" s="55"/>
      <c r="J124" s="55">
        <v>20.98</v>
      </c>
      <c r="K124" s="58">
        <f>IFERROR(higiene[[#This Row],[Preço por produto]]/PMA,0)</f>
        <v>6.3337525451107544</v>
      </c>
      <c r="Q124" s="24" t="str">
        <f t="shared" si="3"/>
        <v>Farofa (300g)</v>
      </c>
    </row>
    <row r="125" spans="4:17" x14ac:dyDescent="0.25">
      <c r="D125" s="71" t="s">
        <v>11</v>
      </c>
      <c r="E125" s="69">
        <v>1</v>
      </c>
      <c r="F125" s="52">
        <v>2.625</v>
      </c>
      <c r="G125" s="19"/>
      <c r="H125" s="54" t="s">
        <v>230</v>
      </c>
      <c r="I125" s="55">
        <v>0.9</v>
      </c>
      <c r="J125" s="55">
        <v>15.26</v>
      </c>
      <c r="K125" s="58">
        <f>IFERROR(higiene[[#This Row],[Preço por produto]]/PMA,0)</f>
        <v>4.6069143869585369</v>
      </c>
      <c r="Q125" s="24" t="str">
        <f t="shared" si="3"/>
        <v>Farofa (500g)</v>
      </c>
    </row>
    <row r="126" spans="4:17" x14ac:dyDescent="0.25">
      <c r="D126" s="71" t="s">
        <v>12</v>
      </c>
      <c r="E126" s="69">
        <v>2</v>
      </c>
      <c r="F126" s="52">
        <v>6.0200000000000005</v>
      </c>
      <c r="G126" s="19"/>
      <c r="H126" s="54" t="s">
        <v>231</v>
      </c>
      <c r="I126" s="55"/>
      <c r="J126" s="55">
        <v>4.0199999999999996</v>
      </c>
      <c r="K126" s="58">
        <f>IFERROR(higiene[[#This Row],[Preço por produto]]/PMA,0)</f>
        <v>1.2136170272328517</v>
      </c>
      <c r="Q126" s="24" t="str">
        <f t="shared" si="3"/>
        <v>farofa de mandioca (250g)</v>
      </c>
    </row>
    <row r="127" spans="4:17" x14ac:dyDescent="0.25">
      <c r="D127" s="71" t="s">
        <v>202</v>
      </c>
      <c r="E127" s="69">
        <v>0.5</v>
      </c>
      <c r="F127" s="52">
        <v>5.2833333333333341</v>
      </c>
      <c r="G127" s="19"/>
      <c r="H127" s="54" t="s">
        <v>232</v>
      </c>
      <c r="I127" s="55">
        <v>0.45</v>
      </c>
      <c r="J127" s="55">
        <v>7.6350000000000007</v>
      </c>
      <c r="K127" s="58">
        <f>IFERROR(higiene[[#This Row],[Preço por produto]]/PMA,0)</f>
        <v>2.3049666673937375</v>
      </c>
      <c r="Q127" s="24" t="str">
        <f t="shared" si="3"/>
        <v>Feijão (1kg)</v>
      </c>
    </row>
    <row r="128" spans="4:17" x14ac:dyDescent="0.25">
      <c r="D128" s="71" t="s">
        <v>1278</v>
      </c>
      <c r="E128" s="69">
        <v>0.83</v>
      </c>
      <c r="F128" s="52">
        <v>11.89</v>
      </c>
      <c r="G128" s="19"/>
      <c r="H128" s="54" t="s">
        <v>233</v>
      </c>
      <c r="I128" s="55"/>
      <c r="J128" s="55">
        <v>5.98</v>
      </c>
      <c r="K128" s="58">
        <f>IFERROR(higiene[[#This Row],[Preço por produto]]/PMA,0)</f>
        <v>1.8053308017045908</v>
      </c>
      <c r="Q128" s="24" t="str">
        <f t="shared" si="3"/>
        <v>Feijão (2kg)</v>
      </c>
    </row>
    <row r="129" spans="4:17" x14ac:dyDescent="0.25">
      <c r="D129" s="71" t="s">
        <v>1234</v>
      </c>
      <c r="E129" s="69">
        <v>0.1</v>
      </c>
      <c r="F129" s="52">
        <v>2.5183333333333331</v>
      </c>
      <c r="G129" s="19"/>
      <c r="H129" s="54" t="s">
        <v>359</v>
      </c>
      <c r="I129" s="55">
        <v>1</v>
      </c>
      <c r="J129" s="55">
        <v>19.259999999999998</v>
      </c>
      <c r="K129" s="58">
        <f>IFERROR(higiene[[#This Row],[Preço por produto]]/PMA,0)</f>
        <v>5.8144935185335136</v>
      </c>
      <c r="Q129" s="24" t="str">
        <f t="shared" si="3"/>
        <v>Feijão (500g)</v>
      </c>
    </row>
    <row r="130" spans="4:17" x14ac:dyDescent="0.25">
      <c r="D130" s="71" t="s">
        <v>141</v>
      </c>
      <c r="E130" s="69">
        <v>1</v>
      </c>
      <c r="F130" s="52">
        <v>4.8033333333333337</v>
      </c>
      <c r="G130" s="19"/>
      <c r="H130" s="54" t="s">
        <v>1364</v>
      </c>
      <c r="I130" s="55">
        <v>5</v>
      </c>
      <c r="J130" s="55">
        <v>39.979999999999997</v>
      </c>
      <c r="K130" s="58">
        <f>IFERROR(higiene[[#This Row],[Preço por produto]]/PMA,0)</f>
        <v>12.069753420091894</v>
      </c>
      <c r="Q130" s="24" t="str">
        <f t="shared" si="3"/>
        <v>Feijoada enlatada (830g)</v>
      </c>
    </row>
    <row r="131" spans="4:17" x14ac:dyDescent="0.25">
      <c r="D131" s="71" t="s">
        <v>140</v>
      </c>
      <c r="E131" s="69">
        <v>0.5</v>
      </c>
      <c r="F131" s="52">
        <v>1.7400000000000002</v>
      </c>
      <c r="G131" s="19"/>
      <c r="H131" s="54" t="s">
        <v>203</v>
      </c>
      <c r="I131" s="55">
        <v>1</v>
      </c>
      <c r="J131" s="55">
        <v>22.234999999999999</v>
      </c>
      <c r="K131" s="58">
        <f>IFERROR(higiene[[#This Row],[Preço por produto]]/PMA,0)</f>
        <v>6.7126304976424036</v>
      </c>
      <c r="Q131" s="24" t="str">
        <f t="shared" si="3"/>
        <v>Fermento (100g)</v>
      </c>
    </row>
    <row r="132" spans="4:17" x14ac:dyDescent="0.25">
      <c r="D132" s="71" t="s">
        <v>82</v>
      </c>
      <c r="E132" s="69"/>
      <c r="F132" s="52"/>
      <c r="G132" s="19"/>
      <c r="H132" s="54" t="s">
        <v>1365</v>
      </c>
      <c r="I132" s="55">
        <v>2.8</v>
      </c>
      <c r="J132" s="55">
        <v>3.2150000000000003</v>
      </c>
      <c r="K132" s="58">
        <f>IFERROR(higiene[[#This Row],[Preço por produto]]/PMA,0)</f>
        <v>0.97059172700338781</v>
      </c>
      <c r="Q132" s="24" t="str">
        <f t="shared" si="3"/>
        <v>Fuba (1kg)</v>
      </c>
    </row>
    <row r="133" spans="4:17" x14ac:dyDescent="0.25">
      <c r="D133" s="71" t="s">
        <v>1279</v>
      </c>
      <c r="E133" s="69">
        <v>0.03</v>
      </c>
      <c r="F133" s="52">
        <v>0.99</v>
      </c>
      <c r="G133" s="19"/>
      <c r="H133" s="54" t="s">
        <v>1366</v>
      </c>
      <c r="I133" s="55">
        <v>2</v>
      </c>
      <c r="J133" s="55">
        <v>4.79</v>
      </c>
      <c r="K133" s="58">
        <f>IFERROR(higiene[[#This Row],[Preço por produto]]/PMA,0)</f>
        <v>1.446076010061035</v>
      </c>
      <c r="Q133" s="24" t="str">
        <f t="shared" si="3"/>
        <v>Fuba (500g)</v>
      </c>
    </row>
    <row r="134" spans="4:17" x14ac:dyDescent="0.25">
      <c r="D134" s="71" t="s">
        <v>189</v>
      </c>
      <c r="E134" s="69">
        <v>3.5000000000000003E-2</v>
      </c>
      <c r="F134" s="52">
        <v>1.1850000000000001</v>
      </c>
      <c r="G134" s="19"/>
      <c r="H134" s="54" t="s">
        <v>49</v>
      </c>
      <c r="I134" s="55">
        <v>3</v>
      </c>
      <c r="J134" s="55">
        <v>2.4900000000000002</v>
      </c>
      <c r="K134" s="58">
        <f>IFERROR(higiene[[#This Row],[Preço por produto]]/PMA,0)</f>
        <v>0.75171800940542322</v>
      </c>
      <c r="Q134" s="24" t="str">
        <f t="shared" si="3"/>
        <v>G</v>
      </c>
    </row>
    <row r="135" spans="4:17" x14ac:dyDescent="0.25">
      <c r="D135" s="71" t="s">
        <v>1245</v>
      </c>
      <c r="E135" s="69">
        <v>0.1</v>
      </c>
      <c r="F135" s="52">
        <v>4.58</v>
      </c>
      <c r="G135" s="19"/>
      <c r="H135" s="54" t="s">
        <v>1367</v>
      </c>
      <c r="I135" s="55">
        <v>1</v>
      </c>
      <c r="J135" s="55">
        <v>7.69</v>
      </c>
      <c r="K135" s="58">
        <f>IFERROR(higiene[[#This Row],[Preço por produto]]/PMA,0)</f>
        <v>2.3215708804528932</v>
      </c>
      <c r="Q135" s="24" t="str">
        <f t="shared" si="3"/>
        <v>Gelatina (30g)</v>
      </c>
    </row>
    <row r="136" spans="4:17" x14ac:dyDescent="0.25">
      <c r="D136" s="71" t="s">
        <v>337</v>
      </c>
      <c r="E136" s="69">
        <v>0.3</v>
      </c>
      <c r="F136" s="52">
        <v>2.6840000000000002</v>
      </c>
      <c r="G136" s="19"/>
      <c r="H136" s="54" t="s">
        <v>1368</v>
      </c>
      <c r="I136" s="55">
        <v>5</v>
      </c>
      <c r="J136" s="55">
        <v>13.49</v>
      </c>
      <c r="K136" s="58">
        <f>IFERROR(higiene[[#This Row],[Preço por produto]]/PMA,0)</f>
        <v>4.0725606212366099</v>
      </c>
      <c r="Q136" s="24" t="str">
        <f t="shared" si="3"/>
        <v>Gelatina (35g)</v>
      </c>
    </row>
    <row r="137" spans="4:17" x14ac:dyDescent="0.25">
      <c r="D137" s="71" t="s">
        <v>229</v>
      </c>
      <c r="E137" s="69">
        <v>0.4</v>
      </c>
      <c r="F137" s="52">
        <v>3.83</v>
      </c>
      <c r="G137" s="19"/>
      <c r="H137" s="54" t="s">
        <v>1369</v>
      </c>
      <c r="I137" s="55">
        <v>1</v>
      </c>
      <c r="J137" s="55">
        <v>4.25</v>
      </c>
      <c r="K137" s="58">
        <f>IFERROR(higiene[[#This Row],[Preço por produto]]/PMA,0)</f>
        <v>1.283052827298413</v>
      </c>
      <c r="Q137" s="24" t="str">
        <f t="shared" si="3"/>
        <v>Geleia de goiaba (100g)</v>
      </c>
    </row>
    <row r="138" spans="4:17" x14ac:dyDescent="0.25">
      <c r="D138" s="71" t="s">
        <v>190</v>
      </c>
      <c r="E138" s="69">
        <v>0.5</v>
      </c>
      <c r="F138" s="52">
        <v>6.0150000000000006</v>
      </c>
      <c r="G138" s="19"/>
      <c r="H138" s="54" t="s">
        <v>87</v>
      </c>
      <c r="I138" s="55">
        <v>0.18</v>
      </c>
      <c r="J138" s="55" t="s">
        <v>1316</v>
      </c>
      <c r="K138" s="58">
        <f>IFERROR(higiene[[#This Row],[Preço por produto]]/PMA,0)</f>
        <v>0</v>
      </c>
      <c r="Q138" s="24" t="str">
        <f t="shared" si="3"/>
        <v>Goiabada (300g)</v>
      </c>
    </row>
    <row r="139" spans="4:17" x14ac:dyDescent="0.25">
      <c r="D139" s="71" t="s">
        <v>1209</v>
      </c>
      <c r="E139" s="69">
        <v>0.13</v>
      </c>
      <c r="F139" s="52">
        <v>3.49</v>
      </c>
      <c r="G139" s="19"/>
      <c r="H139" s="76" t="s">
        <v>1582</v>
      </c>
      <c r="I139" s="77">
        <v>4</v>
      </c>
      <c r="J139" s="106">
        <v>9.6</v>
      </c>
      <c r="K139" s="58">
        <f>IFERROR(higiene[[#This Row],[Preço por produto]]/PMA,0)</f>
        <v>2.8981899157799447</v>
      </c>
      <c r="Q139" s="24" t="str">
        <f t="shared" si="3"/>
        <v>Goiabada (400g)</v>
      </c>
    </row>
    <row r="140" spans="4:17" x14ac:dyDescent="0.25">
      <c r="D140" s="71" t="s">
        <v>1280</v>
      </c>
      <c r="E140" s="69">
        <v>0.15</v>
      </c>
      <c r="F140" s="52">
        <v>3.49</v>
      </c>
      <c r="G140" s="19"/>
      <c r="H140" s="54" t="s">
        <v>1370</v>
      </c>
      <c r="I140" s="55">
        <v>1</v>
      </c>
      <c r="J140" s="55">
        <v>8.99</v>
      </c>
      <c r="K140" s="58">
        <f>IFERROR(higiene[[#This Row],[Preço por produto]]/PMA,0)</f>
        <v>2.714034098214761</v>
      </c>
      <c r="Q140" s="24" t="str">
        <f t="shared" si="3"/>
        <v>Goiabada (500g)</v>
      </c>
    </row>
    <row r="141" spans="4:17" x14ac:dyDescent="0.25">
      <c r="D141" s="71" t="s">
        <v>1207</v>
      </c>
      <c r="E141" s="69">
        <v>1</v>
      </c>
      <c r="F141" s="104">
        <v>18.21</v>
      </c>
      <c r="G141" s="19"/>
      <c r="H141" s="54" t="s">
        <v>1248</v>
      </c>
      <c r="I141" s="55">
        <v>4</v>
      </c>
      <c r="J141" s="55">
        <v>2.2400000000000002</v>
      </c>
      <c r="K141" s="58">
        <f>IFERROR(higiene[[#This Row],[Preço por produto]]/PMA,0)</f>
        <v>0.67624431368198723</v>
      </c>
      <c r="Q141" s="24" t="str">
        <f t="shared" si="3"/>
        <v>Granulado (130g)</v>
      </c>
    </row>
    <row r="142" spans="4:17" x14ac:dyDescent="0.25">
      <c r="D142" s="71" t="s">
        <v>1281</v>
      </c>
      <c r="E142" s="69">
        <v>0.5</v>
      </c>
      <c r="F142" s="52">
        <v>9.69</v>
      </c>
      <c r="G142" s="19"/>
      <c r="H142" s="54" t="s">
        <v>1371</v>
      </c>
      <c r="I142" s="55">
        <v>1</v>
      </c>
      <c r="J142" s="55">
        <v>10.307500000000001</v>
      </c>
      <c r="K142" s="58">
        <f>IFERROR(higiene[[#This Row],[Preço por produto]]/PMA,0)</f>
        <v>3.111780474677269</v>
      </c>
      <c r="Q142" s="24" t="str">
        <f t="shared" si="3"/>
        <v>Granulado (150g)</v>
      </c>
    </row>
    <row r="143" spans="4:17" x14ac:dyDescent="0.25">
      <c r="D143" s="71" t="s">
        <v>13</v>
      </c>
      <c r="E143" s="69">
        <v>0.3</v>
      </c>
      <c r="F143" s="52">
        <v>3.09</v>
      </c>
      <c r="G143" s="19"/>
      <c r="H143" s="54" t="s">
        <v>266</v>
      </c>
      <c r="I143" s="55">
        <v>1</v>
      </c>
      <c r="J143" s="55">
        <v>3.0680000000000001</v>
      </c>
      <c r="K143" s="58">
        <f>IFERROR(higiene[[#This Row],[Preço por produto]]/PMA,0)</f>
        <v>0.92621319391800738</v>
      </c>
      <c r="Q143" s="24" t="str">
        <f t="shared" si="3"/>
        <v>Granulado (1kg)</v>
      </c>
    </row>
    <row r="144" spans="4:17" x14ac:dyDescent="0.25">
      <c r="D144" s="71" t="s">
        <v>142</v>
      </c>
      <c r="E144" s="69">
        <v>0.3</v>
      </c>
      <c r="F144" s="52">
        <v>12.39</v>
      </c>
      <c r="G144" s="19"/>
      <c r="H144" s="54" t="s">
        <v>346</v>
      </c>
      <c r="I144" s="55">
        <v>10</v>
      </c>
      <c r="J144" s="55">
        <v>6.2150000000000007</v>
      </c>
      <c r="K144" s="58">
        <f>IFERROR(higiene[[#This Row],[Preço por produto]]/PMA,0)</f>
        <v>1.8762760756846206</v>
      </c>
      <c r="Q144" s="24" t="str">
        <f t="shared" si="3"/>
        <v>Granulado (500g)</v>
      </c>
    </row>
    <row r="145" spans="4:17" x14ac:dyDescent="0.25">
      <c r="D145" s="71" t="s">
        <v>83</v>
      </c>
      <c r="E145" s="69"/>
      <c r="F145" s="52"/>
      <c r="G145" s="19"/>
      <c r="H145" s="54" t="s">
        <v>88</v>
      </c>
      <c r="I145" s="55">
        <v>20</v>
      </c>
      <c r="J145" s="55" t="s">
        <v>1316</v>
      </c>
      <c r="K145" s="58">
        <f>IFERROR(higiene[[#This Row],[Preço por produto]]/PMA,0)</f>
        <v>0</v>
      </c>
      <c r="Q145" s="24" t="str">
        <f t="shared" si="3"/>
        <v>Grão de Bico (Lata)</v>
      </c>
    </row>
    <row r="146" spans="4:17" x14ac:dyDescent="0.25">
      <c r="D146" s="71" t="s">
        <v>84</v>
      </c>
      <c r="E146" s="69"/>
      <c r="F146" s="52"/>
      <c r="G146" s="19"/>
      <c r="H146" s="54" t="s">
        <v>89</v>
      </c>
      <c r="I146" s="55">
        <v>50</v>
      </c>
      <c r="J146" s="55" t="s">
        <v>1316</v>
      </c>
      <c r="K146" s="58">
        <f>IFERROR(higiene[[#This Row],[Preço por produto]]/PMA,0)</f>
        <v>0</v>
      </c>
      <c r="Q146" s="24" t="str">
        <f t="shared" si="3"/>
        <v>Grão de Bico (sache)</v>
      </c>
    </row>
    <row r="147" spans="4:17" x14ac:dyDescent="0.25">
      <c r="D147" s="71" t="s">
        <v>85</v>
      </c>
      <c r="E147" s="69"/>
      <c r="F147" s="52"/>
      <c r="G147" s="19"/>
      <c r="H147" s="54" t="s">
        <v>90</v>
      </c>
      <c r="I147" s="55">
        <v>1</v>
      </c>
      <c r="J147" s="55" t="s">
        <v>1316</v>
      </c>
      <c r="K147" s="58">
        <f>IFERROR(higiene[[#This Row],[Preço por produto]]/PMA,0)</f>
        <v>0</v>
      </c>
      <c r="Q147" s="24" t="str">
        <f t="shared" si="3"/>
        <v>H</v>
      </c>
    </row>
    <row r="148" spans="4:17" x14ac:dyDescent="0.25">
      <c r="D148" s="71" t="s">
        <v>980</v>
      </c>
      <c r="E148" s="69">
        <v>0.4</v>
      </c>
      <c r="F148" s="52">
        <v>4.1920000000000002</v>
      </c>
      <c r="G148" s="19"/>
      <c r="H148" s="54" t="s">
        <v>50</v>
      </c>
      <c r="I148" s="55">
        <v>0.2</v>
      </c>
      <c r="J148" s="55">
        <v>3.6566666666666663</v>
      </c>
      <c r="K148" s="58">
        <f>IFERROR(higiene[[#This Row],[Preço por produto]]/PMA,0)</f>
        <v>1.1039285894481248</v>
      </c>
      <c r="Q148" s="24" t="str">
        <f t="shared" si="3"/>
        <v>I</v>
      </c>
    </row>
    <row r="149" spans="4:17" x14ac:dyDescent="0.25">
      <c r="D149" s="71" t="s">
        <v>1197</v>
      </c>
      <c r="E149" s="69">
        <v>0.5</v>
      </c>
      <c r="F149" s="52">
        <v>13.48</v>
      </c>
      <c r="G149" s="19"/>
      <c r="H149" s="54" t="s">
        <v>51</v>
      </c>
      <c r="I149" s="55">
        <v>0.4</v>
      </c>
      <c r="J149" s="55">
        <v>5.44</v>
      </c>
      <c r="K149" s="58">
        <f>IFERROR(higiene[[#This Row],[Preço por produto]]/PMA,0)</f>
        <v>1.6423076189419687</v>
      </c>
      <c r="Q149" s="24" t="str">
        <f t="shared" si="3"/>
        <v>J</v>
      </c>
    </row>
    <row r="150" spans="4:17" x14ac:dyDescent="0.25">
      <c r="D150" s="71" t="s">
        <v>86</v>
      </c>
      <c r="E150" s="69"/>
      <c r="F150" s="52"/>
      <c r="G150" s="19"/>
      <c r="H150" s="54" t="s">
        <v>52</v>
      </c>
      <c r="I150" s="55">
        <v>0.32500000000000001</v>
      </c>
      <c r="J150" s="55">
        <v>13.090000000000002</v>
      </c>
      <c r="K150" s="58">
        <f>IFERROR(higiene[[#This Row],[Preço por produto]]/PMA,0)</f>
        <v>3.9518027080791125</v>
      </c>
      <c r="Q150" s="24" t="str">
        <f t="shared" si="3"/>
        <v>Ketchup (400g)</v>
      </c>
    </row>
    <row r="151" spans="4:17" x14ac:dyDescent="0.25">
      <c r="D151" s="71" t="s">
        <v>1282</v>
      </c>
      <c r="E151" s="69">
        <v>12</v>
      </c>
      <c r="F151" s="52">
        <v>32.576000000000001</v>
      </c>
      <c r="G151" s="19"/>
      <c r="H151" s="54" t="s">
        <v>53</v>
      </c>
      <c r="I151" s="55">
        <v>0.35</v>
      </c>
      <c r="J151" s="55">
        <v>14.676666666666668</v>
      </c>
      <c r="K151" s="58">
        <f>IFERROR(higiene[[#This Row],[Preço por produto]]/PMA,0)</f>
        <v>4.4308090969371863</v>
      </c>
      <c r="Q151" s="24" t="str">
        <f t="shared" si="3"/>
        <v>Kibe (500g)</v>
      </c>
    </row>
    <row r="152" spans="4:17" x14ac:dyDescent="0.25">
      <c r="D152" s="71" t="s">
        <v>146</v>
      </c>
      <c r="E152" s="69">
        <v>1</v>
      </c>
      <c r="F152" s="52">
        <v>2.67</v>
      </c>
      <c r="G152" s="19"/>
      <c r="H152" s="54" t="s">
        <v>54</v>
      </c>
      <c r="I152" s="55"/>
      <c r="J152" s="55">
        <v>27.39</v>
      </c>
      <c r="K152" s="58">
        <f>IFERROR(higiene[[#This Row],[Preço por produto]]/PMA,0)</f>
        <v>8.2688981034596551</v>
      </c>
      <c r="Q152" s="24" t="str">
        <f t="shared" si="3"/>
        <v>L</v>
      </c>
    </row>
    <row r="153" spans="4:17" x14ac:dyDescent="0.25">
      <c r="D153" s="71" t="s">
        <v>147</v>
      </c>
      <c r="E153" s="69">
        <v>0.4</v>
      </c>
      <c r="F153" s="52">
        <v>3.2366666666666668</v>
      </c>
      <c r="H153" s="76" t="s">
        <v>1576</v>
      </c>
      <c r="I153" s="77">
        <v>12</v>
      </c>
      <c r="J153" s="106">
        <v>45.9</v>
      </c>
      <c r="K153" s="58">
        <f>IFERROR(higiene[[#This Row],[Preço por produto]]/PMA,0)</f>
        <v>13.85697053482286</v>
      </c>
      <c r="Q153" s="24" t="str">
        <f t="shared" si="3"/>
        <v>Leite (caixa com 12)</v>
      </c>
    </row>
    <row r="154" spans="4:17" x14ac:dyDescent="0.25">
      <c r="D154" s="71" t="s">
        <v>1243</v>
      </c>
      <c r="E154" s="69">
        <v>0.2</v>
      </c>
      <c r="F154" s="52">
        <v>3.6566666666666676</v>
      </c>
      <c r="H154" s="54" t="s">
        <v>55</v>
      </c>
      <c r="I154" s="55">
        <v>0.1</v>
      </c>
      <c r="J154" s="55">
        <v>3.5680000000000001</v>
      </c>
      <c r="K154" s="58">
        <f>IFERROR(higiene[[#This Row],[Preço por produto]]/PMA,0)</f>
        <v>1.0771605853648796</v>
      </c>
      <c r="Q154" s="24" t="str">
        <f t="shared" si="3"/>
        <v>Leite (caixa)</v>
      </c>
    </row>
    <row r="155" spans="4:17" x14ac:dyDescent="0.25">
      <c r="D155" s="71" t="s">
        <v>356</v>
      </c>
      <c r="E155" s="69">
        <v>1</v>
      </c>
      <c r="F155" s="52">
        <v>4.9066666666666672</v>
      </c>
      <c r="H155" s="54" t="s">
        <v>56</v>
      </c>
      <c r="I155" s="55">
        <v>0.2</v>
      </c>
      <c r="J155" s="55">
        <v>5.19</v>
      </c>
      <c r="K155" s="58">
        <f>IFERROR(higiene[[#This Row],[Preço por produto]]/PMA,0)</f>
        <v>1.5668339232185327</v>
      </c>
      <c r="Q155" s="24" t="str">
        <f t="shared" si="3"/>
        <v>Leite condensado</v>
      </c>
    </row>
    <row r="156" spans="4:17" x14ac:dyDescent="0.25">
      <c r="D156" s="71" t="s">
        <v>1242</v>
      </c>
      <c r="E156" s="69">
        <v>0.2</v>
      </c>
      <c r="F156" s="52">
        <v>7.99</v>
      </c>
      <c r="H156" s="76" t="s">
        <v>1569</v>
      </c>
      <c r="I156" s="77">
        <v>3</v>
      </c>
      <c r="J156" s="106">
        <v>4.9800000000000004</v>
      </c>
      <c r="K156" s="58">
        <f>IFERROR(higiene[[#This Row],[Preço por produto]]/PMA,0)</f>
        <v>1.5034360188108464</v>
      </c>
      <c r="Q156" s="24" t="str">
        <f t="shared" si="3"/>
        <v>Leite de Coco (200mL)</v>
      </c>
    </row>
    <row r="157" spans="4:17" x14ac:dyDescent="0.25">
      <c r="D157" s="71" t="s">
        <v>143</v>
      </c>
      <c r="E157" s="69">
        <v>0.28000000000000003</v>
      </c>
      <c r="F157" s="52">
        <v>11.286000000000001</v>
      </c>
      <c r="H157" s="54" t="s">
        <v>57</v>
      </c>
      <c r="I157" s="55">
        <v>0.45</v>
      </c>
      <c r="J157" s="55">
        <v>7.2133333333333338</v>
      </c>
      <c r="K157" s="58">
        <f>IFERROR(higiene[[#This Row],[Preço por produto]]/PMA,0)</f>
        <v>2.1776677006068752</v>
      </c>
      <c r="Q157" s="24" t="str">
        <f t="shared" si="3"/>
        <v>Leite de soja (1L)</v>
      </c>
    </row>
    <row r="158" spans="4:17" x14ac:dyDescent="0.25">
      <c r="D158" s="71" t="s">
        <v>1283</v>
      </c>
      <c r="E158" s="69">
        <v>0.3</v>
      </c>
      <c r="F158" s="52">
        <v>11.69</v>
      </c>
      <c r="H158" s="54" t="s">
        <v>58</v>
      </c>
      <c r="I158" s="55"/>
      <c r="J158" s="55">
        <v>2.4483333333333337</v>
      </c>
      <c r="K158" s="58">
        <f>IFERROR(higiene[[#This Row],[Preço por produto]]/PMA,0)</f>
        <v>0.73913906011818398</v>
      </c>
      <c r="Q158" s="24" t="str">
        <f t="shared" si="3"/>
        <v>Leite em Pó (200g)</v>
      </c>
    </row>
    <row r="159" spans="4:17" x14ac:dyDescent="0.25">
      <c r="D159" s="71" t="s">
        <v>144</v>
      </c>
      <c r="E159" s="69">
        <v>0.4</v>
      </c>
      <c r="F159" s="52">
        <v>9.8166666666666682</v>
      </c>
      <c r="H159" s="54" t="s">
        <v>59</v>
      </c>
      <c r="I159" s="55"/>
      <c r="J159" s="55">
        <v>2.6566666666666667</v>
      </c>
      <c r="K159" s="58">
        <f>IFERROR(higiene[[#This Row],[Preço por produto]]/PMA,0)</f>
        <v>0.80203380655438061</v>
      </c>
      <c r="Q159" s="24" t="str">
        <f t="shared" si="3"/>
        <v>Leite em pó (280g)</v>
      </c>
    </row>
    <row r="160" spans="4:17" x14ac:dyDescent="0.25">
      <c r="D160" s="71" t="s">
        <v>1284</v>
      </c>
      <c r="E160" s="69">
        <v>0.5</v>
      </c>
      <c r="F160" s="52">
        <v>22.49</v>
      </c>
      <c r="H160" s="54" t="s">
        <v>1548</v>
      </c>
      <c r="I160" s="55">
        <v>1</v>
      </c>
      <c r="J160" s="106">
        <v>7.56</v>
      </c>
      <c r="K160" s="58">
        <f>IFERROR(higiene[[#This Row],[Preço por produto]]/PMA,0)</f>
        <v>2.2823245586767062</v>
      </c>
      <c r="Q160" s="24" t="str">
        <f t="shared" si="3"/>
        <v>Leite em pó (300g)</v>
      </c>
    </row>
    <row r="161" spans="4:17" x14ac:dyDescent="0.25">
      <c r="D161" s="71" t="s">
        <v>145</v>
      </c>
      <c r="E161" s="69">
        <v>0.8</v>
      </c>
      <c r="F161" s="52">
        <v>24.797499999999999</v>
      </c>
      <c r="H161" s="54" t="s">
        <v>374</v>
      </c>
      <c r="I161" s="55"/>
      <c r="J161" s="55">
        <v>10.945</v>
      </c>
      <c r="K161" s="78">
        <f>IFERROR(higiene[[#This Row],[Preço por produto]]/PMA,0)</f>
        <v>3.3042383987720307</v>
      </c>
      <c r="Q161" s="24" t="str">
        <f t="shared" si="3"/>
        <v>Leite em pó (400g)</v>
      </c>
    </row>
    <row r="162" spans="4:17" x14ac:dyDescent="0.25">
      <c r="D162" s="71" t="s">
        <v>16</v>
      </c>
      <c r="E162" s="69">
        <v>1</v>
      </c>
      <c r="F162" s="104">
        <v>18.54</v>
      </c>
      <c r="H162" s="54" t="s">
        <v>91</v>
      </c>
      <c r="I162" s="55"/>
      <c r="J162" s="55" t="s">
        <v>1316</v>
      </c>
      <c r="K162" s="58">
        <f>IFERROR(higiene[[#This Row],[Preço por produto]]/PMA,0)</f>
        <v>0</v>
      </c>
      <c r="Q162" s="24" t="str">
        <f t="shared" si="3"/>
        <v>Leite em Pó (500g)</v>
      </c>
    </row>
    <row r="163" spans="4:17" x14ac:dyDescent="0.25">
      <c r="D163" s="71" t="s">
        <v>148</v>
      </c>
      <c r="E163" s="69">
        <v>0.2</v>
      </c>
      <c r="F163" s="52">
        <v>2.99</v>
      </c>
      <c r="H163" s="54" t="s">
        <v>1372</v>
      </c>
      <c r="I163" s="55"/>
      <c r="J163" s="55">
        <v>9.89</v>
      </c>
      <c r="K163" s="58">
        <f>IFERROR(higiene[[#This Row],[Preço por produto]]/PMA,0)</f>
        <v>2.9857394028191306</v>
      </c>
      <c r="Q163" s="24" t="str">
        <f t="shared" si="3"/>
        <v>Leite em pó (800g)</v>
      </c>
    </row>
    <row r="164" spans="4:17" x14ac:dyDescent="0.25">
      <c r="D164" s="71" t="s">
        <v>1215</v>
      </c>
      <c r="E164" s="69">
        <v>0.38</v>
      </c>
      <c r="F164" s="104">
        <v>7.69</v>
      </c>
      <c r="H164" s="54" t="s">
        <v>1202</v>
      </c>
      <c r="I164" s="55"/>
      <c r="J164" s="55">
        <v>11.99</v>
      </c>
      <c r="K164" s="58">
        <f>IFERROR(higiene[[#This Row],[Preço por produto]]/PMA,0)</f>
        <v>3.6197184468959938</v>
      </c>
      <c r="Q164" s="24" t="str">
        <f t="shared" si="3"/>
        <v>Lentilha (1kg)</v>
      </c>
    </row>
    <row r="165" spans="4:17" x14ac:dyDescent="0.25">
      <c r="D165" s="71" t="s">
        <v>338</v>
      </c>
      <c r="E165" s="69">
        <v>0.5</v>
      </c>
      <c r="F165" s="52">
        <v>10.278</v>
      </c>
      <c r="H165" s="54" t="s">
        <v>92</v>
      </c>
      <c r="I165" s="55"/>
      <c r="J165" s="55" t="s">
        <v>1316</v>
      </c>
      <c r="K165" s="58">
        <f>IFERROR(higiene[[#This Row],[Preço por produto]]/PMA,0)</f>
        <v>0</v>
      </c>
      <c r="Q165" s="24" t="str">
        <f t="shared" ref="Q165:Q172" si="4">D206</f>
        <v>Pacote de bala (500g)</v>
      </c>
    </row>
    <row r="166" spans="4:17" x14ac:dyDescent="0.25">
      <c r="D166" s="71" t="s">
        <v>87</v>
      </c>
      <c r="E166" s="69"/>
      <c r="F166" s="52"/>
      <c r="H166" s="54" t="s">
        <v>364</v>
      </c>
      <c r="I166" s="55"/>
      <c r="J166" s="55">
        <v>8.1866666666666674</v>
      </c>
      <c r="K166" s="58">
        <f>IFERROR(higiene[[#This Row],[Preço por produto]]/PMA,0)</f>
        <v>2.4715119559567866</v>
      </c>
      <c r="Q166" s="24" t="str">
        <f t="shared" si="4"/>
        <v>Pacote de bala (600g)</v>
      </c>
    </row>
    <row r="167" spans="4:17" x14ac:dyDescent="0.25">
      <c r="D167" s="71" t="s">
        <v>267</v>
      </c>
      <c r="E167" s="69">
        <v>1</v>
      </c>
      <c r="F167" s="104">
        <v>4.32</v>
      </c>
      <c r="H167" s="54" t="s">
        <v>93</v>
      </c>
      <c r="I167" s="55"/>
      <c r="J167" s="55" t="s">
        <v>1316</v>
      </c>
      <c r="K167" s="58">
        <f>IFERROR(higiene[[#This Row],[Preço por produto]]/PMA,0)</f>
        <v>0</v>
      </c>
      <c r="Q167" s="24" t="str">
        <f t="shared" si="4"/>
        <v>Palmito (300g)</v>
      </c>
    </row>
    <row r="168" spans="4:17" x14ac:dyDescent="0.25">
      <c r="D168" s="72" t="s">
        <v>1285</v>
      </c>
      <c r="E168" s="69">
        <v>0.2</v>
      </c>
      <c r="F168" s="104">
        <v>1.85</v>
      </c>
      <c r="H168" s="54" t="s">
        <v>60</v>
      </c>
      <c r="I168" s="55"/>
      <c r="J168" s="55">
        <v>1.8333333333333333</v>
      </c>
      <c r="K168" s="58">
        <f>IFERROR(higiene[[#This Row],[Preço por produto]]/PMA,0)</f>
        <v>0.55347376863853115</v>
      </c>
      <c r="Q168" s="24" t="str">
        <f t="shared" si="4"/>
        <v>Palmito (500g)</v>
      </c>
    </row>
    <row r="169" spans="4:17" x14ac:dyDescent="0.25">
      <c r="D169" s="71" t="s">
        <v>149</v>
      </c>
      <c r="E169" s="69">
        <v>0.5</v>
      </c>
      <c r="F169" s="52">
        <v>2.1999999999999997</v>
      </c>
      <c r="H169" s="54" t="s">
        <v>1373</v>
      </c>
      <c r="I169" s="55"/>
      <c r="J169" s="55">
        <v>5.9816666666666665</v>
      </c>
      <c r="K169" s="58">
        <f>IFERROR(higiene[[#This Row],[Preço por produto]]/PMA,0)</f>
        <v>1.8058339596760802</v>
      </c>
      <c r="Q169" s="24" t="str">
        <f t="shared" si="4"/>
        <v>Palmito (530g)</v>
      </c>
    </row>
    <row r="170" spans="4:17" x14ac:dyDescent="0.25">
      <c r="D170" s="71" t="s">
        <v>1286</v>
      </c>
      <c r="E170" s="69">
        <v>1</v>
      </c>
      <c r="F170" s="52">
        <v>5.65</v>
      </c>
      <c r="H170" s="54" t="s">
        <v>62</v>
      </c>
      <c r="I170" s="55"/>
      <c r="J170" s="55">
        <v>5.8866666666666667</v>
      </c>
      <c r="K170" s="58">
        <f>IFERROR(higiene[[#This Row],[Preço por produto]]/PMA,0)</f>
        <v>1.7771539553011746</v>
      </c>
      <c r="Q170" s="24" t="str">
        <f t="shared" si="4"/>
        <v>Panetone</v>
      </c>
    </row>
    <row r="171" spans="4:17" x14ac:dyDescent="0.25">
      <c r="D171" s="71" t="s">
        <v>1210</v>
      </c>
      <c r="E171" s="69">
        <v>0.2</v>
      </c>
      <c r="F171" s="52">
        <v>1.4566666666666663</v>
      </c>
      <c r="H171" s="54" t="s">
        <v>214</v>
      </c>
      <c r="I171" s="55"/>
      <c r="J171" s="55">
        <v>24.691666666666666</v>
      </c>
      <c r="K171" s="58">
        <f>IFERROR(higiene[[#This Row],[Preço por produto]]/PMA,0)</f>
        <v>7.4542853476180353</v>
      </c>
      <c r="Q171" s="24" t="str">
        <f t="shared" si="4"/>
        <v>Panetone (80g)</v>
      </c>
    </row>
    <row r="172" spans="4:17" x14ac:dyDescent="0.25">
      <c r="D172" s="71" t="s">
        <v>1224</v>
      </c>
      <c r="E172" s="69">
        <v>0.25</v>
      </c>
      <c r="F172" s="52">
        <v>3.3616666666666668</v>
      </c>
      <c r="H172" s="54" t="s">
        <v>63</v>
      </c>
      <c r="I172" s="55"/>
      <c r="J172" s="55">
        <v>11.611666666666666</v>
      </c>
      <c r="K172" s="58">
        <f>IFERROR(higiene[[#This Row],[Preço por produto]]/PMA,0)</f>
        <v>3.5055015873678603</v>
      </c>
      <c r="Q172" s="24" t="str">
        <f t="shared" si="4"/>
        <v>Pão de Forma (500g)</v>
      </c>
    </row>
    <row r="173" spans="4:17" x14ac:dyDescent="0.25">
      <c r="D173" s="71" t="s">
        <v>1217</v>
      </c>
      <c r="E173" s="69">
        <v>0.3</v>
      </c>
      <c r="F173" s="52">
        <v>7.71</v>
      </c>
      <c r="H173" s="54" t="s">
        <v>64</v>
      </c>
      <c r="I173" s="55"/>
      <c r="J173" s="55">
        <v>18.531666666666666</v>
      </c>
      <c r="K173" s="58">
        <f>IFERROR(higiene[[#This Row],[Preço por produto]]/PMA,0)</f>
        <v>5.5946134849925704</v>
      </c>
      <c r="Q173" s="24" t="e">
        <f>#REF!</f>
        <v>#REF!</v>
      </c>
    </row>
    <row r="174" spans="4:17" x14ac:dyDescent="0.25">
      <c r="D174" s="71" t="s">
        <v>1240</v>
      </c>
      <c r="E174" s="69">
        <v>0.4</v>
      </c>
      <c r="F174" s="52">
        <v>11.01</v>
      </c>
      <c r="H174" s="54" t="s">
        <v>61</v>
      </c>
      <c r="I174" s="55"/>
      <c r="J174" s="55">
        <v>8.9233333333333338</v>
      </c>
      <c r="K174" s="58">
        <f>IFERROR(higiene[[#This Row],[Preço por produto]]/PMA,0)</f>
        <v>2.693907779355178</v>
      </c>
      <c r="Q174" s="24" t="str">
        <f t="shared" ref="Q174:Q206" si="5">D214</f>
        <v>Pão de Mel (200g)</v>
      </c>
    </row>
    <row r="175" spans="4:17" x14ac:dyDescent="0.25">
      <c r="D175" s="71" t="s">
        <v>234</v>
      </c>
      <c r="E175" s="69">
        <v>0.5</v>
      </c>
      <c r="F175" s="52">
        <v>2.8200000000000003</v>
      </c>
      <c r="H175" s="54" t="s">
        <v>1374</v>
      </c>
      <c r="I175" s="55"/>
      <c r="J175" s="55">
        <v>6.69</v>
      </c>
      <c r="K175" s="58">
        <f>IFERROR(higiene[[#This Row],[Preço por produto]]/PMA,0)</f>
        <v>2.0196760975591492</v>
      </c>
      <c r="Q175" s="24" t="str">
        <f t="shared" si="5"/>
        <v>Pão de Mel (240g)</v>
      </c>
    </row>
    <row r="176" spans="4:17" x14ac:dyDescent="0.25">
      <c r="D176" s="71" t="s">
        <v>1255</v>
      </c>
      <c r="E176" s="69">
        <v>0.7</v>
      </c>
      <c r="F176" s="52">
        <v>10.2575</v>
      </c>
      <c r="H176" s="54" t="s">
        <v>1375</v>
      </c>
      <c r="I176" s="55"/>
      <c r="J176" s="55">
        <v>16.98</v>
      </c>
      <c r="K176" s="58">
        <f>IFERROR(higiene[[#This Row],[Preço por produto]]/PMA,0)</f>
        <v>5.1261734135357777</v>
      </c>
      <c r="Q176" s="24" t="str">
        <f t="shared" si="5"/>
        <v>Pão de Mel (300g)</v>
      </c>
    </row>
    <row r="177" spans="4:17" x14ac:dyDescent="0.25">
      <c r="D177" s="71" t="s">
        <v>17</v>
      </c>
      <c r="E177" s="69">
        <v>0.2</v>
      </c>
      <c r="F177" s="52">
        <v>4.5840000000000005</v>
      </c>
      <c r="H177" s="54" t="s">
        <v>1260</v>
      </c>
      <c r="I177" s="55"/>
      <c r="J177" s="55">
        <v>29.295000000000002</v>
      </c>
      <c r="K177" s="58">
        <f>IFERROR(higiene[[#This Row],[Preço por produto]]/PMA,0)</f>
        <v>8.8440076648722385</v>
      </c>
      <c r="Q177" s="24" t="str">
        <f t="shared" si="5"/>
        <v>Pão de Mel (500g)</v>
      </c>
    </row>
    <row r="178" spans="4:17" x14ac:dyDescent="0.25">
      <c r="D178" s="71" t="s">
        <v>18</v>
      </c>
      <c r="E178" s="69">
        <v>0.5</v>
      </c>
      <c r="F178" s="52">
        <v>6.8550000000000004</v>
      </c>
      <c r="H178" s="54" t="s">
        <v>348</v>
      </c>
      <c r="I178" s="55"/>
      <c r="J178" s="55">
        <v>2.085</v>
      </c>
      <c r="K178" s="58">
        <f>IFERROR(higiene[[#This Row],[Preço por produto]]/PMA,0)</f>
        <v>0.62945062233345672</v>
      </c>
      <c r="Q178" s="24" t="str">
        <f t="shared" si="5"/>
        <v>Pate de peru (100g)</v>
      </c>
    </row>
    <row r="179" spans="4:17" x14ac:dyDescent="0.25">
      <c r="D179" s="71" t="s">
        <v>1231</v>
      </c>
      <c r="E179" s="69">
        <v>0.05</v>
      </c>
      <c r="F179" s="52">
        <v>3.3733333333333335</v>
      </c>
      <c r="H179" s="54" t="s">
        <v>1376</v>
      </c>
      <c r="I179" s="55"/>
      <c r="J179" s="55">
        <v>2.09</v>
      </c>
      <c r="K179" s="58">
        <f>IFERROR(higiene[[#This Row],[Preço por produto]]/PMA,0)</f>
        <v>0.63096009624792548</v>
      </c>
      <c r="Q179" s="24" t="str">
        <f t="shared" si="5"/>
        <v>Patê de sardinha (150g)</v>
      </c>
    </row>
    <row r="180" spans="4:17" x14ac:dyDescent="0.25">
      <c r="D180" s="72" t="s">
        <v>1287</v>
      </c>
      <c r="E180" s="69">
        <v>0.3</v>
      </c>
      <c r="F180" s="104">
        <v>3.68</v>
      </c>
      <c r="H180" s="54" t="s">
        <v>1216</v>
      </c>
      <c r="I180" s="55"/>
      <c r="J180" s="55">
        <v>3.3925000000000001</v>
      </c>
      <c r="K180" s="58">
        <f>IFERROR(higiene[[#This Row],[Preço por produto]]/PMA,0)</f>
        <v>1.0241780509670273</v>
      </c>
      <c r="Q180" s="24" t="str">
        <f t="shared" si="5"/>
        <v>Patê de sardinha (170g)</v>
      </c>
    </row>
    <row r="181" spans="4:17" x14ac:dyDescent="0.25">
      <c r="D181" s="71" t="s">
        <v>1288</v>
      </c>
      <c r="E181" s="69">
        <v>0.3</v>
      </c>
      <c r="F181" s="52">
        <v>5.5600000000000005</v>
      </c>
      <c r="H181" s="54" t="s">
        <v>1550</v>
      </c>
      <c r="I181" s="55">
        <v>1</v>
      </c>
      <c r="J181" s="106">
        <v>2.97</v>
      </c>
      <c r="K181" s="58">
        <f>IFERROR(higiene[[#This Row],[Preço por produto]]/PMA,0)</f>
        <v>0.89662750519442047</v>
      </c>
      <c r="Q181" s="24" t="str">
        <f t="shared" si="5"/>
        <v>Pêssego em calda</v>
      </c>
    </row>
    <row r="182" spans="4:17" x14ac:dyDescent="0.25">
      <c r="D182" s="71" t="s">
        <v>153</v>
      </c>
      <c r="E182" s="69">
        <v>0.2</v>
      </c>
      <c r="F182" s="52">
        <v>2.105</v>
      </c>
      <c r="H182" s="54" t="s">
        <v>1377</v>
      </c>
      <c r="I182" s="55"/>
      <c r="J182" s="55">
        <v>2.97</v>
      </c>
      <c r="K182" s="58">
        <f>IFERROR(higiene[[#This Row],[Preço por produto]]/PMA,0)</f>
        <v>0.89662750519442047</v>
      </c>
      <c r="Q182" s="24" t="str">
        <f t="shared" si="5"/>
        <v>Pipoca doce (100g)</v>
      </c>
    </row>
    <row r="183" spans="4:17" x14ac:dyDescent="0.25">
      <c r="D183" s="72" t="s">
        <v>1289</v>
      </c>
      <c r="E183" s="69">
        <v>0.23</v>
      </c>
      <c r="F183" s="104">
        <v>1.59</v>
      </c>
      <c r="H183" s="54" t="s">
        <v>1378</v>
      </c>
      <c r="I183" s="55"/>
      <c r="J183" s="55">
        <v>6.6950000000000003</v>
      </c>
      <c r="K183" s="78">
        <f>IFERROR(higiene[[#This Row],[Preço por produto]]/PMA,0)</f>
        <v>2.0211855714736178</v>
      </c>
      <c r="Q183" s="24" t="str">
        <f t="shared" si="5"/>
        <v>Polenta (1kg)</v>
      </c>
    </row>
    <row r="184" spans="4:17" x14ac:dyDescent="0.25">
      <c r="D184" s="71" t="s">
        <v>152</v>
      </c>
      <c r="E184" s="69">
        <v>0.5</v>
      </c>
      <c r="F184" s="52">
        <v>1.8</v>
      </c>
      <c r="H184" s="54" t="s">
        <v>1379</v>
      </c>
      <c r="I184" s="55"/>
      <c r="J184" s="55">
        <v>10.324999999999999</v>
      </c>
      <c r="K184" s="58">
        <f>IFERROR(higiene[[#This Row],[Preço por produto]]/PMA,0)</f>
        <v>3.1170636333779091</v>
      </c>
      <c r="Q184" s="24" t="str">
        <f t="shared" si="5"/>
        <v>Polenta (500g)</v>
      </c>
    </row>
    <row r="185" spans="4:17" x14ac:dyDescent="0.25">
      <c r="D185" s="71" t="s">
        <v>1290</v>
      </c>
      <c r="E185" s="69">
        <v>0.5</v>
      </c>
      <c r="F185" s="52">
        <v>3.29</v>
      </c>
      <c r="H185" s="54" t="s">
        <v>349</v>
      </c>
      <c r="I185" s="55"/>
      <c r="J185" s="55">
        <v>1.1566666666666665</v>
      </c>
      <c r="K185" s="58">
        <f>IFERROR(higiene[[#This Row],[Preço por produto]]/PMA,0)</f>
        <v>0.34919163221376415</v>
      </c>
      <c r="Q185" s="24" t="str">
        <f t="shared" si="5"/>
        <v>Polvilho (1kg)</v>
      </c>
    </row>
    <row r="186" spans="4:17" x14ac:dyDescent="0.25">
      <c r="D186" s="71" t="s">
        <v>1235</v>
      </c>
      <c r="E186" s="69">
        <v>0.23</v>
      </c>
      <c r="F186" s="104">
        <v>9.16</v>
      </c>
      <c r="H186" s="54" t="s">
        <v>1380</v>
      </c>
      <c r="I186" s="55"/>
      <c r="J186" s="55">
        <v>1.19</v>
      </c>
      <c r="K186" s="58">
        <f>IFERROR(higiene[[#This Row],[Preço por produto]]/PMA,0)</f>
        <v>0.35925479164355562</v>
      </c>
      <c r="Q186" s="24" t="str">
        <f t="shared" si="5"/>
        <v>Q</v>
      </c>
    </row>
    <row r="187" spans="4:17" x14ac:dyDescent="0.25">
      <c r="D187" s="71" t="s">
        <v>360</v>
      </c>
      <c r="E187" s="69">
        <v>0.5</v>
      </c>
      <c r="F187" s="52">
        <v>6.5150000000000006</v>
      </c>
      <c r="H187" s="76" t="s">
        <v>1580</v>
      </c>
      <c r="I187" s="77">
        <v>0.68</v>
      </c>
      <c r="J187" s="106">
        <v>9.4499999999999993</v>
      </c>
      <c r="K187" s="58">
        <f>IFERROR(higiene[[#This Row],[Preço por produto]]/PMA,0)</f>
        <v>2.8529056983458831</v>
      </c>
      <c r="Q187" s="24" t="str">
        <f t="shared" si="5"/>
        <v>Queijo ralado (50g)</v>
      </c>
    </row>
    <row r="188" spans="4:17" x14ac:dyDescent="0.25">
      <c r="D188" s="71" t="s">
        <v>369</v>
      </c>
      <c r="E188" s="69">
        <v>0.08</v>
      </c>
      <c r="F188" s="52">
        <v>1.1833333333333333</v>
      </c>
      <c r="H188" s="54" t="s">
        <v>1485</v>
      </c>
      <c r="I188" s="55" t="s">
        <v>1486</v>
      </c>
      <c r="J188" s="106">
        <v>2.97</v>
      </c>
      <c r="K188" s="58">
        <f>IFERROR(higiene[[#This Row],[Preço por produto]]/PMA,0)</f>
        <v>0.89662750519442047</v>
      </c>
      <c r="Q188" s="24" t="str">
        <f t="shared" si="5"/>
        <v>R</v>
      </c>
    </row>
    <row r="189" spans="4:17" x14ac:dyDescent="0.25">
      <c r="D189" s="71" t="s">
        <v>20</v>
      </c>
      <c r="E189" s="69">
        <v>0.45</v>
      </c>
      <c r="F189" s="52">
        <v>3.9300000000000006</v>
      </c>
      <c r="H189" s="54" t="s">
        <v>66</v>
      </c>
      <c r="I189" s="55"/>
      <c r="J189" s="55">
        <v>6.5516666666666667</v>
      </c>
      <c r="K189" s="58">
        <f>IFERROR(higiene[[#This Row],[Preço por produto]]/PMA,0)</f>
        <v>1.9779139859255144</v>
      </c>
      <c r="Q189" s="24" t="str">
        <f t="shared" si="5"/>
        <v>Refrigerante (1L)</v>
      </c>
    </row>
    <row r="190" spans="4:17" x14ac:dyDescent="0.25">
      <c r="D190" s="71" t="s">
        <v>370</v>
      </c>
      <c r="E190" s="69">
        <v>0.13</v>
      </c>
      <c r="F190" s="52">
        <v>1.25</v>
      </c>
      <c r="H190" s="54" t="s">
        <v>65</v>
      </c>
      <c r="I190" s="55"/>
      <c r="J190" s="55">
        <v>1.2075</v>
      </c>
      <c r="K190" s="58">
        <f>IFERROR(higiene[[#This Row],[Preço por produto]]/PMA,0)</f>
        <v>0.36453795034419617</v>
      </c>
      <c r="Q190" s="24" t="str">
        <f t="shared" si="5"/>
        <v>Refrigerante (2L)</v>
      </c>
    </row>
    <row r="191" spans="4:17" x14ac:dyDescent="0.25">
      <c r="D191" s="71" t="s">
        <v>1244</v>
      </c>
      <c r="E191" s="69">
        <v>0.26</v>
      </c>
      <c r="F191" s="104">
        <v>2.56</v>
      </c>
      <c r="H191" s="76" t="s">
        <v>1579</v>
      </c>
      <c r="I191" s="77">
        <v>3</v>
      </c>
      <c r="J191" s="106">
        <v>15.9</v>
      </c>
      <c r="K191" s="78">
        <f>IFERROR(higiene[[#This Row],[Preço por produto]]/PMA,0)</f>
        <v>4.800127048010534</v>
      </c>
      <c r="Q191" s="24" t="str">
        <f t="shared" si="5"/>
        <v>Refrigerante lata</v>
      </c>
    </row>
    <row r="192" spans="4:17" x14ac:dyDescent="0.25">
      <c r="D192" s="71" t="s">
        <v>1023</v>
      </c>
      <c r="E192" s="69">
        <v>0.3</v>
      </c>
      <c r="F192" s="52">
        <v>3.05</v>
      </c>
      <c r="H192" s="54" t="s">
        <v>67</v>
      </c>
      <c r="I192" s="55"/>
      <c r="J192" s="55">
        <v>10.987999999999998</v>
      </c>
      <c r="K192" s="58">
        <f>IFERROR(higiene[[#This Row],[Preço por produto]]/PMA,0)</f>
        <v>3.3172198744364612</v>
      </c>
      <c r="Q192" s="24" t="str">
        <f t="shared" si="5"/>
        <v>S</v>
      </c>
    </row>
    <row r="193" spans="4:17" x14ac:dyDescent="0.25">
      <c r="D193" s="71" t="s">
        <v>155</v>
      </c>
      <c r="E193" s="69">
        <v>0.34</v>
      </c>
      <c r="F193" s="52">
        <v>1.0866666666666667</v>
      </c>
      <c r="H193" s="54" t="s">
        <v>1381</v>
      </c>
      <c r="I193" s="55"/>
      <c r="J193" s="55">
        <v>3.7</v>
      </c>
      <c r="K193" s="58">
        <f>IFERROR(higiene[[#This Row],[Preço por produto]]/PMA,0)</f>
        <v>1.1170106967068538</v>
      </c>
      <c r="Q193" s="24" t="str">
        <f t="shared" si="5"/>
        <v>Sagu (150g)</v>
      </c>
    </row>
    <row r="194" spans="4:17" x14ac:dyDescent="0.25">
      <c r="D194" s="72" t="s">
        <v>1291</v>
      </c>
      <c r="E194" s="69">
        <v>0.4</v>
      </c>
      <c r="F194" s="104">
        <v>4.1900000000000004</v>
      </c>
      <c r="H194" s="54" t="s">
        <v>68</v>
      </c>
      <c r="I194" s="55"/>
      <c r="J194" s="55">
        <v>10.930000000000001</v>
      </c>
      <c r="K194" s="58">
        <f>IFERROR(higiene[[#This Row],[Preço por produto]]/PMA,0)</f>
        <v>3.2997099770286251</v>
      </c>
      <c r="Q194" s="24" t="str">
        <f t="shared" si="5"/>
        <v>Sagu (250g)</v>
      </c>
    </row>
    <row r="195" spans="4:17" x14ac:dyDescent="0.25">
      <c r="D195" s="71" t="s">
        <v>204</v>
      </c>
      <c r="E195" s="69">
        <v>0.44</v>
      </c>
      <c r="F195" s="104">
        <v>4.32</v>
      </c>
      <c r="H195" s="54" t="s">
        <v>1382</v>
      </c>
      <c r="I195" s="55"/>
      <c r="J195" s="55">
        <v>4.8499999999999996</v>
      </c>
      <c r="K195" s="58">
        <f>IFERROR(higiene[[#This Row],[Preço por produto]]/PMA,0)</f>
        <v>1.4641896970346595</v>
      </c>
      <c r="Q195" s="24" t="str">
        <f t="shared" si="5"/>
        <v>Sagu (500g)</v>
      </c>
    </row>
    <row r="196" spans="4:17" x14ac:dyDescent="0.25">
      <c r="D196" s="71" t="s">
        <v>216</v>
      </c>
      <c r="E196" s="69">
        <v>0.52</v>
      </c>
      <c r="F196" s="52">
        <v>3.4859999999999998</v>
      </c>
      <c r="H196" s="54" t="s">
        <v>179</v>
      </c>
      <c r="I196" s="55"/>
      <c r="J196" s="55">
        <v>13.717500000000001</v>
      </c>
      <c r="K196" s="58">
        <f>IFERROR(higiene[[#This Row],[Preço por produto]]/PMA,0)</f>
        <v>4.1412416843449371</v>
      </c>
      <c r="Q196" s="24" t="str">
        <f t="shared" si="5"/>
        <v>Sal (1kg)</v>
      </c>
    </row>
    <row r="197" spans="4:17" x14ac:dyDescent="0.25">
      <c r="D197" s="71" t="s">
        <v>361</v>
      </c>
      <c r="E197" s="69">
        <v>0.68</v>
      </c>
      <c r="F197" s="52">
        <v>8.99</v>
      </c>
      <c r="H197" s="76" t="s">
        <v>1561</v>
      </c>
      <c r="I197" s="77">
        <v>5</v>
      </c>
      <c r="J197" s="106">
        <v>4.59</v>
      </c>
      <c r="K197" s="58">
        <f>IFERROR(higiene[[#This Row],[Preço por produto]]/PMA,0)</f>
        <v>1.3856970534822861</v>
      </c>
      <c r="Q197" s="24" t="str">
        <f t="shared" si="5"/>
        <v>Sal (500g)</v>
      </c>
    </row>
    <row r="198" spans="4:17" x14ac:dyDescent="0.25">
      <c r="D198" s="80" t="s">
        <v>1560</v>
      </c>
      <c r="E198" s="81">
        <v>0.39</v>
      </c>
      <c r="F198" s="104">
        <v>2.98</v>
      </c>
      <c r="H198" s="54" t="s">
        <v>1513</v>
      </c>
      <c r="I198" s="55">
        <v>1</v>
      </c>
      <c r="J198" s="106">
        <v>4.59</v>
      </c>
      <c r="K198" s="58">
        <f>IFERROR(higiene[[#This Row],[Preço por produto]]/PMA,0)</f>
        <v>1.3856970534822861</v>
      </c>
      <c r="Q198" s="24" t="str">
        <f t="shared" si="5"/>
        <v>Sal Grosso (1kg)</v>
      </c>
    </row>
    <row r="199" spans="4:17" x14ac:dyDescent="0.25">
      <c r="D199" s="71" t="s">
        <v>88</v>
      </c>
      <c r="E199" s="69"/>
      <c r="F199" s="52"/>
      <c r="H199" s="54" t="s">
        <v>1250</v>
      </c>
      <c r="I199" s="55"/>
      <c r="J199" s="55">
        <v>9.2200000000000024</v>
      </c>
      <c r="K199" s="58">
        <f>IFERROR(higiene[[#This Row],[Preço por produto]]/PMA,0)</f>
        <v>2.7834698982803228</v>
      </c>
      <c r="Q199" s="24" t="str">
        <f t="shared" si="5"/>
        <v>Salgadinho (50g)</v>
      </c>
    </row>
    <row r="200" spans="4:17" x14ac:dyDescent="0.25">
      <c r="D200" s="71" t="s">
        <v>1292</v>
      </c>
      <c r="E200" s="69">
        <v>0.2</v>
      </c>
      <c r="F200" s="104">
        <v>18.899999999999999</v>
      </c>
      <c r="H200" s="54" t="s">
        <v>1383</v>
      </c>
      <c r="I200" s="55"/>
      <c r="J200" s="55">
        <v>8.99</v>
      </c>
      <c r="K200" s="58">
        <f>IFERROR(higiene[[#This Row],[Preço por produto]]/PMA,0)</f>
        <v>2.714034098214761</v>
      </c>
      <c r="Q200" s="24" t="str">
        <f t="shared" si="5"/>
        <v>Salsicha (lata)</v>
      </c>
    </row>
    <row r="201" spans="4:17" x14ac:dyDescent="0.25">
      <c r="D201" s="71" t="s">
        <v>89</v>
      </c>
      <c r="E201" s="69"/>
      <c r="F201" s="52"/>
      <c r="H201" s="54" t="s">
        <v>1384</v>
      </c>
      <c r="I201" s="55"/>
      <c r="J201" s="55">
        <v>14.59</v>
      </c>
      <c r="K201" s="58">
        <f>IFERROR(higiene[[#This Row],[Preço por produto]]/PMA,0)</f>
        <v>4.4046448824197286</v>
      </c>
      <c r="Q201" s="24" t="str">
        <f t="shared" si="5"/>
        <v>Salsicha tipo Viena</v>
      </c>
    </row>
    <row r="202" spans="4:17" x14ac:dyDescent="0.25">
      <c r="D202" s="71" t="s">
        <v>21</v>
      </c>
      <c r="E202" s="69">
        <v>0.9</v>
      </c>
      <c r="F202" s="52">
        <v>2.9683333333333333</v>
      </c>
      <c r="H202" s="54" t="s">
        <v>1510</v>
      </c>
      <c r="I202" s="55">
        <v>1</v>
      </c>
      <c r="J202" s="106">
        <v>12.98</v>
      </c>
      <c r="K202" s="58">
        <f>IFERROR(higiene[[#This Row],[Preço por produto]]/PMA,0)</f>
        <v>3.9185942819608006</v>
      </c>
      <c r="Q202" s="24" t="str">
        <f t="shared" si="5"/>
        <v>Sardinha (125g)</v>
      </c>
    </row>
    <row r="203" spans="4:17" x14ac:dyDescent="0.25">
      <c r="D203" s="72" t="s">
        <v>1293</v>
      </c>
      <c r="E203" s="69">
        <v>0.01</v>
      </c>
      <c r="F203" s="104">
        <v>3.65</v>
      </c>
      <c r="H203" s="54" t="s">
        <v>1385</v>
      </c>
      <c r="I203" s="55"/>
      <c r="J203" s="55">
        <v>9.1425000000000001</v>
      </c>
      <c r="K203" s="58">
        <f>IFERROR(higiene[[#This Row],[Preço por produto]]/PMA,0)</f>
        <v>2.7600730526060566</v>
      </c>
      <c r="Q203" s="24" t="str">
        <f t="shared" si="5"/>
        <v>Sazon (60g)</v>
      </c>
    </row>
    <row r="204" spans="4:17" x14ac:dyDescent="0.25">
      <c r="D204" s="71" t="s">
        <v>90</v>
      </c>
      <c r="E204" s="69"/>
      <c r="F204" s="52"/>
      <c r="H204" s="54" t="s">
        <v>1386</v>
      </c>
      <c r="I204" s="55"/>
      <c r="J204" s="55">
        <v>11.8125</v>
      </c>
      <c r="K204" s="78">
        <f>IFERROR(higiene[[#This Row],[Preço por produto]]/PMA,0)</f>
        <v>3.5661321229323537</v>
      </c>
      <c r="Q204" s="24" t="str">
        <f t="shared" si="5"/>
        <v>Seleta de legumes (200g)</v>
      </c>
    </row>
    <row r="205" spans="4:17" x14ac:dyDescent="0.25">
      <c r="D205" s="71" t="s">
        <v>1294</v>
      </c>
      <c r="E205" s="69">
        <v>0.2</v>
      </c>
      <c r="F205" s="52">
        <v>4.59</v>
      </c>
      <c r="H205" s="54" t="s">
        <v>1387</v>
      </c>
      <c r="I205" s="55"/>
      <c r="J205" s="55">
        <v>7.8</v>
      </c>
      <c r="K205" s="58">
        <f>IFERROR(higiene[[#This Row],[Preço por produto]]/PMA,0)</f>
        <v>2.354779306571205</v>
      </c>
      <c r="Q205" s="24" t="str">
        <f t="shared" si="5"/>
        <v>Seleta de legumes (280g)</v>
      </c>
    </row>
    <row r="206" spans="4:17" x14ac:dyDescent="0.25">
      <c r="D206" s="71" t="s">
        <v>1295</v>
      </c>
      <c r="E206" s="69">
        <v>0.5</v>
      </c>
      <c r="F206" s="52">
        <v>6.69</v>
      </c>
      <c r="H206" s="54" t="s">
        <v>242</v>
      </c>
      <c r="I206" s="55"/>
      <c r="J206" s="55">
        <v>6.2174999999999994</v>
      </c>
      <c r="K206" s="58">
        <f>IFERROR(higiene[[#This Row],[Preço por produto]]/PMA,0)</f>
        <v>1.8770308126418547</v>
      </c>
      <c r="Q206" s="24" t="str">
        <f t="shared" si="5"/>
        <v>Sopa de Cebola (38g)</v>
      </c>
    </row>
    <row r="207" spans="4:17" x14ac:dyDescent="0.25">
      <c r="D207" s="71" t="s">
        <v>1296</v>
      </c>
      <c r="E207" s="69">
        <v>0.6</v>
      </c>
      <c r="F207" s="52">
        <v>7.4566666666666661</v>
      </c>
      <c r="H207" s="54" t="s">
        <v>243</v>
      </c>
      <c r="I207" s="55"/>
      <c r="J207" s="55">
        <v>6.2925000000000004</v>
      </c>
      <c r="K207" s="58">
        <f>IFERROR(higiene[[#This Row],[Preço por produto]]/PMA,0)</f>
        <v>1.8996729213588859</v>
      </c>
      <c r="Q207" t="str">
        <f>H5</f>
        <v>A</v>
      </c>
    </row>
    <row r="208" spans="4:17" x14ac:dyDescent="0.25">
      <c r="D208" s="71" t="s">
        <v>1297</v>
      </c>
      <c r="E208" s="69">
        <v>0.3</v>
      </c>
      <c r="F208" s="52">
        <v>5.95</v>
      </c>
      <c r="H208" s="54" t="s">
        <v>1388</v>
      </c>
      <c r="I208" s="55"/>
      <c r="J208" s="55">
        <v>13.9</v>
      </c>
      <c r="K208" s="78">
        <f>IFERROR(higiene[[#This Row],[Preço por produto]]/PMA,0)</f>
        <v>4.1963374822230453</v>
      </c>
      <c r="Q208" s="24" t="str">
        <f t="shared" ref="Q208:Q271" si="6">H6</f>
        <v>Absorvente (08un)</v>
      </c>
    </row>
    <row r="209" spans="4:17" x14ac:dyDescent="0.25">
      <c r="D209" s="71" t="s">
        <v>1298</v>
      </c>
      <c r="E209" s="69">
        <v>0.5</v>
      </c>
      <c r="F209" s="52">
        <v>27.58</v>
      </c>
      <c r="H209" s="54" t="s">
        <v>94</v>
      </c>
      <c r="I209" s="55"/>
      <c r="J209" s="55" t="s">
        <v>1316</v>
      </c>
      <c r="K209" s="58">
        <f>IFERROR(higiene[[#This Row],[Preço por produto]]/PMA,0)</f>
        <v>0</v>
      </c>
      <c r="Q209" s="24" t="str">
        <f t="shared" si="6"/>
        <v>Absorvente (15un)</v>
      </c>
    </row>
    <row r="210" spans="4:17" x14ac:dyDescent="0.25">
      <c r="D210" s="71" t="s">
        <v>1299</v>
      </c>
      <c r="E210" s="69">
        <v>0.53</v>
      </c>
      <c r="F210" s="52">
        <v>18.150000000000002</v>
      </c>
      <c r="H210" s="54" t="s">
        <v>215</v>
      </c>
      <c r="I210" s="55"/>
      <c r="J210" s="55">
        <v>8.2850000000000001</v>
      </c>
      <c r="K210" s="58">
        <f>IFERROR(higiene[[#This Row],[Preço por produto]]/PMA,0)</f>
        <v>2.5011982762746712</v>
      </c>
      <c r="Q210" s="24" t="str">
        <f t="shared" si="6"/>
        <v>Absorvente (16un)</v>
      </c>
    </row>
    <row r="211" spans="4:17" x14ac:dyDescent="0.25">
      <c r="D211" s="71" t="s">
        <v>156</v>
      </c>
      <c r="E211" s="69">
        <v>0.5</v>
      </c>
      <c r="F211" s="52">
        <v>7.99</v>
      </c>
      <c r="H211" s="54" t="s">
        <v>253</v>
      </c>
      <c r="I211" s="55"/>
      <c r="J211" s="55">
        <v>16.239999999999998</v>
      </c>
      <c r="K211" s="58">
        <f>IFERROR(higiene[[#This Row],[Preço por produto]]/PMA,0)</f>
        <v>4.9027712741944063</v>
      </c>
      <c r="Q211" s="24" t="str">
        <f t="shared" si="6"/>
        <v>Absorvente (32un)</v>
      </c>
    </row>
    <row r="212" spans="4:17" x14ac:dyDescent="0.25">
      <c r="D212" s="71" t="s">
        <v>1300</v>
      </c>
      <c r="E212" s="69">
        <v>0.08</v>
      </c>
      <c r="F212" s="104">
        <v>2.5299999999999998</v>
      </c>
      <c r="H212" s="54" t="s">
        <v>1389</v>
      </c>
      <c r="I212" s="55"/>
      <c r="J212" s="55">
        <v>14.59</v>
      </c>
      <c r="K212" s="58">
        <f>IFERROR(higiene[[#This Row],[Preço por produto]]/PMA,0)</f>
        <v>4.4046448824197286</v>
      </c>
      <c r="Q212" s="24" t="str">
        <f t="shared" si="6"/>
        <v>Absorvente (36un)</v>
      </c>
    </row>
    <row r="213" spans="4:17" x14ac:dyDescent="0.25">
      <c r="D213" s="101" t="s">
        <v>1578</v>
      </c>
      <c r="E213" s="102">
        <v>0.5</v>
      </c>
      <c r="F213" s="105">
        <v>5.29</v>
      </c>
      <c r="H213" s="54" t="s">
        <v>351</v>
      </c>
      <c r="I213" s="55"/>
      <c r="J213" s="55">
        <v>5.3650000000000002</v>
      </c>
      <c r="K213" s="58">
        <f>IFERROR(higiene[[#This Row],[Preço por produto]]/PMA,0)</f>
        <v>1.619665510224938</v>
      </c>
      <c r="Q213" s="24" t="str">
        <f t="shared" si="6"/>
        <v>Absorvente (40 un)</v>
      </c>
    </row>
    <row r="214" spans="4:17" x14ac:dyDescent="0.25">
      <c r="D214" s="71" t="s">
        <v>1301</v>
      </c>
      <c r="E214" s="69">
        <v>0.2</v>
      </c>
      <c r="F214" s="52">
        <v>8.2899999999999991</v>
      </c>
      <c r="H214" s="54" t="s">
        <v>95</v>
      </c>
      <c r="I214" s="55"/>
      <c r="J214" s="55"/>
      <c r="K214" s="58">
        <f>IFERROR(higiene[[#This Row],[Preço por produto]]/PMA,0)</f>
        <v>0</v>
      </c>
      <c r="Q214" s="24" t="str">
        <f t="shared" si="6"/>
        <v>Absorvente (60un)</v>
      </c>
    </row>
    <row r="215" spans="4:17" x14ac:dyDescent="0.25">
      <c r="D215" s="71" t="s">
        <v>1256</v>
      </c>
      <c r="E215" s="69">
        <v>0.24</v>
      </c>
      <c r="F215" s="52">
        <v>7.99</v>
      </c>
      <c r="H215" s="54" t="s">
        <v>96</v>
      </c>
      <c r="I215" s="55"/>
      <c r="J215" s="55"/>
      <c r="K215" s="58">
        <f>IFERROR(higiene[[#This Row],[Preço por produto]]/PMA,0)</f>
        <v>0</v>
      </c>
      <c r="Q215" s="24" t="str">
        <f t="shared" si="6"/>
        <v>Absorvente (80un)</v>
      </c>
    </row>
    <row r="216" spans="4:17" x14ac:dyDescent="0.25">
      <c r="D216" s="80" t="s">
        <v>1568</v>
      </c>
      <c r="E216" s="81">
        <v>0.3</v>
      </c>
      <c r="F216" s="104">
        <v>7.56</v>
      </c>
      <c r="H216" s="54" t="s">
        <v>97</v>
      </c>
      <c r="I216" s="55"/>
      <c r="J216" s="55"/>
      <c r="K216" s="58">
        <f>IFERROR(higiene[[#This Row],[Preço por produto]]/PMA,0)</f>
        <v>0</v>
      </c>
      <c r="Q216" s="24" t="str">
        <f t="shared" si="6"/>
        <v>Água Sanitária (1L)</v>
      </c>
    </row>
    <row r="217" spans="4:17" x14ac:dyDescent="0.25">
      <c r="D217" s="71" t="s">
        <v>157</v>
      </c>
      <c r="E217" s="69">
        <v>0.5</v>
      </c>
      <c r="F217" s="52">
        <v>5.49</v>
      </c>
      <c r="H217" s="54" t="s">
        <v>98</v>
      </c>
      <c r="I217" s="55"/>
      <c r="J217" s="55"/>
      <c r="K217" s="58">
        <f>IFERROR(higiene[[#This Row],[Preço por produto]]/PMA,0)</f>
        <v>0</v>
      </c>
      <c r="Q217" s="24" t="str">
        <f t="shared" si="6"/>
        <v>Água Sanitária (2L)</v>
      </c>
    </row>
    <row r="218" spans="4:17" x14ac:dyDescent="0.25">
      <c r="D218" s="71" t="s">
        <v>1206</v>
      </c>
      <c r="E218" s="69">
        <v>0.1</v>
      </c>
      <c r="F218" s="52">
        <v>3.45</v>
      </c>
      <c r="H218" s="54" t="s">
        <v>99</v>
      </c>
      <c r="I218" s="55"/>
      <c r="J218" s="55"/>
      <c r="K218" s="58">
        <f>IFERROR(higiene[[#This Row],[Preço por produto]]/PMA,0)</f>
        <v>0</v>
      </c>
      <c r="Q218" s="24" t="str">
        <f t="shared" si="6"/>
        <v>Água Sanitária (5L)</v>
      </c>
    </row>
    <row r="219" spans="4:17" x14ac:dyDescent="0.25">
      <c r="D219" s="71" t="s">
        <v>1302</v>
      </c>
      <c r="E219" s="69">
        <v>0.15</v>
      </c>
      <c r="F219" s="52">
        <v>6.5200000000000005</v>
      </c>
      <c r="H219" s="54" t="s">
        <v>100</v>
      </c>
      <c r="I219" s="55"/>
      <c r="J219" s="55"/>
      <c r="K219" s="58">
        <f>IFERROR(higiene[[#This Row],[Preço por produto]]/PMA,0)</f>
        <v>0</v>
      </c>
      <c r="Q219" s="24" t="str">
        <f t="shared" si="6"/>
        <v>Alcool (1L)</v>
      </c>
    </row>
    <row r="220" spans="4:17" x14ac:dyDescent="0.25">
      <c r="D220" s="71" t="s">
        <v>1303</v>
      </c>
      <c r="E220" s="69">
        <v>0.17</v>
      </c>
      <c r="F220" s="52">
        <v>5.99</v>
      </c>
      <c r="Q220" s="24" t="str">
        <f t="shared" si="6"/>
        <v>Álcool Gel (1L)</v>
      </c>
    </row>
    <row r="221" spans="4:17" x14ac:dyDescent="0.25">
      <c r="D221" s="71" t="s">
        <v>158</v>
      </c>
      <c r="E221" s="69">
        <v>0.5</v>
      </c>
      <c r="F221" s="52">
        <v>7.7350000000000003</v>
      </c>
      <c r="Q221" s="24" t="str">
        <f t="shared" si="6"/>
        <v>Álcool Gel (500ml)</v>
      </c>
    </row>
    <row r="222" spans="4:17" x14ac:dyDescent="0.25">
      <c r="D222" s="80" t="s">
        <v>1563</v>
      </c>
      <c r="E222" s="81">
        <v>0.1</v>
      </c>
      <c r="F222" s="104">
        <v>5.39</v>
      </c>
      <c r="Q222" s="24" t="str">
        <f t="shared" si="6"/>
        <v>Algodão (25g)</v>
      </c>
    </row>
    <row r="223" spans="4:17" x14ac:dyDescent="0.25">
      <c r="D223" s="71" t="s">
        <v>1304</v>
      </c>
      <c r="E223" s="69">
        <v>1</v>
      </c>
      <c r="F223" s="52">
        <v>7.29</v>
      </c>
      <c r="Q223" s="24" t="str">
        <f t="shared" si="6"/>
        <v>Algodão (50g)</v>
      </c>
    </row>
    <row r="224" spans="4:17" x14ac:dyDescent="0.25">
      <c r="D224" s="71" t="s">
        <v>1021</v>
      </c>
      <c r="E224" s="69">
        <v>0.5</v>
      </c>
      <c r="F224" s="52">
        <v>3.22</v>
      </c>
      <c r="Q224" s="24" t="str">
        <f t="shared" si="6"/>
        <v>Alvejante (1L)</v>
      </c>
    </row>
    <row r="225" spans="4:17" x14ac:dyDescent="0.25">
      <c r="D225" s="71" t="s">
        <v>1305</v>
      </c>
      <c r="E225" s="69">
        <v>1</v>
      </c>
      <c r="F225" s="52">
        <v>16.190000000000001</v>
      </c>
      <c r="Q225" s="24" t="str">
        <f t="shared" si="6"/>
        <v>Alvejante (2L)</v>
      </c>
    </row>
    <row r="226" spans="4:17" x14ac:dyDescent="0.25">
      <c r="D226" s="71" t="s">
        <v>91</v>
      </c>
      <c r="E226" s="69"/>
      <c r="F226" s="52"/>
      <c r="Q226" s="24" t="str">
        <f t="shared" si="6"/>
        <v>Alvejante (500mL)</v>
      </c>
    </row>
    <row r="227" spans="4:17" x14ac:dyDescent="0.25">
      <c r="D227" s="71" t="s">
        <v>366</v>
      </c>
      <c r="E227" s="69">
        <v>0.05</v>
      </c>
      <c r="F227" s="52">
        <v>3.1220000000000003</v>
      </c>
      <c r="Q227" s="24" t="str">
        <f t="shared" si="6"/>
        <v>Amaciante (2L)</v>
      </c>
    </row>
    <row r="228" spans="4:17" x14ac:dyDescent="0.25">
      <c r="D228" s="71" t="s">
        <v>92</v>
      </c>
      <c r="E228" s="69"/>
      <c r="F228" s="52"/>
      <c r="Q228" s="24" t="str">
        <f t="shared" si="6"/>
        <v>Amaciante (500mL)</v>
      </c>
    </row>
    <row r="229" spans="4:17" x14ac:dyDescent="0.25">
      <c r="D229" s="71" t="s">
        <v>1306</v>
      </c>
      <c r="E229" s="69">
        <v>1</v>
      </c>
      <c r="F229" s="52">
        <v>2.4900000000000002</v>
      </c>
      <c r="Q229" s="24" t="str">
        <f t="shared" si="6"/>
        <v>Amaciante (5L)</v>
      </c>
    </row>
    <row r="230" spans="4:17" x14ac:dyDescent="0.25">
      <c r="D230" s="71" t="s">
        <v>352</v>
      </c>
      <c r="E230" s="69">
        <v>2</v>
      </c>
      <c r="F230" s="52">
        <v>3.1999999999999997</v>
      </c>
      <c r="Q230" s="24" t="str">
        <f t="shared" si="6"/>
        <v>Amaciante (900ml)</v>
      </c>
    </row>
    <row r="231" spans="4:17" x14ac:dyDescent="0.25">
      <c r="D231" s="71" t="s">
        <v>1307</v>
      </c>
      <c r="E231" s="69">
        <v>0.35</v>
      </c>
      <c r="F231" s="52">
        <v>1.99</v>
      </c>
      <c r="Q231" s="24" t="str">
        <f t="shared" si="6"/>
        <v>Amaciante(1L)</v>
      </c>
    </row>
    <row r="232" spans="4:17" x14ac:dyDescent="0.25">
      <c r="D232" s="71" t="s">
        <v>93</v>
      </c>
      <c r="E232" s="69"/>
      <c r="F232" s="52"/>
      <c r="Q232" s="24" t="str">
        <f t="shared" si="6"/>
        <v>Amaciante(2L)</v>
      </c>
    </row>
    <row r="233" spans="4:17" x14ac:dyDescent="0.25">
      <c r="D233" s="71" t="s">
        <v>1308</v>
      </c>
      <c r="E233" s="69">
        <v>0.15</v>
      </c>
      <c r="F233" s="52">
        <v>6.99</v>
      </c>
      <c r="Q233" s="24" t="str">
        <f t="shared" si="6"/>
        <v>Antisséptico (100ml)</v>
      </c>
    </row>
    <row r="234" spans="4:17" x14ac:dyDescent="0.25">
      <c r="D234" s="71" t="s">
        <v>1309</v>
      </c>
      <c r="E234" s="69">
        <v>0.25</v>
      </c>
      <c r="F234" s="52">
        <v>8.89</v>
      </c>
      <c r="Q234" s="24" t="str">
        <f t="shared" si="6"/>
        <v>Antisséptico (440ml)</v>
      </c>
    </row>
    <row r="235" spans="4:17" x14ac:dyDescent="0.25">
      <c r="D235" s="71" t="s">
        <v>1310</v>
      </c>
      <c r="E235" s="69">
        <v>0.5</v>
      </c>
      <c r="F235" s="52">
        <v>6.99</v>
      </c>
      <c r="Q235" s="24" t="str">
        <f t="shared" si="6"/>
        <v>B</v>
      </c>
    </row>
    <row r="236" spans="4:17" x14ac:dyDescent="0.25">
      <c r="D236" s="71" t="s">
        <v>160</v>
      </c>
      <c r="E236" s="69">
        <v>1</v>
      </c>
      <c r="F236" s="52">
        <v>1.6866666666666665</v>
      </c>
      <c r="Q236" s="24" t="str">
        <f t="shared" si="6"/>
        <v>Band Aid</v>
      </c>
    </row>
    <row r="237" spans="4:17" x14ac:dyDescent="0.25">
      <c r="D237" s="71" t="s">
        <v>159</v>
      </c>
      <c r="E237" s="69">
        <v>0.5</v>
      </c>
      <c r="F237" s="52">
        <v>6.9200000000000008</v>
      </c>
      <c r="Q237" s="24" t="str">
        <f t="shared" si="6"/>
        <v>Band Aid (10un)</v>
      </c>
    </row>
    <row r="238" spans="4:17" x14ac:dyDescent="0.25">
      <c r="D238" s="71" t="s">
        <v>1257</v>
      </c>
      <c r="E238" s="69">
        <v>1</v>
      </c>
      <c r="F238" s="52">
        <v>3.6233333333333335</v>
      </c>
      <c r="Q238" s="24" t="str">
        <f t="shared" si="6"/>
        <v>Band Aid (40un)</v>
      </c>
    </row>
    <row r="239" spans="4:17" x14ac:dyDescent="0.25">
      <c r="D239" s="71" t="s">
        <v>1205</v>
      </c>
      <c r="E239" s="69">
        <v>0.05</v>
      </c>
      <c r="F239" s="52">
        <v>2.7216666666666671</v>
      </c>
      <c r="Q239" s="24" t="str">
        <f t="shared" si="6"/>
        <v>Brilho Alumínio (2L)</v>
      </c>
    </row>
    <row r="240" spans="4:17" x14ac:dyDescent="0.25">
      <c r="D240" s="71" t="s">
        <v>1211</v>
      </c>
      <c r="E240" s="69">
        <v>0.2</v>
      </c>
      <c r="F240" s="52">
        <v>2.8519999999999999</v>
      </c>
      <c r="Q240" s="24" t="str">
        <f t="shared" si="6"/>
        <v>Brilho Alumínio (500mL)</v>
      </c>
    </row>
    <row r="241" spans="4:17" x14ac:dyDescent="0.25">
      <c r="D241" s="71" t="s">
        <v>161</v>
      </c>
      <c r="E241" s="69">
        <v>0.2</v>
      </c>
      <c r="F241" s="52">
        <v>4.496666666666667</v>
      </c>
      <c r="Q241" s="24" t="str">
        <f t="shared" si="6"/>
        <v>C</v>
      </c>
    </row>
    <row r="242" spans="4:17" x14ac:dyDescent="0.25">
      <c r="D242" s="71" t="s">
        <v>1311</v>
      </c>
      <c r="E242" s="69">
        <v>0.125</v>
      </c>
      <c r="F242" s="52">
        <v>2.99</v>
      </c>
      <c r="Q242" s="24" t="str">
        <f t="shared" si="6"/>
        <v>Cloro ativo (500ml)</v>
      </c>
    </row>
    <row r="243" spans="4:17" x14ac:dyDescent="0.25">
      <c r="D243" s="71" t="s">
        <v>1232</v>
      </c>
      <c r="E243" s="69">
        <v>0.06</v>
      </c>
      <c r="F243" s="52">
        <v>3.67</v>
      </c>
      <c r="Q243" s="24" t="str">
        <f t="shared" si="6"/>
        <v>Cloro ativo (5L)</v>
      </c>
    </row>
    <row r="244" spans="4:17" x14ac:dyDescent="0.25">
      <c r="D244" s="71" t="s">
        <v>1312</v>
      </c>
      <c r="E244" s="69">
        <v>0.2</v>
      </c>
      <c r="F244" s="52">
        <v>2.75</v>
      </c>
      <c r="Q244" s="24" t="str">
        <f t="shared" si="6"/>
        <v>Condicionador (200mL)</v>
      </c>
    </row>
    <row r="245" spans="4:17" x14ac:dyDescent="0.25">
      <c r="D245" s="71" t="s">
        <v>372</v>
      </c>
      <c r="E245" s="69">
        <v>0.28000000000000003</v>
      </c>
      <c r="F245" s="52">
        <v>2.2066666666666666</v>
      </c>
      <c r="Q245" s="24" t="str">
        <f t="shared" si="6"/>
        <v>Condicionador (325 mL)</v>
      </c>
    </row>
    <row r="246" spans="4:17" x14ac:dyDescent="0.25">
      <c r="D246" s="71" t="s">
        <v>1246</v>
      </c>
      <c r="E246" s="69">
        <v>3.7999999999999999E-2</v>
      </c>
      <c r="F246" s="52">
        <v>4.9866666666666672</v>
      </c>
      <c r="Q246" s="24" t="str">
        <f t="shared" si="6"/>
        <v>Condicionador (350 mL)</v>
      </c>
    </row>
    <row r="247" spans="4:17" x14ac:dyDescent="0.25">
      <c r="D247" s="71" t="s">
        <v>163</v>
      </c>
      <c r="E247" s="69">
        <v>0.5</v>
      </c>
      <c r="F247" s="104">
        <v>7.99</v>
      </c>
      <c r="Q247" s="24" t="str">
        <f t="shared" si="6"/>
        <v>Condicionador (400mL)</v>
      </c>
    </row>
    <row r="248" spans="4:17" x14ac:dyDescent="0.25">
      <c r="D248" s="71" t="s">
        <v>217</v>
      </c>
      <c r="E248" s="69">
        <v>0.2</v>
      </c>
      <c r="F248" s="52">
        <v>6.7483333333333348</v>
      </c>
      <c r="Q248" s="24" t="str">
        <f t="shared" si="6"/>
        <v>Cotonete</v>
      </c>
    </row>
    <row r="249" spans="4:17" x14ac:dyDescent="0.25">
      <c r="D249" s="80" t="s">
        <v>1562</v>
      </c>
      <c r="E249" s="81">
        <v>1.5</v>
      </c>
      <c r="F249" s="79">
        <v>8.56</v>
      </c>
      <c r="Q249" s="24" t="str">
        <f t="shared" si="6"/>
        <v>Creme de barbear</v>
      </c>
    </row>
    <row r="250" spans="4:17" x14ac:dyDescent="0.25">
      <c r="D250" s="71" t="s">
        <v>164</v>
      </c>
      <c r="E250" s="69">
        <v>1</v>
      </c>
      <c r="F250" s="52">
        <v>3.7399999999999998</v>
      </c>
      <c r="Q250" s="24" t="str">
        <f t="shared" si="6"/>
        <v>D</v>
      </c>
    </row>
    <row r="251" spans="4:17" x14ac:dyDescent="0.25">
      <c r="D251" s="71" t="s">
        <v>165</v>
      </c>
      <c r="E251" s="69">
        <v>0.01</v>
      </c>
      <c r="F251" s="52">
        <v>0.69</v>
      </c>
      <c r="Q251" s="24" t="str">
        <f t="shared" si="6"/>
        <v>Desengordurante (500ml)</v>
      </c>
    </row>
    <row r="252" spans="4:17" x14ac:dyDescent="0.25">
      <c r="D252" s="71" t="s">
        <v>367</v>
      </c>
      <c r="E252" s="69">
        <v>0.5</v>
      </c>
      <c r="F252" s="52">
        <v>3.3899999999999997</v>
      </c>
      <c r="Q252" s="24" t="str">
        <f t="shared" si="6"/>
        <v>Desengordurante(500ml)</v>
      </c>
    </row>
    <row r="253" spans="4:17" x14ac:dyDescent="0.25">
      <c r="D253" s="71" t="s">
        <v>1219</v>
      </c>
      <c r="E253" s="69">
        <v>0.45</v>
      </c>
      <c r="F253" s="104">
        <v>6.85</v>
      </c>
      <c r="Q253" s="24" t="str">
        <f t="shared" si="6"/>
        <v>Desinfetante (1L)</v>
      </c>
    </row>
    <row r="254" spans="4:17" x14ac:dyDescent="0.25">
      <c r="D254" s="73" t="s">
        <v>94</v>
      </c>
      <c r="E254" s="52"/>
      <c r="F254" s="52"/>
      <c r="Q254" s="24" t="str">
        <f t="shared" si="6"/>
        <v>Desinfetante (2L)</v>
      </c>
    </row>
    <row r="255" spans="4:17" x14ac:dyDescent="0.25">
      <c r="D255" s="73" t="s">
        <v>981</v>
      </c>
      <c r="E255" s="52">
        <v>1</v>
      </c>
      <c r="F255" s="52">
        <v>9.7349999999999994</v>
      </c>
      <c r="Q255" s="24" t="str">
        <f t="shared" si="6"/>
        <v>Desinfetante (300mL)</v>
      </c>
    </row>
    <row r="256" spans="4:17" x14ac:dyDescent="0.25">
      <c r="D256" s="73" t="s">
        <v>1249</v>
      </c>
      <c r="E256" s="52">
        <v>0.5</v>
      </c>
      <c r="F256" s="52">
        <v>5.8239999999999998</v>
      </c>
      <c r="Q256" s="24" t="str">
        <f t="shared" si="6"/>
        <v>Desinfetante (5L)</v>
      </c>
    </row>
    <row r="257" spans="4:17" x14ac:dyDescent="0.25">
      <c r="D257" s="73" t="s">
        <v>1313</v>
      </c>
      <c r="E257" s="52">
        <v>0.5</v>
      </c>
      <c r="F257" s="52">
        <v>3.7</v>
      </c>
      <c r="Q257" s="24" t="str">
        <f t="shared" si="6"/>
        <v>Desinfetante (750mL)</v>
      </c>
    </row>
    <row r="258" spans="4:17" x14ac:dyDescent="0.25">
      <c r="D258" s="73" t="s">
        <v>1314</v>
      </c>
      <c r="E258" s="52">
        <v>0.3</v>
      </c>
      <c r="F258" s="52">
        <v>1.65</v>
      </c>
      <c r="Q258" s="24" t="str">
        <f t="shared" si="6"/>
        <v>Desinfetante(2L)</v>
      </c>
    </row>
    <row r="259" spans="4:17" x14ac:dyDescent="0.25">
      <c r="D259" s="71" t="s">
        <v>22</v>
      </c>
      <c r="E259" s="69">
        <v>0.4</v>
      </c>
      <c r="F259" s="52">
        <v>3.4350000000000005</v>
      </c>
      <c r="Q259" s="24" t="str">
        <f t="shared" si="6"/>
        <v>Desinfetante(500mL)</v>
      </c>
    </row>
    <row r="260" spans="4:17" x14ac:dyDescent="0.25">
      <c r="D260" s="71" t="s">
        <v>23</v>
      </c>
      <c r="E260" s="69">
        <v>0.14000000000000001</v>
      </c>
      <c r="F260" s="52">
        <v>2.4483333333333337</v>
      </c>
      <c r="Q260" s="24" t="str">
        <f t="shared" si="6"/>
        <v>Desodorante</v>
      </c>
    </row>
    <row r="261" spans="4:17" x14ac:dyDescent="0.25">
      <c r="D261" s="71" t="s">
        <v>1259</v>
      </c>
      <c r="E261" s="69">
        <v>0.5</v>
      </c>
      <c r="F261" s="52">
        <v>4.0125000000000002</v>
      </c>
      <c r="Q261" s="24" t="str">
        <f t="shared" si="6"/>
        <v>Desodorante creme</v>
      </c>
    </row>
    <row r="262" spans="4:17" x14ac:dyDescent="0.25">
      <c r="D262" s="71" t="s">
        <v>95</v>
      </c>
      <c r="E262" s="69"/>
      <c r="F262" s="52"/>
      <c r="Q262" s="24" t="str">
        <f t="shared" si="6"/>
        <v>Desodorante rollon</v>
      </c>
    </row>
    <row r="263" spans="4:17" x14ac:dyDescent="0.25">
      <c r="D263" s="71" t="s">
        <v>1218</v>
      </c>
      <c r="E263" s="69">
        <v>0.1</v>
      </c>
      <c r="F263" s="104">
        <v>2.99</v>
      </c>
      <c r="Q263" s="24" t="str">
        <f t="shared" si="6"/>
        <v>Desodorante spray</v>
      </c>
    </row>
    <row r="264" spans="4:17" x14ac:dyDescent="0.25">
      <c r="D264" s="71" t="s">
        <v>96</v>
      </c>
      <c r="E264" s="69"/>
      <c r="F264" s="52"/>
      <c r="Q264" s="24" t="str">
        <f t="shared" si="6"/>
        <v>Detergente</v>
      </c>
    </row>
    <row r="265" spans="4:17" x14ac:dyDescent="0.25">
      <c r="D265" s="71" t="s">
        <v>191</v>
      </c>
      <c r="E265" s="69">
        <v>0.75</v>
      </c>
      <c r="F265" s="52">
        <v>1.7966666666666666</v>
      </c>
      <c r="Q265" s="24" t="str">
        <f t="shared" si="6"/>
        <v>Detergente (5L)</v>
      </c>
    </row>
    <row r="266" spans="4:17" x14ac:dyDescent="0.25">
      <c r="D266" s="71" t="s">
        <v>99</v>
      </c>
      <c r="E266" s="69"/>
      <c r="F266" s="52"/>
      <c r="Q266" s="24" t="str">
        <f t="shared" si="6"/>
        <v>Detergente (6un)</v>
      </c>
    </row>
    <row r="267" spans="4:17" x14ac:dyDescent="0.25">
      <c r="D267" s="71" t="s">
        <v>1236</v>
      </c>
      <c r="E267" s="69">
        <v>0.5</v>
      </c>
      <c r="F267" s="52">
        <v>8.2850000000000001</v>
      </c>
      <c r="Q267" s="24" t="str">
        <f t="shared" si="6"/>
        <v>Detergente(500ml)</v>
      </c>
    </row>
    <row r="268" spans="4:17" x14ac:dyDescent="0.25">
      <c r="Q268" s="24" t="str">
        <f t="shared" si="6"/>
        <v>E</v>
      </c>
    </row>
    <row r="269" spans="4:17" x14ac:dyDescent="0.25">
      <c r="Q269" s="24" t="str">
        <f t="shared" si="6"/>
        <v>Enxaguante bucal (250mL)</v>
      </c>
    </row>
    <row r="270" spans="4:17" x14ac:dyDescent="0.25">
      <c r="Q270" s="24" t="str">
        <f t="shared" si="6"/>
        <v>Enxaguante bucal (350mL)</v>
      </c>
    </row>
    <row r="271" spans="4:17" x14ac:dyDescent="0.25">
      <c r="Q271" s="24" t="str">
        <f t="shared" si="6"/>
        <v>Enxaguante bucal (500mL)</v>
      </c>
    </row>
    <row r="272" spans="4:17" x14ac:dyDescent="0.25">
      <c r="Q272" s="24" t="str">
        <f t="shared" ref="Q272:Q295" si="7">H70</f>
        <v>Escova de dente (1un)</v>
      </c>
    </row>
    <row r="273" spans="17:17" x14ac:dyDescent="0.25">
      <c r="Q273" s="24" t="str">
        <f t="shared" si="7"/>
        <v>Escova de dente (2un)</v>
      </c>
    </row>
    <row r="274" spans="17:17" x14ac:dyDescent="0.25">
      <c r="Q274" s="24" t="str">
        <f t="shared" si="7"/>
        <v>Escova de dente (3 un)</v>
      </c>
    </row>
    <row r="275" spans="17:17" x14ac:dyDescent="0.25">
      <c r="Q275" s="24" t="str">
        <f t="shared" si="7"/>
        <v>Escova de Dentes (4un)</v>
      </c>
    </row>
    <row r="276" spans="17:17" x14ac:dyDescent="0.25">
      <c r="Q276" s="24" t="str">
        <f t="shared" si="7"/>
        <v>Esponja (1un)</v>
      </c>
    </row>
    <row r="277" spans="17:17" x14ac:dyDescent="0.25">
      <c r="Q277" s="24" t="str">
        <f t="shared" si="7"/>
        <v>Esponja (3un)</v>
      </c>
    </row>
    <row r="278" spans="17:17" x14ac:dyDescent="0.25">
      <c r="Q278" s="24" t="str">
        <f t="shared" si="7"/>
        <v>Esponja (4un)</v>
      </c>
    </row>
    <row r="279" spans="17:17" x14ac:dyDescent="0.25">
      <c r="Q279" s="24" t="str">
        <f t="shared" si="7"/>
        <v>Esponja de aço</v>
      </c>
    </row>
    <row r="280" spans="17:17" x14ac:dyDescent="0.25">
      <c r="Q280" s="24" t="str">
        <f t="shared" si="7"/>
        <v>F</v>
      </c>
    </row>
    <row r="281" spans="17:17" x14ac:dyDescent="0.25">
      <c r="Q281" s="24" t="str">
        <f t="shared" si="7"/>
        <v>Filtro de Café</v>
      </c>
    </row>
    <row r="282" spans="17:17" x14ac:dyDescent="0.25">
      <c r="Q282" s="24" t="str">
        <f t="shared" si="7"/>
        <v>Fio Dental</v>
      </c>
    </row>
    <row r="283" spans="17:17" x14ac:dyDescent="0.25">
      <c r="Q283" s="24" t="str">
        <f t="shared" si="7"/>
        <v>Fosforo</v>
      </c>
    </row>
    <row r="284" spans="17:17" x14ac:dyDescent="0.25">
      <c r="Q284" s="24" t="str">
        <f t="shared" si="7"/>
        <v>Fósforo (10 caixas x 40 un)</v>
      </c>
    </row>
    <row r="285" spans="17:17" x14ac:dyDescent="0.25">
      <c r="Q285" s="24" t="str">
        <f t="shared" si="7"/>
        <v>Fosforo (200un)</v>
      </c>
    </row>
    <row r="286" spans="17:17" x14ac:dyDescent="0.25">
      <c r="Q286" s="24" t="str">
        <f t="shared" si="7"/>
        <v>Fósforo (40un)</v>
      </c>
    </row>
    <row r="287" spans="17:17" x14ac:dyDescent="0.25">
      <c r="Q287" s="24" t="str">
        <f t="shared" si="7"/>
        <v>Fósforo (50un)</v>
      </c>
    </row>
    <row r="288" spans="17:17" x14ac:dyDescent="0.25">
      <c r="Q288" s="24" t="str">
        <f t="shared" si="7"/>
        <v>Fraldas Geriátricas (07un)</v>
      </c>
    </row>
    <row r="289" spans="17:17" x14ac:dyDescent="0.25">
      <c r="Q289" s="24" t="str">
        <f t="shared" si="7"/>
        <v>Fraldas Geriátricas (08un)</v>
      </c>
    </row>
    <row r="290" spans="17:17" x14ac:dyDescent="0.25">
      <c r="Q290" s="24" t="str">
        <f t="shared" si="7"/>
        <v>Fraldas Geriátricas (09un)</v>
      </c>
    </row>
    <row r="291" spans="17:17" x14ac:dyDescent="0.25">
      <c r="Q291" s="24" t="str">
        <f t="shared" si="7"/>
        <v>Fraldas Geriátricas (10un)</v>
      </c>
    </row>
    <row r="292" spans="17:17" x14ac:dyDescent="0.25">
      <c r="Q292" s="24" t="str">
        <f t="shared" si="7"/>
        <v>Fraldas Geriátricas (18un)</v>
      </c>
    </row>
    <row r="293" spans="17:17" x14ac:dyDescent="0.25">
      <c r="Q293" s="24" t="str">
        <f t="shared" si="7"/>
        <v>Fraldas Geriátricas (20un)</v>
      </c>
    </row>
    <row r="294" spans="17:17" x14ac:dyDescent="0.25">
      <c r="Q294" s="24" t="str">
        <f t="shared" si="7"/>
        <v>Fraldas Geriátricas (24 un)</v>
      </c>
    </row>
    <row r="295" spans="17:17" x14ac:dyDescent="0.25">
      <c r="Q295" s="24" t="str">
        <f t="shared" si="7"/>
        <v>Fraldas Geriátricas (30un)</v>
      </c>
    </row>
    <row r="296" spans="17:17" x14ac:dyDescent="0.25">
      <c r="Q296" s="24" t="e">
        <f>#REF!</f>
        <v>#REF!</v>
      </c>
    </row>
    <row r="297" spans="17:17" x14ac:dyDescent="0.25">
      <c r="Q297" s="24" t="str">
        <f t="shared" ref="Q297:Q335" si="8">H94</f>
        <v>Fraldas Infantis (12un)</v>
      </c>
    </row>
    <row r="298" spans="17:17" x14ac:dyDescent="0.25">
      <c r="Q298" s="24" t="str">
        <f t="shared" si="8"/>
        <v>Fraldas Infantis (14un)</v>
      </c>
    </row>
    <row r="299" spans="17:17" x14ac:dyDescent="0.25">
      <c r="Q299" s="24" t="str">
        <f t="shared" si="8"/>
        <v>Fraldas Infantis (16un)</v>
      </c>
    </row>
    <row r="300" spans="17:17" x14ac:dyDescent="0.25">
      <c r="Q300" s="24" t="str">
        <f t="shared" si="8"/>
        <v>Fraldas Infantis (18 un)</v>
      </c>
    </row>
    <row r="301" spans="17:17" x14ac:dyDescent="0.25">
      <c r="Q301" s="24" t="str">
        <f t="shared" si="8"/>
        <v>Fraldas Infantis (20un)</v>
      </c>
    </row>
    <row r="302" spans="17:17" x14ac:dyDescent="0.25">
      <c r="Q302" s="24" t="str">
        <f t="shared" si="8"/>
        <v>Fraldas Infantis (22un)</v>
      </c>
    </row>
    <row r="303" spans="17:17" x14ac:dyDescent="0.25">
      <c r="Q303" s="24" t="str">
        <f t="shared" si="8"/>
        <v>Fraldas Infantis (24un)</v>
      </c>
    </row>
    <row r="304" spans="17:17" x14ac:dyDescent="0.25">
      <c r="Q304" s="24" t="str">
        <f t="shared" si="8"/>
        <v>Fraldas Infantis (26un)</v>
      </c>
    </row>
    <row r="305" spans="17:17" x14ac:dyDescent="0.25">
      <c r="Q305" s="24" t="str">
        <f t="shared" si="8"/>
        <v>Fraldas Infantis (28un)</v>
      </c>
    </row>
    <row r="306" spans="17:17" x14ac:dyDescent="0.25">
      <c r="Q306" s="24" t="str">
        <f t="shared" si="8"/>
        <v>Fraldas Infantis (30un)</v>
      </c>
    </row>
    <row r="307" spans="17:17" x14ac:dyDescent="0.25">
      <c r="Q307" s="24" t="str">
        <f t="shared" si="8"/>
        <v>Fraldas Infantis (32un)</v>
      </c>
    </row>
    <row r="308" spans="17:17" x14ac:dyDescent="0.25">
      <c r="Q308" s="24" t="str">
        <f t="shared" si="8"/>
        <v>Fraldas Infantis (34un)</v>
      </c>
    </row>
    <row r="309" spans="17:17" x14ac:dyDescent="0.25">
      <c r="Q309" s="24" t="str">
        <f t="shared" si="8"/>
        <v>Fraldas Infantis (36un)</v>
      </c>
    </row>
    <row r="310" spans="17:17" x14ac:dyDescent="0.25">
      <c r="Q310" s="24" t="str">
        <f t="shared" si="8"/>
        <v>Fraldas Infantis (38un)</v>
      </c>
    </row>
    <row r="311" spans="17:17" x14ac:dyDescent="0.25">
      <c r="Q311" s="24" t="str">
        <f t="shared" si="8"/>
        <v>Fraldas Infantis (40un)</v>
      </c>
    </row>
    <row r="312" spans="17:17" x14ac:dyDescent="0.25">
      <c r="Q312" s="24" t="str">
        <f t="shared" si="8"/>
        <v>Fraldas Infantis (44un)</v>
      </c>
    </row>
    <row r="313" spans="17:17" x14ac:dyDescent="0.25">
      <c r="Q313" s="24" t="str">
        <f t="shared" si="8"/>
        <v>Fraldas Infantis (46un)</v>
      </c>
    </row>
    <row r="314" spans="17:17" x14ac:dyDescent="0.25">
      <c r="Q314" s="24" t="str">
        <f t="shared" si="8"/>
        <v>Fraldas Infantis (48un)</v>
      </c>
    </row>
    <row r="315" spans="17:17" x14ac:dyDescent="0.25">
      <c r="Q315" s="24" t="str">
        <f t="shared" si="8"/>
        <v>Fraldas Infantis (50un)</v>
      </c>
    </row>
    <row r="316" spans="17:17" x14ac:dyDescent="0.25">
      <c r="Q316" s="24" t="str">
        <f t="shared" si="8"/>
        <v>Fraldas Infantis (52un)</v>
      </c>
    </row>
    <row r="317" spans="17:17" x14ac:dyDescent="0.25">
      <c r="Q317" s="24" t="str">
        <f t="shared" si="8"/>
        <v>Fraldas Infantis (58un)</v>
      </c>
    </row>
    <row r="318" spans="17:17" x14ac:dyDescent="0.25">
      <c r="Q318" s="24" t="str">
        <f t="shared" si="8"/>
        <v>Fraldas Infantis (60un)</v>
      </c>
    </row>
    <row r="319" spans="17:17" x14ac:dyDescent="0.25">
      <c r="Q319" s="24" t="str">
        <f t="shared" si="8"/>
        <v>G</v>
      </c>
    </row>
    <row r="320" spans="17:17" x14ac:dyDescent="0.25">
      <c r="Q320" s="24" t="str">
        <f t="shared" si="8"/>
        <v>Guardanapo</v>
      </c>
    </row>
    <row r="321" spans="17:17" x14ac:dyDescent="0.25">
      <c r="Q321" s="24" t="str">
        <f t="shared" si="8"/>
        <v>H</v>
      </c>
    </row>
    <row r="322" spans="17:17" x14ac:dyDescent="0.25">
      <c r="Q322" s="24" t="str">
        <f t="shared" si="8"/>
        <v>I</v>
      </c>
    </row>
    <row r="323" spans="17:17" x14ac:dyDescent="0.25">
      <c r="Q323" s="24" t="str">
        <f t="shared" si="8"/>
        <v>J</v>
      </c>
    </row>
    <row r="324" spans="17:17" x14ac:dyDescent="0.25">
      <c r="Q324" s="24" t="str">
        <f t="shared" si="8"/>
        <v>L</v>
      </c>
    </row>
    <row r="325" spans="17:17" x14ac:dyDescent="0.25">
      <c r="Q325" s="24" t="str">
        <f t="shared" si="8"/>
        <v>Lâmina de barbear (1un)</v>
      </c>
    </row>
    <row r="326" spans="17:17" x14ac:dyDescent="0.25">
      <c r="Q326" s="24" t="str">
        <f t="shared" si="8"/>
        <v>Lâmina de barbear (2un)</v>
      </c>
    </row>
    <row r="327" spans="17:17" x14ac:dyDescent="0.25">
      <c r="Q327" s="24" t="str">
        <f t="shared" si="8"/>
        <v>Lâmina de barbear (3un)</v>
      </c>
    </row>
    <row r="328" spans="17:17" x14ac:dyDescent="0.25">
      <c r="Q328" s="24" t="str">
        <f t="shared" si="8"/>
        <v>Lâmina de barbear (4un)</v>
      </c>
    </row>
    <row r="329" spans="17:17" x14ac:dyDescent="0.25">
      <c r="Q329" s="24" t="str">
        <f t="shared" si="8"/>
        <v>Lâmina de Barbear (5un)</v>
      </c>
    </row>
    <row r="330" spans="17:17" x14ac:dyDescent="0.25">
      <c r="Q330" s="24" t="str">
        <f t="shared" si="8"/>
        <v>Lâmina de Barbear (7un)</v>
      </c>
    </row>
    <row r="331" spans="17:17" x14ac:dyDescent="0.25">
      <c r="Q331" s="24" t="str">
        <f t="shared" si="8"/>
        <v>Lâmina de barbear (8un)</v>
      </c>
    </row>
    <row r="332" spans="17:17" x14ac:dyDescent="0.25">
      <c r="Q332" s="24" t="str">
        <f t="shared" si="8"/>
        <v>Lâmina refil (2un)</v>
      </c>
    </row>
    <row r="333" spans="17:17" x14ac:dyDescent="0.25">
      <c r="Q333" s="24" t="str">
        <f t="shared" si="8"/>
        <v>Lâmina refil (4un)</v>
      </c>
    </row>
    <row r="334" spans="17:17" x14ac:dyDescent="0.25">
      <c r="Q334" s="24" t="str">
        <f t="shared" si="8"/>
        <v>Lâmina refil (5un)</v>
      </c>
    </row>
    <row r="335" spans="17:17" x14ac:dyDescent="0.25">
      <c r="Q335" s="24" t="str">
        <f t="shared" si="8"/>
        <v>Lenços de papel (50un)</v>
      </c>
    </row>
    <row r="336" spans="17:17" x14ac:dyDescent="0.25">
      <c r="Q336" s="24" t="str">
        <f t="shared" ref="Q336:Q346" si="9">H133</f>
        <v>lenços papel 100 un</v>
      </c>
    </row>
    <row r="337" spans="17:17" x14ac:dyDescent="0.25">
      <c r="Q337" s="24" t="str">
        <f t="shared" si="9"/>
        <v>Lenços Umidecidos (1pcte)</v>
      </c>
    </row>
    <row r="338" spans="17:17" x14ac:dyDescent="0.25">
      <c r="Q338" s="24" t="str">
        <f t="shared" si="9"/>
        <v>Limpador(1L)</v>
      </c>
    </row>
    <row r="339" spans="17:17" x14ac:dyDescent="0.25">
      <c r="Q339" s="24" t="str">
        <f t="shared" si="9"/>
        <v>Limpador(2L)</v>
      </c>
    </row>
    <row r="340" spans="17:17" x14ac:dyDescent="0.25">
      <c r="Q340" s="24" t="str">
        <f t="shared" si="9"/>
        <v>Limpador(500ml)</v>
      </c>
    </row>
    <row r="341" spans="17:17" x14ac:dyDescent="0.25">
      <c r="Q341" s="24" t="str">
        <f t="shared" si="9"/>
        <v>M</v>
      </c>
    </row>
    <row r="342" spans="17:17" x14ac:dyDescent="0.25">
      <c r="Q342" s="24" t="str">
        <f t="shared" si="9"/>
        <v>multiuso</v>
      </c>
    </row>
    <row r="343" spans="17:17" x14ac:dyDescent="0.25">
      <c r="Q343" s="24" t="str">
        <f t="shared" si="9"/>
        <v>Multiuso (1L)</v>
      </c>
    </row>
    <row r="344" spans="17:17" x14ac:dyDescent="0.25">
      <c r="Q344" s="24" t="str">
        <f t="shared" si="9"/>
        <v>Multiuso (200ml)</v>
      </c>
    </row>
    <row r="345" spans="17:17" x14ac:dyDescent="0.25">
      <c r="Q345" s="24" t="str">
        <f t="shared" si="9"/>
        <v>Multiuso (3un 500ml)</v>
      </c>
    </row>
    <row r="346" spans="17:17" x14ac:dyDescent="0.25">
      <c r="Q346" s="24" t="str">
        <f t="shared" si="9"/>
        <v>Multiuso (500mL)</v>
      </c>
    </row>
    <row r="347" spans="17:17" x14ac:dyDescent="0.25">
      <c r="Q347" s="24" t="str">
        <f t="shared" ref="Q347:Q350" si="10">H151</f>
        <v>Papel Higiênico (16un)</v>
      </c>
    </row>
    <row r="348" spans="17:17" x14ac:dyDescent="0.25">
      <c r="Q348" s="24" t="str">
        <f t="shared" si="10"/>
        <v>Papel Higiênico (24un)</v>
      </c>
    </row>
    <row r="349" spans="17:17" x14ac:dyDescent="0.25">
      <c r="Q349" s="24" t="str">
        <f t="shared" si="10"/>
        <v>Papel Toalha (12un)</v>
      </c>
    </row>
    <row r="350" spans="17:17" x14ac:dyDescent="0.25">
      <c r="Q350" s="24" t="str">
        <f t="shared" si="10"/>
        <v>Papel Toalha (2un)</v>
      </c>
    </row>
    <row r="351" spans="17:17" x14ac:dyDescent="0.25">
      <c r="Q351" s="24" t="str">
        <f t="shared" ref="Q351:Q367" si="11">H158</f>
        <v>Pasta de Dente (70g)</v>
      </c>
    </row>
    <row r="352" spans="17:17" x14ac:dyDescent="0.25">
      <c r="Q352" s="24" t="str">
        <f t="shared" si="11"/>
        <v>Pasta de Dente (90g)</v>
      </c>
    </row>
    <row r="353" spans="17:17" x14ac:dyDescent="0.25">
      <c r="Q353" s="24" t="str">
        <f t="shared" si="11"/>
        <v>Pasta de dente 4 un</v>
      </c>
    </row>
    <row r="354" spans="17:17" x14ac:dyDescent="0.25">
      <c r="Q354" s="24" t="str">
        <f t="shared" si="11"/>
        <v>Polvilho antisséptico (100g)</v>
      </c>
    </row>
    <row r="355" spans="17:17" x14ac:dyDescent="0.25">
      <c r="Q355" s="24" t="str">
        <f t="shared" si="11"/>
        <v>Q</v>
      </c>
    </row>
    <row r="356" spans="17:17" x14ac:dyDescent="0.25">
      <c r="Q356" s="24" t="str">
        <f t="shared" si="11"/>
        <v>Querosene (500ml)</v>
      </c>
    </row>
    <row r="357" spans="17:17" x14ac:dyDescent="0.25">
      <c r="Q357" s="24" t="str">
        <f t="shared" si="11"/>
        <v>Querosene (900ml)</v>
      </c>
    </row>
    <row r="358" spans="17:17" x14ac:dyDescent="0.25">
      <c r="Q358" s="24" t="str">
        <f t="shared" si="11"/>
        <v>R</v>
      </c>
    </row>
    <row r="359" spans="17:17" x14ac:dyDescent="0.25">
      <c r="Q359" s="24" t="str">
        <f t="shared" si="11"/>
        <v>Removedor de mancha (450mL)</v>
      </c>
    </row>
    <row r="360" spans="17:17" x14ac:dyDescent="0.25">
      <c r="Q360" s="24" t="str">
        <f t="shared" si="11"/>
        <v>S</v>
      </c>
    </row>
    <row r="361" spans="17:17" x14ac:dyDescent="0.25">
      <c r="Q361" s="24" t="str">
        <f t="shared" si="11"/>
        <v>Sabão em Barra (1un)</v>
      </c>
    </row>
    <row r="362" spans="17:17" x14ac:dyDescent="0.25">
      <c r="Q362" s="24" t="str">
        <f t="shared" si="11"/>
        <v>sabao em barra (5un)</v>
      </c>
    </row>
    <row r="363" spans="17:17" x14ac:dyDescent="0.25">
      <c r="Q363" s="24" t="str">
        <f t="shared" si="11"/>
        <v>Sabão em Pó (1kg)</v>
      </c>
    </row>
    <row r="364" spans="17:17" x14ac:dyDescent="0.25">
      <c r="Q364" s="24" t="str">
        <f t="shared" si="11"/>
        <v>Sabão em pó (2,8kg)</v>
      </c>
    </row>
    <row r="365" spans="17:17" x14ac:dyDescent="0.25">
      <c r="Q365" s="24" t="str">
        <f t="shared" si="11"/>
        <v>Sabão em Pó (2kg)</v>
      </c>
    </row>
    <row r="366" spans="17:17" x14ac:dyDescent="0.25">
      <c r="Q366" s="24" t="str">
        <f t="shared" si="11"/>
        <v>Sabão em Pó (3kg)</v>
      </c>
    </row>
    <row r="367" spans="17:17" x14ac:dyDescent="0.25">
      <c r="Q367" s="24" t="str">
        <f t="shared" si="11"/>
        <v>Sabão Líquido (1L)</v>
      </c>
    </row>
    <row r="368" spans="17:17" x14ac:dyDescent="0.25">
      <c r="Q368" s="24"/>
    </row>
    <row r="369" spans="17:17" x14ac:dyDescent="0.25">
      <c r="Q369" s="24"/>
    </row>
    <row r="370" spans="17:17" x14ac:dyDescent="0.25">
      <c r="Q370" s="24"/>
    </row>
    <row r="371" spans="17:17" x14ac:dyDescent="0.25">
      <c r="Q371" s="24"/>
    </row>
    <row r="372" spans="17:17" x14ac:dyDescent="0.25">
      <c r="Q372" s="24"/>
    </row>
    <row r="373" spans="17:17" x14ac:dyDescent="0.25">
      <c r="Q373" s="24"/>
    </row>
    <row r="374" spans="17:17" x14ac:dyDescent="0.25">
      <c r="Q374" s="24"/>
    </row>
    <row r="375" spans="17:17" x14ac:dyDescent="0.25">
      <c r="Q375" s="24"/>
    </row>
    <row r="376" spans="17:17" x14ac:dyDescent="0.25">
      <c r="Q376" s="24"/>
    </row>
    <row r="377" spans="17:17" x14ac:dyDescent="0.25">
      <c r="Q377" s="24"/>
    </row>
    <row r="378" spans="17:17" x14ac:dyDescent="0.25">
      <c r="Q378" s="24"/>
    </row>
    <row r="379" spans="17:17" x14ac:dyDescent="0.25">
      <c r="Q379" s="24"/>
    </row>
    <row r="380" spans="17:17" x14ac:dyDescent="0.25">
      <c r="Q380" s="24"/>
    </row>
    <row r="381" spans="17:17" x14ac:dyDescent="0.25">
      <c r="Q381" s="24"/>
    </row>
    <row r="382" spans="17:17" x14ac:dyDescent="0.25">
      <c r="Q382" s="24"/>
    </row>
    <row r="383" spans="17:17" x14ac:dyDescent="0.25">
      <c r="Q383" s="24"/>
    </row>
    <row r="384" spans="17:17" x14ac:dyDescent="0.25">
      <c r="Q384" s="24"/>
    </row>
    <row r="385" spans="17:17" x14ac:dyDescent="0.25">
      <c r="Q385" s="24"/>
    </row>
    <row r="386" spans="17:17" x14ac:dyDescent="0.25">
      <c r="Q386" s="24"/>
    </row>
    <row r="387" spans="17:17" x14ac:dyDescent="0.25">
      <c r="Q387" s="24"/>
    </row>
    <row r="388" spans="17:17" x14ac:dyDescent="0.25">
      <c r="Q388" s="24"/>
    </row>
    <row r="389" spans="17:17" x14ac:dyDescent="0.25">
      <c r="Q389" s="24"/>
    </row>
    <row r="390" spans="17:17" x14ac:dyDescent="0.25">
      <c r="Q390" s="24"/>
    </row>
    <row r="391" spans="17:17" x14ac:dyDescent="0.25">
      <c r="Q391" s="24"/>
    </row>
    <row r="392" spans="17:17" x14ac:dyDescent="0.25">
      <c r="Q392" s="24"/>
    </row>
    <row r="393" spans="17:17" x14ac:dyDescent="0.25">
      <c r="Q393" s="24"/>
    </row>
    <row r="394" spans="17:17" x14ac:dyDescent="0.25">
      <c r="Q394" s="24"/>
    </row>
    <row r="395" spans="17:17" x14ac:dyDescent="0.25">
      <c r="Q395" s="24"/>
    </row>
    <row r="396" spans="17:17" x14ac:dyDescent="0.25">
      <c r="Q396" s="24"/>
    </row>
    <row r="397" spans="17:17" x14ac:dyDescent="0.25">
      <c r="Q397" s="24"/>
    </row>
    <row r="398" spans="17:17" x14ac:dyDescent="0.25">
      <c r="Q398" s="24"/>
    </row>
    <row r="399" spans="17:17" x14ac:dyDescent="0.25">
      <c r="Q399" s="24"/>
    </row>
    <row r="400" spans="17:17" x14ac:dyDescent="0.25">
      <c r="Q400" s="24"/>
    </row>
    <row r="401" spans="17:17" x14ac:dyDescent="0.25">
      <c r="Q401" s="24"/>
    </row>
    <row r="402" spans="17:17" x14ac:dyDescent="0.25">
      <c r="Q402" s="24"/>
    </row>
    <row r="403" spans="17:17" x14ac:dyDescent="0.25">
      <c r="Q403" s="24"/>
    </row>
    <row r="404" spans="17:17" x14ac:dyDescent="0.25">
      <c r="Q404" s="24"/>
    </row>
    <row r="405" spans="17:17" x14ac:dyDescent="0.25">
      <c r="Q405" s="24"/>
    </row>
    <row r="406" spans="17:17" x14ac:dyDescent="0.25">
      <c r="Q406" s="24"/>
    </row>
    <row r="407" spans="17:17" x14ac:dyDescent="0.25">
      <c r="Q407" s="24"/>
    </row>
    <row r="408" spans="17:17" x14ac:dyDescent="0.25">
      <c r="Q408" s="24"/>
    </row>
    <row r="409" spans="17:17" x14ac:dyDescent="0.25">
      <c r="Q409" s="24"/>
    </row>
    <row r="410" spans="17:17" x14ac:dyDescent="0.25">
      <c r="Q410" s="24"/>
    </row>
    <row r="411" spans="17:17" x14ac:dyDescent="0.25">
      <c r="Q411" s="24"/>
    </row>
    <row r="412" spans="17:17" x14ac:dyDescent="0.25">
      <c r="Q412" s="24"/>
    </row>
    <row r="413" spans="17:17" x14ac:dyDescent="0.25">
      <c r="Q413" s="24"/>
    </row>
    <row r="414" spans="17:17" x14ac:dyDescent="0.25">
      <c r="Q414" s="24"/>
    </row>
    <row r="415" spans="17:17" x14ac:dyDescent="0.25">
      <c r="Q415" s="24"/>
    </row>
    <row r="416" spans="17:17" x14ac:dyDescent="0.25">
      <c r="Q416" s="24"/>
    </row>
    <row r="417" spans="17:17" x14ac:dyDescent="0.25">
      <c r="Q417" s="24"/>
    </row>
    <row r="418" spans="17:17" x14ac:dyDescent="0.25">
      <c r="Q418" s="24"/>
    </row>
    <row r="419" spans="17:17" x14ac:dyDescent="0.25">
      <c r="Q419" s="24"/>
    </row>
    <row r="420" spans="17:17" x14ac:dyDescent="0.25">
      <c r="Q420" s="24"/>
    </row>
    <row r="421" spans="17:17" x14ac:dyDescent="0.25">
      <c r="Q421" s="24"/>
    </row>
    <row r="422" spans="17:17" x14ac:dyDescent="0.25">
      <c r="Q422" s="24"/>
    </row>
    <row r="423" spans="17:17" x14ac:dyDescent="0.25">
      <c r="Q423" s="24"/>
    </row>
    <row r="424" spans="17:17" x14ac:dyDescent="0.25">
      <c r="Q424" s="24"/>
    </row>
    <row r="425" spans="17:17" x14ac:dyDescent="0.25">
      <c r="Q425" s="24"/>
    </row>
    <row r="426" spans="17:17" x14ac:dyDescent="0.25">
      <c r="Q426" s="24"/>
    </row>
    <row r="427" spans="17:17" x14ac:dyDescent="0.25">
      <c r="Q427" s="24"/>
    </row>
    <row r="428" spans="17:17" x14ac:dyDescent="0.25">
      <c r="Q428" s="24"/>
    </row>
    <row r="429" spans="17:17" x14ac:dyDescent="0.25">
      <c r="Q429" s="24"/>
    </row>
    <row r="430" spans="17:17" x14ac:dyDescent="0.25">
      <c r="Q430" s="24"/>
    </row>
    <row r="431" spans="17:17" x14ac:dyDescent="0.25">
      <c r="Q431" s="24"/>
    </row>
    <row r="432" spans="17:17" x14ac:dyDescent="0.25">
      <c r="Q432" s="24"/>
    </row>
    <row r="433" spans="17:17" x14ac:dyDescent="0.25">
      <c r="Q433" s="24"/>
    </row>
    <row r="434" spans="17:17" x14ac:dyDescent="0.25">
      <c r="Q434" s="24"/>
    </row>
    <row r="435" spans="17:17" x14ac:dyDescent="0.25">
      <c r="Q435" s="24"/>
    </row>
    <row r="436" spans="17:17" x14ac:dyDescent="0.25">
      <c r="Q436" s="24"/>
    </row>
    <row r="437" spans="17:17" x14ac:dyDescent="0.25">
      <c r="Q437" s="24"/>
    </row>
    <row r="438" spans="17:17" x14ac:dyDescent="0.25">
      <c r="Q438" s="24"/>
    </row>
    <row r="439" spans="17:17" x14ac:dyDescent="0.25">
      <c r="Q439" s="24"/>
    </row>
    <row r="440" spans="17:17" x14ac:dyDescent="0.25">
      <c r="Q440" s="24"/>
    </row>
    <row r="441" spans="17:17" x14ac:dyDescent="0.25">
      <c r="Q441" s="24"/>
    </row>
    <row r="442" spans="17:17" x14ac:dyDescent="0.25">
      <c r="Q442" s="24"/>
    </row>
    <row r="443" spans="17:17" x14ac:dyDescent="0.25">
      <c r="Q443" s="24"/>
    </row>
    <row r="444" spans="17:17" x14ac:dyDescent="0.25">
      <c r="Q444" s="24"/>
    </row>
    <row r="445" spans="17:17" x14ac:dyDescent="0.25">
      <c r="Q445" s="24"/>
    </row>
    <row r="446" spans="17:17" x14ac:dyDescent="0.25">
      <c r="Q446" s="24"/>
    </row>
    <row r="447" spans="17:17" x14ac:dyDescent="0.25">
      <c r="Q447" s="24"/>
    </row>
    <row r="448" spans="17:17" x14ac:dyDescent="0.25">
      <c r="Q448" s="24"/>
    </row>
    <row r="449" spans="17:17" x14ac:dyDescent="0.25">
      <c r="Q449" s="24"/>
    </row>
    <row r="450" spans="17:17" x14ac:dyDescent="0.25">
      <c r="Q450" s="24"/>
    </row>
    <row r="451" spans="17:17" x14ac:dyDescent="0.25">
      <c r="Q451" s="24"/>
    </row>
    <row r="452" spans="17:17" x14ac:dyDescent="0.25">
      <c r="Q452" s="24"/>
    </row>
    <row r="453" spans="17:17" x14ac:dyDescent="0.25">
      <c r="Q453" s="24"/>
    </row>
    <row r="454" spans="17:17" x14ac:dyDescent="0.25">
      <c r="Q454" s="24"/>
    </row>
    <row r="455" spans="17:17" x14ac:dyDescent="0.25">
      <c r="Q455" s="24"/>
    </row>
    <row r="456" spans="17:17" x14ac:dyDescent="0.25">
      <c r="Q456" s="24"/>
    </row>
    <row r="457" spans="17:17" x14ac:dyDescent="0.25">
      <c r="Q457" s="24"/>
    </row>
    <row r="458" spans="17:17" x14ac:dyDescent="0.25">
      <c r="Q458" s="24"/>
    </row>
    <row r="459" spans="17:17" x14ac:dyDescent="0.25">
      <c r="Q459" s="24"/>
    </row>
    <row r="460" spans="17:17" x14ac:dyDescent="0.25">
      <c r="Q460" s="24"/>
    </row>
    <row r="461" spans="17:17" x14ac:dyDescent="0.25">
      <c r="Q461" s="24"/>
    </row>
    <row r="462" spans="17:17" x14ac:dyDescent="0.25">
      <c r="Q462" s="24"/>
    </row>
    <row r="463" spans="17:17" x14ac:dyDescent="0.25">
      <c r="Q463" s="24"/>
    </row>
    <row r="464" spans="17:17" x14ac:dyDescent="0.25">
      <c r="Q464" s="24"/>
    </row>
    <row r="465" spans="17:17" x14ac:dyDescent="0.25">
      <c r="Q465" s="24"/>
    </row>
    <row r="466" spans="17:17" x14ac:dyDescent="0.25">
      <c r="Q466" s="24"/>
    </row>
    <row r="467" spans="17:17" x14ac:dyDescent="0.25">
      <c r="Q467" s="24"/>
    </row>
    <row r="468" spans="17:17" x14ac:dyDescent="0.25">
      <c r="Q468" s="24"/>
    </row>
    <row r="469" spans="17:17" x14ac:dyDescent="0.25">
      <c r="Q469" s="24"/>
    </row>
    <row r="470" spans="17:17" x14ac:dyDescent="0.25">
      <c r="Q470" s="24"/>
    </row>
    <row r="471" spans="17:17" x14ac:dyDescent="0.25">
      <c r="Q471" s="24"/>
    </row>
    <row r="472" spans="17:17" x14ac:dyDescent="0.25">
      <c r="Q472" s="24"/>
    </row>
    <row r="473" spans="17:17" x14ac:dyDescent="0.25">
      <c r="Q473" s="24"/>
    </row>
    <row r="474" spans="17:17" x14ac:dyDescent="0.25">
      <c r="Q474" s="24"/>
    </row>
    <row r="475" spans="17:17" x14ac:dyDescent="0.25">
      <c r="Q475" s="24"/>
    </row>
    <row r="476" spans="17:17" x14ac:dyDescent="0.25">
      <c r="Q476" s="24"/>
    </row>
    <row r="477" spans="17:17" x14ac:dyDescent="0.25">
      <c r="Q477" s="24"/>
    </row>
    <row r="478" spans="17:17" x14ac:dyDescent="0.25">
      <c r="Q478" s="24"/>
    </row>
    <row r="479" spans="17:17" x14ac:dyDescent="0.25">
      <c r="Q479" s="24"/>
    </row>
    <row r="480" spans="17:17" x14ac:dyDescent="0.25">
      <c r="Q480" s="24"/>
    </row>
    <row r="481" spans="17:17" x14ac:dyDescent="0.25">
      <c r="Q481" s="24"/>
    </row>
    <row r="482" spans="17:17" x14ac:dyDescent="0.25">
      <c r="Q482" s="24"/>
    </row>
    <row r="483" spans="17:17" x14ac:dyDescent="0.25">
      <c r="Q483" s="24"/>
    </row>
    <row r="484" spans="17:17" x14ac:dyDescent="0.25">
      <c r="Q484" s="24"/>
    </row>
    <row r="485" spans="17:17" x14ac:dyDescent="0.25">
      <c r="Q485" s="24"/>
    </row>
    <row r="486" spans="17:17" x14ac:dyDescent="0.25">
      <c r="Q486" s="24"/>
    </row>
    <row r="487" spans="17:17" x14ac:dyDescent="0.25">
      <c r="Q487" s="24"/>
    </row>
    <row r="488" spans="17:17" x14ac:dyDescent="0.25">
      <c r="Q488" s="24"/>
    </row>
    <row r="489" spans="17:17" x14ac:dyDescent="0.25">
      <c r="Q489" s="24"/>
    </row>
    <row r="490" spans="17:17" x14ac:dyDescent="0.25">
      <c r="Q490" s="24"/>
    </row>
    <row r="491" spans="17:17" x14ac:dyDescent="0.25">
      <c r="Q491" s="24"/>
    </row>
    <row r="492" spans="17:17" x14ac:dyDescent="0.25">
      <c r="Q492" s="24"/>
    </row>
    <row r="493" spans="17:17" x14ac:dyDescent="0.25">
      <c r="Q493" s="24"/>
    </row>
    <row r="494" spans="17:17" x14ac:dyDescent="0.25">
      <c r="Q494" s="24"/>
    </row>
    <row r="495" spans="17:17" x14ac:dyDescent="0.25">
      <c r="Q495" s="24"/>
    </row>
    <row r="496" spans="17:17" x14ac:dyDescent="0.25">
      <c r="Q496" s="24"/>
    </row>
    <row r="497" spans="17:17" x14ac:dyDescent="0.25">
      <c r="Q497" s="24"/>
    </row>
    <row r="498" spans="17:17" x14ac:dyDescent="0.25">
      <c r="Q498" s="24"/>
    </row>
    <row r="499" spans="17:17" x14ac:dyDescent="0.25">
      <c r="Q499" s="24"/>
    </row>
    <row r="500" spans="17:17" x14ac:dyDescent="0.25">
      <c r="Q500" s="24"/>
    </row>
    <row r="501" spans="17:17" x14ac:dyDescent="0.25">
      <c r="Q501" s="24"/>
    </row>
    <row r="502" spans="17:17" x14ac:dyDescent="0.25">
      <c r="Q502" s="24"/>
    </row>
    <row r="503" spans="17:17" x14ac:dyDescent="0.25">
      <c r="Q503" s="24"/>
    </row>
    <row r="504" spans="17:17" x14ac:dyDescent="0.25">
      <c r="Q504" s="24"/>
    </row>
    <row r="505" spans="17:17" x14ac:dyDescent="0.25">
      <c r="Q505" s="24"/>
    </row>
    <row r="506" spans="17:17" x14ac:dyDescent="0.25">
      <c r="Q506" s="24"/>
    </row>
    <row r="507" spans="17:17" x14ac:dyDescent="0.25">
      <c r="Q507" s="24"/>
    </row>
    <row r="508" spans="17:17" x14ac:dyDescent="0.25">
      <c r="Q508" s="24"/>
    </row>
    <row r="509" spans="17:17" x14ac:dyDescent="0.25">
      <c r="Q509" s="24"/>
    </row>
    <row r="510" spans="17:17" x14ac:dyDescent="0.25">
      <c r="Q510" s="24"/>
    </row>
    <row r="511" spans="17:17" x14ac:dyDescent="0.25">
      <c r="Q511" s="24"/>
    </row>
    <row r="512" spans="17:17" x14ac:dyDescent="0.25">
      <c r="Q512" s="24"/>
    </row>
    <row r="513" spans="17:17" x14ac:dyDescent="0.25">
      <c r="Q513" s="24"/>
    </row>
    <row r="514" spans="17:17" x14ac:dyDescent="0.25">
      <c r="Q514" s="24"/>
    </row>
    <row r="515" spans="17:17" x14ac:dyDescent="0.25">
      <c r="Q515" s="24"/>
    </row>
    <row r="516" spans="17:17" x14ac:dyDescent="0.25">
      <c r="Q516" s="24"/>
    </row>
    <row r="517" spans="17:17" x14ac:dyDescent="0.25">
      <c r="Q517" s="24"/>
    </row>
    <row r="518" spans="17:17" x14ac:dyDescent="0.25">
      <c r="Q518" s="24"/>
    </row>
    <row r="519" spans="17:17" x14ac:dyDescent="0.25">
      <c r="Q519" s="24"/>
    </row>
    <row r="520" spans="17:17" x14ac:dyDescent="0.25">
      <c r="Q520" s="24"/>
    </row>
    <row r="521" spans="17:17" x14ac:dyDescent="0.25">
      <c r="Q521" s="24"/>
    </row>
    <row r="522" spans="17:17" x14ac:dyDescent="0.25">
      <c r="Q522" s="24"/>
    </row>
    <row r="523" spans="17:17" x14ac:dyDescent="0.25">
      <c r="Q523" s="24"/>
    </row>
    <row r="524" spans="17:17" x14ac:dyDescent="0.25">
      <c r="Q524" s="24"/>
    </row>
    <row r="525" spans="17:17" x14ac:dyDescent="0.25">
      <c r="Q525" s="24"/>
    </row>
    <row r="526" spans="17:17" x14ac:dyDescent="0.25">
      <c r="Q526" s="24"/>
    </row>
  </sheetData>
  <mergeCells count="5">
    <mergeCell ref="D3:E3"/>
    <mergeCell ref="H3:I3"/>
    <mergeCell ref="A3:B3"/>
    <mergeCell ref="A6:B6"/>
    <mergeCell ref="A9:B9"/>
  </mergeCells>
  <hyperlinks>
    <hyperlink ref="A3" location="Categorias!A1" display="Categorias" xr:uid="{00000000-0004-0000-0400-000000000000}"/>
    <hyperlink ref="A9:B9" location="'Resumo total'!A1" display="Resumo" xr:uid="{00000000-0004-0000-0400-000001000000}"/>
    <hyperlink ref="A6:B6" location="topo_cb" display="CadastroCB" xr:uid="{00000000-0004-0000-0400-000002000000}"/>
    <hyperlink ref="D1" location="topocategorias" display="Topo" xr:uid="{00000000-0004-0000-0400-000003000000}"/>
    <hyperlink ref="A3:B3" location="topocategorias" display="Categorias" xr:uid="{00000000-0004-0000-0400-000004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dd_alimento">
                <anchor moveWithCells="1" sizeWithCells="1">
                  <from>
                    <xdr:col>3</xdr:col>
                    <xdr:colOff>1066800</xdr:colOff>
                    <xdr:row>0</xdr:row>
                    <xdr:rowOff>114300</xdr:rowOff>
                  </from>
                  <to>
                    <xdr:col>4</xdr:col>
                    <xdr:colOff>466725</xdr:colOff>
                    <xdr:row>1</xdr:row>
                    <xdr:rowOff>38100</xdr:rowOff>
                  </to>
                </anchor>
              </controlPr>
            </control>
          </mc:Choice>
        </mc:AlternateContent>
        <mc:AlternateContent xmlns:mc="http://schemas.openxmlformats.org/markup-compatibility/2006">
          <mc:Choice Requires="x14">
            <control shapeId="5123" r:id="rId5" name="Button 3">
              <controlPr defaultSize="0" print="0" autoFill="0" autoPict="0" macro="[0]!Add_higiene">
                <anchor moveWithCells="1" sizeWithCells="1">
                  <from>
                    <xdr:col>4</xdr:col>
                    <xdr:colOff>742950</xdr:colOff>
                    <xdr:row>0</xdr:row>
                    <xdr:rowOff>114300</xdr:rowOff>
                  </from>
                  <to>
                    <xdr:col>7</xdr:col>
                    <xdr:colOff>76200</xdr:colOff>
                    <xdr:row>1</xdr:row>
                    <xdr:rowOff>38100</xdr:rowOff>
                  </to>
                </anchor>
              </controlPr>
            </control>
          </mc:Choice>
        </mc:AlternateContent>
      </controls>
    </mc:Choice>
  </mc:AlternateContent>
  <tableParts count="3">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002060"/>
  </sheetPr>
  <dimension ref="A1:F3471"/>
  <sheetViews>
    <sheetView showGridLines="0" workbookViewId="0">
      <pane xSplit="2" ySplit="2" topLeftCell="C306" activePane="bottomRight" state="frozen"/>
      <selection pane="topRight" activeCell="C1" sqref="C1"/>
      <selection pane="bottomLeft" activeCell="A3" sqref="A3"/>
      <selection pane="bottomRight" activeCell="H315" sqref="H315"/>
    </sheetView>
  </sheetViews>
  <sheetFormatPr defaultRowHeight="15" x14ac:dyDescent="0.25"/>
  <cols>
    <col min="1" max="1" width="30.42578125" style="24" customWidth="1"/>
    <col min="2" max="2" width="2.5703125" style="24" customWidth="1"/>
    <col min="3" max="3" width="2.28515625" style="24" customWidth="1"/>
    <col min="4" max="4" width="14.140625" bestFit="1" customWidth="1"/>
    <col min="5" max="5" width="20.5703125" customWidth="1"/>
    <col min="6" max="6" width="23.42578125" customWidth="1"/>
  </cols>
  <sheetData>
    <row r="1" spans="1:6" s="24" customFormat="1" ht="21" customHeight="1" x14ac:dyDescent="0.25">
      <c r="D1" s="27" t="s">
        <v>102</v>
      </c>
    </row>
    <row r="2" spans="1:6" s="24" customFormat="1" x14ac:dyDescent="0.25"/>
    <row r="3" spans="1:6" s="24" customFormat="1" x14ac:dyDescent="0.25">
      <c r="A3" s="100" t="s">
        <v>101</v>
      </c>
      <c r="B3" s="100"/>
    </row>
    <row r="4" spans="1:6" x14ac:dyDescent="0.25">
      <c r="A4" s="27"/>
      <c r="B4" s="27"/>
      <c r="D4" s="38" t="s">
        <v>385</v>
      </c>
      <c r="E4" t="s">
        <v>26</v>
      </c>
      <c r="F4" t="s">
        <v>388</v>
      </c>
    </row>
    <row r="5" spans="1:6" x14ac:dyDescent="0.25">
      <c r="A5" s="27"/>
      <c r="B5" s="27"/>
      <c r="D5" s="47" t="s">
        <v>607</v>
      </c>
      <c r="E5" s="60" t="s">
        <v>257</v>
      </c>
      <c r="F5" s="60" t="s">
        <v>608</v>
      </c>
    </row>
    <row r="6" spans="1:6" x14ac:dyDescent="0.25">
      <c r="A6" s="100" t="s">
        <v>392</v>
      </c>
      <c r="B6" s="100"/>
      <c r="D6" s="47" t="s">
        <v>609</v>
      </c>
      <c r="E6" s="60" t="s">
        <v>257</v>
      </c>
      <c r="F6" s="60" t="s">
        <v>608</v>
      </c>
    </row>
    <row r="7" spans="1:6" x14ac:dyDescent="0.25">
      <c r="A7" s="22"/>
      <c r="B7" s="22"/>
      <c r="D7" s="47" t="s">
        <v>1089</v>
      </c>
      <c r="E7" s="19" t="s">
        <v>257</v>
      </c>
      <c r="F7" s="19" t="s">
        <v>879</v>
      </c>
    </row>
    <row r="8" spans="1:6" x14ac:dyDescent="0.25">
      <c r="D8" s="75" t="s">
        <v>1438</v>
      </c>
      <c r="E8" s="74" t="s">
        <v>257</v>
      </c>
      <c r="F8" s="74" t="s">
        <v>1439</v>
      </c>
    </row>
    <row r="9" spans="1:6" x14ac:dyDescent="0.25">
      <c r="A9" s="100" t="s">
        <v>104</v>
      </c>
      <c r="B9" s="100"/>
      <c r="D9" s="75" t="s">
        <v>1473</v>
      </c>
      <c r="E9" s="74" t="s">
        <v>257</v>
      </c>
      <c r="F9" s="74" t="s">
        <v>1416</v>
      </c>
    </row>
    <row r="10" spans="1:6" x14ac:dyDescent="0.25">
      <c r="D10" s="75" t="s">
        <v>1491</v>
      </c>
      <c r="E10" s="74" t="s">
        <v>257</v>
      </c>
      <c r="F10" s="74" t="s">
        <v>879</v>
      </c>
    </row>
    <row r="11" spans="1:6" x14ac:dyDescent="0.25">
      <c r="D11" s="75" t="s">
        <v>1762</v>
      </c>
      <c r="E11" s="74" t="s">
        <v>257</v>
      </c>
      <c r="F11" s="74" t="s">
        <v>879</v>
      </c>
    </row>
    <row r="12" spans="1:6" x14ac:dyDescent="0.25">
      <c r="D12" s="75" t="s">
        <v>1682</v>
      </c>
      <c r="E12" s="74" t="s">
        <v>239</v>
      </c>
      <c r="F12" s="74" t="s">
        <v>879</v>
      </c>
    </row>
    <row r="13" spans="1:6" x14ac:dyDescent="0.25">
      <c r="D13" s="75" t="s">
        <v>1440</v>
      </c>
      <c r="E13" s="74" t="s">
        <v>258</v>
      </c>
      <c r="F13" s="74" t="s">
        <v>1416</v>
      </c>
    </row>
    <row r="14" spans="1:6" x14ac:dyDescent="0.25">
      <c r="D14" s="75" t="s">
        <v>1780</v>
      </c>
      <c r="E14" s="74" t="s">
        <v>258</v>
      </c>
      <c r="F14" s="74" t="s">
        <v>879</v>
      </c>
    </row>
    <row r="15" spans="1:6" x14ac:dyDescent="0.25">
      <c r="D15" s="47" t="s">
        <v>601</v>
      </c>
      <c r="E15" s="19" t="s">
        <v>259</v>
      </c>
      <c r="F15" s="19" t="s">
        <v>602</v>
      </c>
    </row>
    <row r="16" spans="1:6" x14ac:dyDescent="0.25">
      <c r="D16" s="75" t="s">
        <v>1781</v>
      </c>
      <c r="E16" s="74" t="s">
        <v>259</v>
      </c>
      <c r="F16" s="74" t="s">
        <v>879</v>
      </c>
    </row>
    <row r="17" spans="4:6" x14ac:dyDescent="0.25">
      <c r="D17" s="75" t="s">
        <v>1407</v>
      </c>
      <c r="E17" s="74" t="s">
        <v>336</v>
      </c>
      <c r="F17" s="74" t="s">
        <v>1408</v>
      </c>
    </row>
    <row r="18" spans="4:6" x14ac:dyDescent="0.25">
      <c r="D18" s="47" t="s">
        <v>1077</v>
      </c>
      <c r="E18" s="60" t="s">
        <v>117</v>
      </c>
      <c r="F18" s="60" t="s">
        <v>879</v>
      </c>
    </row>
    <row r="19" spans="4:6" x14ac:dyDescent="0.25">
      <c r="D19" s="47" t="s">
        <v>639</v>
      </c>
      <c r="E19" s="60" t="s">
        <v>118</v>
      </c>
      <c r="F19" s="60" t="s">
        <v>640</v>
      </c>
    </row>
    <row r="20" spans="4:6" x14ac:dyDescent="0.25">
      <c r="D20" s="47" t="s">
        <v>641</v>
      </c>
      <c r="E20" s="60" t="s">
        <v>118</v>
      </c>
      <c r="F20" s="60" t="s">
        <v>642</v>
      </c>
    </row>
    <row r="21" spans="4:6" x14ac:dyDescent="0.25">
      <c r="D21" s="47" t="s">
        <v>643</v>
      </c>
      <c r="E21" s="60" t="s">
        <v>118</v>
      </c>
      <c r="F21" s="60" t="s">
        <v>644</v>
      </c>
    </row>
    <row r="22" spans="4:6" x14ac:dyDescent="0.25">
      <c r="D22" s="75" t="s">
        <v>1403</v>
      </c>
      <c r="E22" s="74" t="s">
        <v>118</v>
      </c>
      <c r="F22" s="74" t="s">
        <v>1404</v>
      </c>
    </row>
    <row r="23" spans="4:6" x14ac:dyDescent="0.25">
      <c r="D23" s="75" t="s">
        <v>1412</v>
      </c>
      <c r="E23" s="74" t="s">
        <v>118</v>
      </c>
      <c r="F23" s="74" t="s">
        <v>644</v>
      </c>
    </row>
    <row r="24" spans="4:6" x14ac:dyDescent="0.25">
      <c r="D24" s="75" t="s">
        <v>1595</v>
      </c>
      <c r="E24" s="74" t="s">
        <v>118</v>
      </c>
      <c r="F24" s="74" t="s">
        <v>879</v>
      </c>
    </row>
    <row r="25" spans="4:6" x14ac:dyDescent="0.25">
      <c r="D25" s="75" t="s">
        <v>1680</v>
      </c>
      <c r="E25" s="74" t="s">
        <v>118</v>
      </c>
      <c r="F25" s="74" t="s">
        <v>879</v>
      </c>
    </row>
    <row r="26" spans="4:6" x14ac:dyDescent="0.25">
      <c r="D26" s="75" t="s">
        <v>1405</v>
      </c>
      <c r="E26" s="74" t="s">
        <v>340</v>
      </c>
      <c r="F26" s="74" t="s">
        <v>1406</v>
      </c>
    </row>
    <row r="27" spans="4:6" x14ac:dyDescent="0.25">
      <c r="D27" s="75" t="s">
        <v>1443</v>
      </c>
      <c r="E27" s="74" t="s">
        <v>340</v>
      </c>
      <c r="F27" s="74" t="s">
        <v>1416</v>
      </c>
    </row>
    <row r="28" spans="4:6" x14ac:dyDescent="0.25">
      <c r="D28" s="75" t="s">
        <v>1615</v>
      </c>
      <c r="E28" s="74" t="s">
        <v>340</v>
      </c>
      <c r="F28" s="74" t="s">
        <v>879</v>
      </c>
    </row>
    <row r="29" spans="4:6" x14ac:dyDescent="0.25">
      <c r="D29" s="47" t="s">
        <v>949</v>
      </c>
      <c r="E29" s="19" t="s">
        <v>120</v>
      </c>
      <c r="F29" s="19" t="s">
        <v>879</v>
      </c>
    </row>
    <row r="30" spans="4:6" x14ac:dyDescent="0.25">
      <c r="D30" s="75" t="s">
        <v>1551</v>
      </c>
      <c r="E30" s="74" t="s">
        <v>120</v>
      </c>
      <c r="F30" s="74" t="s">
        <v>1404</v>
      </c>
    </row>
    <row r="31" spans="4:6" x14ac:dyDescent="0.25">
      <c r="D31" s="75" t="s">
        <v>1628</v>
      </c>
      <c r="E31" s="74" t="s">
        <v>120</v>
      </c>
      <c r="F31" s="74" t="s">
        <v>879</v>
      </c>
    </row>
    <row r="32" spans="4:6" x14ac:dyDescent="0.25">
      <c r="D32" s="47" t="s">
        <v>394</v>
      </c>
      <c r="E32" s="19" t="s">
        <v>121</v>
      </c>
      <c r="F32" s="19" t="s">
        <v>395</v>
      </c>
    </row>
    <row r="33" spans="4:6" x14ac:dyDescent="0.25">
      <c r="D33" s="47" t="s">
        <v>586</v>
      </c>
      <c r="E33" s="19" t="s">
        <v>121</v>
      </c>
      <c r="F33" s="19" t="s">
        <v>587</v>
      </c>
    </row>
    <row r="34" spans="4:6" x14ac:dyDescent="0.25">
      <c r="D34" s="47" t="s">
        <v>588</v>
      </c>
      <c r="E34" s="19" t="s">
        <v>121</v>
      </c>
      <c r="F34" s="19" t="s">
        <v>589</v>
      </c>
    </row>
    <row r="35" spans="4:6" x14ac:dyDescent="0.25">
      <c r="D35" s="47" t="s">
        <v>675</v>
      </c>
      <c r="E35" s="19" t="s">
        <v>121</v>
      </c>
      <c r="F35" s="19" t="s">
        <v>676</v>
      </c>
    </row>
    <row r="36" spans="4:6" x14ac:dyDescent="0.25">
      <c r="D36" s="47" t="s">
        <v>677</v>
      </c>
      <c r="E36" s="19" t="s">
        <v>121</v>
      </c>
      <c r="F36" s="19" t="s">
        <v>678</v>
      </c>
    </row>
    <row r="37" spans="4:6" x14ac:dyDescent="0.25">
      <c r="D37" s="47" t="s">
        <v>760</v>
      </c>
      <c r="E37" s="19" t="s">
        <v>121</v>
      </c>
      <c r="F37" s="19" t="s">
        <v>761</v>
      </c>
    </row>
    <row r="38" spans="4:6" x14ac:dyDescent="0.25">
      <c r="D38" s="75" t="s">
        <v>1635</v>
      </c>
      <c r="E38" s="74" t="s">
        <v>121</v>
      </c>
      <c r="F38" s="74" t="s">
        <v>879</v>
      </c>
    </row>
    <row r="39" spans="4:6" x14ac:dyDescent="0.25">
      <c r="D39" s="47" t="s">
        <v>762</v>
      </c>
      <c r="E39" s="19" t="s">
        <v>122</v>
      </c>
      <c r="F39" s="19" t="s">
        <v>761</v>
      </c>
    </row>
    <row r="40" spans="4:6" x14ac:dyDescent="0.25">
      <c r="D40" s="47" t="s">
        <v>918</v>
      </c>
      <c r="E40" s="19" t="s">
        <v>122</v>
      </c>
      <c r="F40" s="19" t="s">
        <v>879</v>
      </c>
    </row>
    <row r="41" spans="4:6" x14ac:dyDescent="0.25">
      <c r="D41" s="47" t="s">
        <v>763</v>
      </c>
      <c r="E41" s="19" t="s">
        <v>123</v>
      </c>
      <c r="F41" s="19" t="s">
        <v>761</v>
      </c>
    </row>
    <row r="42" spans="4:6" x14ac:dyDescent="0.25">
      <c r="D42" s="47" t="s">
        <v>764</v>
      </c>
      <c r="E42" s="19" t="s">
        <v>123</v>
      </c>
      <c r="F42" s="19" t="s">
        <v>678</v>
      </c>
    </row>
    <row r="43" spans="4:6" x14ac:dyDescent="0.25">
      <c r="D43" s="47" t="s">
        <v>801</v>
      </c>
      <c r="E43" s="19" t="s">
        <v>123</v>
      </c>
      <c r="F43" s="19" t="s">
        <v>802</v>
      </c>
    </row>
    <row r="44" spans="4:6" x14ac:dyDescent="0.25">
      <c r="D44" s="47" t="s">
        <v>710</v>
      </c>
      <c r="E44" s="19" t="s">
        <v>28</v>
      </c>
      <c r="F44" s="19" t="s">
        <v>667</v>
      </c>
    </row>
    <row r="45" spans="4:6" x14ac:dyDescent="0.25">
      <c r="D45" s="47" t="s">
        <v>952</v>
      </c>
      <c r="E45" s="19" t="s">
        <v>28</v>
      </c>
      <c r="F45" s="19" t="s">
        <v>879</v>
      </c>
    </row>
    <row r="46" spans="4:6" x14ac:dyDescent="0.25">
      <c r="D46" s="47" t="s">
        <v>666</v>
      </c>
      <c r="E46" s="19" t="s">
        <v>29</v>
      </c>
      <c r="F46" s="19" t="s">
        <v>667</v>
      </c>
    </row>
    <row r="47" spans="4:6" x14ac:dyDescent="0.25">
      <c r="D47" s="47" t="s">
        <v>670</v>
      </c>
      <c r="E47" s="19" t="s">
        <v>29</v>
      </c>
      <c r="F47" s="19" t="s">
        <v>571</v>
      </c>
    </row>
    <row r="48" spans="4:6" x14ac:dyDescent="0.25">
      <c r="D48" s="47" t="s">
        <v>706</v>
      </c>
      <c r="E48" s="19" t="s">
        <v>29</v>
      </c>
      <c r="F48" s="19" t="s">
        <v>696</v>
      </c>
    </row>
    <row r="49" spans="4:6" x14ac:dyDescent="0.25">
      <c r="D49" s="47" t="s">
        <v>707</v>
      </c>
      <c r="E49" s="60" t="s">
        <v>29</v>
      </c>
      <c r="F49" s="60" t="s">
        <v>708</v>
      </c>
    </row>
    <row r="50" spans="4:6" x14ac:dyDescent="0.25">
      <c r="D50" s="47" t="s">
        <v>709</v>
      </c>
      <c r="E50" s="60" t="s">
        <v>29</v>
      </c>
      <c r="F50" s="60" t="s">
        <v>573</v>
      </c>
    </row>
    <row r="51" spans="4:6" x14ac:dyDescent="0.25">
      <c r="D51" s="47" t="s">
        <v>953</v>
      </c>
      <c r="E51" s="19" t="s">
        <v>29</v>
      </c>
      <c r="F51" s="19" t="s">
        <v>879</v>
      </c>
    </row>
    <row r="52" spans="4:6" x14ac:dyDescent="0.25">
      <c r="D52" s="47" t="s">
        <v>1062</v>
      </c>
      <c r="E52" s="19" t="s">
        <v>29</v>
      </c>
      <c r="F52" s="19" t="s">
        <v>879</v>
      </c>
    </row>
    <row r="53" spans="4:6" x14ac:dyDescent="0.25">
      <c r="D53" s="47" t="s">
        <v>1094</v>
      </c>
      <c r="E53" s="60" t="s">
        <v>29</v>
      </c>
      <c r="F53" s="60" t="s">
        <v>879</v>
      </c>
    </row>
    <row r="54" spans="4:6" x14ac:dyDescent="0.25">
      <c r="D54" s="75" t="s">
        <v>1786</v>
      </c>
      <c r="E54" s="74" t="s">
        <v>29</v>
      </c>
      <c r="F54" s="74" t="s">
        <v>879</v>
      </c>
    </row>
    <row r="55" spans="4:6" x14ac:dyDescent="0.25">
      <c r="D55" s="47" t="s">
        <v>1092</v>
      </c>
      <c r="E55" s="19" t="s">
        <v>30</v>
      </c>
      <c r="F55" s="19" t="s">
        <v>879</v>
      </c>
    </row>
    <row r="56" spans="4:6" x14ac:dyDescent="0.25">
      <c r="D56" s="47" t="s">
        <v>1105</v>
      </c>
      <c r="E56" s="19" t="s">
        <v>30</v>
      </c>
      <c r="F56" s="19" t="s">
        <v>1106</v>
      </c>
    </row>
    <row r="57" spans="4:6" x14ac:dyDescent="0.25">
      <c r="D57" s="47" t="s">
        <v>1154</v>
      </c>
      <c r="E57" s="19" t="s">
        <v>30</v>
      </c>
      <c r="F57" s="19" t="s">
        <v>1155</v>
      </c>
    </row>
    <row r="58" spans="4:6" x14ac:dyDescent="0.25">
      <c r="D58" s="75" t="s">
        <v>1604</v>
      </c>
      <c r="E58" s="74" t="s">
        <v>30</v>
      </c>
      <c r="F58" s="74" t="s">
        <v>879</v>
      </c>
    </row>
    <row r="59" spans="4:6" x14ac:dyDescent="0.25">
      <c r="D59" s="47" t="s">
        <v>1108</v>
      </c>
      <c r="E59" s="19" t="s">
        <v>195</v>
      </c>
      <c r="F59" s="19" t="s">
        <v>1109</v>
      </c>
    </row>
    <row r="60" spans="4:6" x14ac:dyDescent="0.25">
      <c r="D60" s="75" t="s">
        <v>1454</v>
      </c>
      <c r="E60" s="74" t="s">
        <v>195</v>
      </c>
      <c r="F60" s="74" t="s">
        <v>1109</v>
      </c>
    </row>
    <row r="61" spans="4:6" x14ac:dyDescent="0.25">
      <c r="D61" s="42" t="s">
        <v>387</v>
      </c>
      <c r="E61" s="24" t="s">
        <v>33</v>
      </c>
      <c r="F61" s="24" t="s">
        <v>393</v>
      </c>
    </row>
    <row r="62" spans="4:6" x14ac:dyDescent="0.25">
      <c r="D62" s="47" t="s">
        <v>745</v>
      </c>
      <c r="E62" s="19" t="s">
        <v>33</v>
      </c>
      <c r="F62" s="19" t="s">
        <v>714</v>
      </c>
    </row>
    <row r="63" spans="4:6" x14ac:dyDescent="0.25">
      <c r="D63" s="47" t="s">
        <v>746</v>
      </c>
      <c r="E63" s="19" t="s">
        <v>33</v>
      </c>
      <c r="F63" s="19" t="s">
        <v>714</v>
      </c>
    </row>
    <row r="64" spans="4:6" x14ac:dyDescent="0.25">
      <c r="D64" s="75" t="s">
        <v>1456</v>
      </c>
      <c r="E64" s="74" t="s">
        <v>33</v>
      </c>
      <c r="F64" s="74" t="s">
        <v>1416</v>
      </c>
    </row>
    <row r="65" spans="4:6" x14ac:dyDescent="0.25">
      <c r="D65" s="47" t="s">
        <v>744</v>
      </c>
      <c r="E65" s="19" t="s">
        <v>34</v>
      </c>
      <c r="F65" s="19" t="s">
        <v>714</v>
      </c>
    </row>
    <row r="66" spans="4:6" x14ac:dyDescent="0.25">
      <c r="D66" s="75" t="s">
        <v>1623</v>
      </c>
      <c r="E66" s="74" t="s">
        <v>34</v>
      </c>
      <c r="F66" s="74" t="s">
        <v>879</v>
      </c>
    </row>
    <row r="67" spans="4:6" x14ac:dyDescent="0.25">
      <c r="D67" s="75" t="s">
        <v>1810</v>
      </c>
      <c r="E67" s="74" t="s">
        <v>34</v>
      </c>
      <c r="F67" s="74" t="s">
        <v>879</v>
      </c>
    </row>
    <row r="68" spans="4:6" x14ac:dyDescent="0.25">
      <c r="D68" s="75" t="s">
        <v>1768</v>
      </c>
      <c r="E68" s="74" t="s">
        <v>1333</v>
      </c>
      <c r="F68" s="74" t="s">
        <v>879</v>
      </c>
    </row>
    <row r="69" spans="4:6" x14ac:dyDescent="0.25">
      <c r="D69" s="47" t="s">
        <v>433</v>
      </c>
      <c r="E69" s="19" t="s">
        <v>2</v>
      </c>
      <c r="F69" s="19" t="s">
        <v>434</v>
      </c>
    </row>
    <row r="70" spans="4:6" x14ac:dyDescent="0.25">
      <c r="D70" s="47" t="s">
        <v>435</v>
      </c>
      <c r="E70" s="19" t="s">
        <v>2</v>
      </c>
      <c r="F70" s="19" t="s">
        <v>436</v>
      </c>
    </row>
    <row r="71" spans="4:6" x14ac:dyDescent="0.25">
      <c r="D71" s="47" t="s">
        <v>437</v>
      </c>
      <c r="E71" s="19" t="s">
        <v>2</v>
      </c>
      <c r="F71" s="19" t="s">
        <v>438</v>
      </c>
    </row>
    <row r="72" spans="4:6" x14ac:dyDescent="0.25">
      <c r="D72" s="47" t="s">
        <v>444</v>
      </c>
      <c r="E72" s="19" t="s">
        <v>2</v>
      </c>
      <c r="F72" s="19" t="s">
        <v>445</v>
      </c>
    </row>
    <row r="73" spans="4:6" x14ac:dyDescent="0.25">
      <c r="D73" s="47" t="s">
        <v>446</v>
      </c>
      <c r="E73" s="19" t="s">
        <v>2</v>
      </c>
      <c r="F73" s="19" t="s">
        <v>447</v>
      </c>
    </row>
    <row r="74" spans="4:6" x14ac:dyDescent="0.25">
      <c r="D74" s="47" t="s">
        <v>1029</v>
      </c>
      <c r="E74" s="19" t="s">
        <v>2</v>
      </c>
      <c r="F74" s="19" t="s">
        <v>1030</v>
      </c>
    </row>
    <row r="75" spans="4:6" x14ac:dyDescent="0.25">
      <c r="D75" s="47" t="s">
        <v>1068</v>
      </c>
      <c r="E75" s="19" t="s">
        <v>2</v>
      </c>
      <c r="F75" s="19" t="s">
        <v>879</v>
      </c>
    </row>
    <row r="76" spans="4:6" x14ac:dyDescent="0.25">
      <c r="D76" s="47" t="s">
        <v>1091</v>
      </c>
      <c r="E76" s="19" t="s">
        <v>2</v>
      </c>
      <c r="F76" s="19" t="s">
        <v>879</v>
      </c>
    </row>
    <row r="77" spans="4:6" x14ac:dyDescent="0.25">
      <c r="D77" s="47" t="s">
        <v>1115</v>
      </c>
      <c r="E77" s="19" t="s">
        <v>2</v>
      </c>
      <c r="F77" s="19" t="s">
        <v>1116</v>
      </c>
    </row>
    <row r="78" spans="4:6" x14ac:dyDescent="0.25">
      <c r="D78" s="75" t="s">
        <v>1596</v>
      </c>
      <c r="E78" s="74" t="s">
        <v>2</v>
      </c>
      <c r="F78" s="74" t="s">
        <v>879</v>
      </c>
    </row>
    <row r="79" spans="4:6" x14ac:dyDescent="0.25">
      <c r="D79" s="75" t="s">
        <v>1712</v>
      </c>
      <c r="E79" s="74" t="s">
        <v>2</v>
      </c>
      <c r="F79" s="74" t="s">
        <v>879</v>
      </c>
    </row>
    <row r="80" spans="4:6" x14ac:dyDescent="0.25">
      <c r="D80" s="75" t="s">
        <v>1756</v>
      </c>
      <c r="E80" s="74" t="s">
        <v>2</v>
      </c>
      <c r="F80" s="74" t="s">
        <v>879</v>
      </c>
    </row>
    <row r="81" spans="4:6" x14ac:dyDescent="0.25">
      <c r="D81" s="47" t="s">
        <v>431</v>
      </c>
      <c r="E81" s="19" t="s">
        <v>3</v>
      </c>
      <c r="F81" s="19" t="s">
        <v>432</v>
      </c>
    </row>
    <row r="82" spans="4:6" x14ac:dyDescent="0.25">
      <c r="D82" s="47" t="s">
        <v>448</v>
      </c>
      <c r="E82" s="19" t="s">
        <v>3</v>
      </c>
      <c r="F82" s="19" t="s">
        <v>443</v>
      </c>
    </row>
    <row r="83" spans="4:6" x14ac:dyDescent="0.25">
      <c r="D83" s="47" t="s">
        <v>449</v>
      </c>
      <c r="E83" s="19" t="s">
        <v>3</v>
      </c>
      <c r="F83" s="19" t="s">
        <v>450</v>
      </c>
    </row>
    <row r="84" spans="4:6" x14ac:dyDescent="0.25">
      <c r="D84" s="47" t="s">
        <v>451</v>
      </c>
      <c r="E84" s="19" t="s">
        <v>3</v>
      </c>
      <c r="F84" s="19" t="s">
        <v>452</v>
      </c>
    </row>
    <row r="85" spans="4:6" x14ac:dyDescent="0.25">
      <c r="D85" s="47" t="s">
        <v>945</v>
      </c>
      <c r="E85" s="19" t="s">
        <v>3</v>
      </c>
      <c r="F85" s="19" t="s">
        <v>879</v>
      </c>
    </row>
    <row r="86" spans="4:6" x14ac:dyDescent="0.25">
      <c r="D86" s="47" t="s">
        <v>1082</v>
      </c>
      <c r="E86" s="19" t="s">
        <v>3</v>
      </c>
      <c r="F86" s="19" t="s">
        <v>879</v>
      </c>
    </row>
    <row r="87" spans="4:6" x14ac:dyDescent="0.25">
      <c r="D87" s="47" t="s">
        <v>1171</v>
      </c>
      <c r="E87" s="60" t="s">
        <v>3</v>
      </c>
      <c r="F87" s="60" t="s">
        <v>1172</v>
      </c>
    </row>
    <row r="88" spans="4:6" x14ac:dyDescent="0.25">
      <c r="D88" s="75" t="s">
        <v>1591</v>
      </c>
      <c r="E88" s="74" t="s">
        <v>3</v>
      </c>
      <c r="F88" s="74" t="s">
        <v>879</v>
      </c>
    </row>
    <row r="89" spans="4:6" x14ac:dyDescent="0.25">
      <c r="D89" s="47" t="s">
        <v>439</v>
      </c>
      <c r="E89" s="60" t="s">
        <v>4</v>
      </c>
      <c r="F89" s="60" t="s">
        <v>440</v>
      </c>
    </row>
    <row r="90" spans="4:6" x14ac:dyDescent="0.25">
      <c r="D90" s="47" t="s">
        <v>441</v>
      </c>
      <c r="E90" s="19" t="s">
        <v>4</v>
      </c>
      <c r="F90" s="19" t="s">
        <v>436</v>
      </c>
    </row>
    <row r="91" spans="4:6" x14ac:dyDescent="0.25">
      <c r="D91" s="47" t="s">
        <v>442</v>
      </c>
      <c r="E91" s="60" t="s">
        <v>4</v>
      </c>
      <c r="F91" s="60" t="s">
        <v>443</v>
      </c>
    </row>
    <row r="92" spans="4:6" x14ac:dyDescent="0.25">
      <c r="D92" s="47" t="s">
        <v>803</v>
      </c>
      <c r="E92" s="19" t="s">
        <v>4</v>
      </c>
      <c r="F92" s="19" t="s">
        <v>804</v>
      </c>
    </row>
    <row r="93" spans="4:6" x14ac:dyDescent="0.25">
      <c r="D93" s="47" t="s">
        <v>805</v>
      </c>
      <c r="E93" s="19" t="s">
        <v>4</v>
      </c>
      <c r="F93" s="19" t="s">
        <v>466</v>
      </c>
    </row>
    <row r="94" spans="4:6" x14ac:dyDescent="0.25">
      <c r="D94" s="47" t="s">
        <v>806</v>
      </c>
      <c r="E94" s="60" t="s">
        <v>4</v>
      </c>
      <c r="F94" s="60" t="s">
        <v>807</v>
      </c>
    </row>
    <row r="95" spans="4:6" x14ac:dyDescent="0.25">
      <c r="D95" s="47" t="s">
        <v>808</v>
      </c>
      <c r="E95" s="60" t="s">
        <v>4</v>
      </c>
      <c r="F95" s="60" t="s">
        <v>809</v>
      </c>
    </row>
    <row r="96" spans="4:6" x14ac:dyDescent="0.25">
      <c r="D96" s="47" t="s">
        <v>810</v>
      </c>
      <c r="E96" s="19" t="s">
        <v>4</v>
      </c>
      <c r="F96" s="19" t="s">
        <v>811</v>
      </c>
    </row>
    <row r="97" spans="4:6" x14ac:dyDescent="0.25">
      <c r="D97" s="47" t="s">
        <v>812</v>
      </c>
      <c r="E97" s="19" t="s">
        <v>4</v>
      </c>
      <c r="F97" s="19" t="s">
        <v>813</v>
      </c>
    </row>
    <row r="98" spans="4:6" x14ac:dyDescent="0.25">
      <c r="D98" s="47" t="s">
        <v>814</v>
      </c>
      <c r="E98" s="19" t="s">
        <v>4</v>
      </c>
      <c r="F98" s="19" t="s">
        <v>443</v>
      </c>
    </row>
    <row r="99" spans="4:6" x14ac:dyDescent="0.25">
      <c r="D99" s="47" t="s">
        <v>815</v>
      </c>
      <c r="E99" s="19" t="s">
        <v>4</v>
      </c>
      <c r="F99" s="19" t="s">
        <v>462</v>
      </c>
    </row>
    <row r="100" spans="4:6" x14ac:dyDescent="0.25">
      <c r="D100" s="47" t="s">
        <v>843</v>
      </c>
      <c r="E100" s="19" t="s">
        <v>4</v>
      </c>
      <c r="F100" s="19" t="s">
        <v>438</v>
      </c>
    </row>
    <row r="101" spans="4:6" x14ac:dyDescent="0.25">
      <c r="D101" s="47" t="s">
        <v>844</v>
      </c>
      <c r="E101" s="19" t="s">
        <v>4</v>
      </c>
      <c r="F101" s="19" t="s">
        <v>845</v>
      </c>
    </row>
    <row r="102" spans="4:6" x14ac:dyDescent="0.25">
      <c r="D102" s="47" t="s">
        <v>956</v>
      </c>
      <c r="E102" s="19" t="s">
        <v>4</v>
      </c>
      <c r="F102" s="19" t="s">
        <v>879</v>
      </c>
    </row>
    <row r="103" spans="4:6" x14ac:dyDescent="0.25">
      <c r="D103" s="47" t="s">
        <v>1000</v>
      </c>
      <c r="E103" s="19" t="s">
        <v>4</v>
      </c>
      <c r="F103" s="19" t="s">
        <v>879</v>
      </c>
    </row>
    <row r="104" spans="4:6" x14ac:dyDescent="0.25">
      <c r="D104" s="47" t="s">
        <v>1122</v>
      </c>
      <c r="E104" s="19" t="s">
        <v>4</v>
      </c>
      <c r="F104" s="19" t="s">
        <v>1123</v>
      </c>
    </row>
    <row r="105" spans="4:6" x14ac:dyDescent="0.25">
      <c r="D105" s="75" t="s">
        <v>1419</v>
      </c>
      <c r="E105" s="74" t="s">
        <v>4</v>
      </c>
      <c r="F105" s="74" t="s">
        <v>1416</v>
      </c>
    </row>
    <row r="106" spans="4:6" x14ac:dyDescent="0.25">
      <c r="D106" s="75" t="s">
        <v>1453</v>
      </c>
      <c r="E106" s="74" t="s">
        <v>4</v>
      </c>
      <c r="F106" s="74" t="s">
        <v>1109</v>
      </c>
    </row>
    <row r="107" spans="4:6" x14ac:dyDescent="0.25">
      <c r="D107" s="75" t="s">
        <v>1499</v>
      </c>
      <c r="E107" s="74" t="s">
        <v>4</v>
      </c>
      <c r="F107" s="74" t="s">
        <v>879</v>
      </c>
    </row>
    <row r="108" spans="4:6" x14ac:dyDescent="0.25">
      <c r="D108" s="75" t="s">
        <v>1607</v>
      </c>
      <c r="E108" s="74" t="s">
        <v>4</v>
      </c>
      <c r="F108" s="74" t="s">
        <v>879</v>
      </c>
    </row>
    <row r="109" spans="4:6" x14ac:dyDescent="0.25">
      <c r="D109" s="75" t="s">
        <v>1634</v>
      </c>
      <c r="E109" s="74" t="s">
        <v>4</v>
      </c>
      <c r="F109" s="74" t="s">
        <v>879</v>
      </c>
    </row>
    <row r="110" spans="4:6" x14ac:dyDescent="0.25">
      <c r="D110" s="47" t="s">
        <v>398</v>
      </c>
      <c r="E110" s="19" t="s">
        <v>125</v>
      </c>
      <c r="F110" s="19" t="s">
        <v>399</v>
      </c>
    </row>
    <row r="111" spans="4:6" x14ac:dyDescent="0.25">
      <c r="D111" s="75" t="s">
        <v>1503</v>
      </c>
      <c r="E111" s="74" t="s">
        <v>125</v>
      </c>
      <c r="F111" s="74" t="s">
        <v>879</v>
      </c>
    </row>
    <row r="112" spans="4:6" x14ac:dyDescent="0.25">
      <c r="D112" s="47" t="s">
        <v>620</v>
      </c>
      <c r="E112" s="19" t="s">
        <v>208</v>
      </c>
      <c r="F112" s="19" t="s">
        <v>621</v>
      </c>
    </row>
    <row r="113" spans="4:6" x14ac:dyDescent="0.25">
      <c r="D113" s="47" t="s">
        <v>1098</v>
      </c>
      <c r="E113" s="60" t="s">
        <v>1022</v>
      </c>
      <c r="F113" s="60" t="s">
        <v>879</v>
      </c>
    </row>
    <row r="114" spans="4:6" x14ac:dyDescent="0.25">
      <c r="D114" s="75" t="s">
        <v>1834</v>
      </c>
      <c r="E114" s="74" t="s">
        <v>1565</v>
      </c>
      <c r="F114" s="74" t="s">
        <v>879</v>
      </c>
    </row>
    <row r="115" spans="4:6" x14ac:dyDescent="0.25">
      <c r="D115" s="75" t="s">
        <v>1717</v>
      </c>
      <c r="E115" s="74" t="s">
        <v>218</v>
      </c>
      <c r="F115" s="74" t="s">
        <v>879</v>
      </c>
    </row>
    <row r="116" spans="4:6" x14ac:dyDescent="0.25">
      <c r="D116" s="75" t="s">
        <v>1784</v>
      </c>
      <c r="E116" s="74" t="s">
        <v>1571</v>
      </c>
      <c r="F116" s="74" t="s">
        <v>879</v>
      </c>
    </row>
    <row r="117" spans="4:6" x14ac:dyDescent="0.25">
      <c r="D117" s="75" t="s">
        <v>1497</v>
      </c>
      <c r="E117" s="74" t="s">
        <v>1498</v>
      </c>
      <c r="F117" s="74" t="s">
        <v>879</v>
      </c>
    </row>
    <row r="118" spans="4:6" x14ac:dyDescent="0.25">
      <c r="D118" s="75" t="s">
        <v>1426</v>
      </c>
      <c r="E118" s="74" t="s">
        <v>373</v>
      </c>
      <c r="F118" s="74" t="s">
        <v>1416</v>
      </c>
    </row>
    <row r="119" spans="4:6" x14ac:dyDescent="0.25">
      <c r="D119" s="75" t="s">
        <v>1847</v>
      </c>
      <c r="E119" s="74" t="s">
        <v>373</v>
      </c>
      <c r="F119" s="74" t="s">
        <v>1848</v>
      </c>
    </row>
    <row r="120" spans="4:6" x14ac:dyDescent="0.25">
      <c r="D120" s="47" t="s">
        <v>863</v>
      </c>
      <c r="E120" s="19" t="s">
        <v>180</v>
      </c>
      <c r="F120" s="19" t="s">
        <v>864</v>
      </c>
    </row>
    <row r="121" spans="4:6" x14ac:dyDescent="0.25">
      <c r="D121" s="47" t="s">
        <v>891</v>
      </c>
      <c r="E121" s="19" t="s">
        <v>180</v>
      </c>
      <c r="F121" s="19" t="s">
        <v>892</v>
      </c>
    </row>
    <row r="122" spans="4:6" x14ac:dyDescent="0.25">
      <c r="D122" s="47" t="s">
        <v>895</v>
      </c>
      <c r="E122" s="60" t="s">
        <v>180</v>
      </c>
      <c r="F122" s="60" t="s">
        <v>896</v>
      </c>
    </row>
    <row r="123" spans="4:6" x14ac:dyDescent="0.25">
      <c r="D123" s="47" t="s">
        <v>979</v>
      </c>
      <c r="E123" s="60" t="s">
        <v>180</v>
      </c>
      <c r="F123" s="60" t="s">
        <v>879</v>
      </c>
    </row>
    <row r="124" spans="4:6" x14ac:dyDescent="0.25">
      <c r="D124" s="47" t="s">
        <v>893</v>
      </c>
      <c r="E124" s="60" t="s">
        <v>197</v>
      </c>
      <c r="F124" s="60" t="s">
        <v>894</v>
      </c>
    </row>
    <row r="125" spans="4:6" x14ac:dyDescent="0.25">
      <c r="D125" s="47" t="s">
        <v>900</v>
      </c>
      <c r="E125" s="19" t="s">
        <v>197</v>
      </c>
      <c r="F125" s="19" t="s">
        <v>501</v>
      </c>
    </row>
    <row r="126" spans="4:6" x14ac:dyDescent="0.25">
      <c r="D126" s="47" t="s">
        <v>902</v>
      </c>
      <c r="E126" s="19" t="s">
        <v>197</v>
      </c>
      <c r="F126" s="19" t="s">
        <v>903</v>
      </c>
    </row>
    <row r="127" spans="4:6" x14ac:dyDescent="0.25">
      <c r="D127" s="47" t="s">
        <v>1009</v>
      </c>
      <c r="E127" s="19" t="s">
        <v>197</v>
      </c>
      <c r="F127" s="19" t="s">
        <v>879</v>
      </c>
    </row>
    <row r="128" spans="4:6" x14ac:dyDescent="0.25">
      <c r="D128" s="75" t="s">
        <v>1801</v>
      </c>
      <c r="E128" s="74" t="s">
        <v>197</v>
      </c>
      <c r="F128" s="74" t="s">
        <v>879</v>
      </c>
    </row>
    <row r="129" spans="4:6" x14ac:dyDescent="0.25">
      <c r="D129" s="75" t="s">
        <v>1817</v>
      </c>
      <c r="E129" s="74" t="s">
        <v>197</v>
      </c>
      <c r="F129" s="74" t="s">
        <v>879</v>
      </c>
    </row>
    <row r="130" spans="4:6" x14ac:dyDescent="0.25">
      <c r="D130" s="47" t="s">
        <v>878</v>
      </c>
      <c r="E130" s="19" t="s">
        <v>181</v>
      </c>
      <c r="F130" s="19" t="s">
        <v>879</v>
      </c>
    </row>
    <row r="131" spans="4:6" x14ac:dyDescent="0.25">
      <c r="D131" s="47" t="s">
        <v>880</v>
      </c>
      <c r="E131" s="60" t="s">
        <v>181</v>
      </c>
      <c r="F131" s="60" t="s">
        <v>879</v>
      </c>
    </row>
    <row r="132" spans="4:6" x14ac:dyDescent="0.25">
      <c r="D132" s="75" t="s">
        <v>1667</v>
      </c>
      <c r="E132" s="74" t="s">
        <v>181</v>
      </c>
      <c r="F132" s="74" t="s">
        <v>1668</v>
      </c>
    </row>
    <row r="133" spans="4:6" x14ac:dyDescent="0.25">
      <c r="D133" s="75" t="s">
        <v>1833</v>
      </c>
      <c r="E133" s="74" t="s">
        <v>181</v>
      </c>
      <c r="F133" s="74" t="s">
        <v>879</v>
      </c>
    </row>
    <row r="134" spans="4:6" x14ac:dyDescent="0.25">
      <c r="D134" s="47" t="s">
        <v>865</v>
      </c>
      <c r="E134" s="60" t="s">
        <v>182</v>
      </c>
      <c r="F134" s="60" t="s">
        <v>866</v>
      </c>
    </row>
    <row r="135" spans="4:6" x14ac:dyDescent="0.25">
      <c r="D135" s="75" t="s">
        <v>1425</v>
      </c>
      <c r="E135" s="74" t="s">
        <v>182</v>
      </c>
      <c r="F135" s="74" t="s">
        <v>1416</v>
      </c>
    </row>
    <row r="136" spans="4:6" x14ac:dyDescent="0.25">
      <c r="D136" s="75" t="s">
        <v>1450</v>
      </c>
      <c r="E136" s="74" t="s">
        <v>182</v>
      </c>
      <c r="F136" s="74" t="s">
        <v>1416</v>
      </c>
    </row>
    <row r="137" spans="4:6" x14ac:dyDescent="0.25">
      <c r="D137" s="47" t="s">
        <v>861</v>
      </c>
      <c r="E137" s="19" t="s">
        <v>209</v>
      </c>
      <c r="F137" s="19" t="s">
        <v>862</v>
      </c>
    </row>
    <row r="138" spans="4:6" x14ac:dyDescent="0.25">
      <c r="D138" s="47" t="s">
        <v>901</v>
      </c>
      <c r="E138" s="19" t="s">
        <v>209</v>
      </c>
      <c r="F138" s="19" t="s">
        <v>862</v>
      </c>
    </row>
    <row r="139" spans="4:6" x14ac:dyDescent="0.25">
      <c r="D139" s="75" t="s">
        <v>1753</v>
      </c>
      <c r="E139" s="74" t="s">
        <v>209</v>
      </c>
      <c r="F139" s="74" t="s">
        <v>879</v>
      </c>
    </row>
    <row r="140" spans="4:6" x14ac:dyDescent="0.25">
      <c r="D140" s="75" t="s">
        <v>1816</v>
      </c>
      <c r="E140" s="74" t="s">
        <v>209</v>
      </c>
      <c r="F140" s="74" t="s">
        <v>879</v>
      </c>
    </row>
    <row r="141" spans="4:6" x14ac:dyDescent="0.25">
      <c r="D141" s="47" t="s">
        <v>618</v>
      </c>
      <c r="E141" s="19" t="s">
        <v>183</v>
      </c>
      <c r="F141" s="19" t="s">
        <v>619</v>
      </c>
    </row>
    <row r="142" spans="4:6" x14ac:dyDescent="0.25">
      <c r="D142" s="47" t="s">
        <v>920</v>
      </c>
      <c r="E142" s="19" t="s">
        <v>183</v>
      </c>
      <c r="F142" s="19" t="s">
        <v>879</v>
      </c>
    </row>
    <row r="143" spans="4:6" x14ac:dyDescent="0.25">
      <c r="D143" s="75" t="s">
        <v>1428</v>
      </c>
      <c r="E143" s="74" t="s">
        <v>183</v>
      </c>
      <c r="F143" s="74" t="s">
        <v>1416</v>
      </c>
    </row>
    <row r="144" spans="4:6" x14ac:dyDescent="0.25">
      <c r="D144" s="75" t="s">
        <v>1432</v>
      </c>
      <c r="E144" s="74" t="s">
        <v>183</v>
      </c>
      <c r="F144" s="74" t="s">
        <v>1416</v>
      </c>
    </row>
    <row r="145" spans="4:6" x14ac:dyDescent="0.25">
      <c r="D145" s="75" t="s">
        <v>1470</v>
      </c>
      <c r="E145" s="74" t="s">
        <v>183</v>
      </c>
      <c r="F145" s="74" t="s">
        <v>1471</v>
      </c>
    </row>
    <row r="146" spans="4:6" x14ac:dyDescent="0.25">
      <c r="D146" s="75" t="s">
        <v>1478</v>
      </c>
      <c r="E146" s="74" t="s">
        <v>183</v>
      </c>
      <c r="F146" s="74" t="s">
        <v>1406</v>
      </c>
    </row>
    <row r="147" spans="4:6" x14ac:dyDescent="0.25">
      <c r="D147" s="75" t="s">
        <v>1507</v>
      </c>
      <c r="E147" s="74" t="s">
        <v>183</v>
      </c>
      <c r="F147" s="74" t="s">
        <v>1400</v>
      </c>
    </row>
    <row r="148" spans="4:6" x14ac:dyDescent="0.25">
      <c r="D148" s="75" t="s">
        <v>1534</v>
      </c>
      <c r="E148" s="74" t="s">
        <v>183</v>
      </c>
      <c r="F148" s="74" t="s">
        <v>1535</v>
      </c>
    </row>
    <row r="149" spans="4:6" x14ac:dyDescent="0.25">
      <c r="D149" s="75" t="s">
        <v>1536</v>
      </c>
      <c r="E149" s="74" t="s">
        <v>183</v>
      </c>
      <c r="F149" s="74" t="s">
        <v>1537</v>
      </c>
    </row>
    <row r="150" spans="4:6" x14ac:dyDescent="0.25">
      <c r="D150" s="75" t="s">
        <v>1661</v>
      </c>
      <c r="E150" s="74" t="s">
        <v>183</v>
      </c>
      <c r="F150" s="74" t="s">
        <v>1662</v>
      </c>
    </row>
    <row r="151" spans="4:6" x14ac:dyDescent="0.25">
      <c r="D151" s="75" t="s">
        <v>1856</v>
      </c>
      <c r="E151" s="74" t="s">
        <v>183</v>
      </c>
      <c r="F151" s="74" t="s">
        <v>879</v>
      </c>
    </row>
    <row r="152" spans="4:6" x14ac:dyDescent="0.25">
      <c r="D152" s="75" t="s">
        <v>1829</v>
      </c>
      <c r="E152" s="74" t="s">
        <v>1566</v>
      </c>
      <c r="F152" s="74" t="s">
        <v>879</v>
      </c>
    </row>
    <row r="153" spans="4:6" x14ac:dyDescent="0.25">
      <c r="D153" s="47" t="s">
        <v>887</v>
      </c>
      <c r="E153" s="19" t="s">
        <v>357</v>
      </c>
      <c r="F153" s="19" t="s">
        <v>888</v>
      </c>
    </row>
    <row r="154" spans="4:6" x14ac:dyDescent="0.25">
      <c r="D154" s="47" t="s">
        <v>1135</v>
      </c>
      <c r="E154" s="19" t="s">
        <v>210</v>
      </c>
      <c r="F154" s="19" t="s">
        <v>1136</v>
      </c>
    </row>
    <row r="155" spans="4:6" x14ac:dyDescent="0.25">
      <c r="D155" s="75" t="s">
        <v>1427</v>
      </c>
      <c r="E155" s="74" t="s">
        <v>210</v>
      </c>
      <c r="F155" s="74" t="s">
        <v>1416</v>
      </c>
    </row>
    <row r="156" spans="4:6" x14ac:dyDescent="0.25">
      <c r="D156" s="75" t="s">
        <v>1433</v>
      </c>
      <c r="E156" s="74" t="s">
        <v>210</v>
      </c>
      <c r="F156" s="74" t="s">
        <v>1416</v>
      </c>
    </row>
    <row r="157" spans="4:6" x14ac:dyDescent="0.25">
      <c r="D157" s="75" t="s">
        <v>1532</v>
      </c>
      <c r="E157" s="74" t="s">
        <v>210</v>
      </c>
      <c r="F157" s="74" t="s">
        <v>1533</v>
      </c>
    </row>
    <row r="158" spans="4:6" x14ac:dyDescent="0.25">
      <c r="D158" s="75" t="s">
        <v>1811</v>
      </c>
      <c r="E158" s="74" t="s">
        <v>210</v>
      </c>
      <c r="F158" s="74" t="s">
        <v>879</v>
      </c>
    </row>
    <row r="159" spans="4:6" x14ac:dyDescent="0.25">
      <c r="D159" s="75" t="s">
        <v>1821</v>
      </c>
      <c r="E159" s="74" t="s">
        <v>210</v>
      </c>
      <c r="F159" s="74" t="s">
        <v>879</v>
      </c>
    </row>
    <row r="160" spans="4:6" x14ac:dyDescent="0.25">
      <c r="D160" s="75" t="s">
        <v>1863</v>
      </c>
      <c r="E160" s="74" t="s">
        <v>1559</v>
      </c>
      <c r="F160" s="74" t="s">
        <v>879</v>
      </c>
    </row>
    <row r="161" spans="4:6" x14ac:dyDescent="0.25">
      <c r="D161" s="47" t="s">
        <v>613</v>
      </c>
      <c r="E161" s="19" t="s">
        <v>184</v>
      </c>
      <c r="F161" s="19" t="s">
        <v>481</v>
      </c>
    </row>
    <row r="162" spans="4:6" x14ac:dyDescent="0.25">
      <c r="D162" s="47" t="s">
        <v>883</v>
      </c>
      <c r="E162" s="19" t="s">
        <v>184</v>
      </c>
      <c r="F162" s="19" t="s">
        <v>884</v>
      </c>
    </row>
    <row r="163" spans="4:6" x14ac:dyDescent="0.25">
      <c r="D163" s="47" t="s">
        <v>890</v>
      </c>
      <c r="E163" s="19" t="s">
        <v>184</v>
      </c>
      <c r="F163" s="19" t="s">
        <v>481</v>
      </c>
    </row>
    <row r="164" spans="4:6" x14ac:dyDescent="0.25">
      <c r="D164" s="47" t="s">
        <v>904</v>
      </c>
      <c r="E164" s="19" t="s">
        <v>184</v>
      </c>
      <c r="F164" s="19" t="s">
        <v>615</v>
      </c>
    </row>
    <row r="165" spans="4:6" x14ac:dyDescent="0.25">
      <c r="D165" s="47" t="s">
        <v>1008</v>
      </c>
      <c r="E165" s="60" t="s">
        <v>184</v>
      </c>
      <c r="F165" s="60" t="s">
        <v>879</v>
      </c>
    </row>
    <row r="166" spans="4:6" x14ac:dyDescent="0.25">
      <c r="D166" s="47" t="s">
        <v>1139</v>
      </c>
      <c r="E166" s="19" t="s">
        <v>184</v>
      </c>
      <c r="F166" s="19" t="s">
        <v>1140</v>
      </c>
    </row>
    <row r="167" spans="4:6" x14ac:dyDescent="0.25">
      <c r="D167" s="75" t="s">
        <v>1424</v>
      </c>
      <c r="E167" s="74" t="s">
        <v>184</v>
      </c>
      <c r="F167" s="74" t="s">
        <v>1416</v>
      </c>
    </row>
    <row r="168" spans="4:6" x14ac:dyDescent="0.25">
      <c r="D168" s="75" t="s">
        <v>1464</v>
      </c>
      <c r="E168" s="74" t="s">
        <v>184</v>
      </c>
      <c r="F168" s="74" t="s">
        <v>1104</v>
      </c>
    </row>
    <row r="169" spans="4:6" x14ac:dyDescent="0.25">
      <c r="D169" s="75" t="s">
        <v>1477</v>
      </c>
      <c r="E169" s="74" t="s">
        <v>184</v>
      </c>
      <c r="F169" s="74" t="s">
        <v>1414</v>
      </c>
    </row>
    <row r="170" spans="4:6" x14ac:dyDescent="0.25">
      <c r="D170" s="75" t="s">
        <v>1479</v>
      </c>
      <c r="E170" s="74" t="s">
        <v>184</v>
      </c>
      <c r="F170" s="74" t="s">
        <v>1480</v>
      </c>
    </row>
    <row r="171" spans="4:6" x14ac:dyDescent="0.25">
      <c r="D171" s="75" t="s">
        <v>1530</v>
      </c>
      <c r="E171" s="74" t="s">
        <v>184</v>
      </c>
      <c r="F171" s="74" t="s">
        <v>1531</v>
      </c>
    </row>
    <row r="172" spans="4:6" x14ac:dyDescent="0.25">
      <c r="D172" s="75" t="s">
        <v>1608</v>
      </c>
      <c r="E172" s="74" t="s">
        <v>184</v>
      </c>
      <c r="F172" s="74" t="s">
        <v>879</v>
      </c>
    </row>
    <row r="173" spans="4:6" x14ac:dyDescent="0.25">
      <c r="D173" s="75" t="s">
        <v>1665</v>
      </c>
      <c r="E173" s="74" t="s">
        <v>184</v>
      </c>
      <c r="F173" s="74" t="s">
        <v>1666</v>
      </c>
    </row>
    <row r="174" spans="4:6" x14ac:dyDescent="0.25">
      <c r="D174" s="75" t="s">
        <v>1683</v>
      </c>
      <c r="E174" s="74" t="s">
        <v>184</v>
      </c>
      <c r="F174" s="74" t="s">
        <v>879</v>
      </c>
    </row>
    <row r="175" spans="4:6" x14ac:dyDescent="0.25">
      <c r="D175" s="75" t="s">
        <v>1800</v>
      </c>
      <c r="E175" s="74" t="s">
        <v>184</v>
      </c>
      <c r="F175" s="74" t="s">
        <v>879</v>
      </c>
    </row>
    <row r="176" spans="4:6" x14ac:dyDescent="0.25">
      <c r="D176" s="47" t="s">
        <v>867</v>
      </c>
      <c r="E176" s="60" t="s">
        <v>198</v>
      </c>
      <c r="F176" s="60" t="s">
        <v>868</v>
      </c>
    </row>
    <row r="177" spans="4:6" x14ac:dyDescent="0.25">
      <c r="D177" s="47" t="s">
        <v>897</v>
      </c>
      <c r="E177" s="19" t="s">
        <v>198</v>
      </c>
      <c r="F177" s="19" t="s">
        <v>868</v>
      </c>
    </row>
    <row r="178" spans="4:6" x14ac:dyDescent="0.25">
      <c r="D178" s="47" t="s">
        <v>905</v>
      </c>
      <c r="E178" s="19" t="s">
        <v>198</v>
      </c>
      <c r="F178" s="19" t="s">
        <v>868</v>
      </c>
    </row>
    <row r="179" spans="4:6" x14ac:dyDescent="0.25">
      <c r="D179" s="75" t="s">
        <v>1436</v>
      </c>
      <c r="E179" s="74" t="s">
        <v>198</v>
      </c>
      <c r="F179" s="74" t="s">
        <v>1416</v>
      </c>
    </row>
    <row r="180" spans="4:6" x14ac:dyDescent="0.25">
      <c r="D180" s="75" t="s">
        <v>1447</v>
      </c>
      <c r="E180" s="74" t="s">
        <v>198</v>
      </c>
      <c r="F180" s="74" t="s">
        <v>1416</v>
      </c>
    </row>
    <row r="181" spans="4:6" x14ac:dyDescent="0.25">
      <c r="D181" s="75" t="s">
        <v>1744</v>
      </c>
      <c r="E181" s="74" t="s">
        <v>198</v>
      </c>
      <c r="F181" s="74" t="s">
        <v>879</v>
      </c>
    </row>
    <row r="182" spans="4:6" x14ac:dyDescent="0.25">
      <c r="D182" s="75" t="s">
        <v>1797</v>
      </c>
      <c r="E182" s="74" t="s">
        <v>198</v>
      </c>
      <c r="F182" s="74" t="s">
        <v>879</v>
      </c>
    </row>
    <row r="183" spans="4:6" x14ac:dyDescent="0.25">
      <c r="D183" s="47" t="s">
        <v>899</v>
      </c>
      <c r="E183" s="60" t="s">
        <v>211</v>
      </c>
      <c r="F183" s="60" t="s">
        <v>481</v>
      </c>
    </row>
    <row r="184" spans="4:6" x14ac:dyDescent="0.25">
      <c r="D184" s="75" t="s">
        <v>1785</v>
      </c>
      <c r="E184" s="74" t="s">
        <v>211</v>
      </c>
      <c r="F184" s="74" t="s">
        <v>879</v>
      </c>
    </row>
    <row r="185" spans="4:6" x14ac:dyDescent="0.25">
      <c r="D185" s="47" t="s">
        <v>853</v>
      </c>
      <c r="E185" s="19" t="s">
        <v>199</v>
      </c>
      <c r="F185" s="19" t="s">
        <v>481</v>
      </c>
    </row>
    <row r="186" spans="4:6" x14ac:dyDescent="0.25">
      <c r="D186" s="47" t="s">
        <v>898</v>
      </c>
      <c r="E186" s="19" t="s">
        <v>199</v>
      </c>
      <c r="F186" s="19" t="s">
        <v>481</v>
      </c>
    </row>
    <row r="187" spans="4:6" x14ac:dyDescent="0.25">
      <c r="D187" s="75" t="s">
        <v>1423</v>
      </c>
      <c r="E187" s="74" t="s">
        <v>199</v>
      </c>
      <c r="F187" s="74" t="s">
        <v>1102</v>
      </c>
    </row>
    <row r="188" spans="4:6" x14ac:dyDescent="0.25">
      <c r="D188" s="75" t="s">
        <v>1476</v>
      </c>
      <c r="E188" s="74" t="s">
        <v>199</v>
      </c>
      <c r="F188" s="74" t="s">
        <v>1104</v>
      </c>
    </row>
    <row r="189" spans="4:6" x14ac:dyDescent="0.25">
      <c r="D189" s="47" t="s">
        <v>885</v>
      </c>
      <c r="E189" s="19" t="s">
        <v>222</v>
      </c>
      <c r="F189" s="19" t="s">
        <v>886</v>
      </c>
    </row>
    <row r="190" spans="4:6" x14ac:dyDescent="0.25">
      <c r="D190" s="47" t="s">
        <v>1095</v>
      </c>
      <c r="E190" s="19" t="s">
        <v>222</v>
      </c>
      <c r="F190" s="19" t="s">
        <v>879</v>
      </c>
    </row>
    <row r="191" spans="4:6" x14ac:dyDescent="0.25">
      <c r="D191" s="75" t="s">
        <v>1474</v>
      </c>
      <c r="E191" s="74" t="s">
        <v>222</v>
      </c>
      <c r="F191" s="74" t="s">
        <v>1475</v>
      </c>
    </row>
    <row r="192" spans="4:6" x14ac:dyDescent="0.25">
      <c r="D192" s="75" t="s">
        <v>1624</v>
      </c>
      <c r="E192" s="74" t="s">
        <v>222</v>
      </c>
      <c r="F192" s="74" t="s">
        <v>879</v>
      </c>
    </row>
    <row r="193" spans="4:6" x14ac:dyDescent="0.25">
      <c r="D193" s="75" t="s">
        <v>1716</v>
      </c>
      <c r="E193" s="74" t="s">
        <v>222</v>
      </c>
      <c r="F193" s="74" t="s">
        <v>879</v>
      </c>
    </row>
    <row r="194" spans="4:6" x14ac:dyDescent="0.25">
      <c r="D194" s="47" t="s">
        <v>614</v>
      </c>
      <c r="E194" s="19" t="s">
        <v>186</v>
      </c>
      <c r="F194" s="19" t="s">
        <v>615</v>
      </c>
    </row>
    <row r="195" spans="4:6" x14ac:dyDescent="0.25">
      <c r="D195" s="47" t="s">
        <v>616</v>
      </c>
      <c r="E195" s="19" t="s">
        <v>186</v>
      </c>
      <c r="F195" s="19" t="s">
        <v>617</v>
      </c>
    </row>
    <row r="196" spans="4:6" x14ac:dyDescent="0.25">
      <c r="D196" s="47" t="s">
        <v>869</v>
      </c>
      <c r="E196" s="19" t="s">
        <v>186</v>
      </c>
      <c r="F196" s="19" t="s">
        <v>615</v>
      </c>
    </row>
    <row r="197" spans="4:6" x14ac:dyDescent="0.25">
      <c r="D197" s="47" t="s">
        <v>870</v>
      </c>
      <c r="E197" s="60" t="s">
        <v>186</v>
      </c>
      <c r="F197" s="60" t="s">
        <v>617</v>
      </c>
    </row>
    <row r="198" spans="4:6" x14ac:dyDescent="0.25">
      <c r="D198" s="47" t="s">
        <v>871</v>
      </c>
      <c r="E198" s="19" t="s">
        <v>186</v>
      </c>
      <c r="F198" s="19" t="s">
        <v>615</v>
      </c>
    </row>
    <row r="199" spans="4:6" x14ac:dyDescent="0.25">
      <c r="D199" s="47" t="s">
        <v>872</v>
      </c>
      <c r="E199" s="19" t="s">
        <v>186</v>
      </c>
      <c r="F199" s="19" t="s">
        <v>615</v>
      </c>
    </row>
    <row r="200" spans="4:6" x14ac:dyDescent="0.25">
      <c r="D200" s="47" t="s">
        <v>875</v>
      </c>
      <c r="E200" s="19" t="s">
        <v>186</v>
      </c>
      <c r="F200" s="19" t="s">
        <v>615</v>
      </c>
    </row>
    <row r="201" spans="4:6" x14ac:dyDescent="0.25">
      <c r="D201" s="47" t="s">
        <v>876</v>
      </c>
      <c r="E201" s="60" t="s">
        <v>186</v>
      </c>
      <c r="F201" s="60" t="s">
        <v>877</v>
      </c>
    </row>
    <row r="202" spans="4:6" x14ac:dyDescent="0.25">
      <c r="D202" s="47" t="s">
        <v>881</v>
      </c>
      <c r="E202" s="19" t="s">
        <v>186</v>
      </c>
      <c r="F202" s="19" t="s">
        <v>615</v>
      </c>
    </row>
    <row r="203" spans="4:6" x14ac:dyDescent="0.25">
      <c r="D203" s="47" t="s">
        <v>882</v>
      </c>
      <c r="E203" s="19" t="s">
        <v>186</v>
      </c>
      <c r="F203" s="19" t="s">
        <v>615</v>
      </c>
    </row>
    <row r="204" spans="4:6" x14ac:dyDescent="0.25">
      <c r="D204" s="47" t="s">
        <v>889</v>
      </c>
      <c r="E204" s="19" t="s">
        <v>186</v>
      </c>
      <c r="F204" s="19" t="s">
        <v>877</v>
      </c>
    </row>
    <row r="205" spans="4:6" x14ac:dyDescent="0.25">
      <c r="D205" s="47" t="s">
        <v>987</v>
      </c>
      <c r="E205" s="19" t="s">
        <v>186</v>
      </c>
      <c r="F205" s="19" t="s">
        <v>879</v>
      </c>
    </row>
    <row r="206" spans="4:6" x14ac:dyDescent="0.25">
      <c r="D206" s="47" t="s">
        <v>1080</v>
      </c>
      <c r="E206" s="19" t="s">
        <v>186</v>
      </c>
      <c r="F206" s="19" t="s">
        <v>879</v>
      </c>
    </row>
    <row r="207" spans="4:6" x14ac:dyDescent="0.25">
      <c r="D207" s="47" t="s">
        <v>1101</v>
      </c>
      <c r="E207" s="60" t="s">
        <v>186</v>
      </c>
      <c r="F207" s="60" t="s">
        <v>1102</v>
      </c>
    </row>
    <row r="208" spans="4:6" x14ac:dyDescent="0.25">
      <c r="D208" s="47" t="s">
        <v>1125</v>
      </c>
      <c r="E208" s="19" t="s">
        <v>186</v>
      </c>
      <c r="F208" s="19" t="s">
        <v>1126</v>
      </c>
    </row>
    <row r="209" spans="4:6" x14ac:dyDescent="0.25">
      <c r="D209" s="47" t="s">
        <v>1151</v>
      </c>
      <c r="E209" s="19" t="s">
        <v>186</v>
      </c>
      <c r="F209" s="19" t="s">
        <v>1152</v>
      </c>
    </row>
    <row r="210" spans="4:6" x14ac:dyDescent="0.25">
      <c r="D210" s="75" t="s">
        <v>1418</v>
      </c>
      <c r="E210" s="74" t="s">
        <v>186</v>
      </c>
      <c r="F210" s="74" t="s">
        <v>1416</v>
      </c>
    </row>
    <row r="211" spans="4:6" x14ac:dyDescent="0.25">
      <c r="D211" s="75" t="s">
        <v>1798</v>
      </c>
      <c r="E211" s="74" t="s">
        <v>186</v>
      </c>
      <c r="F211" s="74" t="s">
        <v>879</v>
      </c>
    </row>
    <row r="212" spans="4:6" x14ac:dyDescent="0.25">
      <c r="D212" s="75" t="s">
        <v>1837</v>
      </c>
      <c r="E212" s="74" t="s">
        <v>186</v>
      </c>
      <c r="F212" s="74" t="s">
        <v>83</v>
      </c>
    </row>
    <row r="213" spans="4:6" x14ac:dyDescent="0.25">
      <c r="D213" s="47" t="s">
        <v>873</v>
      </c>
      <c r="E213" s="19" t="s">
        <v>187</v>
      </c>
      <c r="F213" s="19" t="s">
        <v>874</v>
      </c>
    </row>
    <row r="214" spans="4:6" x14ac:dyDescent="0.25">
      <c r="D214" s="75" t="s">
        <v>1822</v>
      </c>
      <c r="E214" s="74" t="s">
        <v>187</v>
      </c>
      <c r="F214" s="74" t="s">
        <v>879</v>
      </c>
    </row>
    <row r="215" spans="4:6" x14ac:dyDescent="0.25">
      <c r="D215" s="75" t="s">
        <v>1638</v>
      </c>
      <c r="E215" s="74" t="s">
        <v>1583</v>
      </c>
      <c r="F215" s="74" t="s">
        <v>879</v>
      </c>
    </row>
    <row r="216" spans="4:6" x14ac:dyDescent="0.25">
      <c r="D216" s="47" t="s">
        <v>1010</v>
      </c>
      <c r="E216" s="19" t="s">
        <v>1011</v>
      </c>
      <c r="F216" s="19" t="s">
        <v>879</v>
      </c>
    </row>
    <row r="217" spans="4:6" x14ac:dyDescent="0.25">
      <c r="D217" s="47" t="s">
        <v>856</v>
      </c>
      <c r="E217" s="19" t="s">
        <v>126</v>
      </c>
      <c r="F217" s="19" t="s">
        <v>857</v>
      </c>
    </row>
    <row r="218" spans="4:6" x14ac:dyDescent="0.25">
      <c r="D218" s="47" t="s">
        <v>659</v>
      </c>
      <c r="E218" s="19" t="s">
        <v>127</v>
      </c>
      <c r="F218" s="19" t="s">
        <v>660</v>
      </c>
    </row>
    <row r="219" spans="4:6" x14ac:dyDescent="0.25">
      <c r="D219" s="47" t="s">
        <v>765</v>
      </c>
      <c r="E219" s="19" t="s">
        <v>127</v>
      </c>
      <c r="F219" s="19" t="s">
        <v>766</v>
      </c>
    </row>
    <row r="220" spans="4:6" x14ac:dyDescent="0.25">
      <c r="D220" s="47" t="s">
        <v>795</v>
      </c>
      <c r="E220" s="19" t="s">
        <v>127</v>
      </c>
      <c r="F220" s="19" t="s">
        <v>796</v>
      </c>
    </row>
    <row r="221" spans="4:6" x14ac:dyDescent="0.25">
      <c r="D221" s="47" t="s">
        <v>854</v>
      </c>
      <c r="E221" s="19" t="s">
        <v>127</v>
      </c>
      <c r="F221" s="19" t="s">
        <v>855</v>
      </c>
    </row>
    <row r="222" spans="4:6" x14ac:dyDescent="0.25">
      <c r="D222" s="47" t="s">
        <v>921</v>
      </c>
      <c r="E222" s="19" t="s">
        <v>127</v>
      </c>
      <c r="F222" s="19" t="s">
        <v>879</v>
      </c>
    </row>
    <row r="223" spans="4:6" x14ac:dyDescent="0.25">
      <c r="D223" s="47" t="s">
        <v>1012</v>
      </c>
      <c r="E223" s="19" t="s">
        <v>127</v>
      </c>
      <c r="F223" s="19" t="s">
        <v>879</v>
      </c>
    </row>
    <row r="224" spans="4:6" x14ac:dyDescent="0.25">
      <c r="D224" s="47" t="s">
        <v>1137</v>
      </c>
      <c r="E224" s="19" t="s">
        <v>127</v>
      </c>
      <c r="F224" s="19" t="s">
        <v>1138</v>
      </c>
    </row>
    <row r="225" spans="4:6" x14ac:dyDescent="0.25">
      <c r="D225" s="75" t="s">
        <v>1552</v>
      </c>
      <c r="E225" s="74" t="s">
        <v>127</v>
      </c>
      <c r="F225" s="74" t="s">
        <v>1553</v>
      </c>
    </row>
    <row r="226" spans="4:6" x14ac:dyDescent="0.25">
      <c r="D226" s="75" t="s">
        <v>1609</v>
      </c>
      <c r="E226" s="74" t="s">
        <v>127</v>
      </c>
      <c r="F226" s="74" t="s">
        <v>879</v>
      </c>
    </row>
    <row r="227" spans="4:6" x14ac:dyDescent="0.25">
      <c r="D227" s="75" t="s">
        <v>1644</v>
      </c>
      <c r="E227" s="74" t="s">
        <v>127</v>
      </c>
      <c r="F227" s="74" t="s">
        <v>879</v>
      </c>
    </row>
    <row r="228" spans="4:6" x14ac:dyDescent="0.25">
      <c r="D228" s="75" t="s">
        <v>1693</v>
      </c>
      <c r="E228" s="74" t="s">
        <v>127</v>
      </c>
      <c r="F228" s="74" t="s">
        <v>879</v>
      </c>
    </row>
    <row r="229" spans="4:6" x14ac:dyDescent="0.25">
      <c r="D229" s="75" t="s">
        <v>1802</v>
      </c>
      <c r="E229" s="74" t="s">
        <v>127</v>
      </c>
      <c r="F229" s="74" t="s">
        <v>879</v>
      </c>
    </row>
    <row r="230" spans="4:6" x14ac:dyDescent="0.25">
      <c r="D230" s="47" t="s">
        <v>858</v>
      </c>
      <c r="E230" s="19" t="s">
        <v>859</v>
      </c>
      <c r="F230" s="19" t="s">
        <v>860</v>
      </c>
    </row>
    <row r="231" spans="4:6" x14ac:dyDescent="0.25">
      <c r="D231" s="75" t="s">
        <v>1765</v>
      </c>
      <c r="E231" s="74" t="s">
        <v>1574</v>
      </c>
      <c r="F231" s="74" t="s">
        <v>879</v>
      </c>
    </row>
    <row r="232" spans="4:6" x14ac:dyDescent="0.25">
      <c r="D232" s="75" t="s">
        <v>1732</v>
      </c>
      <c r="E232" s="74" t="s">
        <v>1577</v>
      </c>
      <c r="F232" s="74" t="s">
        <v>879</v>
      </c>
    </row>
    <row r="233" spans="4:6" x14ac:dyDescent="0.25">
      <c r="D233" s="47" t="s">
        <v>1013</v>
      </c>
      <c r="E233" s="19" t="s">
        <v>1014</v>
      </c>
      <c r="F233" s="19" t="s">
        <v>879</v>
      </c>
    </row>
    <row r="234" spans="4:6" x14ac:dyDescent="0.25">
      <c r="D234" s="42" t="s">
        <v>386</v>
      </c>
      <c r="E234" s="24" t="s">
        <v>36</v>
      </c>
      <c r="F234" s="24" t="s">
        <v>389</v>
      </c>
    </row>
    <row r="235" spans="4:6" x14ac:dyDescent="0.25">
      <c r="D235" s="47" t="s">
        <v>916</v>
      </c>
      <c r="E235" s="19" t="s">
        <v>36</v>
      </c>
      <c r="F235" s="19" t="s">
        <v>879</v>
      </c>
    </row>
    <row r="236" spans="4:6" x14ac:dyDescent="0.25">
      <c r="D236" s="75" t="s">
        <v>1620</v>
      </c>
      <c r="E236" s="74" t="s">
        <v>36</v>
      </c>
      <c r="F236" s="74" t="s">
        <v>879</v>
      </c>
    </row>
    <row r="237" spans="4:6" x14ac:dyDescent="0.25">
      <c r="D237" s="75" t="s">
        <v>1681</v>
      </c>
      <c r="E237" s="74" t="s">
        <v>36</v>
      </c>
      <c r="F237" s="74" t="s">
        <v>879</v>
      </c>
    </row>
    <row r="238" spans="4:6" x14ac:dyDescent="0.25">
      <c r="D238" s="47" t="s">
        <v>1177</v>
      </c>
      <c r="E238" s="19" t="s">
        <v>1026</v>
      </c>
      <c r="F238" s="19" t="s">
        <v>1178</v>
      </c>
    </row>
    <row r="239" spans="4:6" x14ac:dyDescent="0.25">
      <c r="D239" s="75" t="s">
        <v>1445</v>
      </c>
      <c r="E239" s="74" t="s">
        <v>1345</v>
      </c>
      <c r="F239" s="74" t="s">
        <v>1416</v>
      </c>
    </row>
    <row r="240" spans="4:6" x14ac:dyDescent="0.25">
      <c r="D240" s="75" t="s">
        <v>1455</v>
      </c>
      <c r="E240" s="74" t="s">
        <v>1346</v>
      </c>
      <c r="F240" s="74" t="s">
        <v>1416</v>
      </c>
    </row>
    <row r="241" spans="4:6" x14ac:dyDescent="0.25">
      <c r="D241" s="47" t="s">
        <v>406</v>
      </c>
      <c r="E241" s="19" t="s">
        <v>37</v>
      </c>
      <c r="F241" s="19" t="s">
        <v>407</v>
      </c>
    </row>
    <row r="242" spans="4:6" x14ac:dyDescent="0.25">
      <c r="D242" s="47" t="s">
        <v>727</v>
      </c>
      <c r="E242" s="19" t="s">
        <v>37</v>
      </c>
      <c r="F242" s="19" t="s">
        <v>728</v>
      </c>
    </row>
    <row r="243" spans="4:6" x14ac:dyDescent="0.25">
      <c r="D243" s="47" t="s">
        <v>729</v>
      </c>
      <c r="E243" s="60" t="s">
        <v>37</v>
      </c>
      <c r="F243" s="60" t="s">
        <v>571</v>
      </c>
    </row>
    <row r="244" spans="4:6" x14ac:dyDescent="0.25">
      <c r="D244" s="75" t="s">
        <v>1726</v>
      </c>
      <c r="E244" s="74" t="s">
        <v>37</v>
      </c>
      <c r="F244" s="74" t="s">
        <v>879</v>
      </c>
    </row>
    <row r="245" spans="4:6" x14ac:dyDescent="0.25">
      <c r="D245" s="75" t="s">
        <v>1761</v>
      </c>
      <c r="E245" s="74" t="s">
        <v>37</v>
      </c>
      <c r="F245" s="74" t="s">
        <v>879</v>
      </c>
    </row>
    <row r="246" spans="4:6" x14ac:dyDescent="0.25">
      <c r="D246" s="75" t="s">
        <v>1853</v>
      </c>
      <c r="E246" s="74" t="s">
        <v>37</v>
      </c>
      <c r="F246" s="74" t="s">
        <v>879</v>
      </c>
    </row>
    <row r="247" spans="4:6" x14ac:dyDescent="0.25">
      <c r="D247" s="47" t="s">
        <v>668</v>
      </c>
      <c r="E247" s="19" t="s">
        <v>170</v>
      </c>
      <c r="F247" s="19" t="s">
        <v>669</v>
      </c>
    </row>
    <row r="248" spans="4:6" x14ac:dyDescent="0.25">
      <c r="D248" s="47" t="s">
        <v>721</v>
      </c>
      <c r="E248" s="19" t="s">
        <v>170</v>
      </c>
      <c r="F248" s="19" t="s">
        <v>667</v>
      </c>
    </row>
    <row r="249" spans="4:6" x14ac:dyDescent="0.25">
      <c r="D249" s="47" t="s">
        <v>722</v>
      </c>
      <c r="E249" s="60" t="s">
        <v>170</v>
      </c>
      <c r="F249" s="60" t="s">
        <v>723</v>
      </c>
    </row>
    <row r="250" spans="4:6" x14ac:dyDescent="0.25">
      <c r="D250" s="47" t="s">
        <v>724</v>
      </c>
      <c r="E250" s="60" t="s">
        <v>170</v>
      </c>
      <c r="F250" s="60" t="s">
        <v>669</v>
      </c>
    </row>
    <row r="251" spans="4:6" x14ac:dyDescent="0.25">
      <c r="D251" s="47" t="s">
        <v>725</v>
      </c>
      <c r="E251" s="60" t="s">
        <v>170</v>
      </c>
      <c r="F251" s="60" t="s">
        <v>726</v>
      </c>
    </row>
    <row r="252" spans="4:6" x14ac:dyDescent="0.25">
      <c r="D252" s="47" t="s">
        <v>924</v>
      </c>
      <c r="E252" s="60" t="s">
        <v>170</v>
      </c>
      <c r="F252" s="60" t="s">
        <v>879</v>
      </c>
    </row>
    <row r="253" spans="4:6" x14ac:dyDescent="0.25">
      <c r="D253" s="47" t="s">
        <v>1016</v>
      </c>
      <c r="E253" s="19" t="s">
        <v>170</v>
      </c>
      <c r="F253" s="19" t="s">
        <v>879</v>
      </c>
    </row>
    <row r="254" spans="4:6" x14ac:dyDescent="0.25">
      <c r="D254" s="47" t="s">
        <v>1087</v>
      </c>
      <c r="E254" s="19" t="s">
        <v>170</v>
      </c>
      <c r="F254" s="19" t="s">
        <v>879</v>
      </c>
    </row>
    <row r="255" spans="4:6" x14ac:dyDescent="0.25">
      <c r="D255" s="47" t="s">
        <v>1119</v>
      </c>
      <c r="E255" s="19" t="s">
        <v>170</v>
      </c>
      <c r="F255" s="19" t="s">
        <v>1106</v>
      </c>
    </row>
    <row r="256" spans="4:6" x14ac:dyDescent="0.25">
      <c r="D256" s="47" t="s">
        <v>1153</v>
      </c>
      <c r="E256" s="19" t="s">
        <v>170</v>
      </c>
      <c r="F256" s="19" t="s">
        <v>1118</v>
      </c>
    </row>
    <row r="257" spans="4:6" x14ac:dyDescent="0.25">
      <c r="D257" s="75" t="s">
        <v>1538</v>
      </c>
      <c r="E257" s="74" t="s">
        <v>170</v>
      </c>
      <c r="F257" s="74" t="s">
        <v>1539</v>
      </c>
    </row>
    <row r="258" spans="4:6" x14ac:dyDescent="0.25">
      <c r="D258" s="75" t="s">
        <v>1605</v>
      </c>
      <c r="E258" s="74" t="s">
        <v>170</v>
      </c>
      <c r="F258" s="74" t="s">
        <v>879</v>
      </c>
    </row>
    <row r="259" spans="4:6" x14ac:dyDescent="0.25">
      <c r="D259" s="75" t="s">
        <v>1727</v>
      </c>
      <c r="E259" s="74" t="s">
        <v>170</v>
      </c>
      <c r="F259" s="74" t="s">
        <v>879</v>
      </c>
    </row>
    <row r="260" spans="4:6" x14ac:dyDescent="0.25">
      <c r="D260" s="75" t="s">
        <v>1729</v>
      </c>
      <c r="E260" s="74" t="s">
        <v>170</v>
      </c>
      <c r="F260" s="74" t="s">
        <v>879</v>
      </c>
    </row>
    <row r="261" spans="4:6" x14ac:dyDescent="0.25">
      <c r="D261" s="75" t="s">
        <v>1769</v>
      </c>
      <c r="E261" s="74" t="s">
        <v>170</v>
      </c>
      <c r="F261" s="74" t="s">
        <v>879</v>
      </c>
    </row>
    <row r="262" spans="4:6" x14ac:dyDescent="0.25">
      <c r="D262" s="75" t="s">
        <v>1787</v>
      </c>
      <c r="E262" s="74" t="s">
        <v>170</v>
      </c>
      <c r="F262" s="74" t="s">
        <v>879</v>
      </c>
    </row>
    <row r="263" spans="4:6" x14ac:dyDescent="0.25">
      <c r="D263" s="75" t="s">
        <v>1825</v>
      </c>
      <c r="E263" s="74" t="s">
        <v>170</v>
      </c>
      <c r="F263" s="74" t="s">
        <v>879</v>
      </c>
    </row>
    <row r="264" spans="4:6" x14ac:dyDescent="0.25">
      <c r="D264" s="75" t="s">
        <v>1594</v>
      </c>
      <c r="E264" s="74" t="s">
        <v>221</v>
      </c>
      <c r="F264" s="74" t="s">
        <v>879</v>
      </c>
    </row>
    <row r="265" spans="4:6" x14ac:dyDescent="0.25">
      <c r="D265" s="47" t="s">
        <v>689</v>
      </c>
      <c r="E265" s="19" t="s">
        <v>169</v>
      </c>
      <c r="F265" s="19" t="s">
        <v>690</v>
      </c>
    </row>
    <row r="266" spans="4:6" x14ac:dyDescent="0.25">
      <c r="D266" s="47" t="s">
        <v>719</v>
      </c>
      <c r="E266" s="19" t="s">
        <v>169</v>
      </c>
      <c r="F266" s="19" t="s">
        <v>690</v>
      </c>
    </row>
    <row r="267" spans="4:6" x14ac:dyDescent="0.25">
      <c r="D267" s="47" t="s">
        <v>954</v>
      </c>
      <c r="E267" s="19" t="s">
        <v>169</v>
      </c>
      <c r="F267" s="19" t="s">
        <v>879</v>
      </c>
    </row>
    <row r="268" spans="4:6" x14ac:dyDescent="0.25">
      <c r="D268" s="75" t="s">
        <v>1495</v>
      </c>
      <c r="E268" s="74" t="s">
        <v>1347</v>
      </c>
      <c r="F268" s="74" t="s">
        <v>1496</v>
      </c>
    </row>
    <row r="269" spans="4:6" x14ac:dyDescent="0.25">
      <c r="D269" s="75" t="s">
        <v>1642</v>
      </c>
      <c r="E269" s="74" t="s">
        <v>1347</v>
      </c>
      <c r="F269" s="74" t="s">
        <v>879</v>
      </c>
    </row>
    <row r="270" spans="4:6" x14ac:dyDescent="0.25">
      <c r="D270" s="47" t="s">
        <v>610</v>
      </c>
      <c r="E270" s="19" t="s">
        <v>168</v>
      </c>
      <c r="F270" s="19" t="s">
        <v>573</v>
      </c>
    </row>
    <row r="271" spans="4:6" x14ac:dyDescent="0.25">
      <c r="D271" s="47" t="s">
        <v>720</v>
      </c>
      <c r="E271" s="60" t="s">
        <v>168</v>
      </c>
      <c r="F271" s="60" t="s">
        <v>573</v>
      </c>
    </row>
    <row r="272" spans="4:6" x14ac:dyDescent="0.25">
      <c r="D272" s="47" t="s">
        <v>1064</v>
      </c>
      <c r="E272" s="60" t="s">
        <v>168</v>
      </c>
      <c r="F272" s="60" t="s">
        <v>879</v>
      </c>
    </row>
    <row r="273" spans="4:6" x14ac:dyDescent="0.25">
      <c r="D273" s="47" t="s">
        <v>1110</v>
      </c>
      <c r="E273" s="19" t="s">
        <v>168</v>
      </c>
      <c r="F273" s="19" t="s">
        <v>1106</v>
      </c>
    </row>
    <row r="274" spans="4:6" x14ac:dyDescent="0.25">
      <c r="D274" s="47" t="s">
        <v>1169</v>
      </c>
      <c r="E274" s="19" t="s">
        <v>168</v>
      </c>
      <c r="F274" s="19" t="s">
        <v>1170</v>
      </c>
    </row>
    <row r="275" spans="4:6" x14ac:dyDescent="0.25">
      <c r="D275" s="75" t="s">
        <v>1546</v>
      </c>
      <c r="E275" s="74" t="s">
        <v>168</v>
      </c>
      <c r="F275" s="74" t="s">
        <v>879</v>
      </c>
    </row>
    <row r="276" spans="4:6" x14ac:dyDescent="0.25">
      <c r="D276" s="75" t="s">
        <v>1631</v>
      </c>
      <c r="E276" s="74" t="s">
        <v>168</v>
      </c>
      <c r="F276" s="74" t="s">
        <v>879</v>
      </c>
    </row>
    <row r="277" spans="4:6" x14ac:dyDescent="0.25">
      <c r="D277" s="75" t="s">
        <v>1686</v>
      </c>
      <c r="E277" s="74" t="s">
        <v>168</v>
      </c>
      <c r="F277" s="74" t="s">
        <v>879</v>
      </c>
    </row>
    <row r="278" spans="4:6" x14ac:dyDescent="0.25">
      <c r="D278" s="75" t="s">
        <v>1725</v>
      </c>
      <c r="E278" s="74" t="s">
        <v>168</v>
      </c>
      <c r="F278" s="74" t="s">
        <v>879</v>
      </c>
    </row>
    <row r="279" spans="4:6" x14ac:dyDescent="0.25">
      <c r="D279" s="75" t="s">
        <v>1730</v>
      </c>
      <c r="E279" s="74" t="s">
        <v>168</v>
      </c>
      <c r="F279" s="74" t="s">
        <v>879</v>
      </c>
    </row>
    <row r="280" spans="4:6" x14ac:dyDescent="0.25">
      <c r="D280" s="75" t="s">
        <v>1803</v>
      </c>
      <c r="E280" s="74" t="s">
        <v>168</v>
      </c>
      <c r="F280" s="74" t="s">
        <v>879</v>
      </c>
    </row>
    <row r="281" spans="4:6" x14ac:dyDescent="0.25">
      <c r="D281" s="47" t="s">
        <v>915</v>
      </c>
      <c r="E281" s="19" t="s">
        <v>38</v>
      </c>
      <c r="F281" s="19" t="s">
        <v>879</v>
      </c>
    </row>
    <row r="282" spans="4:6" x14ac:dyDescent="0.25">
      <c r="D282" s="47" t="s">
        <v>1181</v>
      </c>
      <c r="E282" s="19" t="s">
        <v>38</v>
      </c>
      <c r="F282" s="19" t="s">
        <v>1130</v>
      </c>
    </row>
    <row r="283" spans="4:6" x14ac:dyDescent="0.25">
      <c r="D283" s="75" t="s">
        <v>1724</v>
      </c>
      <c r="E283" s="74" t="s">
        <v>38</v>
      </c>
      <c r="F283" s="74" t="s">
        <v>879</v>
      </c>
    </row>
    <row r="284" spans="4:6" x14ac:dyDescent="0.25">
      <c r="D284" s="75" t="s">
        <v>1845</v>
      </c>
      <c r="E284" s="74" t="s">
        <v>38</v>
      </c>
      <c r="F284" s="74" t="s">
        <v>1839</v>
      </c>
    </row>
    <row r="285" spans="4:6" x14ac:dyDescent="0.25">
      <c r="D285" s="47" t="s">
        <v>408</v>
      </c>
      <c r="E285" s="19" t="s">
        <v>39</v>
      </c>
      <c r="F285" s="19" t="s">
        <v>393</v>
      </c>
    </row>
    <row r="286" spans="4:6" x14ac:dyDescent="0.25">
      <c r="D286" s="47" t="s">
        <v>409</v>
      </c>
      <c r="E286" s="19" t="s">
        <v>39</v>
      </c>
      <c r="F286" s="19" t="s">
        <v>393</v>
      </c>
    </row>
    <row r="287" spans="4:6" x14ac:dyDescent="0.25">
      <c r="D287" s="47" t="s">
        <v>568</v>
      </c>
      <c r="E287" s="19" t="s">
        <v>39</v>
      </c>
      <c r="F287" s="19" t="s">
        <v>569</v>
      </c>
    </row>
    <row r="288" spans="4:6" x14ac:dyDescent="0.25">
      <c r="D288" s="47" t="s">
        <v>570</v>
      </c>
      <c r="E288" s="19" t="s">
        <v>39</v>
      </c>
      <c r="F288" s="19" t="s">
        <v>571</v>
      </c>
    </row>
    <row r="289" spans="4:6" x14ac:dyDescent="0.25">
      <c r="D289" s="47" t="s">
        <v>572</v>
      </c>
      <c r="E289" s="19" t="s">
        <v>39</v>
      </c>
      <c r="F289" s="19" t="s">
        <v>573</v>
      </c>
    </row>
    <row r="290" spans="4:6" x14ac:dyDescent="0.25">
      <c r="D290" s="47" t="s">
        <v>574</v>
      </c>
      <c r="E290" s="19" t="s">
        <v>39</v>
      </c>
      <c r="F290" s="19" t="s">
        <v>573</v>
      </c>
    </row>
    <row r="291" spans="4:6" x14ac:dyDescent="0.25">
      <c r="D291" s="47" t="s">
        <v>575</v>
      </c>
      <c r="E291" s="19" t="s">
        <v>39</v>
      </c>
      <c r="F291" s="19" t="s">
        <v>576</v>
      </c>
    </row>
    <row r="292" spans="4:6" x14ac:dyDescent="0.25">
      <c r="D292" s="47" t="s">
        <v>682</v>
      </c>
      <c r="E292" s="19" t="s">
        <v>39</v>
      </c>
      <c r="F292" s="19" t="s">
        <v>569</v>
      </c>
    </row>
    <row r="293" spans="4:6" x14ac:dyDescent="0.25">
      <c r="D293" s="47" t="s">
        <v>683</v>
      </c>
      <c r="E293" s="19" t="s">
        <v>39</v>
      </c>
      <c r="F293" s="19" t="s">
        <v>684</v>
      </c>
    </row>
    <row r="294" spans="4:6" x14ac:dyDescent="0.25">
      <c r="D294" s="47" t="s">
        <v>685</v>
      </c>
      <c r="E294" s="19" t="s">
        <v>39</v>
      </c>
      <c r="F294" s="19" t="s">
        <v>571</v>
      </c>
    </row>
    <row r="295" spans="4:6" x14ac:dyDescent="0.25">
      <c r="D295" s="47" t="s">
        <v>686</v>
      </c>
      <c r="E295" s="19" t="s">
        <v>39</v>
      </c>
      <c r="F295" s="19" t="s">
        <v>576</v>
      </c>
    </row>
    <row r="296" spans="4:6" x14ac:dyDescent="0.25">
      <c r="D296" s="47" t="s">
        <v>687</v>
      </c>
      <c r="E296" s="60" t="s">
        <v>39</v>
      </c>
      <c r="F296" s="60" t="s">
        <v>576</v>
      </c>
    </row>
    <row r="297" spans="4:6" x14ac:dyDescent="0.25">
      <c r="D297" s="47" t="s">
        <v>688</v>
      </c>
      <c r="E297" s="60" t="s">
        <v>39</v>
      </c>
      <c r="F297" s="60" t="s">
        <v>576</v>
      </c>
    </row>
    <row r="298" spans="4:6" x14ac:dyDescent="0.25">
      <c r="D298" s="47" t="s">
        <v>691</v>
      </c>
      <c r="E298" s="19" t="s">
        <v>39</v>
      </c>
      <c r="F298" s="19" t="s">
        <v>569</v>
      </c>
    </row>
    <row r="299" spans="4:6" x14ac:dyDescent="0.25">
      <c r="D299" s="47" t="s">
        <v>695</v>
      </c>
      <c r="E299" s="19" t="s">
        <v>39</v>
      </c>
      <c r="F299" s="19" t="s">
        <v>696</v>
      </c>
    </row>
    <row r="300" spans="4:6" x14ac:dyDescent="0.25">
      <c r="D300" s="47" t="s">
        <v>697</v>
      </c>
      <c r="E300" s="19" t="s">
        <v>39</v>
      </c>
      <c r="F300" s="19" t="s">
        <v>576</v>
      </c>
    </row>
    <row r="301" spans="4:6" x14ac:dyDescent="0.25">
      <c r="D301" s="47" t="s">
        <v>698</v>
      </c>
      <c r="E301" s="19" t="s">
        <v>39</v>
      </c>
      <c r="F301" s="19" t="s">
        <v>696</v>
      </c>
    </row>
    <row r="302" spans="4:6" x14ac:dyDescent="0.25">
      <c r="D302" s="47" t="s">
        <v>699</v>
      </c>
      <c r="E302" s="19" t="s">
        <v>39</v>
      </c>
      <c r="F302" s="19" t="s">
        <v>573</v>
      </c>
    </row>
    <row r="303" spans="4:6" x14ac:dyDescent="0.25">
      <c r="D303" s="47" t="s">
        <v>700</v>
      </c>
      <c r="E303" s="19" t="s">
        <v>39</v>
      </c>
      <c r="F303" s="19" t="s">
        <v>569</v>
      </c>
    </row>
    <row r="304" spans="4:6" x14ac:dyDescent="0.25">
      <c r="D304" s="47" t="s">
        <v>701</v>
      </c>
      <c r="E304" s="19" t="s">
        <v>39</v>
      </c>
      <c r="F304" s="19" t="s">
        <v>573</v>
      </c>
    </row>
    <row r="305" spans="4:6" x14ac:dyDescent="0.25">
      <c r="D305" s="47" t="s">
        <v>702</v>
      </c>
      <c r="E305" s="19" t="s">
        <v>39</v>
      </c>
      <c r="F305" s="19" t="s">
        <v>569</v>
      </c>
    </row>
    <row r="306" spans="4:6" x14ac:dyDescent="0.25">
      <c r="D306" s="47" t="s">
        <v>703</v>
      </c>
      <c r="E306" s="19" t="s">
        <v>39</v>
      </c>
      <c r="F306" s="19" t="s">
        <v>571</v>
      </c>
    </row>
    <row r="307" spans="4:6" x14ac:dyDescent="0.25">
      <c r="D307" s="75" t="s">
        <v>1448</v>
      </c>
      <c r="E307" s="74" t="s">
        <v>39</v>
      </c>
      <c r="F307" s="74" t="s">
        <v>1416</v>
      </c>
    </row>
    <row r="308" spans="4:6" x14ac:dyDescent="0.25">
      <c r="D308" s="75" t="s">
        <v>1743</v>
      </c>
      <c r="E308" s="74" t="s">
        <v>39</v>
      </c>
      <c r="F308" s="74">
        <v>2</v>
      </c>
    </row>
    <row r="309" spans="4:6" x14ac:dyDescent="0.25">
      <c r="D309" s="47" t="s">
        <v>704</v>
      </c>
      <c r="E309" s="19" t="s">
        <v>705</v>
      </c>
      <c r="F309" s="19" t="s">
        <v>696</v>
      </c>
    </row>
    <row r="310" spans="4:6" x14ac:dyDescent="0.25">
      <c r="D310" s="47" t="s">
        <v>692</v>
      </c>
      <c r="E310" s="60" t="s">
        <v>693</v>
      </c>
      <c r="F310" s="60" t="s">
        <v>694</v>
      </c>
    </row>
    <row r="311" spans="4:6" x14ac:dyDescent="0.25">
      <c r="D311" s="75" t="s">
        <v>1606</v>
      </c>
      <c r="E311" s="74" t="s">
        <v>1353</v>
      </c>
      <c r="F311" s="74" t="s">
        <v>879</v>
      </c>
    </row>
    <row r="312" spans="4:6" x14ac:dyDescent="0.25">
      <c r="D312" s="75" t="s">
        <v>1689</v>
      </c>
      <c r="E312" s="74" t="s">
        <v>1353</v>
      </c>
      <c r="F312" s="74" t="s">
        <v>879</v>
      </c>
    </row>
    <row r="313" spans="4:6" x14ac:dyDescent="0.25">
      <c r="D313" s="47" t="s">
        <v>963</v>
      </c>
      <c r="E313" s="19" t="s">
        <v>964</v>
      </c>
      <c r="F313" s="19" t="s">
        <v>879</v>
      </c>
    </row>
    <row r="314" spans="4:6" x14ac:dyDescent="0.25">
      <c r="D314" s="47" t="s">
        <v>1056</v>
      </c>
      <c r="E314" s="19" t="s">
        <v>133</v>
      </c>
      <c r="F314" s="19" t="s">
        <v>879</v>
      </c>
    </row>
    <row r="315" spans="4:6" x14ac:dyDescent="0.25">
      <c r="D315" s="47" t="s">
        <v>647</v>
      </c>
      <c r="E315" s="19" t="s">
        <v>132</v>
      </c>
      <c r="F315" s="19" t="s">
        <v>648</v>
      </c>
    </row>
    <row r="316" spans="4:6" x14ac:dyDescent="0.25">
      <c r="D316" s="47" t="s">
        <v>650</v>
      </c>
      <c r="E316" s="19" t="s">
        <v>132</v>
      </c>
      <c r="F316" s="19" t="s">
        <v>651</v>
      </c>
    </row>
    <row r="317" spans="4:6" x14ac:dyDescent="0.25">
      <c r="D317" s="47" t="s">
        <v>999</v>
      </c>
      <c r="E317" s="19" t="s">
        <v>132</v>
      </c>
      <c r="F317" s="19" t="s">
        <v>879</v>
      </c>
    </row>
    <row r="318" spans="4:6" x14ac:dyDescent="0.25">
      <c r="D318" s="47" t="s">
        <v>1031</v>
      </c>
      <c r="E318" s="60" t="s">
        <v>132</v>
      </c>
      <c r="F318" s="60" t="s">
        <v>1032</v>
      </c>
    </row>
    <row r="319" spans="4:6" x14ac:dyDescent="0.25">
      <c r="D319" s="47" t="s">
        <v>1074</v>
      </c>
      <c r="E319" s="19" t="s">
        <v>132</v>
      </c>
      <c r="F319" s="19" t="s">
        <v>879</v>
      </c>
    </row>
    <row r="320" spans="4:6" x14ac:dyDescent="0.25">
      <c r="D320" s="75" t="s">
        <v>1809</v>
      </c>
      <c r="E320" s="74" t="s">
        <v>132</v>
      </c>
      <c r="F320" s="74" t="s">
        <v>879</v>
      </c>
    </row>
    <row r="321" spans="4:6" x14ac:dyDescent="0.25">
      <c r="D321" s="47" t="s">
        <v>914</v>
      </c>
      <c r="E321" s="60" t="s">
        <v>371</v>
      </c>
      <c r="F321" s="60" t="s">
        <v>879</v>
      </c>
    </row>
    <row r="322" spans="4:6" x14ac:dyDescent="0.25">
      <c r="D322" s="75" t="s">
        <v>1431</v>
      </c>
      <c r="E322" s="74" t="s">
        <v>371</v>
      </c>
      <c r="F322" s="74" t="s">
        <v>1416</v>
      </c>
    </row>
    <row r="323" spans="4:6" x14ac:dyDescent="0.25">
      <c r="D323" s="75" t="s">
        <v>1463</v>
      </c>
      <c r="E323" s="74" t="s">
        <v>371</v>
      </c>
      <c r="F323" s="74" t="s">
        <v>1416</v>
      </c>
    </row>
    <row r="324" spans="4:6" x14ac:dyDescent="0.25">
      <c r="D324" s="75" t="s">
        <v>1541</v>
      </c>
      <c r="E324" s="74" t="s">
        <v>371</v>
      </c>
      <c r="F324" s="74" t="s">
        <v>879</v>
      </c>
    </row>
    <row r="325" spans="4:6" x14ac:dyDescent="0.25">
      <c r="D325" s="75" t="s">
        <v>1542</v>
      </c>
      <c r="E325" s="74" t="s">
        <v>371</v>
      </c>
      <c r="F325" s="74" t="s">
        <v>879</v>
      </c>
    </row>
    <row r="326" spans="4:6" x14ac:dyDescent="0.25">
      <c r="D326" s="75" t="s">
        <v>1704</v>
      </c>
      <c r="E326" s="74" t="s">
        <v>371</v>
      </c>
      <c r="F326" s="74">
        <v>14</v>
      </c>
    </row>
    <row r="327" spans="4:6" x14ac:dyDescent="0.25">
      <c r="D327" s="47" t="s">
        <v>661</v>
      </c>
      <c r="E327" s="60" t="s">
        <v>355</v>
      </c>
      <c r="F327" s="60" t="s">
        <v>656</v>
      </c>
    </row>
    <row r="328" spans="4:6" x14ac:dyDescent="0.25">
      <c r="D328" s="75" t="s">
        <v>1709</v>
      </c>
      <c r="E328" s="74" t="s">
        <v>355</v>
      </c>
      <c r="F328" s="74" t="s">
        <v>879</v>
      </c>
    </row>
    <row r="329" spans="4:6" x14ac:dyDescent="0.25">
      <c r="D329" s="75" t="s">
        <v>1745</v>
      </c>
      <c r="E329" s="74" t="s">
        <v>355</v>
      </c>
      <c r="F329" s="74" t="s">
        <v>879</v>
      </c>
    </row>
    <row r="330" spans="4:6" x14ac:dyDescent="0.25">
      <c r="D330" s="75" t="s">
        <v>1757</v>
      </c>
      <c r="E330" s="74" t="s">
        <v>355</v>
      </c>
      <c r="F330" s="74" t="s">
        <v>879</v>
      </c>
    </row>
    <row r="331" spans="4:6" x14ac:dyDescent="0.25">
      <c r="D331" s="47" t="s">
        <v>655</v>
      </c>
      <c r="E331" s="19" t="s">
        <v>344</v>
      </c>
      <c r="F331" s="19" t="s">
        <v>656</v>
      </c>
    </row>
    <row r="332" spans="4:6" x14ac:dyDescent="0.25">
      <c r="D332" s="75" t="s">
        <v>1632</v>
      </c>
      <c r="E332" s="74" t="s">
        <v>344</v>
      </c>
      <c r="F332" s="74" t="s">
        <v>879</v>
      </c>
    </row>
    <row r="333" spans="4:6" x14ac:dyDescent="0.25">
      <c r="D333" s="75" t="s">
        <v>1646</v>
      </c>
      <c r="E333" s="74" t="s">
        <v>344</v>
      </c>
      <c r="F333" s="74" t="s">
        <v>879</v>
      </c>
    </row>
    <row r="334" spans="4:6" x14ac:dyDescent="0.25">
      <c r="D334" s="75" t="s">
        <v>1806</v>
      </c>
      <c r="E334" s="74" t="s">
        <v>344</v>
      </c>
      <c r="F334" s="74">
        <v>1</v>
      </c>
    </row>
    <row r="335" spans="4:6" x14ac:dyDescent="0.25">
      <c r="D335" s="75" t="s">
        <v>1710</v>
      </c>
      <c r="E335" s="74" t="s">
        <v>1575</v>
      </c>
      <c r="F335" s="74" t="s">
        <v>879</v>
      </c>
    </row>
    <row r="336" spans="4:6" x14ac:dyDescent="0.25">
      <c r="D336" s="75" t="s">
        <v>1746</v>
      </c>
      <c r="E336" s="74" t="s">
        <v>1575</v>
      </c>
      <c r="F336" s="74" t="s">
        <v>879</v>
      </c>
    </row>
    <row r="337" spans="4:6" x14ac:dyDescent="0.25">
      <c r="D337" s="75" t="s">
        <v>1482</v>
      </c>
      <c r="E337" s="74" t="s">
        <v>173</v>
      </c>
      <c r="F337" s="74" t="s">
        <v>1102</v>
      </c>
    </row>
    <row r="338" spans="4:6" x14ac:dyDescent="0.25">
      <c r="D338" s="75" t="s">
        <v>1795</v>
      </c>
      <c r="E338" s="74" t="s">
        <v>173</v>
      </c>
      <c r="F338" s="74" t="s">
        <v>879</v>
      </c>
    </row>
    <row r="339" spans="4:6" x14ac:dyDescent="0.25">
      <c r="D339" s="75" t="s">
        <v>1840</v>
      </c>
      <c r="E339" s="74" t="s">
        <v>173</v>
      </c>
      <c r="F339" s="74" t="s">
        <v>1130</v>
      </c>
    </row>
    <row r="340" spans="4:6" x14ac:dyDescent="0.25">
      <c r="D340" s="75" t="s">
        <v>1430</v>
      </c>
      <c r="E340" s="74" t="s">
        <v>174</v>
      </c>
      <c r="F340" s="74" t="s">
        <v>1416</v>
      </c>
    </row>
    <row r="341" spans="4:6" x14ac:dyDescent="0.25">
      <c r="D341" s="75" t="s">
        <v>1737</v>
      </c>
      <c r="E341" s="74" t="s">
        <v>174</v>
      </c>
      <c r="F341" s="74" t="s">
        <v>879</v>
      </c>
    </row>
    <row r="342" spans="4:6" x14ac:dyDescent="0.25">
      <c r="D342" s="75" t="s">
        <v>1393</v>
      </c>
      <c r="E342" s="74" t="s">
        <v>200</v>
      </c>
      <c r="F342" s="74" t="s">
        <v>1394</v>
      </c>
    </row>
    <row r="343" spans="4:6" x14ac:dyDescent="0.25">
      <c r="D343" s="75" t="s">
        <v>1429</v>
      </c>
      <c r="E343" s="74" t="s">
        <v>200</v>
      </c>
      <c r="F343" s="74" t="s">
        <v>1416</v>
      </c>
    </row>
    <row r="344" spans="4:6" x14ac:dyDescent="0.25">
      <c r="D344" s="75" t="s">
        <v>1648</v>
      </c>
      <c r="E344" s="74" t="s">
        <v>200</v>
      </c>
      <c r="F344" s="74" t="s">
        <v>879</v>
      </c>
    </row>
    <row r="345" spans="4:6" x14ac:dyDescent="0.25">
      <c r="D345" s="47" t="s">
        <v>603</v>
      </c>
      <c r="E345" s="60" t="s">
        <v>175</v>
      </c>
      <c r="F345" s="60" t="s">
        <v>604</v>
      </c>
    </row>
    <row r="346" spans="4:6" x14ac:dyDescent="0.25">
      <c r="D346" s="47" t="s">
        <v>780</v>
      </c>
      <c r="E346" s="60" t="s">
        <v>175</v>
      </c>
      <c r="F346" s="60" t="s">
        <v>781</v>
      </c>
    </row>
    <row r="347" spans="4:6" x14ac:dyDescent="0.25">
      <c r="D347" s="47" t="s">
        <v>978</v>
      </c>
      <c r="E347" s="19" t="s">
        <v>175</v>
      </c>
      <c r="F347" s="19" t="s">
        <v>879</v>
      </c>
    </row>
    <row r="348" spans="4:6" x14ac:dyDescent="0.25">
      <c r="D348" s="47" t="s">
        <v>1099</v>
      </c>
      <c r="E348" s="19" t="s">
        <v>175</v>
      </c>
      <c r="F348" s="19" t="s">
        <v>1100</v>
      </c>
    </row>
    <row r="349" spans="4:6" x14ac:dyDescent="0.25">
      <c r="D349" s="75" t="s">
        <v>1813</v>
      </c>
      <c r="E349" s="74" t="s">
        <v>134</v>
      </c>
      <c r="F349" s="74" t="s">
        <v>879</v>
      </c>
    </row>
    <row r="350" spans="4:6" x14ac:dyDescent="0.25">
      <c r="D350" s="47" t="s">
        <v>968</v>
      </c>
      <c r="E350" s="19" t="s">
        <v>136</v>
      </c>
      <c r="F350" s="19" t="s">
        <v>879</v>
      </c>
    </row>
    <row r="351" spans="4:6" x14ac:dyDescent="0.25">
      <c r="D351" s="47" t="s">
        <v>1054</v>
      </c>
      <c r="E351" s="19" t="s">
        <v>353</v>
      </c>
      <c r="F351" s="19" t="s">
        <v>879</v>
      </c>
    </row>
    <row r="352" spans="4:6" x14ac:dyDescent="0.25">
      <c r="D352" s="75" t="s">
        <v>1501</v>
      </c>
      <c r="E352" s="74" t="s">
        <v>353</v>
      </c>
      <c r="F352" s="74" t="s">
        <v>879</v>
      </c>
    </row>
    <row r="353" spans="4:6" x14ac:dyDescent="0.25">
      <c r="D353" s="47" t="s">
        <v>1055</v>
      </c>
      <c r="E353" s="60" t="s">
        <v>137</v>
      </c>
      <c r="F353" s="60" t="s">
        <v>879</v>
      </c>
    </row>
    <row r="354" spans="4:6" x14ac:dyDescent="0.25">
      <c r="D354" s="75" t="s">
        <v>1441</v>
      </c>
      <c r="E354" s="74" t="s">
        <v>1276</v>
      </c>
      <c r="F354" s="74" t="s">
        <v>1416</v>
      </c>
    </row>
    <row r="355" spans="4:6" x14ac:dyDescent="0.25">
      <c r="D355" s="47" t="s">
        <v>590</v>
      </c>
      <c r="E355" s="19" t="s">
        <v>138</v>
      </c>
      <c r="F355" s="19" t="s">
        <v>493</v>
      </c>
    </row>
    <row r="356" spans="4:6" x14ac:dyDescent="0.25">
      <c r="D356" s="47" t="s">
        <v>591</v>
      </c>
      <c r="E356" s="19" t="s">
        <v>138</v>
      </c>
      <c r="F356" s="19" t="s">
        <v>592</v>
      </c>
    </row>
    <row r="357" spans="4:6" x14ac:dyDescent="0.25">
      <c r="D357" s="47" t="s">
        <v>671</v>
      </c>
      <c r="E357" s="19" t="s">
        <v>138</v>
      </c>
      <c r="F357" s="19" t="s">
        <v>672</v>
      </c>
    </row>
    <row r="358" spans="4:6" x14ac:dyDescent="0.25">
      <c r="D358" s="47" t="s">
        <v>679</v>
      </c>
      <c r="E358" s="19" t="s">
        <v>138</v>
      </c>
      <c r="F358" s="19" t="s">
        <v>680</v>
      </c>
    </row>
    <row r="359" spans="4:6" x14ac:dyDescent="0.25">
      <c r="D359" s="47" t="s">
        <v>774</v>
      </c>
      <c r="E359" s="19" t="s">
        <v>138</v>
      </c>
      <c r="F359" s="19" t="s">
        <v>775</v>
      </c>
    </row>
    <row r="360" spans="4:6" x14ac:dyDescent="0.25">
      <c r="D360" s="47" t="s">
        <v>1065</v>
      </c>
      <c r="E360" s="19" t="s">
        <v>138</v>
      </c>
      <c r="F360" s="19" t="s">
        <v>879</v>
      </c>
    </row>
    <row r="361" spans="4:6" x14ac:dyDescent="0.25">
      <c r="D361" s="47" t="s">
        <v>1069</v>
      </c>
      <c r="E361" s="19" t="s">
        <v>138</v>
      </c>
      <c r="F361" s="19" t="s">
        <v>879</v>
      </c>
    </row>
    <row r="362" spans="4:6" x14ac:dyDescent="0.25">
      <c r="D362" s="47" t="s">
        <v>1165</v>
      </c>
      <c r="E362" s="19" t="s">
        <v>138</v>
      </c>
      <c r="F362" s="19">
        <v>1</v>
      </c>
    </row>
    <row r="363" spans="4:6" x14ac:dyDescent="0.25">
      <c r="D363" s="47" t="s">
        <v>1175</v>
      </c>
      <c r="E363" s="19" t="s">
        <v>138</v>
      </c>
      <c r="F363" s="19" t="s">
        <v>1176</v>
      </c>
    </row>
    <row r="364" spans="4:6" x14ac:dyDescent="0.25">
      <c r="D364" s="75" t="s">
        <v>1452</v>
      </c>
      <c r="E364" s="74" t="s">
        <v>1277</v>
      </c>
      <c r="F364" s="74" t="s">
        <v>1109</v>
      </c>
    </row>
    <row r="365" spans="4:6" x14ac:dyDescent="0.25">
      <c r="D365" s="75" t="s">
        <v>1466</v>
      </c>
      <c r="E365" s="74" t="s">
        <v>1277</v>
      </c>
      <c r="F365" s="74" t="s">
        <v>1416</v>
      </c>
    </row>
    <row r="366" spans="4:6" x14ac:dyDescent="0.25">
      <c r="D366" s="75" t="s">
        <v>1599</v>
      </c>
      <c r="E366" s="74" t="s">
        <v>1277</v>
      </c>
      <c r="F366" s="74" t="s">
        <v>879</v>
      </c>
    </row>
    <row r="367" spans="4:6" x14ac:dyDescent="0.25">
      <c r="D367" s="75" t="s">
        <v>1655</v>
      </c>
      <c r="E367" s="74" t="s">
        <v>1277</v>
      </c>
      <c r="F367" s="74" t="s">
        <v>1656</v>
      </c>
    </row>
    <row r="368" spans="4:6" x14ac:dyDescent="0.25">
      <c r="D368" s="75" t="s">
        <v>1685</v>
      </c>
      <c r="E368" s="74" t="s">
        <v>1277</v>
      </c>
      <c r="F368" s="74" t="s">
        <v>879</v>
      </c>
    </row>
    <row r="369" spans="4:6" x14ac:dyDescent="0.25">
      <c r="D369" s="75" t="s">
        <v>1705</v>
      </c>
      <c r="E369" s="74" t="s">
        <v>1277</v>
      </c>
      <c r="F369" s="74" t="s">
        <v>879</v>
      </c>
    </row>
    <row r="370" spans="4:6" x14ac:dyDescent="0.25">
      <c r="D370" s="47" t="s">
        <v>958</v>
      </c>
      <c r="E370" s="19" t="s">
        <v>227</v>
      </c>
      <c r="F370" s="19" t="s">
        <v>879</v>
      </c>
    </row>
    <row r="371" spans="4:6" x14ac:dyDescent="0.25">
      <c r="D371" s="47" t="s">
        <v>959</v>
      </c>
      <c r="E371" s="19" t="s">
        <v>227</v>
      </c>
      <c r="F371" s="19" t="s">
        <v>879</v>
      </c>
    </row>
    <row r="372" spans="4:6" x14ac:dyDescent="0.25">
      <c r="D372" s="75" t="s">
        <v>1807</v>
      </c>
      <c r="E372" s="74" t="s">
        <v>227</v>
      </c>
      <c r="F372" s="74" t="s">
        <v>879</v>
      </c>
    </row>
    <row r="373" spans="4:6" x14ac:dyDescent="0.25">
      <c r="D373" s="75" t="s">
        <v>1793</v>
      </c>
      <c r="E373" s="74" t="s">
        <v>1570</v>
      </c>
      <c r="F373" s="74" t="s">
        <v>879</v>
      </c>
    </row>
    <row r="374" spans="4:6" x14ac:dyDescent="0.25">
      <c r="D374" s="47" t="s">
        <v>1052</v>
      </c>
      <c r="E374" s="60" t="s">
        <v>139</v>
      </c>
      <c r="F374" s="60" t="s">
        <v>879</v>
      </c>
    </row>
    <row r="375" spans="4:6" x14ac:dyDescent="0.25">
      <c r="D375" s="47" t="s">
        <v>1061</v>
      </c>
      <c r="E375" s="60" t="s">
        <v>139</v>
      </c>
      <c r="F375" s="60" t="s">
        <v>879</v>
      </c>
    </row>
    <row r="376" spans="4:6" x14ac:dyDescent="0.25">
      <c r="D376" s="47" t="s">
        <v>396</v>
      </c>
      <c r="E376" s="60" t="s">
        <v>11</v>
      </c>
      <c r="F376" s="60" t="s">
        <v>397</v>
      </c>
    </row>
    <row r="377" spans="4:6" x14ac:dyDescent="0.25">
      <c r="D377" s="47" t="s">
        <v>453</v>
      </c>
      <c r="E377" s="19" t="s">
        <v>11</v>
      </c>
      <c r="F377" s="19" t="s">
        <v>455</v>
      </c>
    </row>
    <row r="378" spans="4:6" x14ac:dyDescent="0.25">
      <c r="D378" s="47" t="s">
        <v>454</v>
      </c>
      <c r="E378" s="60" t="s">
        <v>11</v>
      </c>
      <c r="F378" s="60" t="s">
        <v>443</v>
      </c>
    </row>
    <row r="379" spans="4:6" x14ac:dyDescent="0.25">
      <c r="D379" s="47" t="s">
        <v>456</v>
      </c>
      <c r="E379" s="19" t="s">
        <v>11</v>
      </c>
      <c r="F379" s="19" t="s">
        <v>457</v>
      </c>
    </row>
    <row r="380" spans="4:6" x14ac:dyDescent="0.25">
      <c r="D380" s="47" t="s">
        <v>460</v>
      </c>
      <c r="E380" s="19" t="s">
        <v>11</v>
      </c>
      <c r="F380" s="19" t="s">
        <v>452</v>
      </c>
    </row>
    <row r="381" spans="4:6" x14ac:dyDescent="0.25">
      <c r="D381" s="47" t="s">
        <v>463</v>
      </c>
      <c r="E381" s="19" t="s">
        <v>11</v>
      </c>
      <c r="F381" s="19" t="s">
        <v>464</v>
      </c>
    </row>
    <row r="382" spans="4:6" x14ac:dyDescent="0.25">
      <c r="D382" s="47" t="s">
        <v>465</v>
      </c>
      <c r="E382" s="19" t="s">
        <v>11</v>
      </c>
      <c r="F382" s="19" t="s">
        <v>466</v>
      </c>
    </row>
    <row r="383" spans="4:6" x14ac:dyDescent="0.25">
      <c r="D383" s="47" t="s">
        <v>467</v>
      </c>
      <c r="E383" s="19" t="s">
        <v>11</v>
      </c>
      <c r="F383" s="19" t="s">
        <v>468</v>
      </c>
    </row>
    <row r="384" spans="4:6" x14ac:dyDescent="0.25">
      <c r="D384" s="47" t="s">
        <v>469</v>
      </c>
      <c r="E384" s="19" t="s">
        <v>11</v>
      </c>
      <c r="F384" s="19" t="s">
        <v>470</v>
      </c>
    </row>
    <row r="385" spans="4:6" x14ac:dyDescent="0.25">
      <c r="D385" s="47" t="s">
        <v>471</v>
      </c>
      <c r="E385" s="19" t="s">
        <v>11</v>
      </c>
      <c r="F385" s="19" t="s">
        <v>464</v>
      </c>
    </row>
    <row r="386" spans="4:6" x14ac:dyDescent="0.25">
      <c r="D386" s="47" t="s">
        <v>472</v>
      </c>
      <c r="E386" s="19" t="s">
        <v>11</v>
      </c>
      <c r="F386" s="19" t="s">
        <v>440</v>
      </c>
    </row>
    <row r="387" spans="4:6" x14ac:dyDescent="0.25">
      <c r="D387" s="47" t="s">
        <v>473</v>
      </c>
      <c r="E387" s="19" t="s">
        <v>11</v>
      </c>
      <c r="F387" s="19" t="s">
        <v>474</v>
      </c>
    </row>
    <row r="388" spans="4:6" x14ac:dyDescent="0.25">
      <c r="D388" s="47" t="s">
        <v>475</v>
      </c>
      <c r="E388" s="19" t="s">
        <v>11</v>
      </c>
      <c r="F388" s="19" t="s">
        <v>476</v>
      </c>
    </row>
    <row r="389" spans="4:6" x14ac:dyDescent="0.25">
      <c r="D389" s="47" t="s">
        <v>477</v>
      </c>
      <c r="E389" s="19" t="s">
        <v>11</v>
      </c>
      <c r="F389" s="19" t="s">
        <v>438</v>
      </c>
    </row>
    <row r="390" spans="4:6" x14ac:dyDescent="0.25">
      <c r="D390" s="47" t="s">
        <v>478</v>
      </c>
      <c r="E390" s="19" t="s">
        <v>11</v>
      </c>
      <c r="F390" s="19" t="s">
        <v>479</v>
      </c>
    </row>
    <row r="391" spans="4:6" x14ac:dyDescent="0.25">
      <c r="D391" s="47" t="s">
        <v>946</v>
      </c>
      <c r="E391" s="19" t="s">
        <v>11</v>
      </c>
      <c r="F391" s="19" t="s">
        <v>879</v>
      </c>
    </row>
    <row r="392" spans="4:6" x14ac:dyDescent="0.25">
      <c r="D392" s="47" t="s">
        <v>975</v>
      </c>
      <c r="E392" s="19" t="s">
        <v>11</v>
      </c>
      <c r="F392" s="19" t="s">
        <v>879</v>
      </c>
    </row>
    <row r="393" spans="4:6" x14ac:dyDescent="0.25">
      <c r="D393" s="47" t="s">
        <v>1070</v>
      </c>
      <c r="E393" s="19" t="s">
        <v>11</v>
      </c>
      <c r="F393" s="19" t="s">
        <v>879</v>
      </c>
    </row>
    <row r="394" spans="4:6" x14ac:dyDescent="0.25">
      <c r="D394" s="47" t="s">
        <v>1078</v>
      </c>
      <c r="E394" s="19" t="s">
        <v>11</v>
      </c>
      <c r="F394" s="19" t="s">
        <v>879</v>
      </c>
    </row>
    <row r="395" spans="4:6" x14ac:dyDescent="0.25">
      <c r="D395" s="75" t="s">
        <v>1490</v>
      </c>
      <c r="E395" s="74" t="s">
        <v>11</v>
      </c>
      <c r="F395" s="74" t="s">
        <v>879</v>
      </c>
    </row>
    <row r="396" spans="4:6" x14ac:dyDescent="0.25">
      <c r="D396" s="75" t="s">
        <v>1556</v>
      </c>
      <c r="E396" s="74" t="s">
        <v>11</v>
      </c>
      <c r="F396" s="74" t="s">
        <v>1557</v>
      </c>
    </row>
    <row r="397" spans="4:6" x14ac:dyDescent="0.25">
      <c r="D397" s="75" t="s">
        <v>1586</v>
      </c>
      <c r="E397" s="74" t="s">
        <v>11</v>
      </c>
      <c r="F397" s="74" t="s">
        <v>879</v>
      </c>
    </row>
    <row r="398" spans="4:6" x14ac:dyDescent="0.25">
      <c r="D398" s="75" t="s">
        <v>1639</v>
      </c>
      <c r="E398" s="74" t="s">
        <v>11</v>
      </c>
      <c r="F398" s="74" t="s">
        <v>879</v>
      </c>
    </row>
    <row r="399" spans="4:6" x14ac:dyDescent="0.25">
      <c r="D399" s="75" t="s">
        <v>1763</v>
      </c>
      <c r="E399" s="74" t="s">
        <v>11</v>
      </c>
      <c r="F399" s="74" t="s">
        <v>879</v>
      </c>
    </row>
    <row r="400" spans="4:6" x14ac:dyDescent="0.25">
      <c r="D400" s="47" t="s">
        <v>458</v>
      </c>
      <c r="E400" s="19" t="s">
        <v>12</v>
      </c>
      <c r="F400" s="19" t="s">
        <v>459</v>
      </c>
    </row>
    <row r="401" spans="4:6" x14ac:dyDescent="0.25">
      <c r="D401" s="47" t="s">
        <v>846</v>
      </c>
      <c r="E401" s="19" t="s">
        <v>12</v>
      </c>
      <c r="F401" s="19" t="s">
        <v>468</v>
      </c>
    </row>
    <row r="402" spans="4:6" x14ac:dyDescent="0.25">
      <c r="D402" s="47" t="s">
        <v>847</v>
      </c>
      <c r="E402" s="19" t="s">
        <v>12</v>
      </c>
      <c r="F402" s="19" t="s">
        <v>848</v>
      </c>
    </row>
    <row r="403" spans="4:6" x14ac:dyDescent="0.25">
      <c r="D403" s="47" t="s">
        <v>849</v>
      </c>
      <c r="E403" s="19" t="s">
        <v>12</v>
      </c>
      <c r="F403" s="19" t="s">
        <v>850</v>
      </c>
    </row>
    <row r="404" spans="4:6" x14ac:dyDescent="0.25">
      <c r="D404" s="47" t="s">
        <v>851</v>
      </c>
      <c r="E404" s="19" t="s">
        <v>12</v>
      </c>
      <c r="F404" s="19" t="s">
        <v>852</v>
      </c>
    </row>
    <row r="405" spans="4:6" x14ac:dyDescent="0.25">
      <c r="D405" s="75" t="s">
        <v>1694</v>
      </c>
      <c r="E405" s="74" t="s">
        <v>12</v>
      </c>
      <c r="F405" s="74" t="s">
        <v>879</v>
      </c>
    </row>
    <row r="406" spans="4:6" x14ac:dyDescent="0.25">
      <c r="D406" s="47" t="s">
        <v>461</v>
      </c>
      <c r="E406" s="19" t="s">
        <v>202</v>
      </c>
      <c r="F406" s="19" t="s">
        <v>462</v>
      </c>
    </row>
    <row r="407" spans="4:6" x14ac:dyDescent="0.25">
      <c r="D407" s="75" t="s">
        <v>1626</v>
      </c>
      <c r="E407" s="74" t="s">
        <v>202</v>
      </c>
      <c r="F407" s="74" t="s">
        <v>879</v>
      </c>
    </row>
    <row r="408" spans="4:6" x14ac:dyDescent="0.25">
      <c r="D408" s="75" t="s">
        <v>1611</v>
      </c>
      <c r="E408" s="74" t="s">
        <v>1214</v>
      </c>
      <c r="F408" s="74" t="s">
        <v>879</v>
      </c>
    </row>
    <row r="409" spans="4:6" x14ac:dyDescent="0.25">
      <c r="D409" s="47" t="s">
        <v>1059</v>
      </c>
      <c r="E409" s="19" t="s">
        <v>201</v>
      </c>
      <c r="F409" s="19" t="s">
        <v>879</v>
      </c>
    </row>
    <row r="410" spans="4:6" x14ac:dyDescent="0.25">
      <c r="D410" s="47" t="s">
        <v>1145</v>
      </c>
      <c r="E410" s="19" t="s">
        <v>201</v>
      </c>
      <c r="F410" s="19" t="s">
        <v>1146</v>
      </c>
    </row>
    <row r="411" spans="4:6" x14ac:dyDescent="0.25">
      <c r="D411" s="75" t="s">
        <v>1653</v>
      </c>
      <c r="E411" s="74" t="s">
        <v>201</v>
      </c>
      <c r="F411" s="74" t="s">
        <v>1654</v>
      </c>
    </row>
    <row r="412" spans="4:6" x14ac:dyDescent="0.25">
      <c r="D412" s="47" t="s">
        <v>593</v>
      </c>
      <c r="E412" s="19" t="s">
        <v>40</v>
      </c>
      <c r="F412" s="19" t="s">
        <v>594</v>
      </c>
    </row>
    <row r="413" spans="4:6" x14ac:dyDescent="0.25">
      <c r="D413" s="47" t="s">
        <v>595</v>
      </c>
      <c r="E413" s="19" t="s">
        <v>40</v>
      </c>
      <c r="F413" s="19" t="s">
        <v>594</v>
      </c>
    </row>
    <row r="414" spans="4:6" x14ac:dyDescent="0.25">
      <c r="D414" s="47" t="s">
        <v>1147</v>
      </c>
      <c r="E414" s="19" t="s">
        <v>40</v>
      </c>
      <c r="F414" s="19" t="s">
        <v>1148</v>
      </c>
    </row>
    <row r="415" spans="4:6" x14ac:dyDescent="0.25">
      <c r="D415" s="47" t="s">
        <v>1187</v>
      </c>
      <c r="E415" s="19" t="s">
        <v>40</v>
      </c>
      <c r="F415" s="19" t="s">
        <v>1188</v>
      </c>
    </row>
    <row r="416" spans="4:6" x14ac:dyDescent="0.25">
      <c r="D416" s="75" t="s">
        <v>1677</v>
      </c>
      <c r="E416" s="74" t="s">
        <v>40</v>
      </c>
      <c r="F416" s="74" t="s">
        <v>879</v>
      </c>
    </row>
    <row r="417" spans="4:6" x14ac:dyDescent="0.25">
      <c r="D417" s="75" t="s">
        <v>1752</v>
      </c>
      <c r="E417" s="74" t="s">
        <v>40</v>
      </c>
      <c r="F417" s="74" t="s">
        <v>879</v>
      </c>
    </row>
    <row r="418" spans="4:6" x14ac:dyDescent="0.25">
      <c r="D418" s="75" t="s">
        <v>1399</v>
      </c>
      <c r="E418" s="74" t="s">
        <v>41</v>
      </c>
      <c r="F418" s="74" t="s">
        <v>1400</v>
      </c>
    </row>
    <row r="419" spans="4:6" x14ac:dyDescent="0.25">
      <c r="D419" s="75" t="s">
        <v>1651</v>
      </c>
      <c r="E419" s="74" t="s">
        <v>41</v>
      </c>
      <c r="F419" s="74" t="s">
        <v>1652</v>
      </c>
    </row>
    <row r="420" spans="4:6" x14ac:dyDescent="0.25">
      <c r="D420" s="47" t="s">
        <v>1045</v>
      </c>
      <c r="E420" s="19" t="s">
        <v>254</v>
      </c>
      <c r="F420" s="19" t="s">
        <v>1036</v>
      </c>
    </row>
    <row r="421" spans="4:6" x14ac:dyDescent="0.25">
      <c r="D421" s="47" t="s">
        <v>930</v>
      </c>
      <c r="E421" s="19" t="s">
        <v>42</v>
      </c>
      <c r="F421" s="19" t="s">
        <v>879</v>
      </c>
    </row>
    <row r="422" spans="4:6" x14ac:dyDescent="0.25">
      <c r="D422" s="47" t="s">
        <v>1149</v>
      </c>
      <c r="E422" s="19" t="s">
        <v>42</v>
      </c>
      <c r="F422" s="19" t="s">
        <v>1126</v>
      </c>
    </row>
    <row r="423" spans="4:6" x14ac:dyDescent="0.25">
      <c r="D423" s="47" t="s">
        <v>928</v>
      </c>
      <c r="E423" s="19" t="s">
        <v>225</v>
      </c>
      <c r="F423" s="19" t="s">
        <v>879</v>
      </c>
    </row>
    <row r="424" spans="4:6" x14ac:dyDescent="0.25">
      <c r="D424" s="47" t="s">
        <v>1103</v>
      </c>
      <c r="E424" s="19" t="s">
        <v>225</v>
      </c>
      <c r="F424" s="19" t="s">
        <v>1104</v>
      </c>
    </row>
    <row r="425" spans="4:6" x14ac:dyDescent="0.25">
      <c r="D425" s="47" t="s">
        <v>927</v>
      </c>
      <c r="E425" s="19" t="s">
        <v>45</v>
      </c>
      <c r="F425" s="19" t="s">
        <v>879</v>
      </c>
    </row>
    <row r="426" spans="4:6" x14ac:dyDescent="0.25">
      <c r="D426" s="47" t="s">
        <v>972</v>
      </c>
      <c r="E426" s="19" t="s">
        <v>45</v>
      </c>
      <c r="F426" s="19" t="s">
        <v>879</v>
      </c>
    </row>
    <row r="427" spans="4:6" x14ac:dyDescent="0.25">
      <c r="D427" s="75" t="s">
        <v>1420</v>
      </c>
      <c r="E427" s="74" t="s">
        <v>45</v>
      </c>
      <c r="F427" s="74" t="s">
        <v>1416</v>
      </c>
    </row>
    <row r="428" spans="4:6" x14ac:dyDescent="0.25">
      <c r="D428" s="75" t="s">
        <v>1614</v>
      </c>
      <c r="E428" s="74" t="s">
        <v>45</v>
      </c>
      <c r="F428" s="74" t="s">
        <v>879</v>
      </c>
    </row>
    <row r="429" spans="4:6" x14ac:dyDescent="0.25">
      <c r="D429" s="47" t="s">
        <v>1041</v>
      </c>
      <c r="E429" s="19" t="s">
        <v>262</v>
      </c>
      <c r="F429" s="19" t="s">
        <v>1042</v>
      </c>
    </row>
    <row r="430" spans="4:6" x14ac:dyDescent="0.25">
      <c r="D430" s="75" t="s">
        <v>1410</v>
      </c>
      <c r="E430" s="74" t="s">
        <v>262</v>
      </c>
      <c r="F430" s="74" t="s">
        <v>1411</v>
      </c>
    </row>
    <row r="431" spans="4:6" x14ac:dyDescent="0.25">
      <c r="D431" s="75" t="s">
        <v>1415</v>
      </c>
      <c r="E431" s="74" t="s">
        <v>262</v>
      </c>
      <c r="F431" s="74" t="s">
        <v>1416</v>
      </c>
    </row>
    <row r="432" spans="4:6" x14ac:dyDescent="0.25">
      <c r="D432" s="47" t="s">
        <v>1006</v>
      </c>
      <c r="E432" s="19" t="s">
        <v>46</v>
      </c>
      <c r="F432" s="19" t="s">
        <v>879</v>
      </c>
    </row>
    <row r="433" spans="4:6" x14ac:dyDescent="0.25">
      <c r="D433" s="47" t="s">
        <v>929</v>
      </c>
      <c r="E433" s="19" t="s">
        <v>47</v>
      </c>
      <c r="F433" s="19" t="s">
        <v>879</v>
      </c>
    </row>
    <row r="434" spans="4:6" x14ac:dyDescent="0.25">
      <c r="D434" s="47" t="s">
        <v>991</v>
      </c>
      <c r="E434" s="19" t="s">
        <v>263</v>
      </c>
      <c r="F434" s="19" t="s">
        <v>879</v>
      </c>
    </row>
    <row r="435" spans="4:6" x14ac:dyDescent="0.25">
      <c r="D435" s="75" t="s">
        <v>1679</v>
      </c>
      <c r="E435" s="74" t="s">
        <v>263</v>
      </c>
      <c r="F435" s="74" t="s">
        <v>879</v>
      </c>
    </row>
    <row r="436" spans="4:6" x14ac:dyDescent="0.25">
      <c r="D436" s="47" t="s">
        <v>990</v>
      </c>
      <c r="E436" s="19" t="s">
        <v>178</v>
      </c>
      <c r="F436" s="19" t="s">
        <v>879</v>
      </c>
    </row>
    <row r="437" spans="4:6" x14ac:dyDescent="0.25">
      <c r="D437" s="75" t="s">
        <v>1657</v>
      </c>
      <c r="E437" s="74" t="s">
        <v>1581</v>
      </c>
      <c r="F437" s="74" t="s">
        <v>1658</v>
      </c>
    </row>
    <row r="438" spans="4:6" x14ac:dyDescent="0.25">
      <c r="D438" s="47" t="s">
        <v>1043</v>
      </c>
      <c r="E438" s="19" t="s">
        <v>1024</v>
      </c>
      <c r="F438" s="19" t="s">
        <v>1044</v>
      </c>
    </row>
    <row r="439" spans="4:6" x14ac:dyDescent="0.25">
      <c r="D439" s="75" t="s">
        <v>1678</v>
      </c>
      <c r="E439" s="74" t="s">
        <v>1024</v>
      </c>
      <c r="F439" s="74" t="s">
        <v>879</v>
      </c>
    </row>
    <row r="440" spans="4:6" x14ac:dyDescent="0.25">
      <c r="D440" s="75" t="s">
        <v>1629</v>
      </c>
      <c r="E440" s="74" t="s">
        <v>1358</v>
      </c>
      <c r="F440" s="74" t="s">
        <v>879</v>
      </c>
    </row>
    <row r="441" spans="4:6" x14ac:dyDescent="0.25">
      <c r="D441" s="75" t="s">
        <v>1413</v>
      </c>
      <c r="E441" s="74" t="s">
        <v>1359</v>
      </c>
      <c r="F441" s="74" t="s">
        <v>1414</v>
      </c>
    </row>
    <row r="442" spans="4:6" x14ac:dyDescent="0.25">
      <c r="D442" s="75" t="s">
        <v>1779</v>
      </c>
      <c r="E442" s="74" t="s">
        <v>261</v>
      </c>
      <c r="F442" s="74" t="s">
        <v>879</v>
      </c>
    </row>
    <row r="443" spans="4:6" x14ac:dyDescent="0.25">
      <c r="D443" s="47" t="s">
        <v>917</v>
      </c>
      <c r="E443" s="19" t="s">
        <v>141</v>
      </c>
      <c r="F443" s="19" t="s">
        <v>879</v>
      </c>
    </row>
    <row r="444" spans="4:6" x14ac:dyDescent="0.25">
      <c r="D444" s="47" t="s">
        <v>997</v>
      </c>
      <c r="E444" s="19" t="s">
        <v>141</v>
      </c>
      <c r="F444" s="19" t="s">
        <v>879</v>
      </c>
    </row>
    <row r="445" spans="4:6" x14ac:dyDescent="0.25">
      <c r="D445" s="47" t="s">
        <v>1071</v>
      </c>
      <c r="E445" s="19" t="s">
        <v>141</v>
      </c>
      <c r="F445" s="19" t="s">
        <v>879</v>
      </c>
    </row>
    <row r="446" spans="4:6" x14ac:dyDescent="0.25">
      <c r="D446" s="47" t="s">
        <v>1191</v>
      </c>
      <c r="E446" s="19" t="s">
        <v>141</v>
      </c>
      <c r="F446" s="19" t="s">
        <v>1172</v>
      </c>
    </row>
    <row r="447" spans="4:6" x14ac:dyDescent="0.25">
      <c r="D447" s="75" t="s">
        <v>1778</v>
      </c>
      <c r="E447" s="74" t="s">
        <v>141</v>
      </c>
      <c r="F447" s="74" t="s">
        <v>879</v>
      </c>
    </row>
    <row r="448" spans="4:6" x14ac:dyDescent="0.25">
      <c r="D448" s="47" t="s">
        <v>624</v>
      </c>
      <c r="E448" s="19" t="s">
        <v>140</v>
      </c>
      <c r="F448" s="19" t="s">
        <v>625</v>
      </c>
    </row>
    <row r="449" spans="4:6" x14ac:dyDescent="0.25">
      <c r="D449" s="47" t="s">
        <v>767</v>
      </c>
      <c r="E449" s="19" t="s">
        <v>140</v>
      </c>
      <c r="F449" s="19" t="s">
        <v>768</v>
      </c>
    </row>
    <row r="450" spans="4:6" x14ac:dyDescent="0.25">
      <c r="D450" s="47" t="s">
        <v>769</v>
      </c>
      <c r="E450" s="19" t="s">
        <v>140</v>
      </c>
      <c r="F450" s="19" t="s">
        <v>770</v>
      </c>
    </row>
    <row r="451" spans="4:6" x14ac:dyDescent="0.25">
      <c r="D451" s="47" t="s">
        <v>782</v>
      </c>
      <c r="E451" s="60" t="s">
        <v>140</v>
      </c>
      <c r="F451" s="60" t="s">
        <v>783</v>
      </c>
    </row>
    <row r="452" spans="4:6" x14ac:dyDescent="0.25">
      <c r="D452" s="47" t="s">
        <v>932</v>
      </c>
      <c r="E452" s="60" t="s">
        <v>140</v>
      </c>
      <c r="F452" s="60" t="s">
        <v>879</v>
      </c>
    </row>
    <row r="453" spans="4:6" x14ac:dyDescent="0.25">
      <c r="D453" s="47" t="s">
        <v>965</v>
      </c>
      <c r="E453" s="19" t="s">
        <v>140</v>
      </c>
      <c r="F453" s="19" t="s">
        <v>879</v>
      </c>
    </row>
    <row r="454" spans="4:6" x14ac:dyDescent="0.25">
      <c r="D454" s="47" t="s">
        <v>1027</v>
      </c>
      <c r="E454" s="19" t="s">
        <v>140</v>
      </c>
      <c r="F454" s="19" t="s">
        <v>1028</v>
      </c>
    </row>
    <row r="455" spans="4:6" x14ac:dyDescent="0.25">
      <c r="D455" s="47" t="s">
        <v>1057</v>
      </c>
      <c r="E455" s="19" t="s">
        <v>140</v>
      </c>
      <c r="F455" s="19" t="s">
        <v>879</v>
      </c>
    </row>
    <row r="456" spans="4:6" x14ac:dyDescent="0.25">
      <c r="D456" s="75" t="s">
        <v>1610</v>
      </c>
      <c r="E456" s="74" t="s">
        <v>140</v>
      </c>
      <c r="F456" s="74" t="s">
        <v>879</v>
      </c>
    </row>
    <row r="457" spans="4:6" x14ac:dyDescent="0.25">
      <c r="D457" s="75" t="s">
        <v>1636</v>
      </c>
      <c r="E457" s="74" t="s">
        <v>140</v>
      </c>
      <c r="F457" s="74" t="s">
        <v>879</v>
      </c>
    </row>
    <row r="458" spans="4:6" x14ac:dyDescent="0.25">
      <c r="D458" s="75" t="s">
        <v>1520</v>
      </c>
      <c r="E458" s="74" t="s">
        <v>1279</v>
      </c>
      <c r="F458" s="74" t="s">
        <v>1521</v>
      </c>
    </row>
    <row r="459" spans="4:6" x14ac:dyDescent="0.25">
      <c r="D459" s="75" t="s">
        <v>1855</v>
      </c>
      <c r="E459" s="74" t="s">
        <v>1279</v>
      </c>
      <c r="F459" s="74" t="s">
        <v>894</v>
      </c>
    </row>
    <row r="460" spans="4:6" x14ac:dyDescent="0.25">
      <c r="D460" s="75" t="s">
        <v>1663</v>
      </c>
      <c r="E460" s="74" t="s">
        <v>189</v>
      </c>
      <c r="F460" s="74" t="s">
        <v>1664</v>
      </c>
    </row>
    <row r="461" spans="4:6" x14ac:dyDescent="0.25">
      <c r="D461" s="75" t="s">
        <v>1808</v>
      </c>
      <c r="E461" s="74" t="s">
        <v>189</v>
      </c>
      <c r="F461" s="74" t="s">
        <v>879</v>
      </c>
    </row>
    <row r="462" spans="4:6" x14ac:dyDescent="0.25">
      <c r="D462" s="75" t="s">
        <v>1830</v>
      </c>
      <c r="E462" s="74" t="s">
        <v>229</v>
      </c>
      <c r="F462" s="74" t="s">
        <v>879</v>
      </c>
    </row>
    <row r="463" spans="4:6" x14ac:dyDescent="0.25">
      <c r="D463" s="47" t="s">
        <v>1117</v>
      </c>
      <c r="E463" s="19" t="s">
        <v>228</v>
      </c>
      <c r="F463" s="19" t="s">
        <v>1118</v>
      </c>
    </row>
    <row r="464" spans="4:6" x14ac:dyDescent="0.25">
      <c r="D464" s="75" t="s">
        <v>1435</v>
      </c>
      <c r="E464" s="74" t="s">
        <v>228</v>
      </c>
      <c r="F464" s="74" t="s">
        <v>1416</v>
      </c>
    </row>
    <row r="465" spans="4:6" x14ac:dyDescent="0.25">
      <c r="D465" s="75" t="s">
        <v>1734</v>
      </c>
      <c r="E465" s="74" t="s">
        <v>228</v>
      </c>
      <c r="F465" s="74" t="s">
        <v>879</v>
      </c>
    </row>
    <row r="466" spans="4:6" x14ac:dyDescent="0.25">
      <c r="D466" s="47" t="s">
        <v>1046</v>
      </c>
      <c r="E466" s="19" t="s">
        <v>265</v>
      </c>
      <c r="F466" s="19" t="s">
        <v>1047</v>
      </c>
    </row>
    <row r="467" spans="4:6" x14ac:dyDescent="0.25">
      <c r="D467" s="75" t="s">
        <v>1462</v>
      </c>
      <c r="E467" s="74" t="s">
        <v>265</v>
      </c>
      <c r="F467" s="74" t="s">
        <v>1416</v>
      </c>
    </row>
    <row r="468" spans="4:6" x14ac:dyDescent="0.25">
      <c r="D468" s="75" t="s">
        <v>1488</v>
      </c>
      <c r="E468" s="74" t="s">
        <v>265</v>
      </c>
      <c r="F468" s="74" t="s">
        <v>1489</v>
      </c>
    </row>
    <row r="469" spans="4:6" x14ac:dyDescent="0.25">
      <c r="D469" s="75" t="s">
        <v>1492</v>
      </c>
      <c r="E469" s="74" t="s">
        <v>265</v>
      </c>
      <c r="F469" s="74" t="s">
        <v>879</v>
      </c>
    </row>
    <row r="470" spans="4:6" x14ac:dyDescent="0.25">
      <c r="D470" s="75" t="s">
        <v>1711</v>
      </c>
      <c r="E470" s="74" t="s">
        <v>265</v>
      </c>
      <c r="F470" s="74" t="s">
        <v>879</v>
      </c>
    </row>
    <row r="471" spans="4:6" x14ac:dyDescent="0.25">
      <c r="D471" s="75" t="s">
        <v>1718</v>
      </c>
      <c r="E471" s="74" t="s">
        <v>265</v>
      </c>
      <c r="F471" s="74" t="s">
        <v>879</v>
      </c>
    </row>
    <row r="472" spans="4:6" x14ac:dyDescent="0.25">
      <c r="D472" s="75" t="s">
        <v>1758</v>
      </c>
      <c r="E472" s="74" t="s">
        <v>265</v>
      </c>
      <c r="F472" s="74" t="s">
        <v>879</v>
      </c>
    </row>
    <row r="473" spans="4:6" x14ac:dyDescent="0.25">
      <c r="D473" s="75" t="s">
        <v>1792</v>
      </c>
      <c r="E473" s="74" t="s">
        <v>265</v>
      </c>
      <c r="F473" s="74" t="s">
        <v>879</v>
      </c>
    </row>
    <row r="474" spans="4:6" x14ac:dyDescent="0.25">
      <c r="D474" s="75" t="s">
        <v>1836</v>
      </c>
      <c r="E474" s="74" t="s">
        <v>265</v>
      </c>
      <c r="F474" s="74" t="s">
        <v>879</v>
      </c>
    </row>
    <row r="475" spans="4:6" x14ac:dyDescent="0.25">
      <c r="D475" s="47" t="s">
        <v>1017</v>
      </c>
      <c r="E475" s="19" t="s">
        <v>230</v>
      </c>
      <c r="F475" s="19" t="s">
        <v>98</v>
      </c>
    </row>
    <row r="476" spans="4:6" x14ac:dyDescent="0.25">
      <c r="D476" s="47" t="s">
        <v>1083</v>
      </c>
      <c r="E476" s="60" t="s">
        <v>230</v>
      </c>
      <c r="F476" s="60" t="s">
        <v>879</v>
      </c>
    </row>
    <row r="477" spans="4:6" x14ac:dyDescent="0.25">
      <c r="D477" s="75" t="s">
        <v>1719</v>
      </c>
      <c r="E477" s="74" t="s">
        <v>231</v>
      </c>
      <c r="F477" s="74" t="s">
        <v>879</v>
      </c>
    </row>
    <row r="478" spans="4:6" x14ac:dyDescent="0.25">
      <c r="D478" s="75" t="s">
        <v>1738</v>
      </c>
      <c r="E478" s="74" t="s">
        <v>231</v>
      </c>
      <c r="F478" s="74" t="s">
        <v>879</v>
      </c>
    </row>
    <row r="479" spans="4:6" x14ac:dyDescent="0.25">
      <c r="D479" s="75" t="s">
        <v>1759</v>
      </c>
      <c r="E479" s="74" t="s">
        <v>231</v>
      </c>
      <c r="F479" s="74" t="s">
        <v>879</v>
      </c>
    </row>
    <row r="480" spans="4:6" x14ac:dyDescent="0.25">
      <c r="D480" s="47" t="s">
        <v>653</v>
      </c>
      <c r="E480" s="19" t="s">
        <v>232</v>
      </c>
      <c r="F480" s="19" t="s">
        <v>654</v>
      </c>
    </row>
    <row r="481" spans="4:6" x14ac:dyDescent="0.25">
      <c r="D481" s="47" t="s">
        <v>1002</v>
      </c>
      <c r="E481" s="19" t="s">
        <v>232</v>
      </c>
      <c r="F481" s="19" t="s">
        <v>879</v>
      </c>
    </row>
    <row r="482" spans="4:6" x14ac:dyDescent="0.25">
      <c r="D482" s="47" t="s">
        <v>758</v>
      </c>
      <c r="E482" s="19" t="s">
        <v>759</v>
      </c>
      <c r="F482" s="19" t="s">
        <v>748</v>
      </c>
    </row>
    <row r="483" spans="4:6" x14ac:dyDescent="0.25">
      <c r="D483" s="47" t="s">
        <v>1182</v>
      </c>
      <c r="E483" s="19" t="s">
        <v>759</v>
      </c>
      <c r="F483" s="19" t="s">
        <v>1183</v>
      </c>
    </row>
    <row r="484" spans="4:6" x14ac:dyDescent="0.25">
      <c r="D484" s="75" t="s">
        <v>1465</v>
      </c>
      <c r="E484" s="74" t="s">
        <v>1282</v>
      </c>
      <c r="F484" s="74" t="s">
        <v>1416</v>
      </c>
    </row>
    <row r="485" spans="4:6" x14ac:dyDescent="0.25">
      <c r="D485" s="47" t="s">
        <v>417</v>
      </c>
      <c r="E485" s="19" t="s">
        <v>146</v>
      </c>
      <c r="F485" s="19" t="s">
        <v>418</v>
      </c>
    </row>
    <row r="486" spans="4:6" x14ac:dyDescent="0.25">
      <c r="D486" s="47" t="s">
        <v>419</v>
      </c>
      <c r="E486" s="19" t="s">
        <v>146</v>
      </c>
      <c r="F486" s="19" t="s">
        <v>420</v>
      </c>
    </row>
    <row r="487" spans="4:6" x14ac:dyDescent="0.25">
      <c r="D487" s="47" t="s">
        <v>421</v>
      </c>
      <c r="E487" s="19" t="s">
        <v>146</v>
      </c>
      <c r="F487" s="19" t="s">
        <v>422</v>
      </c>
    </row>
    <row r="488" spans="4:6" x14ac:dyDescent="0.25">
      <c r="D488" s="47" t="s">
        <v>423</v>
      </c>
      <c r="E488" s="19" t="s">
        <v>146</v>
      </c>
      <c r="F488" s="19" t="s">
        <v>424</v>
      </c>
    </row>
    <row r="489" spans="4:6" x14ac:dyDescent="0.25">
      <c r="D489" s="47" t="s">
        <v>425</v>
      </c>
      <c r="E489" s="19" t="s">
        <v>146</v>
      </c>
      <c r="F489" s="19" t="s">
        <v>426</v>
      </c>
    </row>
    <row r="490" spans="4:6" x14ac:dyDescent="0.25">
      <c r="D490" s="47" t="s">
        <v>427</v>
      </c>
      <c r="E490" s="19" t="s">
        <v>146</v>
      </c>
      <c r="F490" s="19" t="s">
        <v>428</v>
      </c>
    </row>
    <row r="491" spans="4:6" x14ac:dyDescent="0.25">
      <c r="D491" s="47" t="s">
        <v>429</v>
      </c>
      <c r="E491" s="19" t="s">
        <v>146</v>
      </c>
      <c r="F491" s="19" t="s">
        <v>430</v>
      </c>
    </row>
    <row r="492" spans="4:6" x14ac:dyDescent="0.25">
      <c r="D492" s="47" t="s">
        <v>517</v>
      </c>
      <c r="E492" s="19" t="s">
        <v>146</v>
      </c>
      <c r="F492" s="19" t="s">
        <v>420</v>
      </c>
    </row>
    <row r="493" spans="4:6" x14ac:dyDescent="0.25">
      <c r="D493" s="47" t="s">
        <v>747</v>
      </c>
      <c r="E493" s="60" t="s">
        <v>146</v>
      </c>
      <c r="F493" s="60" t="s">
        <v>748</v>
      </c>
    </row>
    <row r="494" spans="4:6" x14ac:dyDescent="0.25">
      <c r="D494" s="47" t="s">
        <v>749</v>
      </c>
      <c r="E494" s="60" t="s">
        <v>146</v>
      </c>
      <c r="F494" s="60" t="s">
        <v>424</v>
      </c>
    </row>
    <row r="495" spans="4:6" x14ac:dyDescent="0.25">
      <c r="D495" s="47" t="s">
        <v>750</v>
      </c>
      <c r="E495" s="60" t="s">
        <v>146</v>
      </c>
      <c r="F495" s="60" t="s">
        <v>424</v>
      </c>
    </row>
    <row r="496" spans="4:6" x14ac:dyDescent="0.25">
      <c r="D496" s="47" t="s">
        <v>751</v>
      </c>
      <c r="E496" s="19" t="s">
        <v>146</v>
      </c>
      <c r="F496" s="19" t="s">
        <v>752</v>
      </c>
    </row>
    <row r="497" spans="4:6" x14ac:dyDescent="0.25">
      <c r="D497" s="47" t="s">
        <v>753</v>
      </c>
      <c r="E497" s="19" t="s">
        <v>146</v>
      </c>
      <c r="F497" s="19" t="s">
        <v>424</v>
      </c>
    </row>
    <row r="498" spans="4:6" x14ac:dyDescent="0.25">
      <c r="D498" s="47" t="s">
        <v>754</v>
      </c>
      <c r="E498" s="19" t="s">
        <v>146</v>
      </c>
      <c r="F498" s="19" t="s">
        <v>755</v>
      </c>
    </row>
    <row r="499" spans="4:6" x14ac:dyDescent="0.25">
      <c r="D499" s="47" t="s">
        <v>756</v>
      </c>
      <c r="E499" s="19" t="s">
        <v>146</v>
      </c>
      <c r="F499" s="19" t="s">
        <v>422</v>
      </c>
    </row>
    <row r="500" spans="4:6" x14ac:dyDescent="0.25">
      <c r="D500" s="47" t="s">
        <v>757</v>
      </c>
      <c r="E500" s="19" t="s">
        <v>146</v>
      </c>
      <c r="F500" s="19" t="s">
        <v>748</v>
      </c>
    </row>
    <row r="501" spans="4:6" x14ac:dyDescent="0.25">
      <c r="D501" s="47" t="s">
        <v>799</v>
      </c>
      <c r="E501" s="19" t="s">
        <v>146</v>
      </c>
      <c r="F501" s="19" t="s">
        <v>800</v>
      </c>
    </row>
    <row r="502" spans="4:6" x14ac:dyDescent="0.25">
      <c r="D502" s="47" t="s">
        <v>977</v>
      </c>
      <c r="E502" s="19" t="s">
        <v>146</v>
      </c>
      <c r="F502" s="19" t="s">
        <v>879</v>
      </c>
    </row>
    <row r="503" spans="4:6" x14ac:dyDescent="0.25">
      <c r="D503" s="75" t="s">
        <v>1409</v>
      </c>
      <c r="E503" s="74" t="s">
        <v>146</v>
      </c>
      <c r="F503" s="74" t="s">
        <v>1109</v>
      </c>
    </row>
    <row r="504" spans="4:6" x14ac:dyDescent="0.25">
      <c r="D504" s="75" t="s">
        <v>1446</v>
      </c>
      <c r="E504" s="74" t="s">
        <v>146</v>
      </c>
      <c r="F504" s="74" t="s">
        <v>1416</v>
      </c>
    </row>
    <row r="505" spans="4:6" x14ac:dyDescent="0.25">
      <c r="D505" s="75" t="s">
        <v>1469</v>
      </c>
      <c r="E505" s="74" t="s">
        <v>146</v>
      </c>
      <c r="F505" s="74">
        <v>1</v>
      </c>
    </row>
    <row r="506" spans="4:6" x14ac:dyDescent="0.25">
      <c r="D506" s="75" t="s">
        <v>1483</v>
      </c>
      <c r="E506" s="74" t="s">
        <v>146</v>
      </c>
      <c r="F506" s="74" t="s">
        <v>426</v>
      </c>
    </row>
    <row r="507" spans="4:6" x14ac:dyDescent="0.25">
      <c r="D507" s="75" t="s">
        <v>1502</v>
      </c>
      <c r="E507" s="74" t="s">
        <v>146</v>
      </c>
      <c r="F507" s="74" t="s">
        <v>879</v>
      </c>
    </row>
    <row r="508" spans="4:6" x14ac:dyDescent="0.25">
      <c r="D508" s="75" t="s">
        <v>1613</v>
      </c>
      <c r="E508" s="74" t="s">
        <v>146</v>
      </c>
      <c r="F508" s="74" t="s">
        <v>879</v>
      </c>
    </row>
    <row r="509" spans="4:6" x14ac:dyDescent="0.25">
      <c r="D509" s="47" t="s">
        <v>1141</v>
      </c>
      <c r="E509" s="60" t="s">
        <v>147</v>
      </c>
      <c r="F509" s="60" t="s">
        <v>1142</v>
      </c>
    </row>
    <row r="510" spans="4:6" x14ac:dyDescent="0.25">
      <c r="D510" s="75" t="s">
        <v>1522</v>
      </c>
      <c r="E510" s="74" t="s">
        <v>147</v>
      </c>
      <c r="F510" s="74" t="s">
        <v>1523</v>
      </c>
    </row>
    <row r="511" spans="4:6" x14ac:dyDescent="0.25">
      <c r="D511" s="75" t="s">
        <v>1749</v>
      </c>
      <c r="E511" s="74" t="s">
        <v>147</v>
      </c>
      <c r="F511" s="74" t="s">
        <v>879</v>
      </c>
    </row>
    <row r="512" spans="4:6" x14ac:dyDescent="0.25">
      <c r="D512" s="47" t="s">
        <v>940</v>
      </c>
      <c r="E512" s="19" t="s">
        <v>143</v>
      </c>
      <c r="F512" s="19" t="s">
        <v>879</v>
      </c>
    </row>
    <row r="513" spans="4:6" x14ac:dyDescent="0.25">
      <c r="D513" s="47" t="s">
        <v>906</v>
      </c>
      <c r="E513" s="19" t="s">
        <v>144</v>
      </c>
      <c r="F513" s="19" t="s">
        <v>777</v>
      </c>
    </row>
    <row r="514" spans="4:6" x14ac:dyDescent="0.25">
      <c r="D514" s="47" t="s">
        <v>907</v>
      </c>
      <c r="E514" s="19" t="s">
        <v>144</v>
      </c>
      <c r="F514" s="19" t="s">
        <v>908</v>
      </c>
    </row>
    <row r="515" spans="4:6" x14ac:dyDescent="0.25">
      <c r="D515" s="47" t="s">
        <v>909</v>
      </c>
      <c r="E515" s="19" t="s">
        <v>144</v>
      </c>
      <c r="F515" s="19" t="s">
        <v>777</v>
      </c>
    </row>
    <row r="516" spans="4:6" x14ac:dyDescent="0.25">
      <c r="D516" s="47" t="s">
        <v>910</v>
      </c>
      <c r="E516" s="19" t="s">
        <v>144</v>
      </c>
      <c r="F516" s="19" t="s">
        <v>908</v>
      </c>
    </row>
    <row r="517" spans="4:6" x14ac:dyDescent="0.25">
      <c r="D517" s="47" t="s">
        <v>911</v>
      </c>
      <c r="E517" s="19" t="s">
        <v>144</v>
      </c>
      <c r="F517" s="19" t="s">
        <v>424</v>
      </c>
    </row>
    <row r="518" spans="4:6" x14ac:dyDescent="0.25">
      <c r="D518" s="47" t="s">
        <v>912</v>
      </c>
      <c r="E518" s="19" t="s">
        <v>144</v>
      </c>
      <c r="F518" s="19" t="s">
        <v>424</v>
      </c>
    </row>
    <row r="519" spans="4:6" x14ac:dyDescent="0.25">
      <c r="D519" s="47" t="s">
        <v>913</v>
      </c>
      <c r="E519" s="60" t="s">
        <v>144</v>
      </c>
      <c r="F519" s="60" t="s">
        <v>424</v>
      </c>
    </row>
    <row r="520" spans="4:6" x14ac:dyDescent="0.25">
      <c r="D520" s="47" t="s">
        <v>951</v>
      </c>
      <c r="E520" s="19" t="s">
        <v>144</v>
      </c>
      <c r="F520" s="19" t="s">
        <v>879</v>
      </c>
    </row>
    <row r="521" spans="4:6" x14ac:dyDescent="0.25">
      <c r="D521" s="47" t="s">
        <v>967</v>
      </c>
      <c r="E521" s="19" t="s">
        <v>144</v>
      </c>
      <c r="F521" s="19" t="s">
        <v>879</v>
      </c>
    </row>
    <row r="522" spans="4:6" x14ac:dyDescent="0.25">
      <c r="D522" s="47" t="s">
        <v>1019</v>
      </c>
      <c r="E522" s="19" t="s">
        <v>144</v>
      </c>
      <c r="F522" s="19" t="s">
        <v>879</v>
      </c>
    </row>
    <row r="523" spans="4:6" x14ac:dyDescent="0.25">
      <c r="D523" s="47" t="s">
        <v>1079</v>
      </c>
      <c r="E523" s="19" t="s">
        <v>144</v>
      </c>
      <c r="F523" s="19" t="s">
        <v>879</v>
      </c>
    </row>
    <row r="524" spans="4:6" x14ac:dyDescent="0.25">
      <c r="D524" s="47" t="s">
        <v>1124</v>
      </c>
      <c r="E524" s="19" t="s">
        <v>144</v>
      </c>
      <c r="F524" s="19" t="s">
        <v>1116</v>
      </c>
    </row>
    <row r="525" spans="4:6" x14ac:dyDescent="0.25">
      <c r="D525" s="47" t="s">
        <v>1166</v>
      </c>
      <c r="E525" s="19" t="s">
        <v>144</v>
      </c>
      <c r="F525" s="19">
        <v>6</v>
      </c>
    </row>
    <row r="526" spans="4:6" x14ac:dyDescent="0.25">
      <c r="D526" s="75" t="s">
        <v>1659</v>
      </c>
      <c r="E526" s="74" t="s">
        <v>144</v>
      </c>
      <c r="F526" s="74" t="s">
        <v>1660</v>
      </c>
    </row>
    <row r="527" spans="4:6" x14ac:dyDescent="0.25">
      <c r="D527" s="47" t="s">
        <v>776</v>
      </c>
      <c r="E527" s="19" t="s">
        <v>145</v>
      </c>
      <c r="F527" s="19" t="s">
        <v>777</v>
      </c>
    </row>
    <row r="528" spans="4:6" x14ac:dyDescent="0.25">
      <c r="D528" s="47" t="s">
        <v>922</v>
      </c>
      <c r="E528" s="19" t="s">
        <v>145</v>
      </c>
      <c r="F528" s="19" t="s">
        <v>879</v>
      </c>
    </row>
    <row r="529" spans="4:6" x14ac:dyDescent="0.25">
      <c r="D529" s="47" t="s">
        <v>931</v>
      </c>
      <c r="E529" s="19" t="s">
        <v>49</v>
      </c>
      <c r="F529" s="19" t="s">
        <v>879</v>
      </c>
    </row>
    <row r="530" spans="4:6" x14ac:dyDescent="0.25">
      <c r="D530" s="75" t="s">
        <v>1835</v>
      </c>
      <c r="E530" s="74" t="s">
        <v>49</v>
      </c>
      <c r="F530" s="74" t="s">
        <v>879</v>
      </c>
    </row>
    <row r="531" spans="4:6" x14ac:dyDescent="0.25">
      <c r="D531" s="47" t="s">
        <v>925</v>
      </c>
      <c r="E531" s="19" t="s">
        <v>338</v>
      </c>
      <c r="F531" s="19" t="s">
        <v>879</v>
      </c>
    </row>
    <row r="532" spans="4:6" x14ac:dyDescent="0.25">
      <c r="D532" s="75" t="s">
        <v>1722</v>
      </c>
      <c r="E532" s="74" t="s">
        <v>1367</v>
      </c>
      <c r="F532" s="74" t="s">
        <v>879</v>
      </c>
    </row>
    <row r="533" spans="4:6" x14ac:dyDescent="0.25">
      <c r="D533" s="75" t="s">
        <v>1760</v>
      </c>
      <c r="E533" s="74" t="s">
        <v>1367</v>
      </c>
      <c r="F533" s="74" t="s">
        <v>879</v>
      </c>
    </row>
    <row r="534" spans="4:6" x14ac:dyDescent="0.25">
      <c r="D534" s="75" t="s">
        <v>1587</v>
      </c>
      <c r="E534" s="74" t="s">
        <v>1369</v>
      </c>
      <c r="F534" s="74" t="s">
        <v>879</v>
      </c>
    </row>
    <row r="535" spans="4:6" x14ac:dyDescent="0.25">
      <c r="D535" s="75" t="s">
        <v>1723</v>
      </c>
      <c r="E535" s="74" t="s">
        <v>1369</v>
      </c>
      <c r="F535" s="74" t="s">
        <v>879</v>
      </c>
    </row>
    <row r="536" spans="4:6" x14ac:dyDescent="0.25">
      <c r="D536" s="75" t="s">
        <v>1788</v>
      </c>
      <c r="E536" s="74" t="s">
        <v>1369</v>
      </c>
      <c r="F536" s="74" t="s">
        <v>879</v>
      </c>
    </row>
    <row r="537" spans="4:6" x14ac:dyDescent="0.25">
      <c r="D537" s="75" t="s">
        <v>1794</v>
      </c>
      <c r="E537" s="74" t="s">
        <v>1369</v>
      </c>
      <c r="F537" s="74" t="s">
        <v>879</v>
      </c>
    </row>
    <row r="538" spans="4:6" x14ac:dyDescent="0.25">
      <c r="D538" s="47" t="s">
        <v>411</v>
      </c>
      <c r="E538" s="19" t="s">
        <v>149</v>
      </c>
      <c r="F538" s="19" t="s">
        <v>412</v>
      </c>
    </row>
    <row r="539" spans="4:6" x14ac:dyDescent="0.25">
      <c r="D539" s="47" t="s">
        <v>413</v>
      </c>
      <c r="E539" s="19" t="s">
        <v>149</v>
      </c>
      <c r="F539" s="19" t="s">
        <v>414</v>
      </c>
    </row>
    <row r="540" spans="4:6" x14ac:dyDescent="0.25">
      <c r="D540" s="47" t="s">
        <v>415</v>
      </c>
      <c r="E540" s="60" t="s">
        <v>149</v>
      </c>
      <c r="F540" s="60" t="s">
        <v>412</v>
      </c>
    </row>
    <row r="541" spans="4:6" x14ac:dyDescent="0.25">
      <c r="D541" s="47" t="s">
        <v>480</v>
      </c>
      <c r="E541" s="60" t="s">
        <v>149</v>
      </c>
      <c r="F541" s="60" t="s">
        <v>481</v>
      </c>
    </row>
    <row r="542" spans="4:6" x14ac:dyDescent="0.25">
      <c r="D542" s="47" t="s">
        <v>482</v>
      </c>
      <c r="E542" s="19" t="s">
        <v>149</v>
      </c>
      <c r="F542" s="19" t="s">
        <v>483</v>
      </c>
    </row>
    <row r="543" spans="4:6" x14ac:dyDescent="0.25">
      <c r="D543" s="47" t="s">
        <v>484</v>
      </c>
      <c r="E543" s="19" t="s">
        <v>149</v>
      </c>
      <c r="F543" s="19" t="s">
        <v>485</v>
      </c>
    </row>
    <row r="544" spans="4:6" x14ac:dyDescent="0.25">
      <c r="D544" s="47" t="s">
        <v>486</v>
      </c>
      <c r="E544" s="19" t="s">
        <v>149</v>
      </c>
      <c r="F544" s="19" t="s">
        <v>487</v>
      </c>
    </row>
    <row r="545" spans="4:6" x14ac:dyDescent="0.25">
      <c r="D545" s="47" t="s">
        <v>488</v>
      </c>
      <c r="E545" s="19" t="s">
        <v>149</v>
      </c>
      <c r="F545" s="19" t="s">
        <v>489</v>
      </c>
    </row>
    <row r="546" spans="4:6" x14ac:dyDescent="0.25">
      <c r="D546" s="47" t="s">
        <v>490</v>
      </c>
      <c r="E546" s="19" t="s">
        <v>149</v>
      </c>
      <c r="F546" s="19" t="s">
        <v>481</v>
      </c>
    </row>
    <row r="547" spans="4:6" x14ac:dyDescent="0.25">
      <c r="D547" s="47" t="s">
        <v>491</v>
      </c>
      <c r="E547" s="60" t="s">
        <v>149</v>
      </c>
      <c r="F547" s="60" t="s">
        <v>481</v>
      </c>
    </row>
    <row r="548" spans="4:6" x14ac:dyDescent="0.25">
      <c r="D548" s="47" t="s">
        <v>492</v>
      </c>
      <c r="E548" s="19" t="s">
        <v>149</v>
      </c>
      <c r="F548" s="19" t="s">
        <v>493</v>
      </c>
    </row>
    <row r="549" spans="4:6" x14ac:dyDescent="0.25">
      <c r="D549" s="47" t="s">
        <v>494</v>
      </c>
      <c r="E549" s="19" t="s">
        <v>149</v>
      </c>
      <c r="F549" s="19" t="s">
        <v>487</v>
      </c>
    </row>
    <row r="550" spans="4:6" x14ac:dyDescent="0.25">
      <c r="D550" s="47" t="s">
        <v>495</v>
      </c>
      <c r="E550" s="19" t="s">
        <v>149</v>
      </c>
      <c r="F550" s="19" t="s">
        <v>493</v>
      </c>
    </row>
    <row r="551" spans="4:6" x14ac:dyDescent="0.25">
      <c r="D551" s="47" t="s">
        <v>496</v>
      </c>
      <c r="E551" s="19" t="s">
        <v>149</v>
      </c>
      <c r="F551" s="19" t="s">
        <v>481</v>
      </c>
    </row>
    <row r="552" spans="4:6" x14ac:dyDescent="0.25">
      <c r="D552" s="47" t="s">
        <v>497</v>
      </c>
      <c r="E552" s="19" t="s">
        <v>149</v>
      </c>
      <c r="F552" s="19" t="s">
        <v>493</v>
      </c>
    </row>
    <row r="553" spans="4:6" x14ac:dyDescent="0.25">
      <c r="D553" s="47" t="s">
        <v>498</v>
      </c>
      <c r="E553" s="19" t="s">
        <v>149</v>
      </c>
      <c r="F553" s="19" t="s">
        <v>499</v>
      </c>
    </row>
    <row r="554" spans="4:6" x14ac:dyDescent="0.25">
      <c r="D554" s="47" t="s">
        <v>500</v>
      </c>
      <c r="E554" s="19" t="s">
        <v>149</v>
      </c>
      <c r="F554" s="19" t="s">
        <v>501</v>
      </c>
    </row>
    <row r="555" spans="4:6" x14ac:dyDescent="0.25">
      <c r="D555" s="47" t="s">
        <v>502</v>
      </c>
      <c r="E555" s="19" t="s">
        <v>149</v>
      </c>
      <c r="F555" s="19" t="s">
        <v>489</v>
      </c>
    </row>
    <row r="556" spans="4:6" x14ac:dyDescent="0.25">
      <c r="D556" s="47" t="s">
        <v>503</v>
      </c>
      <c r="E556" s="19" t="s">
        <v>149</v>
      </c>
      <c r="F556" s="19" t="s">
        <v>487</v>
      </c>
    </row>
    <row r="557" spans="4:6" x14ac:dyDescent="0.25">
      <c r="D557" s="47" t="s">
        <v>504</v>
      </c>
      <c r="E557" s="19" t="s">
        <v>149</v>
      </c>
      <c r="F557" s="19" t="s">
        <v>501</v>
      </c>
    </row>
    <row r="558" spans="4:6" x14ac:dyDescent="0.25">
      <c r="D558" s="47" t="s">
        <v>505</v>
      </c>
      <c r="E558" s="19" t="s">
        <v>149</v>
      </c>
      <c r="F558" s="19" t="s">
        <v>501</v>
      </c>
    </row>
    <row r="559" spans="4:6" x14ac:dyDescent="0.25">
      <c r="D559" s="47" t="s">
        <v>506</v>
      </c>
      <c r="E559" s="19" t="s">
        <v>149</v>
      </c>
      <c r="F559" s="19" t="s">
        <v>493</v>
      </c>
    </row>
    <row r="560" spans="4:6" x14ac:dyDescent="0.25">
      <c r="D560" s="47" t="s">
        <v>507</v>
      </c>
      <c r="E560" s="19" t="s">
        <v>149</v>
      </c>
      <c r="F560" s="19" t="s">
        <v>481</v>
      </c>
    </row>
    <row r="561" spans="4:6" x14ac:dyDescent="0.25">
      <c r="D561" s="47" t="s">
        <v>508</v>
      </c>
      <c r="E561" s="19" t="s">
        <v>149</v>
      </c>
      <c r="F561" s="19" t="s">
        <v>509</v>
      </c>
    </row>
    <row r="562" spans="4:6" x14ac:dyDescent="0.25">
      <c r="D562" s="47" t="s">
        <v>510</v>
      </c>
      <c r="E562" s="19" t="s">
        <v>149</v>
      </c>
      <c r="F562" s="19" t="s">
        <v>487</v>
      </c>
    </row>
    <row r="563" spans="4:6" x14ac:dyDescent="0.25">
      <c r="D563" s="47" t="s">
        <v>511</v>
      </c>
      <c r="E563" s="19" t="s">
        <v>149</v>
      </c>
      <c r="F563" s="19" t="s">
        <v>489</v>
      </c>
    </row>
    <row r="564" spans="4:6" x14ac:dyDescent="0.25">
      <c r="D564" s="47" t="s">
        <v>681</v>
      </c>
      <c r="E564" s="60" t="s">
        <v>149</v>
      </c>
      <c r="F564" s="60" t="s">
        <v>493</v>
      </c>
    </row>
    <row r="565" spans="4:6" x14ac:dyDescent="0.25">
      <c r="D565" s="47" t="s">
        <v>816</v>
      </c>
      <c r="E565" s="60" t="s">
        <v>149</v>
      </c>
      <c r="F565" s="60" t="s">
        <v>501</v>
      </c>
    </row>
    <row r="566" spans="4:6" x14ac:dyDescent="0.25">
      <c r="D566" s="47" t="s">
        <v>817</v>
      </c>
      <c r="E566" s="60" t="s">
        <v>149</v>
      </c>
      <c r="F566" s="60" t="s">
        <v>501</v>
      </c>
    </row>
    <row r="567" spans="4:6" x14ac:dyDescent="0.25">
      <c r="D567" s="47" t="s">
        <v>818</v>
      </c>
      <c r="E567" s="60" t="s">
        <v>149</v>
      </c>
      <c r="F567" s="60" t="s">
        <v>481</v>
      </c>
    </row>
    <row r="568" spans="4:6" x14ac:dyDescent="0.25">
      <c r="D568" s="47" t="s">
        <v>819</v>
      </c>
      <c r="E568" s="60" t="s">
        <v>149</v>
      </c>
      <c r="F568" s="60" t="s">
        <v>487</v>
      </c>
    </row>
    <row r="569" spans="4:6" x14ac:dyDescent="0.25">
      <c r="D569" s="47" t="s">
        <v>820</v>
      </c>
      <c r="E569" s="60" t="s">
        <v>149</v>
      </c>
      <c r="F569" s="60" t="s">
        <v>481</v>
      </c>
    </row>
    <row r="570" spans="4:6" x14ac:dyDescent="0.25">
      <c r="D570" s="47" t="s">
        <v>821</v>
      </c>
      <c r="E570" s="60" t="s">
        <v>149</v>
      </c>
      <c r="F570" s="60" t="s">
        <v>481</v>
      </c>
    </row>
    <row r="571" spans="4:6" x14ac:dyDescent="0.25">
      <c r="D571" s="47" t="s">
        <v>822</v>
      </c>
      <c r="E571" s="60" t="s">
        <v>149</v>
      </c>
      <c r="F571" s="60" t="s">
        <v>501</v>
      </c>
    </row>
    <row r="572" spans="4:6" x14ac:dyDescent="0.25">
      <c r="D572" s="47" t="s">
        <v>823</v>
      </c>
      <c r="E572" s="60" t="s">
        <v>149</v>
      </c>
      <c r="F572" s="60" t="s">
        <v>501</v>
      </c>
    </row>
    <row r="573" spans="4:6" x14ac:dyDescent="0.25">
      <c r="D573" s="47" t="s">
        <v>824</v>
      </c>
      <c r="E573" s="60" t="s">
        <v>149</v>
      </c>
      <c r="F573" s="60" t="s">
        <v>481</v>
      </c>
    </row>
    <row r="574" spans="4:6" x14ac:dyDescent="0.25">
      <c r="D574" s="47" t="s">
        <v>825</v>
      </c>
      <c r="E574" s="60" t="s">
        <v>149</v>
      </c>
      <c r="F574" s="60" t="s">
        <v>501</v>
      </c>
    </row>
    <row r="575" spans="4:6" x14ac:dyDescent="0.25">
      <c r="D575" s="47" t="s">
        <v>826</v>
      </c>
      <c r="E575" s="60" t="s">
        <v>149</v>
      </c>
      <c r="F575" s="60" t="s">
        <v>501</v>
      </c>
    </row>
    <row r="576" spans="4:6" x14ac:dyDescent="0.25">
      <c r="D576" s="47" t="s">
        <v>827</v>
      </c>
      <c r="E576" s="60" t="s">
        <v>149</v>
      </c>
      <c r="F576" s="60" t="s">
        <v>487</v>
      </c>
    </row>
    <row r="577" spans="4:6" x14ac:dyDescent="0.25">
      <c r="D577" s="47" t="s">
        <v>828</v>
      </c>
      <c r="E577" s="60" t="s">
        <v>149</v>
      </c>
      <c r="F577" s="60" t="s">
        <v>829</v>
      </c>
    </row>
    <row r="578" spans="4:6" x14ac:dyDescent="0.25">
      <c r="D578" s="47" t="s">
        <v>830</v>
      </c>
      <c r="E578" s="60" t="s">
        <v>149</v>
      </c>
      <c r="F578" s="60" t="s">
        <v>501</v>
      </c>
    </row>
    <row r="579" spans="4:6" x14ac:dyDescent="0.25">
      <c r="D579" s="47" t="s">
        <v>831</v>
      </c>
      <c r="E579" s="60" t="s">
        <v>149</v>
      </c>
      <c r="F579" s="60" t="s">
        <v>501</v>
      </c>
    </row>
    <row r="580" spans="4:6" x14ac:dyDescent="0.25">
      <c r="D580" s="47" t="s">
        <v>832</v>
      </c>
      <c r="E580" s="60" t="s">
        <v>149</v>
      </c>
      <c r="F580" s="60" t="s">
        <v>481</v>
      </c>
    </row>
    <row r="581" spans="4:6" x14ac:dyDescent="0.25">
      <c r="D581" s="47" t="s">
        <v>833</v>
      </c>
      <c r="E581" s="60" t="s">
        <v>149</v>
      </c>
      <c r="F581" s="60" t="s">
        <v>829</v>
      </c>
    </row>
    <row r="582" spans="4:6" x14ac:dyDescent="0.25">
      <c r="D582" s="47" t="s">
        <v>834</v>
      </c>
      <c r="E582" s="60" t="s">
        <v>149</v>
      </c>
      <c r="F582" s="60" t="s">
        <v>481</v>
      </c>
    </row>
    <row r="583" spans="4:6" x14ac:dyDescent="0.25">
      <c r="D583" s="47" t="s">
        <v>835</v>
      </c>
      <c r="E583" s="60" t="s">
        <v>149</v>
      </c>
      <c r="F583" s="60" t="s">
        <v>481</v>
      </c>
    </row>
    <row r="584" spans="4:6" x14ac:dyDescent="0.25">
      <c r="D584" s="47" t="s">
        <v>836</v>
      </c>
      <c r="E584" s="60" t="s">
        <v>149</v>
      </c>
      <c r="F584" s="60" t="s">
        <v>481</v>
      </c>
    </row>
    <row r="585" spans="4:6" x14ac:dyDescent="0.25">
      <c r="D585" s="47" t="s">
        <v>837</v>
      </c>
      <c r="E585" s="60" t="s">
        <v>149</v>
      </c>
      <c r="F585" s="60" t="s">
        <v>838</v>
      </c>
    </row>
    <row r="586" spans="4:6" x14ac:dyDescent="0.25">
      <c r="D586" s="47" t="s">
        <v>839</v>
      </c>
      <c r="E586" s="60" t="s">
        <v>149</v>
      </c>
      <c r="F586" s="60" t="s">
        <v>493</v>
      </c>
    </row>
    <row r="587" spans="4:6" x14ac:dyDescent="0.25">
      <c r="D587" s="47" t="s">
        <v>840</v>
      </c>
      <c r="E587" s="60" t="s">
        <v>149</v>
      </c>
      <c r="F587" s="60" t="s">
        <v>501</v>
      </c>
    </row>
    <row r="588" spans="4:6" x14ac:dyDescent="0.25">
      <c r="D588" s="47" t="s">
        <v>841</v>
      </c>
      <c r="E588" s="60" t="s">
        <v>149</v>
      </c>
      <c r="F588" s="60" t="s">
        <v>487</v>
      </c>
    </row>
    <row r="589" spans="4:6" x14ac:dyDescent="0.25">
      <c r="D589" s="47" t="s">
        <v>842</v>
      </c>
      <c r="E589" s="60" t="s">
        <v>149</v>
      </c>
      <c r="F589" s="60" t="s">
        <v>481</v>
      </c>
    </row>
    <row r="590" spans="4:6" x14ac:dyDescent="0.25">
      <c r="D590" s="47" t="s">
        <v>988</v>
      </c>
      <c r="E590" s="60" t="s">
        <v>149</v>
      </c>
      <c r="F590" s="60" t="s">
        <v>879</v>
      </c>
    </row>
    <row r="591" spans="4:6" x14ac:dyDescent="0.25">
      <c r="D591" s="47" t="s">
        <v>1184</v>
      </c>
      <c r="E591" s="60" t="s">
        <v>149</v>
      </c>
      <c r="F591" s="60" t="s">
        <v>1183</v>
      </c>
    </row>
    <row r="592" spans="4:6" x14ac:dyDescent="0.25">
      <c r="D592" s="75" t="s">
        <v>1500</v>
      </c>
      <c r="E592" s="74" t="s">
        <v>149</v>
      </c>
      <c r="F592" s="74" t="s">
        <v>879</v>
      </c>
    </row>
    <row r="593" spans="4:6" x14ac:dyDescent="0.25">
      <c r="D593" s="75" t="s">
        <v>1528</v>
      </c>
      <c r="E593" s="74" t="s">
        <v>149</v>
      </c>
      <c r="F593" s="74" t="s">
        <v>1529</v>
      </c>
    </row>
    <row r="594" spans="4:6" x14ac:dyDescent="0.25">
      <c r="D594" s="75" t="s">
        <v>1597</v>
      </c>
      <c r="E594" s="74" t="s">
        <v>149</v>
      </c>
      <c r="F594" s="74" t="s">
        <v>879</v>
      </c>
    </row>
    <row r="595" spans="4:6" x14ac:dyDescent="0.25">
      <c r="D595" s="75" t="s">
        <v>1713</v>
      </c>
      <c r="E595" s="74" t="s">
        <v>149</v>
      </c>
      <c r="F595" s="74" t="s">
        <v>879</v>
      </c>
    </row>
    <row r="596" spans="4:6" x14ac:dyDescent="0.25">
      <c r="D596" s="75" t="s">
        <v>1731</v>
      </c>
      <c r="E596" s="74" t="s">
        <v>149</v>
      </c>
      <c r="F596" s="74" t="s">
        <v>879</v>
      </c>
    </row>
    <row r="597" spans="4:6" x14ac:dyDescent="0.25">
      <c r="D597" s="75" t="s">
        <v>1772</v>
      </c>
      <c r="E597" s="74" t="s">
        <v>149</v>
      </c>
      <c r="F597" s="74" t="s">
        <v>879</v>
      </c>
    </row>
    <row r="598" spans="4:6" x14ac:dyDescent="0.25">
      <c r="D598" s="75" t="s">
        <v>1773</v>
      </c>
      <c r="E598" s="74" t="s">
        <v>149</v>
      </c>
      <c r="F598" s="74" t="s">
        <v>879</v>
      </c>
    </row>
    <row r="599" spans="4:6" x14ac:dyDescent="0.25">
      <c r="D599" s="75" t="s">
        <v>1777</v>
      </c>
      <c r="E599" s="74" t="s">
        <v>149</v>
      </c>
      <c r="F599" s="74" t="s">
        <v>879</v>
      </c>
    </row>
    <row r="600" spans="4:6" x14ac:dyDescent="0.25">
      <c r="D600" s="47" t="s">
        <v>673</v>
      </c>
      <c r="E600" s="60" t="s">
        <v>150</v>
      </c>
      <c r="F600" s="60" t="s">
        <v>674</v>
      </c>
    </row>
    <row r="601" spans="4:6" x14ac:dyDescent="0.25">
      <c r="D601" s="47" t="s">
        <v>1005</v>
      </c>
      <c r="E601" s="60" t="s">
        <v>150</v>
      </c>
      <c r="F601" s="60" t="s">
        <v>879</v>
      </c>
    </row>
    <row r="602" spans="4:6" x14ac:dyDescent="0.25">
      <c r="D602" s="47" t="s">
        <v>1020</v>
      </c>
      <c r="E602" s="60" t="s">
        <v>234</v>
      </c>
      <c r="F602" s="60" t="s">
        <v>879</v>
      </c>
    </row>
    <row r="603" spans="4:6" x14ac:dyDescent="0.25">
      <c r="D603" s="47" t="s">
        <v>1063</v>
      </c>
      <c r="E603" s="60" t="s">
        <v>234</v>
      </c>
      <c r="F603" s="60" t="s">
        <v>879</v>
      </c>
    </row>
    <row r="604" spans="4:6" x14ac:dyDescent="0.25">
      <c r="D604" s="75" t="s">
        <v>1518</v>
      </c>
      <c r="E604" s="74" t="s">
        <v>1288</v>
      </c>
      <c r="F604" s="74" t="s">
        <v>1519</v>
      </c>
    </row>
    <row r="605" spans="4:6" x14ac:dyDescent="0.25">
      <c r="D605" s="47" t="s">
        <v>652</v>
      </c>
      <c r="E605" s="60" t="s">
        <v>153</v>
      </c>
      <c r="F605" s="60" t="s">
        <v>651</v>
      </c>
    </row>
    <row r="606" spans="4:6" x14ac:dyDescent="0.25">
      <c r="D606" s="47" t="s">
        <v>919</v>
      </c>
      <c r="E606" s="60" t="s">
        <v>153</v>
      </c>
      <c r="F606" s="60" t="s">
        <v>879</v>
      </c>
    </row>
    <row r="607" spans="4:6" x14ac:dyDescent="0.25">
      <c r="D607" s="75" t="s">
        <v>1625</v>
      </c>
      <c r="E607" s="74" t="s">
        <v>153</v>
      </c>
      <c r="F607" s="74" t="s">
        <v>879</v>
      </c>
    </row>
    <row r="608" spans="4:6" x14ac:dyDescent="0.25">
      <c r="D608" s="75" t="s">
        <v>1524</v>
      </c>
      <c r="E608" s="74" t="s">
        <v>1289</v>
      </c>
      <c r="F608" s="74" t="s">
        <v>1525</v>
      </c>
    </row>
    <row r="609" spans="4:6" x14ac:dyDescent="0.25">
      <c r="D609" s="75" t="s">
        <v>1819</v>
      </c>
      <c r="E609" s="74" t="s">
        <v>1289</v>
      </c>
      <c r="F609" s="74" t="s">
        <v>879</v>
      </c>
    </row>
    <row r="610" spans="4:6" x14ac:dyDescent="0.25">
      <c r="D610" s="47" t="s">
        <v>657</v>
      </c>
      <c r="E610" s="60" t="s">
        <v>152</v>
      </c>
      <c r="F610" s="60" t="s">
        <v>658</v>
      </c>
    </row>
    <row r="611" spans="4:6" x14ac:dyDescent="0.25">
      <c r="D611" s="75" t="s">
        <v>1637</v>
      </c>
      <c r="E611" s="74" t="s">
        <v>152</v>
      </c>
      <c r="F611" s="74" t="s">
        <v>879</v>
      </c>
    </row>
    <row r="612" spans="4:6" x14ac:dyDescent="0.25">
      <c r="D612" s="47" t="s">
        <v>645</v>
      </c>
      <c r="E612" s="60" t="s">
        <v>151</v>
      </c>
      <c r="F612" s="60" t="s">
        <v>646</v>
      </c>
    </row>
    <row r="613" spans="4:6" x14ac:dyDescent="0.25">
      <c r="D613" s="47" t="s">
        <v>649</v>
      </c>
      <c r="E613" s="60" t="s">
        <v>151</v>
      </c>
      <c r="F613" s="60" t="s">
        <v>648</v>
      </c>
    </row>
    <row r="614" spans="4:6" x14ac:dyDescent="0.25">
      <c r="D614" s="47" t="s">
        <v>969</v>
      </c>
      <c r="E614" s="60" t="s">
        <v>151</v>
      </c>
      <c r="F614" s="60" t="s">
        <v>879</v>
      </c>
    </row>
    <row r="615" spans="4:6" x14ac:dyDescent="0.25">
      <c r="D615" s="47" t="s">
        <v>1075</v>
      </c>
      <c r="E615" s="60" t="s">
        <v>151</v>
      </c>
      <c r="F615" s="60" t="s">
        <v>879</v>
      </c>
    </row>
    <row r="616" spans="4:6" x14ac:dyDescent="0.25">
      <c r="D616" s="47" t="s">
        <v>1076</v>
      </c>
      <c r="E616" s="60" t="s">
        <v>151</v>
      </c>
      <c r="F616" s="60" t="s">
        <v>879</v>
      </c>
    </row>
    <row r="617" spans="4:6" x14ac:dyDescent="0.25">
      <c r="D617" s="47" t="s">
        <v>923</v>
      </c>
      <c r="E617" s="60" t="s">
        <v>154</v>
      </c>
      <c r="F617" s="60" t="s">
        <v>879</v>
      </c>
    </row>
    <row r="618" spans="4:6" x14ac:dyDescent="0.25">
      <c r="D618" s="47" t="s">
        <v>950</v>
      </c>
      <c r="E618" s="60" t="s">
        <v>154</v>
      </c>
      <c r="F618" s="60" t="s">
        <v>879</v>
      </c>
    </row>
    <row r="619" spans="4:6" x14ac:dyDescent="0.25">
      <c r="D619" s="75" t="s">
        <v>1630</v>
      </c>
      <c r="E619" s="74" t="s">
        <v>1290</v>
      </c>
      <c r="F619" s="74" t="s">
        <v>879</v>
      </c>
    </row>
    <row r="620" spans="4:6" x14ac:dyDescent="0.25">
      <c r="D620" s="47" t="s">
        <v>948</v>
      </c>
      <c r="E620" s="60" t="s">
        <v>369</v>
      </c>
      <c r="F620" s="60" t="s">
        <v>879</v>
      </c>
    </row>
    <row r="621" spans="4:6" x14ac:dyDescent="0.25">
      <c r="D621" s="47" t="s">
        <v>1111</v>
      </c>
      <c r="E621" s="60" t="s">
        <v>369</v>
      </c>
      <c r="F621" s="60" t="s">
        <v>1112</v>
      </c>
    </row>
    <row r="622" spans="4:6" x14ac:dyDescent="0.25">
      <c r="D622" s="75" t="s">
        <v>1460</v>
      </c>
      <c r="E622" s="74" t="s">
        <v>369</v>
      </c>
      <c r="F622" s="74" t="s">
        <v>1461</v>
      </c>
    </row>
    <row r="623" spans="4:6" x14ac:dyDescent="0.25">
      <c r="D623" s="75" t="s">
        <v>1504</v>
      </c>
      <c r="E623" s="74" t="s">
        <v>369</v>
      </c>
      <c r="F623" s="74" t="s">
        <v>879</v>
      </c>
    </row>
    <row r="624" spans="4:6" x14ac:dyDescent="0.25">
      <c r="D624" s="75" t="s">
        <v>1540</v>
      </c>
      <c r="E624" s="74" t="s">
        <v>369</v>
      </c>
      <c r="F624" s="74" t="s">
        <v>879</v>
      </c>
    </row>
    <row r="625" spans="4:6" x14ac:dyDescent="0.25">
      <c r="D625" s="75" t="s">
        <v>1592</v>
      </c>
      <c r="E625" s="74" t="s">
        <v>369</v>
      </c>
      <c r="F625" s="74" t="s">
        <v>879</v>
      </c>
    </row>
    <row r="626" spans="4:6" x14ac:dyDescent="0.25">
      <c r="D626" s="75" t="s">
        <v>1645</v>
      </c>
      <c r="E626" s="74" t="s">
        <v>369</v>
      </c>
      <c r="F626" s="74" t="s">
        <v>879</v>
      </c>
    </row>
    <row r="627" spans="4:6" x14ac:dyDescent="0.25">
      <c r="D627" s="75" t="s">
        <v>1690</v>
      </c>
      <c r="E627" s="74" t="s">
        <v>369</v>
      </c>
      <c r="F627" s="74" t="s">
        <v>879</v>
      </c>
    </row>
    <row r="628" spans="4:6" x14ac:dyDescent="0.25">
      <c r="D628" s="75" t="s">
        <v>1721</v>
      </c>
      <c r="E628" s="74" t="s">
        <v>369</v>
      </c>
      <c r="F628" s="74" t="s">
        <v>879</v>
      </c>
    </row>
    <row r="629" spans="4:6" x14ac:dyDescent="0.25">
      <c r="D629" s="75" t="s">
        <v>1857</v>
      </c>
      <c r="E629" s="74" t="s">
        <v>369</v>
      </c>
      <c r="F629" s="74" t="s">
        <v>879</v>
      </c>
    </row>
    <row r="630" spans="4:6" x14ac:dyDescent="0.25">
      <c r="D630" s="47" t="s">
        <v>1060</v>
      </c>
      <c r="E630" s="60" t="s">
        <v>20</v>
      </c>
      <c r="F630" s="60" t="s">
        <v>879</v>
      </c>
    </row>
    <row r="631" spans="4:6" x14ac:dyDescent="0.25">
      <c r="D631" s="47" t="s">
        <v>1113</v>
      </c>
      <c r="E631" s="60" t="s">
        <v>370</v>
      </c>
      <c r="F631" s="60" t="s">
        <v>1114</v>
      </c>
    </row>
    <row r="632" spans="4:6" x14ac:dyDescent="0.25">
      <c r="D632" s="75" t="s">
        <v>1468</v>
      </c>
      <c r="E632" s="74" t="s">
        <v>370</v>
      </c>
      <c r="F632" s="74" t="s">
        <v>1416</v>
      </c>
    </row>
    <row r="633" spans="4:6" x14ac:dyDescent="0.25">
      <c r="D633" s="47" t="s">
        <v>1067</v>
      </c>
      <c r="E633" s="60" t="s">
        <v>1023</v>
      </c>
      <c r="F633" s="60" t="s">
        <v>879</v>
      </c>
    </row>
    <row r="634" spans="4:6" x14ac:dyDescent="0.25">
      <c r="D634" s="47" t="s">
        <v>549</v>
      </c>
      <c r="E634" s="60" t="s">
        <v>155</v>
      </c>
      <c r="F634" s="60" t="s">
        <v>550</v>
      </c>
    </row>
    <row r="635" spans="4:6" x14ac:dyDescent="0.25">
      <c r="D635" s="47" t="s">
        <v>551</v>
      </c>
      <c r="E635" s="60" t="s">
        <v>155</v>
      </c>
      <c r="F635" s="60" t="s">
        <v>552</v>
      </c>
    </row>
    <row r="636" spans="4:6" x14ac:dyDescent="0.25">
      <c r="D636" s="47" t="s">
        <v>553</v>
      </c>
      <c r="E636" s="60" t="s">
        <v>155</v>
      </c>
      <c r="F636" s="60" t="s">
        <v>554</v>
      </c>
    </row>
    <row r="637" spans="4:6" x14ac:dyDescent="0.25">
      <c r="D637" s="47" t="s">
        <v>555</v>
      </c>
      <c r="E637" s="60" t="s">
        <v>155</v>
      </c>
      <c r="F637" s="60" t="s">
        <v>556</v>
      </c>
    </row>
    <row r="638" spans="4:6" x14ac:dyDescent="0.25">
      <c r="D638" s="47" t="s">
        <v>933</v>
      </c>
      <c r="E638" s="60" t="s">
        <v>155</v>
      </c>
      <c r="F638" s="60" t="s">
        <v>879</v>
      </c>
    </row>
    <row r="639" spans="4:6" x14ac:dyDescent="0.25">
      <c r="D639" s="47" t="s">
        <v>976</v>
      </c>
      <c r="E639" s="60" t="s">
        <v>155</v>
      </c>
      <c r="F639" s="60" t="s">
        <v>879</v>
      </c>
    </row>
    <row r="640" spans="4:6" x14ac:dyDescent="0.25">
      <c r="D640" s="47" t="s">
        <v>982</v>
      </c>
      <c r="E640" s="60" t="s">
        <v>155</v>
      </c>
      <c r="F640" s="60" t="s">
        <v>983</v>
      </c>
    </row>
    <row r="641" spans="4:6" x14ac:dyDescent="0.25">
      <c r="D641" s="47" t="s">
        <v>984</v>
      </c>
      <c r="E641" s="60" t="s">
        <v>155</v>
      </c>
      <c r="F641" s="60" t="s">
        <v>985</v>
      </c>
    </row>
    <row r="642" spans="4:6" x14ac:dyDescent="0.25">
      <c r="D642" s="47" t="s">
        <v>989</v>
      </c>
      <c r="E642" s="60" t="s">
        <v>155</v>
      </c>
      <c r="F642" s="60" t="s">
        <v>879</v>
      </c>
    </row>
    <row r="643" spans="4:6" x14ac:dyDescent="0.25">
      <c r="D643" s="47" t="s">
        <v>1003</v>
      </c>
      <c r="E643" s="60" t="s">
        <v>155</v>
      </c>
      <c r="F643" s="60" t="s">
        <v>879</v>
      </c>
    </row>
    <row r="644" spans="4:6" x14ac:dyDescent="0.25">
      <c r="D644" s="47" t="s">
        <v>1066</v>
      </c>
      <c r="E644" s="60" t="s">
        <v>155</v>
      </c>
      <c r="F644" s="60" t="s">
        <v>879</v>
      </c>
    </row>
    <row r="645" spans="4:6" x14ac:dyDescent="0.25">
      <c r="D645" s="47" t="s">
        <v>1081</v>
      </c>
      <c r="E645" s="60" t="s">
        <v>155</v>
      </c>
      <c r="F645" s="60" t="s">
        <v>879</v>
      </c>
    </row>
    <row r="646" spans="4:6" x14ac:dyDescent="0.25">
      <c r="D646" s="47" t="s">
        <v>1120</v>
      </c>
      <c r="E646" s="60" t="s">
        <v>155</v>
      </c>
      <c r="F646" s="60" t="s">
        <v>1121</v>
      </c>
    </row>
    <row r="647" spans="4:6" x14ac:dyDescent="0.25">
      <c r="D647" s="47" t="s">
        <v>1129</v>
      </c>
      <c r="E647" s="60" t="s">
        <v>155</v>
      </c>
      <c r="F647" s="60" t="s">
        <v>1130</v>
      </c>
    </row>
    <row r="648" spans="4:6" x14ac:dyDescent="0.25">
      <c r="D648" s="47" t="s">
        <v>1131</v>
      </c>
      <c r="E648" s="60" t="s">
        <v>155</v>
      </c>
      <c r="F648" s="60" t="s">
        <v>1132</v>
      </c>
    </row>
    <row r="649" spans="4:6" x14ac:dyDescent="0.25">
      <c r="D649" s="75" t="s">
        <v>1401</v>
      </c>
      <c r="E649" s="40" t="s">
        <v>155</v>
      </c>
      <c r="F649" s="74" t="s">
        <v>1402</v>
      </c>
    </row>
    <row r="650" spans="4:6" x14ac:dyDescent="0.25">
      <c r="D650" s="75" t="s">
        <v>1457</v>
      </c>
      <c r="E650" s="74" t="s">
        <v>155</v>
      </c>
      <c r="F650" s="74" t="s">
        <v>1458</v>
      </c>
    </row>
    <row r="651" spans="4:6" x14ac:dyDescent="0.25">
      <c r="D651" s="75" t="s">
        <v>1467</v>
      </c>
      <c r="E651" s="74" t="s">
        <v>155</v>
      </c>
      <c r="F651" s="74" t="s">
        <v>1104</v>
      </c>
    </row>
    <row r="652" spans="4:6" x14ac:dyDescent="0.25">
      <c r="D652" s="75" t="s">
        <v>1783</v>
      </c>
      <c r="E652" s="74" t="s">
        <v>155</v>
      </c>
      <c r="F652" s="74" t="s">
        <v>879</v>
      </c>
    </row>
    <row r="653" spans="4:6" x14ac:dyDescent="0.25">
      <c r="D653" s="75" t="s">
        <v>1831</v>
      </c>
      <c r="E653" s="74" t="s">
        <v>155</v>
      </c>
      <c r="F653" s="74" t="s">
        <v>879</v>
      </c>
    </row>
    <row r="654" spans="4:6" x14ac:dyDescent="0.25">
      <c r="D654" s="47" t="s">
        <v>947</v>
      </c>
      <c r="E654" s="60" t="s">
        <v>216</v>
      </c>
      <c r="F654" s="60" t="s">
        <v>879</v>
      </c>
    </row>
    <row r="655" spans="4:6" x14ac:dyDescent="0.25">
      <c r="D655" s="75" t="s">
        <v>1598</v>
      </c>
      <c r="E655" s="74" t="s">
        <v>216</v>
      </c>
      <c r="F655" s="74" t="s">
        <v>879</v>
      </c>
    </row>
    <row r="656" spans="4:6" x14ac:dyDescent="0.25">
      <c r="D656" s="75" t="s">
        <v>1820</v>
      </c>
      <c r="E656" s="74" t="s">
        <v>216</v>
      </c>
      <c r="F656" s="74" t="s">
        <v>879</v>
      </c>
    </row>
    <row r="657" spans="4:6" x14ac:dyDescent="0.25">
      <c r="D657" s="75" t="s">
        <v>1861</v>
      </c>
      <c r="E657" s="74" t="s">
        <v>1560</v>
      </c>
      <c r="F657" s="74" t="s">
        <v>1862</v>
      </c>
    </row>
    <row r="658" spans="4:6" x14ac:dyDescent="0.25">
      <c r="D658" s="75" t="s">
        <v>1647</v>
      </c>
      <c r="E658" s="74" t="s">
        <v>1582</v>
      </c>
      <c r="F658" s="74" t="s">
        <v>879</v>
      </c>
    </row>
    <row r="659" spans="4:6" x14ac:dyDescent="0.25">
      <c r="D659" s="75" t="s">
        <v>1728</v>
      </c>
      <c r="E659" s="74" t="s">
        <v>1371</v>
      </c>
      <c r="F659" s="74" t="s">
        <v>879</v>
      </c>
    </row>
    <row r="660" spans="4:6" x14ac:dyDescent="0.25">
      <c r="D660" s="47" t="s">
        <v>404</v>
      </c>
      <c r="E660" s="60" t="s">
        <v>266</v>
      </c>
      <c r="F660" s="60" t="s">
        <v>405</v>
      </c>
    </row>
    <row r="661" spans="4:6" x14ac:dyDescent="0.25">
      <c r="D661" s="47" t="s">
        <v>410</v>
      </c>
      <c r="E661" s="60" t="s">
        <v>266</v>
      </c>
      <c r="F661" s="60" t="s">
        <v>393</v>
      </c>
    </row>
    <row r="662" spans="4:6" x14ac:dyDescent="0.25">
      <c r="D662" s="47" t="s">
        <v>734</v>
      </c>
      <c r="E662" s="60" t="s">
        <v>266</v>
      </c>
      <c r="F662" s="60" t="s">
        <v>714</v>
      </c>
    </row>
    <row r="663" spans="4:6" x14ac:dyDescent="0.25">
      <c r="D663" s="47" t="s">
        <v>735</v>
      </c>
      <c r="E663" s="60" t="s">
        <v>266</v>
      </c>
      <c r="F663" s="60" t="s">
        <v>736</v>
      </c>
    </row>
    <row r="664" spans="4:6" x14ac:dyDescent="0.25">
      <c r="D664" s="47" t="s">
        <v>737</v>
      </c>
      <c r="E664" s="60" t="s">
        <v>266</v>
      </c>
      <c r="F664" s="60" t="s">
        <v>736</v>
      </c>
    </row>
    <row r="665" spans="4:6" x14ac:dyDescent="0.25">
      <c r="D665" s="47" t="s">
        <v>738</v>
      </c>
      <c r="E665" s="60" t="s">
        <v>266</v>
      </c>
      <c r="F665" s="60" t="s">
        <v>739</v>
      </c>
    </row>
    <row r="666" spans="4:6" x14ac:dyDescent="0.25">
      <c r="D666" s="47" t="s">
        <v>740</v>
      </c>
      <c r="E666" s="60" t="s">
        <v>266</v>
      </c>
      <c r="F666" s="60" t="s">
        <v>573</v>
      </c>
    </row>
    <row r="667" spans="4:6" x14ac:dyDescent="0.25">
      <c r="D667" s="47" t="s">
        <v>741</v>
      </c>
      <c r="E667" s="60" t="s">
        <v>266</v>
      </c>
      <c r="F667" s="60" t="s">
        <v>739</v>
      </c>
    </row>
    <row r="668" spans="4:6" x14ac:dyDescent="0.25">
      <c r="D668" s="47" t="s">
        <v>742</v>
      </c>
      <c r="E668" s="60" t="s">
        <v>266</v>
      </c>
      <c r="F668" s="60" t="s">
        <v>696</v>
      </c>
    </row>
    <row r="669" spans="4:6" x14ac:dyDescent="0.25">
      <c r="D669" s="47" t="s">
        <v>935</v>
      </c>
      <c r="E669" s="60" t="s">
        <v>266</v>
      </c>
      <c r="F669" s="60" t="s">
        <v>879</v>
      </c>
    </row>
    <row r="670" spans="4:6" x14ac:dyDescent="0.25">
      <c r="D670" s="47" t="s">
        <v>1086</v>
      </c>
      <c r="E670" s="60" t="s">
        <v>266</v>
      </c>
      <c r="F670" s="60" t="s">
        <v>879</v>
      </c>
    </row>
    <row r="671" spans="4:6" x14ac:dyDescent="0.25">
      <c r="D671" s="75" t="s">
        <v>1472</v>
      </c>
      <c r="E671" s="74" t="s">
        <v>266</v>
      </c>
      <c r="F671" s="74">
        <v>1</v>
      </c>
    </row>
    <row r="672" spans="4:6" x14ac:dyDescent="0.25">
      <c r="D672" s="75" t="s">
        <v>1481</v>
      </c>
      <c r="E672" s="74" t="s">
        <v>266</v>
      </c>
      <c r="F672" s="74" t="s">
        <v>1102</v>
      </c>
    </row>
    <row r="673" spans="4:6" x14ac:dyDescent="0.25">
      <c r="D673" s="75" t="s">
        <v>1650</v>
      </c>
      <c r="E673" s="74" t="s">
        <v>266</v>
      </c>
      <c r="F673" s="74" t="s">
        <v>879</v>
      </c>
    </row>
    <row r="674" spans="4:6" x14ac:dyDescent="0.25">
      <c r="D674" s="75" t="s">
        <v>1687</v>
      </c>
      <c r="E674" s="74" t="s">
        <v>266</v>
      </c>
      <c r="F674" s="74" t="s">
        <v>879</v>
      </c>
    </row>
    <row r="675" spans="4:6" x14ac:dyDescent="0.25">
      <c r="D675" s="75" t="s">
        <v>1751</v>
      </c>
      <c r="E675" s="74" t="s">
        <v>266</v>
      </c>
      <c r="F675" s="74" t="s">
        <v>879</v>
      </c>
    </row>
    <row r="676" spans="4:6" x14ac:dyDescent="0.25">
      <c r="D676" s="75" t="s">
        <v>1864</v>
      </c>
      <c r="E676" s="74" t="s">
        <v>266</v>
      </c>
      <c r="F676" s="74" t="s">
        <v>1118</v>
      </c>
    </row>
    <row r="677" spans="4:6" x14ac:dyDescent="0.25">
      <c r="D677" s="47" t="s">
        <v>743</v>
      </c>
      <c r="E677" s="60" t="s">
        <v>346</v>
      </c>
      <c r="F677" s="60" t="s">
        <v>573</v>
      </c>
    </row>
    <row r="678" spans="4:6" x14ac:dyDescent="0.25">
      <c r="D678" s="47" t="s">
        <v>732</v>
      </c>
      <c r="E678" s="60" t="s">
        <v>733</v>
      </c>
      <c r="F678" s="60" t="s">
        <v>714</v>
      </c>
    </row>
    <row r="679" spans="4:6" x14ac:dyDescent="0.25">
      <c r="D679" s="47" t="s">
        <v>577</v>
      </c>
      <c r="E679" s="60" t="s">
        <v>21</v>
      </c>
      <c r="F679" s="60" t="s">
        <v>578</v>
      </c>
    </row>
    <row r="680" spans="4:6" x14ac:dyDescent="0.25">
      <c r="D680" s="47" t="s">
        <v>579</v>
      </c>
      <c r="E680" s="60" t="s">
        <v>21</v>
      </c>
      <c r="F680" s="60" t="s">
        <v>580</v>
      </c>
    </row>
    <row r="681" spans="4:6" x14ac:dyDescent="0.25">
      <c r="D681" s="47" t="s">
        <v>581</v>
      </c>
      <c r="E681" s="60" t="s">
        <v>21</v>
      </c>
      <c r="F681" s="60" t="s">
        <v>582</v>
      </c>
    </row>
    <row r="682" spans="4:6" x14ac:dyDescent="0.25">
      <c r="D682" s="47" t="s">
        <v>583</v>
      </c>
      <c r="E682" s="60" t="s">
        <v>21</v>
      </c>
      <c r="F682" s="60" t="s">
        <v>584</v>
      </c>
    </row>
    <row r="683" spans="4:6" x14ac:dyDescent="0.25">
      <c r="D683" s="47" t="s">
        <v>778</v>
      </c>
      <c r="E683" s="60" t="s">
        <v>21</v>
      </c>
      <c r="F683" s="60" t="s">
        <v>779</v>
      </c>
    </row>
    <row r="684" spans="4:6" x14ac:dyDescent="0.25">
      <c r="D684" s="47" t="s">
        <v>926</v>
      </c>
      <c r="E684" s="60" t="s">
        <v>21</v>
      </c>
      <c r="F684" s="60" t="s">
        <v>879</v>
      </c>
    </row>
    <row r="685" spans="4:6" x14ac:dyDescent="0.25">
      <c r="D685" s="47" t="s">
        <v>1007</v>
      </c>
      <c r="E685" s="60" t="s">
        <v>21</v>
      </c>
      <c r="F685" s="60" t="s">
        <v>879</v>
      </c>
    </row>
    <row r="686" spans="4:6" x14ac:dyDescent="0.25">
      <c r="D686" s="75" t="s">
        <v>1417</v>
      </c>
      <c r="E686" s="74" t="s">
        <v>21</v>
      </c>
      <c r="F686" s="74" t="s">
        <v>1416</v>
      </c>
    </row>
    <row r="687" spans="4:6" x14ac:dyDescent="0.25">
      <c r="D687" s="75" t="s">
        <v>1782</v>
      </c>
      <c r="E687" s="74" t="s">
        <v>21</v>
      </c>
      <c r="F687" s="74" t="s">
        <v>879</v>
      </c>
    </row>
    <row r="688" spans="4:6" x14ac:dyDescent="0.25">
      <c r="D688" s="47" t="s">
        <v>596</v>
      </c>
      <c r="E688" s="60" t="s">
        <v>156</v>
      </c>
      <c r="F688" s="60" t="s">
        <v>597</v>
      </c>
    </row>
    <row r="689" spans="4:6" x14ac:dyDescent="0.25">
      <c r="D689" s="47" t="s">
        <v>797</v>
      </c>
      <c r="E689" s="60" t="s">
        <v>156</v>
      </c>
      <c r="F689" s="60" t="s">
        <v>798</v>
      </c>
    </row>
    <row r="690" spans="4:6" x14ac:dyDescent="0.25">
      <c r="D690" s="47" t="s">
        <v>1189</v>
      </c>
      <c r="E690" s="60" t="s">
        <v>1025</v>
      </c>
      <c r="F690" s="60" t="s">
        <v>1159</v>
      </c>
    </row>
    <row r="691" spans="4:6" x14ac:dyDescent="0.25">
      <c r="D691" s="75" t="s">
        <v>1627</v>
      </c>
      <c r="E691" s="74" t="s">
        <v>1578</v>
      </c>
      <c r="F691" s="74" t="s">
        <v>879</v>
      </c>
    </row>
    <row r="692" spans="4:6" x14ac:dyDescent="0.25">
      <c r="D692" s="75" t="s">
        <v>1691</v>
      </c>
      <c r="E692" s="74" t="s">
        <v>1578</v>
      </c>
      <c r="F692" s="74" t="s">
        <v>879</v>
      </c>
    </row>
    <row r="693" spans="4:6" x14ac:dyDescent="0.25">
      <c r="D693" s="75" t="s">
        <v>1720</v>
      </c>
      <c r="E693" s="74" t="s">
        <v>1578</v>
      </c>
      <c r="F693" s="74" t="s">
        <v>879</v>
      </c>
    </row>
    <row r="694" spans="4:6" x14ac:dyDescent="0.25">
      <c r="D694" s="75" t="s">
        <v>1812</v>
      </c>
      <c r="E694" s="74" t="s">
        <v>1568</v>
      </c>
      <c r="F694" s="74" t="s">
        <v>879</v>
      </c>
    </row>
    <row r="695" spans="4:6" x14ac:dyDescent="0.25">
      <c r="D695" s="47" t="s">
        <v>598</v>
      </c>
      <c r="E695" s="60" t="s">
        <v>50</v>
      </c>
      <c r="F695" s="60" t="s">
        <v>599</v>
      </c>
    </row>
    <row r="696" spans="4:6" x14ac:dyDescent="0.25">
      <c r="D696" s="47" t="s">
        <v>605</v>
      </c>
      <c r="E696" s="60" t="s">
        <v>50</v>
      </c>
      <c r="F696" s="60" t="s">
        <v>606</v>
      </c>
    </row>
    <row r="697" spans="4:6" x14ac:dyDescent="0.25">
      <c r="D697" s="47" t="s">
        <v>784</v>
      </c>
      <c r="E697" s="60" t="s">
        <v>50</v>
      </c>
      <c r="F697" s="60" t="s">
        <v>785</v>
      </c>
    </row>
    <row r="698" spans="4:6" x14ac:dyDescent="0.25">
      <c r="D698" s="47" t="s">
        <v>786</v>
      </c>
      <c r="E698" s="60" t="s">
        <v>50</v>
      </c>
      <c r="F698" s="60" t="s">
        <v>787</v>
      </c>
    </row>
    <row r="699" spans="4:6" x14ac:dyDescent="0.25">
      <c r="D699" s="47" t="s">
        <v>789</v>
      </c>
      <c r="E699" s="60" t="s">
        <v>50</v>
      </c>
      <c r="F699" s="60" t="s">
        <v>785</v>
      </c>
    </row>
    <row r="700" spans="4:6" x14ac:dyDescent="0.25">
      <c r="D700" s="47" t="s">
        <v>790</v>
      </c>
      <c r="E700" s="60" t="s">
        <v>50</v>
      </c>
      <c r="F700" s="60" t="s">
        <v>791</v>
      </c>
    </row>
    <row r="701" spans="4:6" x14ac:dyDescent="0.25">
      <c r="D701" s="47" t="s">
        <v>793</v>
      </c>
      <c r="E701" s="60" t="s">
        <v>50</v>
      </c>
      <c r="F701" s="60" t="s">
        <v>785</v>
      </c>
    </row>
    <row r="702" spans="4:6" x14ac:dyDescent="0.25">
      <c r="D702" s="47" t="s">
        <v>992</v>
      </c>
      <c r="E702" s="60" t="s">
        <v>50</v>
      </c>
      <c r="F702" s="60" t="s">
        <v>879</v>
      </c>
    </row>
    <row r="703" spans="4:6" x14ac:dyDescent="0.25">
      <c r="D703" s="47" t="s">
        <v>1035</v>
      </c>
      <c r="E703" s="60" t="s">
        <v>50</v>
      </c>
      <c r="F703" s="60" t="s">
        <v>1036</v>
      </c>
    </row>
    <row r="704" spans="4:6" x14ac:dyDescent="0.25">
      <c r="D704" s="47" t="s">
        <v>1150</v>
      </c>
      <c r="E704" s="60" t="s">
        <v>50</v>
      </c>
      <c r="F704" s="60" t="s">
        <v>1148</v>
      </c>
    </row>
    <row r="705" spans="4:6" x14ac:dyDescent="0.25">
      <c r="D705" s="75" t="s">
        <v>1516</v>
      </c>
      <c r="E705" s="74" t="s">
        <v>50</v>
      </c>
      <c r="F705" s="74" t="s">
        <v>1517</v>
      </c>
    </row>
    <row r="706" spans="4:6" x14ac:dyDescent="0.25">
      <c r="D706" s="75" t="s">
        <v>1804</v>
      </c>
      <c r="E706" s="74" t="s">
        <v>50</v>
      </c>
      <c r="F706" s="74" t="s">
        <v>879</v>
      </c>
    </row>
    <row r="707" spans="4:6" x14ac:dyDescent="0.25">
      <c r="D707" s="47" t="s">
        <v>794</v>
      </c>
      <c r="E707" s="60" t="s">
        <v>51</v>
      </c>
      <c r="F707" s="60" t="s">
        <v>599</v>
      </c>
    </row>
    <row r="708" spans="4:6" x14ac:dyDescent="0.25">
      <c r="D708" s="47" t="s">
        <v>941</v>
      </c>
      <c r="E708" s="60" t="s">
        <v>51</v>
      </c>
      <c r="F708" s="60" t="s">
        <v>879</v>
      </c>
    </row>
    <row r="709" spans="4:6" x14ac:dyDescent="0.25">
      <c r="D709" s="47" t="s">
        <v>1033</v>
      </c>
      <c r="E709" s="60" t="s">
        <v>51</v>
      </c>
      <c r="F709" s="60" t="s">
        <v>1034</v>
      </c>
    </row>
    <row r="710" spans="4:6" x14ac:dyDescent="0.25">
      <c r="D710" s="47" t="s">
        <v>788</v>
      </c>
      <c r="E710" s="60" t="s">
        <v>52</v>
      </c>
      <c r="F710" s="60" t="s">
        <v>785</v>
      </c>
    </row>
    <row r="711" spans="4:6" x14ac:dyDescent="0.25">
      <c r="D711" s="47" t="s">
        <v>1004</v>
      </c>
      <c r="E711" s="60" t="s">
        <v>52</v>
      </c>
      <c r="F711" s="60" t="s">
        <v>879</v>
      </c>
    </row>
    <row r="712" spans="4:6" x14ac:dyDescent="0.25">
      <c r="D712" s="47" t="s">
        <v>1133</v>
      </c>
      <c r="E712" s="60" t="s">
        <v>52</v>
      </c>
      <c r="F712" s="60" t="s">
        <v>1134</v>
      </c>
    </row>
    <row r="713" spans="4:6" x14ac:dyDescent="0.25">
      <c r="D713" s="75" t="s">
        <v>1391</v>
      </c>
      <c r="E713" s="74" t="s">
        <v>52</v>
      </c>
      <c r="F713" s="74" t="s">
        <v>1392</v>
      </c>
    </row>
    <row r="714" spans="4:6" x14ac:dyDescent="0.25">
      <c r="D714" s="75" t="s">
        <v>1442</v>
      </c>
      <c r="E714" s="74" t="s">
        <v>52</v>
      </c>
      <c r="F714" s="74" t="s">
        <v>1416</v>
      </c>
    </row>
    <row r="715" spans="4:6" x14ac:dyDescent="0.25">
      <c r="D715" s="75" t="s">
        <v>1733</v>
      </c>
      <c r="E715" s="74" t="s">
        <v>52</v>
      </c>
      <c r="F715" s="74" t="s">
        <v>879</v>
      </c>
    </row>
    <row r="716" spans="4:6" x14ac:dyDescent="0.25">
      <c r="D716" s="75" t="s">
        <v>1854</v>
      </c>
      <c r="E716" s="74" t="s">
        <v>52</v>
      </c>
      <c r="F716" s="74" t="s">
        <v>879</v>
      </c>
    </row>
    <row r="717" spans="4:6" x14ac:dyDescent="0.25">
      <c r="D717" s="47" t="s">
        <v>792</v>
      </c>
      <c r="E717" s="60" t="s">
        <v>53</v>
      </c>
      <c r="F717" s="60" t="s">
        <v>785</v>
      </c>
    </row>
    <row r="718" spans="4:6" x14ac:dyDescent="0.25">
      <c r="D718" s="75" t="s">
        <v>1695</v>
      </c>
      <c r="E718" s="74" t="s">
        <v>53</v>
      </c>
      <c r="F718" s="74" t="s">
        <v>879</v>
      </c>
    </row>
    <row r="719" spans="4:6" x14ac:dyDescent="0.25">
      <c r="D719" s="75" t="s">
        <v>1747</v>
      </c>
      <c r="E719" s="74" t="s">
        <v>53</v>
      </c>
      <c r="F719" s="74" t="s">
        <v>879</v>
      </c>
    </row>
    <row r="720" spans="4:6" x14ac:dyDescent="0.25">
      <c r="D720" s="75" t="s">
        <v>1805</v>
      </c>
      <c r="E720" s="74" t="s">
        <v>53</v>
      </c>
      <c r="F720" s="74" t="s">
        <v>879</v>
      </c>
    </row>
    <row r="721" spans="4:6" x14ac:dyDescent="0.25">
      <c r="D721" s="75" t="s">
        <v>1748</v>
      </c>
      <c r="E721" s="74" t="s">
        <v>54</v>
      </c>
      <c r="F721" s="74" t="s">
        <v>879</v>
      </c>
    </row>
    <row r="722" spans="4:6" x14ac:dyDescent="0.25">
      <c r="D722" s="75" t="s">
        <v>1603</v>
      </c>
      <c r="E722" s="74" t="s">
        <v>1576</v>
      </c>
      <c r="F722" s="74" t="s">
        <v>879</v>
      </c>
    </row>
    <row r="723" spans="4:6" x14ac:dyDescent="0.25">
      <c r="D723" s="47" t="s">
        <v>600</v>
      </c>
      <c r="E723" s="60" t="s">
        <v>55</v>
      </c>
      <c r="F723" s="60" t="s">
        <v>599</v>
      </c>
    </row>
    <row r="724" spans="4:6" x14ac:dyDescent="0.25">
      <c r="D724" s="47" t="s">
        <v>1174</v>
      </c>
      <c r="E724" s="60" t="s">
        <v>55</v>
      </c>
      <c r="F724" s="60" t="s">
        <v>1118</v>
      </c>
    </row>
    <row r="725" spans="4:6" x14ac:dyDescent="0.25">
      <c r="D725" s="47" t="s">
        <v>961</v>
      </c>
      <c r="E725" s="60" t="s">
        <v>56</v>
      </c>
      <c r="F725" s="60" t="s">
        <v>879</v>
      </c>
    </row>
    <row r="726" spans="4:6" x14ac:dyDescent="0.25">
      <c r="D726" s="47" t="s">
        <v>1085</v>
      </c>
      <c r="E726" s="60" t="s">
        <v>56</v>
      </c>
      <c r="F726" s="60" t="s">
        <v>879</v>
      </c>
    </row>
    <row r="727" spans="4:6" x14ac:dyDescent="0.25">
      <c r="D727" s="75" t="s">
        <v>1703</v>
      </c>
      <c r="E727" s="74" t="s">
        <v>56</v>
      </c>
      <c r="F727" s="74" t="s">
        <v>879</v>
      </c>
    </row>
    <row r="728" spans="4:6" x14ac:dyDescent="0.25">
      <c r="D728" s="75" t="s">
        <v>1547</v>
      </c>
      <c r="E728" s="74" t="s">
        <v>1558</v>
      </c>
      <c r="F728" s="74" t="s">
        <v>879</v>
      </c>
    </row>
    <row r="729" spans="4:6" x14ac:dyDescent="0.25">
      <c r="D729" s="75" t="s">
        <v>1543</v>
      </c>
      <c r="E729" s="74" t="s">
        <v>57</v>
      </c>
      <c r="F729" s="74" t="s">
        <v>879</v>
      </c>
    </row>
    <row r="730" spans="4:6" x14ac:dyDescent="0.25">
      <c r="D730" s="75" t="s">
        <v>1702</v>
      </c>
      <c r="E730" s="74" t="s">
        <v>57</v>
      </c>
      <c r="F730" s="74" t="s">
        <v>879</v>
      </c>
    </row>
    <row r="731" spans="4:6" x14ac:dyDescent="0.25">
      <c r="D731" s="47" t="s">
        <v>557</v>
      </c>
      <c r="E731" s="60" t="s">
        <v>58</v>
      </c>
      <c r="F731" s="60" t="s">
        <v>558</v>
      </c>
    </row>
    <row r="732" spans="4:6" x14ac:dyDescent="0.25">
      <c r="D732" s="47" t="s">
        <v>559</v>
      </c>
      <c r="E732" s="60" t="s">
        <v>58</v>
      </c>
      <c r="F732" s="60" t="s">
        <v>560</v>
      </c>
    </row>
    <row r="733" spans="4:6" x14ac:dyDescent="0.25">
      <c r="D733" s="47" t="s">
        <v>561</v>
      </c>
      <c r="E733" s="60" t="s">
        <v>58</v>
      </c>
      <c r="F733" s="60" t="s">
        <v>560</v>
      </c>
    </row>
    <row r="734" spans="4:6" x14ac:dyDescent="0.25">
      <c r="D734" s="47" t="s">
        <v>585</v>
      </c>
      <c r="E734" s="60" t="s">
        <v>58</v>
      </c>
      <c r="F734" s="60" t="s">
        <v>558</v>
      </c>
    </row>
    <row r="735" spans="4:6" x14ac:dyDescent="0.25">
      <c r="D735" s="47" t="s">
        <v>986</v>
      </c>
      <c r="E735" s="60" t="s">
        <v>58</v>
      </c>
      <c r="F735" s="60" t="s">
        <v>879</v>
      </c>
    </row>
    <row r="736" spans="4:6" x14ac:dyDescent="0.25">
      <c r="D736" s="47" t="s">
        <v>1058</v>
      </c>
      <c r="E736" s="60" t="s">
        <v>58</v>
      </c>
      <c r="F736" s="60" t="s">
        <v>879</v>
      </c>
    </row>
    <row r="737" spans="4:6" x14ac:dyDescent="0.25">
      <c r="D737" s="75" t="s">
        <v>1616</v>
      </c>
      <c r="E737" s="74" t="s">
        <v>58</v>
      </c>
      <c r="F737" s="74" t="s">
        <v>879</v>
      </c>
    </row>
    <row r="738" spans="4:6" x14ac:dyDescent="0.25">
      <c r="D738" s="75" t="s">
        <v>1617</v>
      </c>
      <c r="E738" s="74" t="s">
        <v>58</v>
      </c>
      <c r="F738" s="74" t="s">
        <v>879</v>
      </c>
    </row>
    <row r="739" spans="4:6" x14ac:dyDescent="0.25">
      <c r="D739" s="75" t="s">
        <v>1697</v>
      </c>
      <c r="E739" s="74" t="s">
        <v>58</v>
      </c>
      <c r="F739" s="74" t="s">
        <v>879</v>
      </c>
    </row>
    <row r="740" spans="4:6" x14ac:dyDescent="0.25">
      <c r="D740" s="75" t="s">
        <v>1701</v>
      </c>
      <c r="E740" s="74" t="s">
        <v>58</v>
      </c>
      <c r="F740" s="74" t="s">
        <v>879</v>
      </c>
    </row>
    <row r="741" spans="4:6" x14ac:dyDescent="0.25">
      <c r="D741" s="75" t="s">
        <v>1766</v>
      </c>
      <c r="E741" s="74" t="s">
        <v>1767</v>
      </c>
      <c r="F741" s="74" t="s">
        <v>879</v>
      </c>
    </row>
    <row r="742" spans="4:6" x14ac:dyDescent="0.25">
      <c r="D742" s="75" t="s">
        <v>1828</v>
      </c>
      <c r="E742" s="74" t="s">
        <v>58</v>
      </c>
      <c r="F742" s="74" t="s">
        <v>879</v>
      </c>
    </row>
    <row r="743" spans="4:6" x14ac:dyDescent="0.25">
      <c r="D743" s="47" t="s">
        <v>562</v>
      </c>
      <c r="E743" s="60" t="s">
        <v>59</v>
      </c>
      <c r="F743" s="60" t="s">
        <v>560</v>
      </c>
    </row>
    <row r="744" spans="4:6" x14ac:dyDescent="0.25">
      <c r="D744" s="47" t="s">
        <v>563</v>
      </c>
      <c r="E744" s="60" t="s">
        <v>59</v>
      </c>
      <c r="F744" s="60" t="s">
        <v>564</v>
      </c>
    </row>
    <row r="745" spans="4:6" x14ac:dyDescent="0.25">
      <c r="D745" s="47" t="s">
        <v>565</v>
      </c>
      <c r="E745" s="60" t="s">
        <v>59</v>
      </c>
      <c r="F745" s="60" t="s">
        <v>558</v>
      </c>
    </row>
    <row r="746" spans="4:6" x14ac:dyDescent="0.25">
      <c r="D746" s="47" t="s">
        <v>566</v>
      </c>
      <c r="E746" s="60" t="s">
        <v>59</v>
      </c>
      <c r="F746" s="60" t="s">
        <v>564</v>
      </c>
    </row>
    <row r="747" spans="4:6" x14ac:dyDescent="0.25">
      <c r="D747" s="47" t="s">
        <v>567</v>
      </c>
      <c r="E747" s="60" t="s">
        <v>59</v>
      </c>
      <c r="F747" s="60" t="s">
        <v>558</v>
      </c>
    </row>
    <row r="748" spans="4:6" x14ac:dyDescent="0.25">
      <c r="D748" s="47" t="s">
        <v>942</v>
      </c>
      <c r="E748" s="60" t="s">
        <v>59</v>
      </c>
      <c r="F748" s="60" t="s">
        <v>879</v>
      </c>
    </row>
    <row r="749" spans="4:6" x14ac:dyDescent="0.25">
      <c r="D749" s="47" t="s">
        <v>962</v>
      </c>
      <c r="E749" s="60" t="s">
        <v>59</v>
      </c>
      <c r="F749" s="60" t="s">
        <v>879</v>
      </c>
    </row>
    <row r="750" spans="4:6" x14ac:dyDescent="0.25">
      <c r="D750" s="47" t="s">
        <v>1037</v>
      </c>
      <c r="E750" s="60" t="s">
        <v>59</v>
      </c>
      <c r="F750" s="60" t="s">
        <v>1038</v>
      </c>
    </row>
    <row r="751" spans="4:6" x14ac:dyDescent="0.25">
      <c r="D751" s="47" t="s">
        <v>1073</v>
      </c>
      <c r="E751" s="60" t="s">
        <v>59</v>
      </c>
      <c r="F751" s="60" t="s">
        <v>879</v>
      </c>
    </row>
    <row r="752" spans="4:6" x14ac:dyDescent="0.25">
      <c r="D752" s="47" t="s">
        <v>1084</v>
      </c>
      <c r="E752" s="60" t="s">
        <v>59</v>
      </c>
      <c r="F752" s="60" t="s">
        <v>879</v>
      </c>
    </row>
    <row r="753" spans="4:6" x14ac:dyDescent="0.25">
      <c r="D753" s="47" t="s">
        <v>1158</v>
      </c>
      <c r="E753" s="60" t="s">
        <v>59</v>
      </c>
      <c r="F753" s="60" t="s">
        <v>1159</v>
      </c>
    </row>
    <row r="754" spans="4:6" x14ac:dyDescent="0.25">
      <c r="D754" s="75" t="s">
        <v>1395</v>
      </c>
      <c r="E754" s="74" t="s">
        <v>59</v>
      </c>
      <c r="F754" s="74" t="s">
        <v>1396</v>
      </c>
    </row>
    <row r="755" spans="4:6" x14ac:dyDescent="0.25">
      <c r="D755" s="75" t="s">
        <v>1397</v>
      </c>
      <c r="E755" s="74" t="s">
        <v>59</v>
      </c>
      <c r="F755" s="74" t="s">
        <v>1398</v>
      </c>
    </row>
    <row r="756" spans="4:6" x14ac:dyDescent="0.25">
      <c r="D756" s="75" t="s">
        <v>1422</v>
      </c>
      <c r="E756" s="74" t="s">
        <v>59</v>
      </c>
      <c r="F756" s="74" t="s">
        <v>1416</v>
      </c>
    </row>
    <row r="757" spans="4:6" x14ac:dyDescent="0.25">
      <c r="D757" s="75" t="s">
        <v>1589</v>
      </c>
      <c r="E757" s="74" t="s">
        <v>59</v>
      </c>
      <c r="F757" s="74" t="s">
        <v>879</v>
      </c>
    </row>
    <row r="758" spans="4:6" x14ac:dyDescent="0.25">
      <c r="D758" s="75" t="s">
        <v>1600</v>
      </c>
      <c r="E758" s="74" t="s">
        <v>59</v>
      </c>
      <c r="F758" s="74" t="s">
        <v>879</v>
      </c>
    </row>
    <row r="759" spans="4:6" x14ac:dyDescent="0.25">
      <c r="D759" s="75" t="s">
        <v>1750</v>
      </c>
      <c r="E759" s="74" t="s">
        <v>59</v>
      </c>
      <c r="F759" s="74" t="s">
        <v>879</v>
      </c>
    </row>
    <row r="760" spans="4:6" x14ac:dyDescent="0.25">
      <c r="D760" s="75" t="s">
        <v>1815</v>
      </c>
      <c r="E760" s="74" t="s">
        <v>59</v>
      </c>
      <c r="F760" s="74" t="s">
        <v>879</v>
      </c>
    </row>
    <row r="761" spans="4:6" x14ac:dyDescent="0.25">
      <c r="D761" s="75" t="s">
        <v>1640</v>
      </c>
      <c r="E761" s="74" t="s">
        <v>158</v>
      </c>
      <c r="F761" s="74" t="s">
        <v>879</v>
      </c>
    </row>
    <row r="762" spans="4:6" x14ac:dyDescent="0.25">
      <c r="D762" s="75" t="s">
        <v>1851</v>
      </c>
      <c r="E762" s="74" t="s">
        <v>1563</v>
      </c>
      <c r="F762" s="74" t="s">
        <v>879</v>
      </c>
    </row>
    <row r="763" spans="4:6" x14ac:dyDescent="0.25">
      <c r="D763" s="75" t="s">
        <v>1554</v>
      </c>
      <c r="E763" s="74" t="s">
        <v>1021</v>
      </c>
      <c r="F763" s="74" t="s">
        <v>1555</v>
      </c>
    </row>
    <row r="764" spans="4:6" x14ac:dyDescent="0.25">
      <c r="D764" s="47" t="s">
        <v>1015</v>
      </c>
      <c r="E764" s="60" t="s">
        <v>352</v>
      </c>
      <c r="F764" s="60" t="s">
        <v>879</v>
      </c>
    </row>
    <row r="765" spans="4:6" x14ac:dyDescent="0.25">
      <c r="D765" s="47" t="s">
        <v>1050</v>
      </c>
      <c r="E765" s="60" t="s">
        <v>352</v>
      </c>
      <c r="F765" s="60" t="s">
        <v>1051</v>
      </c>
    </row>
    <row r="766" spans="4:6" x14ac:dyDescent="0.25">
      <c r="D766" s="47" t="s">
        <v>731</v>
      </c>
      <c r="E766" s="60" t="s">
        <v>60</v>
      </c>
      <c r="F766" s="60" t="s">
        <v>573</v>
      </c>
    </row>
    <row r="767" spans="4:6" x14ac:dyDescent="0.25">
      <c r="D767" s="47" t="s">
        <v>996</v>
      </c>
      <c r="E767" s="60" t="s">
        <v>60</v>
      </c>
      <c r="F767" s="60" t="s">
        <v>879</v>
      </c>
    </row>
    <row r="768" spans="4:6" x14ac:dyDescent="0.25">
      <c r="D768" s="47" t="s">
        <v>611</v>
      </c>
      <c r="E768" s="60" t="s">
        <v>612</v>
      </c>
      <c r="F768" s="60" t="s">
        <v>573</v>
      </c>
    </row>
    <row r="769" spans="4:6" x14ac:dyDescent="0.25">
      <c r="D769" s="47" t="s">
        <v>730</v>
      </c>
      <c r="E769" s="60" t="s">
        <v>612</v>
      </c>
      <c r="F769" s="60" t="s">
        <v>576</v>
      </c>
    </row>
    <row r="770" spans="4:6" x14ac:dyDescent="0.25">
      <c r="D770" s="47" t="s">
        <v>1156</v>
      </c>
      <c r="E770" s="60" t="s">
        <v>612</v>
      </c>
      <c r="F770" s="60" t="s">
        <v>1157</v>
      </c>
    </row>
    <row r="771" spans="4:6" x14ac:dyDescent="0.25">
      <c r="D771" s="47" t="s">
        <v>662</v>
      </c>
      <c r="E771" s="60" t="s">
        <v>62</v>
      </c>
      <c r="F771" s="60" t="s">
        <v>663</v>
      </c>
    </row>
    <row r="772" spans="4:6" x14ac:dyDescent="0.25">
      <c r="D772" s="47" t="s">
        <v>711</v>
      </c>
      <c r="E772" s="60" t="s">
        <v>62</v>
      </c>
      <c r="F772" s="60" t="s">
        <v>712</v>
      </c>
    </row>
    <row r="773" spans="4:6" x14ac:dyDescent="0.25">
      <c r="D773" s="47" t="s">
        <v>715</v>
      </c>
      <c r="E773" s="60" t="s">
        <v>62</v>
      </c>
      <c r="F773" s="60" t="s">
        <v>663</v>
      </c>
    </row>
    <row r="774" spans="4:6" x14ac:dyDescent="0.25">
      <c r="D774" s="47" t="s">
        <v>716</v>
      </c>
      <c r="E774" s="60" t="s">
        <v>62</v>
      </c>
      <c r="F774" s="60" t="s">
        <v>714</v>
      </c>
    </row>
    <row r="775" spans="4:6" x14ac:dyDescent="0.25">
      <c r="D775" s="47" t="s">
        <v>934</v>
      </c>
      <c r="E775" s="60" t="s">
        <v>62</v>
      </c>
      <c r="F775" s="60" t="s">
        <v>879</v>
      </c>
    </row>
    <row r="776" spans="4:6" x14ac:dyDescent="0.25">
      <c r="D776" s="47" t="s">
        <v>1053</v>
      </c>
      <c r="E776" s="60" t="s">
        <v>62</v>
      </c>
      <c r="F776" s="60" t="s">
        <v>879</v>
      </c>
    </row>
    <row r="777" spans="4:6" x14ac:dyDescent="0.25">
      <c r="D777" s="47" t="s">
        <v>1096</v>
      </c>
      <c r="E777" s="60" t="s">
        <v>62</v>
      </c>
      <c r="F777" s="60" t="s">
        <v>879</v>
      </c>
    </row>
    <row r="778" spans="4:6" x14ac:dyDescent="0.25">
      <c r="D778" s="75" t="s">
        <v>1444</v>
      </c>
      <c r="E778" s="74" t="s">
        <v>62</v>
      </c>
      <c r="F778" s="74" t="s">
        <v>1416</v>
      </c>
    </row>
    <row r="779" spans="4:6" x14ac:dyDescent="0.25">
      <c r="D779" s="75" t="s">
        <v>1505</v>
      </c>
      <c r="E779" s="74" t="s">
        <v>62</v>
      </c>
      <c r="F779" s="74" t="s">
        <v>1506</v>
      </c>
    </row>
    <row r="780" spans="4:6" x14ac:dyDescent="0.25">
      <c r="D780" s="75" t="s">
        <v>1843</v>
      </c>
      <c r="E780" s="74" t="s">
        <v>62</v>
      </c>
      <c r="F780" s="74" t="s">
        <v>1844</v>
      </c>
    </row>
    <row r="781" spans="4:6" x14ac:dyDescent="0.25">
      <c r="D781" s="47" t="s">
        <v>1093</v>
      </c>
      <c r="E781" s="60" t="s">
        <v>214</v>
      </c>
      <c r="F781" s="60" t="s">
        <v>879</v>
      </c>
    </row>
    <row r="782" spans="4:6" x14ac:dyDescent="0.25">
      <c r="D782" s="75" t="s">
        <v>1775</v>
      </c>
      <c r="E782" s="74" t="s">
        <v>1776</v>
      </c>
      <c r="F782" s="74" t="s">
        <v>879</v>
      </c>
    </row>
    <row r="783" spans="4:6" x14ac:dyDescent="0.25">
      <c r="D783" s="47" t="s">
        <v>402</v>
      </c>
      <c r="E783" s="60" t="s">
        <v>63</v>
      </c>
      <c r="F783" s="60" t="s">
        <v>403</v>
      </c>
    </row>
    <row r="784" spans="4:6" x14ac:dyDescent="0.25">
      <c r="D784" s="47" t="s">
        <v>717</v>
      </c>
      <c r="E784" s="60" t="s">
        <v>63</v>
      </c>
      <c r="F784" s="60" t="s">
        <v>718</v>
      </c>
    </row>
    <row r="785" spans="4:6" x14ac:dyDescent="0.25">
      <c r="D785" s="47" t="s">
        <v>974</v>
      </c>
      <c r="E785" s="60" t="s">
        <v>63</v>
      </c>
      <c r="F785" s="60" t="s">
        <v>879</v>
      </c>
    </row>
    <row r="786" spans="4:6" x14ac:dyDescent="0.25">
      <c r="D786" s="75" t="s">
        <v>1622</v>
      </c>
      <c r="E786" s="74" t="s">
        <v>63</v>
      </c>
      <c r="F786" s="74" t="s">
        <v>879</v>
      </c>
    </row>
    <row r="787" spans="4:6" x14ac:dyDescent="0.25">
      <c r="D787" s="75" t="s">
        <v>1735</v>
      </c>
      <c r="E787" s="74" t="s">
        <v>63</v>
      </c>
      <c r="F787" s="74" t="s">
        <v>879</v>
      </c>
    </row>
    <row r="788" spans="4:6" x14ac:dyDescent="0.25">
      <c r="D788" s="75" t="s">
        <v>1823</v>
      </c>
      <c r="E788" s="74" t="s">
        <v>63</v>
      </c>
      <c r="F788" s="74" t="s">
        <v>879</v>
      </c>
    </row>
    <row r="789" spans="4:6" x14ac:dyDescent="0.25">
      <c r="D789" s="75" t="s">
        <v>1593</v>
      </c>
      <c r="E789" s="74" t="s">
        <v>64</v>
      </c>
      <c r="F789" s="74" t="s">
        <v>879</v>
      </c>
    </row>
    <row r="790" spans="4:6" x14ac:dyDescent="0.25">
      <c r="D790" s="47" t="s">
        <v>713</v>
      </c>
      <c r="E790" s="60" t="s">
        <v>61</v>
      </c>
      <c r="F790" s="60" t="s">
        <v>714</v>
      </c>
    </row>
    <row r="791" spans="4:6" x14ac:dyDescent="0.25">
      <c r="D791" s="75" t="s">
        <v>1841</v>
      </c>
      <c r="E791" s="74" t="s">
        <v>61</v>
      </c>
      <c r="F791" s="74" t="s">
        <v>1842</v>
      </c>
    </row>
    <row r="792" spans="4:6" x14ac:dyDescent="0.25">
      <c r="D792" s="47" t="s">
        <v>536</v>
      </c>
      <c r="E792" s="60" t="s">
        <v>348</v>
      </c>
      <c r="F792" s="60" t="s">
        <v>537</v>
      </c>
    </row>
    <row r="793" spans="4:6" x14ac:dyDescent="0.25">
      <c r="D793" s="47" t="s">
        <v>539</v>
      </c>
      <c r="E793" s="60" t="s">
        <v>348</v>
      </c>
      <c r="F793" s="60" t="s">
        <v>530</v>
      </c>
    </row>
    <row r="794" spans="4:6" x14ac:dyDescent="0.25">
      <c r="D794" s="47" t="s">
        <v>540</v>
      </c>
      <c r="E794" s="60" t="s">
        <v>348</v>
      </c>
      <c r="F794" s="60" t="s">
        <v>530</v>
      </c>
    </row>
    <row r="795" spans="4:6" x14ac:dyDescent="0.25">
      <c r="D795" s="47" t="s">
        <v>544</v>
      </c>
      <c r="E795" s="60" t="s">
        <v>348</v>
      </c>
      <c r="F795" s="60" t="s">
        <v>537</v>
      </c>
    </row>
    <row r="796" spans="4:6" x14ac:dyDescent="0.25">
      <c r="D796" s="47" t="s">
        <v>939</v>
      </c>
      <c r="E796" s="60" t="s">
        <v>348</v>
      </c>
      <c r="F796" s="60" t="s">
        <v>879</v>
      </c>
    </row>
    <row r="797" spans="4:6" x14ac:dyDescent="0.25">
      <c r="D797" s="47" t="s">
        <v>943</v>
      </c>
      <c r="E797" s="60" t="s">
        <v>348</v>
      </c>
      <c r="F797" s="60" t="s">
        <v>879</v>
      </c>
    </row>
    <row r="798" spans="4:6" x14ac:dyDescent="0.25">
      <c r="D798" s="47" t="s">
        <v>1097</v>
      </c>
      <c r="E798" s="60" t="s">
        <v>348</v>
      </c>
      <c r="F798" s="60" t="s">
        <v>879</v>
      </c>
    </row>
    <row r="799" spans="4:6" x14ac:dyDescent="0.25">
      <c r="D799" s="75" t="s">
        <v>1437</v>
      </c>
      <c r="E799" s="74" t="s">
        <v>348</v>
      </c>
      <c r="F799" s="74" t="s">
        <v>1416</v>
      </c>
    </row>
    <row r="800" spans="4:6" x14ac:dyDescent="0.25">
      <c r="D800" s="75" t="s">
        <v>1459</v>
      </c>
      <c r="E800" s="74" t="s">
        <v>348</v>
      </c>
      <c r="F800" s="74" t="s">
        <v>1416</v>
      </c>
    </row>
    <row r="801" spans="4:6" x14ac:dyDescent="0.25">
      <c r="D801" s="75" t="s">
        <v>1755</v>
      </c>
      <c r="E801" s="74" t="s">
        <v>348</v>
      </c>
      <c r="F801" s="74" t="s">
        <v>879</v>
      </c>
    </row>
    <row r="802" spans="4:6" x14ac:dyDescent="0.25">
      <c r="D802" s="75" t="s">
        <v>1791</v>
      </c>
      <c r="E802" s="74" t="s">
        <v>348</v>
      </c>
      <c r="F802" s="74" t="s">
        <v>879</v>
      </c>
    </row>
    <row r="803" spans="4:6" x14ac:dyDescent="0.25">
      <c r="D803" s="75" t="s">
        <v>1838</v>
      </c>
      <c r="E803" s="74" t="s">
        <v>348</v>
      </c>
      <c r="F803" s="74" t="s">
        <v>1839</v>
      </c>
    </row>
    <row r="804" spans="4:6" x14ac:dyDescent="0.25">
      <c r="D804" s="75" t="s">
        <v>1601</v>
      </c>
      <c r="E804" s="74" t="s">
        <v>1376</v>
      </c>
      <c r="F804" s="74" t="s">
        <v>879</v>
      </c>
    </row>
    <row r="805" spans="4:6" x14ac:dyDescent="0.25">
      <c r="D805" s="75" t="s">
        <v>1684</v>
      </c>
      <c r="E805" s="74" t="s">
        <v>1376</v>
      </c>
      <c r="F805" s="74" t="s">
        <v>879</v>
      </c>
    </row>
    <row r="806" spans="4:6" x14ac:dyDescent="0.25">
      <c r="D806" s="75" t="s">
        <v>1434</v>
      </c>
      <c r="E806" s="74" t="s">
        <v>1216</v>
      </c>
      <c r="F806" s="74" t="s">
        <v>1416</v>
      </c>
    </row>
    <row r="807" spans="4:6" x14ac:dyDescent="0.25">
      <c r="D807" s="75" t="s">
        <v>1549</v>
      </c>
      <c r="E807" s="74" t="s">
        <v>1377</v>
      </c>
      <c r="F807" s="74" t="s">
        <v>879</v>
      </c>
    </row>
    <row r="808" spans="4:6" x14ac:dyDescent="0.25">
      <c r="D808" s="75" t="s">
        <v>1484</v>
      </c>
      <c r="E808" s="74" t="s">
        <v>1377</v>
      </c>
      <c r="F808" s="74" t="s">
        <v>1416</v>
      </c>
    </row>
    <row r="809" spans="4:6" x14ac:dyDescent="0.25">
      <c r="D809" s="75" t="s">
        <v>1619</v>
      </c>
      <c r="E809" s="74" t="s">
        <v>1377</v>
      </c>
      <c r="F809" s="74" t="s">
        <v>879</v>
      </c>
    </row>
    <row r="810" spans="4:6" x14ac:dyDescent="0.25">
      <c r="D810" s="75" t="s">
        <v>1714</v>
      </c>
      <c r="E810" s="74" t="s">
        <v>1377</v>
      </c>
      <c r="F810" s="74" t="s">
        <v>879</v>
      </c>
    </row>
    <row r="811" spans="4:6" x14ac:dyDescent="0.25">
      <c r="D811" s="75" t="s">
        <v>1643</v>
      </c>
      <c r="E811" s="74" t="s">
        <v>1378</v>
      </c>
      <c r="F811" s="74" t="s">
        <v>879</v>
      </c>
    </row>
    <row r="812" spans="4:6" x14ac:dyDescent="0.25">
      <c r="D812" s="75" t="s">
        <v>1707</v>
      </c>
      <c r="E812" s="74" t="s">
        <v>1378</v>
      </c>
      <c r="F812" s="74" t="s">
        <v>879</v>
      </c>
    </row>
    <row r="813" spans="4:6" x14ac:dyDescent="0.25">
      <c r="D813" s="75" t="s">
        <v>1584</v>
      </c>
      <c r="E813" s="74" t="s">
        <v>1379</v>
      </c>
      <c r="F813" s="74" t="s">
        <v>879</v>
      </c>
    </row>
    <row r="814" spans="4:6" x14ac:dyDescent="0.25">
      <c r="D814" s="75" t="s">
        <v>1588</v>
      </c>
      <c r="E814" s="74" t="s">
        <v>1379</v>
      </c>
      <c r="F814" s="74" t="s">
        <v>879</v>
      </c>
    </row>
    <row r="815" spans="4:6" x14ac:dyDescent="0.25">
      <c r="D815" s="75" t="s">
        <v>1618</v>
      </c>
      <c r="E815" s="74" t="s">
        <v>1379</v>
      </c>
      <c r="F815" s="74" t="s">
        <v>879</v>
      </c>
    </row>
    <row r="816" spans="4:6" x14ac:dyDescent="0.25">
      <c r="D816" s="75" t="s">
        <v>1715</v>
      </c>
      <c r="E816" s="74" t="s">
        <v>1379</v>
      </c>
      <c r="F816" s="74" t="s">
        <v>879</v>
      </c>
    </row>
    <row r="817" spans="4:6" x14ac:dyDescent="0.25">
      <c r="D817" s="47" t="s">
        <v>512</v>
      </c>
      <c r="E817" s="60" t="s">
        <v>349</v>
      </c>
      <c r="F817" s="60" t="s">
        <v>513</v>
      </c>
    </row>
    <row r="818" spans="4:6" x14ac:dyDescent="0.25">
      <c r="D818" s="47" t="s">
        <v>514</v>
      </c>
      <c r="E818" s="60" t="s">
        <v>349</v>
      </c>
      <c r="F818" s="60" t="s">
        <v>513</v>
      </c>
    </row>
    <row r="819" spans="4:6" x14ac:dyDescent="0.25">
      <c r="D819" s="47" t="s">
        <v>515</v>
      </c>
      <c r="E819" s="60" t="s">
        <v>349</v>
      </c>
      <c r="F819" s="60" t="s">
        <v>516</v>
      </c>
    </row>
    <row r="820" spans="4:6" x14ac:dyDescent="0.25">
      <c r="D820" s="47" t="s">
        <v>518</v>
      </c>
      <c r="E820" s="60" t="s">
        <v>349</v>
      </c>
      <c r="F820" s="60" t="s">
        <v>519</v>
      </c>
    </row>
    <row r="821" spans="4:6" x14ac:dyDescent="0.25">
      <c r="D821" s="47" t="s">
        <v>520</v>
      </c>
      <c r="E821" s="60" t="s">
        <v>349</v>
      </c>
      <c r="F821" s="60" t="s">
        <v>516</v>
      </c>
    </row>
    <row r="822" spans="4:6" x14ac:dyDescent="0.25">
      <c r="D822" s="47" t="s">
        <v>521</v>
      </c>
      <c r="E822" s="60" t="s">
        <v>349</v>
      </c>
      <c r="F822" s="60" t="s">
        <v>522</v>
      </c>
    </row>
    <row r="823" spans="4:6" x14ac:dyDescent="0.25">
      <c r="D823" s="47" t="s">
        <v>525</v>
      </c>
      <c r="E823" s="60" t="s">
        <v>349</v>
      </c>
      <c r="F823" s="60" t="s">
        <v>516</v>
      </c>
    </row>
    <row r="824" spans="4:6" x14ac:dyDescent="0.25">
      <c r="D824" s="47" t="s">
        <v>526</v>
      </c>
      <c r="E824" s="60" t="s">
        <v>349</v>
      </c>
      <c r="F824" s="60" t="s">
        <v>527</v>
      </c>
    </row>
    <row r="825" spans="4:6" x14ac:dyDescent="0.25">
      <c r="D825" s="47" t="s">
        <v>528</v>
      </c>
      <c r="E825" s="60" t="s">
        <v>349</v>
      </c>
      <c r="F825" s="60" t="s">
        <v>527</v>
      </c>
    </row>
    <row r="826" spans="4:6" x14ac:dyDescent="0.25">
      <c r="D826" s="47" t="s">
        <v>529</v>
      </c>
      <c r="E826" s="60" t="s">
        <v>349</v>
      </c>
      <c r="F826" s="60" t="s">
        <v>530</v>
      </c>
    </row>
    <row r="827" spans="4:6" x14ac:dyDescent="0.25">
      <c r="D827" s="47" t="s">
        <v>532</v>
      </c>
      <c r="E827" s="60" t="s">
        <v>349</v>
      </c>
      <c r="F827" s="60" t="s">
        <v>516</v>
      </c>
    </row>
    <row r="828" spans="4:6" x14ac:dyDescent="0.25">
      <c r="D828" s="47" t="s">
        <v>533</v>
      </c>
      <c r="E828" s="60" t="s">
        <v>349</v>
      </c>
      <c r="F828" s="60" t="s">
        <v>530</v>
      </c>
    </row>
    <row r="829" spans="4:6" x14ac:dyDescent="0.25">
      <c r="D829" s="47" t="s">
        <v>534</v>
      </c>
      <c r="E829" s="60" t="s">
        <v>349</v>
      </c>
      <c r="F829" s="60" t="s">
        <v>513</v>
      </c>
    </row>
    <row r="830" spans="4:6" x14ac:dyDescent="0.25">
      <c r="D830" s="47" t="s">
        <v>535</v>
      </c>
      <c r="E830" s="60" t="s">
        <v>349</v>
      </c>
      <c r="F830" s="60" t="s">
        <v>519</v>
      </c>
    </row>
    <row r="831" spans="4:6" x14ac:dyDescent="0.25">
      <c r="D831" s="47" t="s">
        <v>541</v>
      </c>
      <c r="E831" s="60" t="s">
        <v>349</v>
      </c>
      <c r="F831" s="60" t="s">
        <v>516</v>
      </c>
    </row>
    <row r="832" spans="4:6" x14ac:dyDescent="0.25">
      <c r="D832" s="47" t="s">
        <v>542</v>
      </c>
      <c r="E832" s="60" t="s">
        <v>349</v>
      </c>
      <c r="F832" s="60" t="s">
        <v>513</v>
      </c>
    </row>
    <row r="833" spans="4:6" x14ac:dyDescent="0.25">
      <c r="D833" s="47" t="s">
        <v>543</v>
      </c>
      <c r="E833" s="60" t="s">
        <v>349</v>
      </c>
      <c r="F833" s="60" t="s">
        <v>516</v>
      </c>
    </row>
    <row r="834" spans="4:6" x14ac:dyDescent="0.25">
      <c r="D834" s="47" t="s">
        <v>545</v>
      </c>
      <c r="E834" s="60" t="s">
        <v>349</v>
      </c>
      <c r="F834" s="60" t="s">
        <v>516</v>
      </c>
    </row>
    <row r="835" spans="4:6" x14ac:dyDescent="0.25">
      <c r="D835" s="47" t="s">
        <v>546</v>
      </c>
      <c r="E835" s="60" t="s">
        <v>349</v>
      </c>
      <c r="F835" s="60" t="s">
        <v>516</v>
      </c>
    </row>
    <row r="836" spans="4:6" x14ac:dyDescent="0.25">
      <c r="D836" s="47" t="s">
        <v>547</v>
      </c>
      <c r="E836" s="60" t="s">
        <v>349</v>
      </c>
      <c r="F836" s="60" t="s">
        <v>513</v>
      </c>
    </row>
    <row r="837" spans="4:6" x14ac:dyDescent="0.25">
      <c r="D837" s="47" t="s">
        <v>548</v>
      </c>
      <c r="E837" s="60" t="s">
        <v>349</v>
      </c>
      <c r="F837" s="60" t="s">
        <v>513</v>
      </c>
    </row>
    <row r="838" spans="4:6" x14ac:dyDescent="0.25">
      <c r="D838" s="47" t="s">
        <v>936</v>
      </c>
      <c r="E838" s="60" t="s">
        <v>349</v>
      </c>
      <c r="F838" s="60" t="s">
        <v>879</v>
      </c>
    </row>
    <row r="839" spans="4:6" x14ac:dyDescent="0.25">
      <c r="D839" s="47" t="s">
        <v>938</v>
      </c>
      <c r="E839" s="60" t="s">
        <v>349</v>
      </c>
      <c r="F839" s="60" t="s">
        <v>879</v>
      </c>
    </row>
    <row r="840" spans="4:6" x14ac:dyDescent="0.25">
      <c r="D840" s="47" t="s">
        <v>944</v>
      </c>
      <c r="E840" s="60" t="s">
        <v>349</v>
      </c>
      <c r="F840" s="60" t="s">
        <v>879</v>
      </c>
    </row>
    <row r="841" spans="4:6" x14ac:dyDescent="0.25">
      <c r="D841" s="47" t="s">
        <v>960</v>
      </c>
      <c r="E841" s="60" t="s">
        <v>349</v>
      </c>
      <c r="F841" s="60" t="s">
        <v>879</v>
      </c>
    </row>
    <row r="842" spans="4:6" x14ac:dyDescent="0.25">
      <c r="D842" s="47" t="s">
        <v>973</v>
      </c>
      <c r="E842" s="60" t="s">
        <v>349</v>
      </c>
      <c r="F842" s="60" t="s">
        <v>879</v>
      </c>
    </row>
    <row r="843" spans="4:6" x14ac:dyDescent="0.25">
      <c r="D843" s="47" t="s">
        <v>1088</v>
      </c>
      <c r="E843" s="60" t="s">
        <v>349</v>
      </c>
      <c r="F843" s="60" t="s">
        <v>879</v>
      </c>
    </row>
    <row r="844" spans="4:6" x14ac:dyDescent="0.25">
      <c r="D844" s="47" t="s">
        <v>1185</v>
      </c>
      <c r="E844" s="60" t="s">
        <v>349</v>
      </c>
      <c r="F844" s="60" t="s">
        <v>1186</v>
      </c>
    </row>
    <row r="845" spans="4:6" x14ac:dyDescent="0.25">
      <c r="D845" s="75" t="s">
        <v>1736</v>
      </c>
      <c r="E845" s="74" t="s">
        <v>349</v>
      </c>
      <c r="F845" s="74" t="s">
        <v>879</v>
      </c>
    </row>
    <row r="846" spans="4:6" x14ac:dyDescent="0.25">
      <c r="D846" s="75" t="s">
        <v>1449</v>
      </c>
      <c r="E846" s="74" t="s">
        <v>1380</v>
      </c>
      <c r="F846" s="74" t="s">
        <v>1416</v>
      </c>
    </row>
    <row r="847" spans="4:6" x14ac:dyDescent="0.25">
      <c r="D847" s="75" t="s">
        <v>1487</v>
      </c>
      <c r="E847" s="74" t="s">
        <v>1380</v>
      </c>
      <c r="F847" s="74" t="s">
        <v>1416</v>
      </c>
    </row>
    <row r="848" spans="4:6" x14ac:dyDescent="0.25">
      <c r="D848" s="75" t="s">
        <v>1544</v>
      </c>
      <c r="E848" s="74" t="s">
        <v>1380</v>
      </c>
      <c r="F848" s="74" t="s">
        <v>879</v>
      </c>
    </row>
    <row r="849" spans="4:6" x14ac:dyDescent="0.25">
      <c r="D849" s="75" t="s">
        <v>1602</v>
      </c>
      <c r="E849" s="74" t="s">
        <v>1380</v>
      </c>
      <c r="F849" s="74" t="s">
        <v>879</v>
      </c>
    </row>
    <row r="850" spans="4:6" x14ac:dyDescent="0.25">
      <c r="D850" s="75" t="s">
        <v>1649</v>
      </c>
      <c r="E850" s="74" t="s">
        <v>1380</v>
      </c>
      <c r="F850" s="74" t="s">
        <v>879</v>
      </c>
    </row>
    <row r="851" spans="4:6" x14ac:dyDescent="0.25">
      <c r="D851" s="75" t="s">
        <v>1696</v>
      </c>
      <c r="E851" s="74" t="s">
        <v>1380</v>
      </c>
      <c r="F851" s="74" t="s">
        <v>879</v>
      </c>
    </row>
    <row r="852" spans="4:6" x14ac:dyDescent="0.25">
      <c r="D852" s="75" t="s">
        <v>1740</v>
      </c>
      <c r="E852" s="74" t="s">
        <v>1380</v>
      </c>
      <c r="F852" s="74" t="s">
        <v>879</v>
      </c>
    </row>
    <row r="853" spans="4:6" x14ac:dyDescent="0.25">
      <c r="D853" s="75" t="s">
        <v>1754</v>
      </c>
      <c r="E853" s="74" t="s">
        <v>1380</v>
      </c>
      <c r="F853" s="74" t="s">
        <v>879</v>
      </c>
    </row>
    <row r="854" spans="4:6" x14ac:dyDescent="0.25">
      <c r="D854" s="75" t="s">
        <v>1770</v>
      </c>
      <c r="E854" s="74" t="s">
        <v>1771</v>
      </c>
      <c r="F854" s="74" t="s">
        <v>879</v>
      </c>
    </row>
    <row r="855" spans="4:6" x14ac:dyDescent="0.25">
      <c r="D855" s="75" t="s">
        <v>1790</v>
      </c>
      <c r="E855" s="74" t="s">
        <v>1380</v>
      </c>
      <c r="F855" s="74" t="s">
        <v>879</v>
      </c>
    </row>
    <row r="856" spans="4:6" x14ac:dyDescent="0.25">
      <c r="D856" s="75" t="s">
        <v>1859</v>
      </c>
      <c r="E856" s="74" t="s">
        <v>1380</v>
      </c>
      <c r="F856" s="74" t="s">
        <v>1860</v>
      </c>
    </row>
    <row r="857" spans="4:6" x14ac:dyDescent="0.25">
      <c r="D857" s="75" t="s">
        <v>1706</v>
      </c>
      <c r="E857" s="74" t="s">
        <v>1580</v>
      </c>
      <c r="F857" s="74" t="s">
        <v>879</v>
      </c>
    </row>
    <row r="858" spans="4:6" x14ac:dyDescent="0.25">
      <c r="D858" s="47" t="s">
        <v>523</v>
      </c>
      <c r="E858" s="60" t="s">
        <v>524</v>
      </c>
      <c r="F858" s="60" t="s">
        <v>522</v>
      </c>
    </row>
    <row r="859" spans="4:6" x14ac:dyDescent="0.25">
      <c r="D859" s="47" t="s">
        <v>1161</v>
      </c>
      <c r="E859" s="60" t="s">
        <v>66</v>
      </c>
      <c r="F859" s="60" t="s">
        <v>1162</v>
      </c>
    </row>
    <row r="860" spans="4:6" x14ac:dyDescent="0.25">
      <c r="D860" s="75" t="s">
        <v>1774</v>
      </c>
      <c r="E860" s="74" t="s">
        <v>66</v>
      </c>
      <c r="F860" s="74" t="s">
        <v>879</v>
      </c>
    </row>
    <row r="861" spans="4:6" x14ac:dyDescent="0.25">
      <c r="D861" s="47" t="s">
        <v>531</v>
      </c>
      <c r="E861" s="60" t="s">
        <v>65</v>
      </c>
      <c r="F861" s="60" t="s">
        <v>530</v>
      </c>
    </row>
    <row r="862" spans="4:6" x14ac:dyDescent="0.25">
      <c r="D862" s="47" t="s">
        <v>538</v>
      </c>
      <c r="E862" s="60" t="s">
        <v>65</v>
      </c>
      <c r="F862" s="60" t="s">
        <v>530</v>
      </c>
    </row>
    <row r="863" spans="4:6" x14ac:dyDescent="0.25">
      <c r="D863" s="47" t="s">
        <v>937</v>
      </c>
      <c r="E863" s="60" t="s">
        <v>65</v>
      </c>
      <c r="F863" s="60">
        <v>1</v>
      </c>
    </row>
    <row r="864" spans="4:6" x14ac:dyDescent="0.25">
      <c r="D864" s="47" t="s">
        <v>1039</v>
      </c>
      <c r="E864" s="60" t="s">
        <v>65</v>
      </c>
      <c r="F864" s="60" t="s">
        <v>1040</v>
      </c>
    </row>
    <row r="865" spans="4:6" x14ac:dyDescent="0.25">
      <c r="D865" s="47" t="s">
        <v>1048</v>
      </c>
      <c r="E865" s="60" t="s">
        <v>65</v>
      </c>
      <c r="F865" s="60" t="s">
        <v>1049</v>
      </c>
    </row>
    <row r="866" spans="4:6" x14ac:dyDescent="0.25">
      <c r="D866" s="47" t="s">
        <v>1072</v>
      </c>
      <c r="E866" s="60" t="s">
        <v>65</v>
      </c>
      <c r="F866" s="60" t="s">
        <v>879</v>
      </c>
    </row>
    <row r="867" spans="4:6" x14ac:dyDescent="0.25">
      <c r="D867" s="75" t="s">
        <v>1493</v>
      </c>
      <c r="E867" s="74" t="s">
        <v>65</v>
      </c>
      <c r="F867" s="74" t="s">
        <v>879</v>
      </c>
    </row>
    <row r="868" spans="4:6" x14ac:dyDescent="0.25">
      <c r="D868" s="75" t="s">
        <v>1526</v>
      </c>
      <c r="E868" s="74" t="s">
        <v>65</v>
      </c>
      <c r="F868" s="74" t="s">
        <v>1527</v>
      </c>
    </row>
    <row r="869" spans="4:6" x14ac:dyDescent="0.25">
      <c r="D869" s="75" t="s">
        <v>1585</v>
      </c>
      <c r="E869" s="74" t="s">
        <v>65</v>
      </c>
      <c r="F869" s="74" t="s">
        <v>879</v>
      </c>
    </row>
    <row r="870" spans="4:6" x14ac:dyDescent="0.25">
      <c r="D870" s="75" t="s">
        <v>1590</v>
      </c>
      <c r="E870" s="74" t="s">
        <v>65</v>
      </c>
      <c r="F870" s="74" t="s">
        <v>879</v>
      </c>
    </row>
    <row r="871" spans="4:6" x14ac:dyDescent="0.25">
      <c r="D871" s="75" t="s">
        <v>1633</v>
      </c>
      <c r="E871" s="74" t="s">
        <v>65</v>
      </c>
      <c r="F871" s="74" t="s">
        <v>879</v>
      </c>
    </row>
    <row r="872" spans="4:6" x14ac:dyDescent="0.25">
      <c r="D872" s="75" t="s">
        <v>1739</v>
      </c>
      <c r="E872" s="74" t="s">
        <v>65</v>
      </c>
      <c r="F872" s="74" t="s">
        <v>879</v>
      </c>
    </row>
    <row r="873" spans="4:6" x14ac:dyDescent="0.25">
      <c r="D873" s="75" t="s">
        <v>1741</v>
      </c>
      <c r="E873" s="74" t="s">
        <v>65</v>
      </c>
      <c r="F873" s="74" t="s">
        <v>879</v>
      </c>
    </row>
    <row r="874" spans="4:6" x14ac:dyDescent="0.25">
      <c r="D874" s="75" t="s">
        <v>1826</v>
      </c>
      <c r="E874" s="74" t="s">
        <v>65</v>
      </c>
      <c r="F874" s="74">
        <v>4</v>
      </c>
    </row>
    <row r="875" spans="4:6" x14ac:dyDescent="0.25">
      <c r="D875" s="75" t="s">
        <v>1708</v>
      </c>
      <c r="E875" s="74" t="s">
        <v>1579</v>
      </c>
      <c r="F875" s="74" t="s">
        <v>879</v>
      </c>
    </row>
    <row r="876" spans="4:6" x14ac:dyDescent="0.25">
      <c r="D876" s="47" t="s">
        <v>993</v>
      </c>
      <c r="E876" s="60" t="s">
        <v>67</v>
      </c>
      <c r="F876" s="60" t="s">
        <v>879</v>
      </c>
    </row>
    <row r="877" spans="4:6" x14ac:dyDescent="0.25">
      <c r="D877" s="75" t="s">
        <v>1514</v>
      </c>
      <c r="E877" s="74" t="s">
        <v>67</v>
      </c>
      <c r="F877" s="74" t="s">
        <v>1515</v>
      </c>
    </row>
    <row r="878" spans="4:6" x14ac:dyDescent="0.25">
      <c r="D878" s="75" t="s">
        <v>1688</v>
      </c>
      <c r="E878" s="74" t="s">
        <v>1381</v>
      </c>
      <c r="F878" s="74" t="s">
        <v>879</v>
      </c>
    </row>
    <row r="879" spans="4:6" x14ac:dyDescent="0.25">
      <c r="D879" s="75" t="s">
        <v>1698</v>
      </c>
      <c r="E879" s="74" t="s">
        <v>1381</v>
      </c>
      <c r="F879" s="74" t="s">
        <v>879</v>
      </c>
    </row>
    <row r="880" spans="4:6" x14ac:dyDescent="0.25">
      <c r="D880" s="75" t="s">
        <v>1699</v>
      </c>
      <c r="E880" s="74" t="s">
        <v>1381</v>
      </c>
      <c r="F880" s="74" t="s">
        <v>879</v>
      </c>
    </row>
    <row r="881" spans="4:6" x14ac:dyDescent="0.25">
      <c r="D881" s="75" t="s">
        <v>1832</v>
      </c>
      <c r="E881" s="74" t="s">
        <v>1381</v>
      </c>
      <c r="F881" s="74" t="s">
        <v>879</v>
      </c>
    </row>
    <row r="882" spans="4:6" x14ac:dyDescent="0.25">
      <c r="D882" s="75" t="s">
        <v>1858</v>
      </c>
      <c r="E882" s="74" t="s">
        <v>1381</v>
      </c>
      <c r="F882" s="74" t="s">
        <v>879</v>
      </c>
    </row>
    <row r="883" spans="4:6" x14ac:dyDescent="0.25">
      <c r="D883" s="75" t="s">
        <v>1796</v>
      </c>
      <c r="E883" s="74" t="s">
        <v>1561</v>
      </c>
      <c r="F883" s="74" t="s">
        <v>879</v>
      </c>
    </row>
    <row r="884" spans="4:6" x14ac:dyDescent="0.25">
      <c r="D884" s="75" t="s">
        <v>1818</v>
      </c>
      <c r="E884" s="74" t="s">
        <v>1561</v>
      </c>
      <c r="F884" s="74" t="s">
        <v>879</v>
      </c>
    </row>
    <row r="885" spans="4:6" x14ac:dyDescent="0.25">
      <c r="D885" s="75" t="s">
        <v>1512</v>
      </c>
      <c r="E885" s="74" t="s">
        <v>1513</v>
      </c>
      <c r="F885" s="74" t="s">
        <v>1408</v>
      </c>
    </row>
    <row r="886" spans="4:6" x14ac:dyDescent="0.25">
      <c r="D886" s="47" t="s">
        <v>400</v>
      </c>
      <c r="E886" s="60" t="s">
        <v>160</v>
      </c>
      <c r="F886" s="60" t="s">
        <v>401</v>
      </c>
    </row>
    <row r="887" spans="4:6" x14ac:dyDescent="0.25">
      <c r="D887" s="47" t="s">
        <v>622</v>
      </c>
      <c r="E887" s="60" t="s">
        <v>160</v>
      </c>
      <c r="F887" s="60" t="s">
        <v>623</v>
      </c>
    </row>
    <row r="888" spans="4:6" x14ac:dyDescent="0.25">
      <c r="D888" s="47" t="s">
        <v>957</v>
      </c>
      <c r="E888" s="60" t="s">
        <v>160</v>
      </c>
      <c r="F888" s="60" t="s">
        <v>879</v>
      </c>
    </row>
    <row r="889" spans="4:6" x14ac:dyDescent="0.25">
      <c r="D889" s="47" t="s">
        <v>1001</v>
      </c>
      <c r="E889" s="60" t="s">
        <v>160</v>
      </c>
      <c r="F889" s="60" t="s">
        <v>879</v>
      </c>
    </row>
    <row r="890" spans="4:6" x14ac:dyDescent="0.25">
      <c r="D890" s="47" t="s">
        <v>1018</v>
      </c>
      <c r="E890" s="60" t="s">
        <v>160</v>
      </c>
      <c r="F890" s="60" t="s">
        <v>98</v>
      </c>
    </row>
    <row r="891" spans="4:6" x14ac:dyDescent="0.25">
      <c r="D891" s="75" t="s">
        <v>1612</v>
      </c>
      <c r="E891" s="74" t="s">
        <v>1211</v>
      </c>
      <c r="F891" s="74" t="s">
        <v>879</v>
      </c>
    </row>
    <row r="892" spans="4:6" x14ac:dyDescent="0.25">
      <c r="D892" s="47" t="s">
        <v>970</v>
      </c>
      <c r="E892" s="60" t="s">
        <v>162</v>
      </c>
      <c r="F892" s="60" t="s">
        <v>879</v>
      </c>
    </row>
    <row r="893" spans="4:6" x14ac:dyDescent="0.25">
      <c r="D893" s="47" t="s">
        <v>995</v>
      </c>
      <c r="E893" s="60" t="s">
        <v>162</v>
      </c>
      <c r="F893" s="60" t="s">
        <v>879</v>
      </c>
    </row>
    <row r="894" spans="4:6" x14ac:dyDescent="0.25">
      <c r="D894" s="47" t="s">
        <v>1090</v>
      </c>
      <c r="E894" s="60" t="s">
        <v>162</v>
      </c>
      <c r="F894" s="60" t="s">
        <v>879</v>
      </c>
    </row>
    <row r="895" spans="4:6" x14ac:dyDescent="0.25">
      <c r="D895" s="47" t="s">
        <v>1190</v>
      </c>
      <c r="E895" s="60" t="s">
        <v>162</v>
      </c>
      <c r="F895" s="60" t="s">
        <v>1173</v>
      </c>
    </row>
    <row r="896" spans="4:6" x14ac:dyDescent="0.25">
      <c r="D896" s="75" t="s">
        <v>1421</v>
      </c>
      <c r="E896" s="74" t="s">
        <v>1311</v>
      </c>
      <c r="F896" s="74" t="s">
        <v>1416</v>
      </c>
    </row>
    <row r="897" spans="4:6" x14ac:dyDescent="0.25">
      <c r="D897" s="75" t="s">
        <v>1675</v>
      </c>
      <c r="E897" s="74" t="s">
        <v>1311</v>
      </c>
      <c r="F897" s="74" t="s">
        <v>1676</v>
      </c>
    </row>
    <row r="898" spans="4:6" x14ac:dyDescent="0.25">
      <c r="D898" s="75" t="s">
        <v>1764</v>
      </c>
      <c r="E898" s="74" t="s">
        <v>1311</v>
      </c>
      <c r="F898" s="74" t="s">
        <v>879</v>
      </c>
    </row>
    <row r="899" spans="4:6" x14ac:dyDescent="0.25">
      <c r="D899" s="75" t="s">
        <v>1814</v>
      </c>
      <c r="E899" s="74" t="s">
        <v>1311</v>
      </c>
      <c r="F899" s="74" t="s">
        <v>879</v>
      </c>
    </row>
    <row r="900" spans="4:6" x14ac:dyDescent="0.25">
      <c r="D900" s="75" t="s">
        <v>1827</v>
      </c>
      <c r="E900" s="74" t="s">
        <v>1311</v>
      </c>
      <c r="F900" s="74" t="s">
        <v>879</v>
      </c>
    </row>
    <row r="901" spans="4:6" x14ac:dyDescent="0.25">
      <c r="D901" s="75" t="s">
        <v>1508</v>
      </c>
      <c r="E901" s="74" t="s">
        <v>1383</v>
      </c>
      <c r="F901" s="74" t="s">
        <v>1400</v>
      </c>
    </row>
    <row r="902" spans="4:6" x14ac:dyDescent="0.25">
      <c r="D902" s="75" t="s">
        <v>1846</v>
      </c>
      <c r="E902" s="74" t="s">
        <v>1383</v>
      </c>
      <c r="F902" s="74" t="s">
        <v>1109</v>
      </c>
    </row>
    <row r="903" spans="4:6" x14ac:dyDescent="0.25">
      <c r="D903" s="75" t="s">
        <v>1621</v>
      </c>
      <c r="E903" s="74" t="s">
        <v>1384</v>
      </c>
      <c r="F903" s="74" t="s">
        <v>879</v>
      </c>
    </row>
    <row r="904" spans="4:6" x14ac:dyDescent="0.25">
      <c r="D904" s="75" t="s">
        <v>1509</v>
      </c>
      <c r="E904" s="74" t="s">
        <v>1510</v>
      </c>
      <c r="F904" s="74" t="s">
        <v>1511</v>
      </c>
    </row>
    <row r="905" spans="4:6" x14ac:dyDescent="0.25">
      <c r="D905" s="75" t="s">
        <v>1789</v>
      </c>
      <c r="E905" s="74" t="s">
        <v>1385</v>
      </c>
      <c r="F905" s="74" t="s">
        <v>879</v>
      </c>
    </row>
    <row r="906" spans="4:6" x14ac:dyDescent="0.25">
      <c r="D906" s="47" t="s">
        <v>664</v>
      </c>
      <c r="E906" s="60" t="s">
        <v>241</v>
      </c>
      <c r="F906" s="60" t="s">
        <v>665</v>
      </c>
    </row>
    <row r="907" spans="4:6" x14ac:dyDescent="0.25">
      <c r="D907" s="47" t="s">
        <v>1179</v>
      </c>
      <c r="E907" s="60" t="s">
        <v>242</v>
      </c>
      <c r="F907" s="60" t="s">
        <v>1180</v>
      </c>
    </row>
    <row r="908" spans="4:6" x14ac:dyDescent="0.25">
      <c r="D908" s="47" t="s">
        <v>1160</v>
      </c>
      <c r="E908" s="60" t="s">
        <v>243</v>
      </c>
      <c r="F908" s="60" t="s">
        <v>1159</v>
      </c>
    </row>
    <row r="909" spans="4:6" x14ac:dyDescent="0.25">
      <c r="D909" s="75" t="s">
        <v>1545</v>
      </c>
      <c r="E909" s="74" t="s">
        <v>243</v>
      </c>
      <c r="F909" s="74" t="s">
        <v>879</v>
      </c>
    </row>
    <row r="910" spans="4:6" x14ac:dyDescent="0.25">
      <c r="D910" s="75" t="s">
        <v>1742</v>
      </c>
      <c r="E910" s="74" t="s">
        <v>243</v>
      </c>
      <c r="F910" s="74" t="s">
        <v>879</v>
      </c>
    </row>
    <row r="911" spans="4:6" x14ac:dyDescent="0.25">
      <c r="D911" s="75" t="s">
        <v>1494</v>
      </c>
      <c r="E911" s="74" t="s">
        <v>217</v>
      </c>
      <c r="F911" s="74" t="s">
        <v>879</v>
      </c>
    </row>
    <row r="912" spans="4:6" x14ac:dyDescent="0.25">
      <c r="D912" s="75" t="s">
        <v>1852</v>
      </c>
      <c r="E912" s="74" t="s">
        <v>1562</v>
      </c>
      <c r="F912" s="74" t="s">
        <v>879</v>
      </c>
    </row>
    <row r="913" spans="4:6" x14ac:dyDescent="0.25">
      <c r="D913" s="47" t="s">
        <v>998</v>
      </c>
      <c r="E913" s="60" t="s">
        <v>164</v>
      </c>
      <c r="F913" s="60" t="s">
        <v>879</v>
      </c>
    </row>
    <row r="914" spans="4:6" x14ac:dyDescent="0.25">
      <c r="D914" s="75" t="s">
        <v>1451</v>
      </c>
      <c r="E914" s="74" t="s">
        <v>164</v>
      </c>
      <c r="F914" s="74" t="s">
        <v>1109</v>
      </c>
    </row>
    <row r="915" spans="4:6" x14ac:dyDescent="0.25">
      <c r="D915" s="75" t="s">
        <v>1849</v>
      </c>
      <c r="E915" s="74" t="s">
        <v>164</v>
      </c>
      <c r="F915" s="74" t="s">
        <v>1850</v>
      </c>
    </row>
    <row r="916" spans="4:6" x14ac:dyDescent="0.25">
      <c r="D916" s="47" t="s">
        <v>626</v>
      </c>
      <c r="E916" s="60" t="s">
        <v>165</v>
      </c>
      <c r="F916" s="60" t="s">
        <v>627</v>
      </c>
    </row>
    <row r="917" spans="4:6" x14ac:dyDescent="0.25">
      <c r="D917" s="47" t="s">
        <v>628</v>
      </c>
      <c r="E917" s="60" t="s">
        <v>165</v>
      </c>
      <c r="F917" s="60" t="s">
        <v>629</v>
      </c>
    </row>
    <row r="918" spans="4:6" x14ac:dyDescent="0.25">
      <c r="D918" s="47" t="s">
        <v>630</v>
      </c>
      <c r="E918" s="60" t="s">
        <v>165</v>
      </c>
      <c r="F918" s="60" t="s">
        <v>629</v>
      </c>
    </row>
    <row r="919" spans="4:6" x14ac:dyDescent="0.25">
      <c r="D919" s="47" t="s">
        <v>631</v>
      </c>
      <c r="E919" s="60" t="s">
        <v>165</v>
      </c>
      <c r="F919" s="60" t="s">
        <v>629</v>
      </c>
    </row>
    <row r="920" spans="4:6" x14ac:dyDescent="0.25">
      <c r="D920" s="47" t="s">
        <v>632</v>
      </c>
      <c r="E920" s="60" t="s">
        <v>165</v>
      </c>
      <c r="F920" s="60" t="s">
        <v>629</v>
      </c>
    </row>
    <row r="921" spans="4:6" x14ac:dyDescent="0.25">
      <c r="D921" s="47" t="s">
        <v>633</v>
      </c>
      <c r="E921" s="60" t="s">
        <v>165</v>
      </c>
      <c r="F921" s="60" t="s">
        <v>629</v>
      </c>
    </row>
    <row r="922" spans="4:6" x14ac:dyDescent="0.25">
      <c r="D922" s="47" t="s">
        <v>634</v>
      </c>
      <c r="E922" s="60" t="s">
        <v>165</v>
      </c>
      <c r="F922" s="60" t="s">
        <v>635</v>
      </c>
    </row>
    <row r="923" spans="4:6" x14ac:dyDescent="0.25">
      <c r="D923" s="47" t="s">
        <v>636</v>
      </c>
      <c r="E923" s="60" t="s">
        <v>165</v>
      </c>
      <c r="F923" s="60" t="s">
        <v>635</v>
      </c>
    </row>
    <row r="924" spans="4:6" x14ac:dyDescent="0.25">
      <c r="D924" s="47" t="s">
        <v>637</v>
      </c>
      <c r="E924" s="60" t="s">
        <v>165</v>
      </c>
      <c r="F924" s="60" t="s">
        <v>635</v>
      </c>
    </row>
    <row r="925" spans="4:6" x14ac:dyDescent="0.25">
      <c r="D925" s="47" t="s">
        <v>638</v>
      </c>
      <c r="E925" s="60" t="s">
        <v>165</v>
      </c>
      <c r="F925" s="60" t="s">
        <v>635</v>
      </c>
    </row>
    <row r="926" spans="4:6" x14ac:dyDescent="0.25">
      <c r="D926" s="47" t="s">
        <v>966</v>
      </c>
      <c r="E926" s="60" t="s">
        <v>165</v>
      </c>
      <c r="F926" s="60" t="s">
        <v>879</v>
      </c>
    </row>
    <row r="927" spans="4:6" x14ac:dyDescent="0.25">
      <c r="D927" s="47" t="s">
        <v>1127</v>
      </c>
      <c r="E927" s="60" t="s">
        <v>165</v>
      </c>
      <c r="F927" s="60" t="s">
        <v>1128</v>
      </c>
    </row>
    <row r="928" spans="4:6" x14ac:dyDescent="0.25">
      <c r="D928" s="75" t="s">
        <v>1669</v>
      </c>
      <c r="E928" s="74" t="s">
        <v>165</v>
      </c>
      <c r="F928" s="74" t="s">
        <v>1670</v>
      </c>
    </row>
    <row r="929" spans="4:6" x14ac:dyDescent="0.25">
      <c r="D929" s="75" t="s">
        <v>1671</v>
      </c>
      <c r="E929" s="74" t="s">
        <v>165</v>
      </c>
      <c r="F929" s="74" t="s">
        <v>1672</v>
      </c>
    </row>
    <row r="930" spans="4:6" x14ac:dyDescent="0.25">
      <c r="D930" s="75" t="s">
        <v>1673</v>
      </c>
      <c r="E930" s="74" t="s">
        <v>165</v>
      </c>
      <c r="F930" s="74" t="s">
        <v>1674</v>
      </c>
    </row>
    <row r="931" spans="4:6" x14ac:dyDescent="0.25">
      <c r="D931" s="75" t="s">
        <v>1824</v>
      </c>
      <c r="E931" s="74" t="s">
        <v>165</v>
      </c>
      <c r="F931" s="74" t="s">
        <v>879</v>
      </c>
    </row>
    <row r="932" spans="4:6" x14ac:dyDescent="0.25">
      <c r="D932" s="47" t="s">
        <v>994</v>
      </c>
      <c r="E932" s="60" t="s">
        <v>367</v>
      </c>
      <c r="F932" s="60" t="s">
        <v>879</v>
      </c>
    </row>
    <row r="933" spans="4:6" x14ac:dyDescent="0.25">
      <c r="D933" s="47" t="s">
        <v>1107</v>
      </c>
      <c r="E933" s="60" t="s">
        <v>367</v>
      </c>
      <c r="F933" s="60" t="s">
        <v>1104</v>
      </c>
    </row>
    <row r="934" spans="4:6" x14ac:dyDescent="0.25">
      <c r="D934" s="47" t="s">
        <v>955</v>
      </c>
      <c r="E934" s="60" t="s">
        <v>215</v>
      </c>
      <c r="F934" s="60" t="s">
        <v>879</v>
      </c>
    </row>
    <row r="935" spans="4:6" x14ac:dyDescent="0.25">
      <c r="D935" s="47" t="s">
        <v>1163</v>
      </c>
      <c r="E935" s="60" t="s">
        <v>253</v>
      </c>
      <c r="F935" s="60" t="s">
        <v>1164</v>
      </c>
    </row>
    <row r="936" spans="4:6" x14ac:dyDescent="0.25">
      <c r="D936" s="47" t="s">
        <v>771</v>
      </c>
      <c r="E936" s="60" t="s">
        <v>772</v>
      </c>
      <c r="F936" s="60" t="s">
        <v>773</v>
      </c>
    </row>
    <row r="937" spans="4:6" x14ac:dyDescent="0.25">
      <c r="D937" s="47" t="s">
        <v>971</v>
      </c>
      <c r="E937" s="60" t="s">
        <v>166</v>
      </c>
      <c r="F937" s="60" t="s">
        <v>879</v>
      </c>
    </row>
    <row r="938" spans="4:6" x14ac:dyDescent="0.25">
      <c r="D938" s="47" t="s">
        <v>1167</v>
      </c>
      <c r="E938" s="60" t="s">
        <v>166</v>
      </c>
      <c r="F938" s="60" t="s">
        <v>1168</v>
      </c>
    </row>
    <row r="939" spans="4:6" x14ac:dyDescent="0.25">
      <c r="D939" s="75" t="s">
        <v>1641</v>
      </c>
      <c r="E939" s="74" t="s">
        <v>1314</v>
      </c>
      <c r="F939" s="74" t="s">
        <v>879</v>
      </c>
    </row>
    <row r="940" spans="4:6" x14ac:dyDescent="0.25">
      <c r="D940" s="75" t="s">
        <v>1692</v>
      </c>
      <c r="E940" s="74" t="s">
        <v>23</v>
      </c>
      <c r="F940" s="74" t="s">
        <v>879</v>
      </c>
    </row>
    <row r="941" spans="4:6" x14ac:dyDescent="0.25">
      <c r="D941" s="47" t="s">
        <v>1143</v>
      </c>
      <c r="E941" s="60" t="s">
        <v>191</v>
      </c>
      <c r="F941" s="60" t="s">
        <v>1144</v>
      </c>
    </row>
    <row r="942" spans="4:6" x14ac:dyDescent="0.25">
      <c r="D942" s="75" t="s">
        <v>1700</v>
      </c>
      <c r="E942" s="74" t="s">
        <v>191</v>
      </c>
      <c r="F942" s="74" t="s">
        <v>879</v>
      </c>
    </row>
    <row r="943" spans="4:6" x14ac:dyDescent="0.25">
      <c r="D943" s="75" t="s">
        <v>1799</v>
      </c>
      <c r="E943" s="74" t="s">
        <v>191</v>
      </c>
      <c r="F943" s="74" t="s">
        <v>879</v>
      </c>
    </row>
    <row r="2141" spans="4:4" x14ac:dyDescent="0.25">
      <c r="D2141" s="38"/>
    </row>
    <row r="2142" spans="4:4" x14ac:dyDescent="0.25">
      <c r="D2142" s="38"/>
    </row>
    <row r="2143" spans="4:4" x14ac:dyDescent="0.25">
      <c r="D2143" s="38"/>
    </row>
    <row r="2144" spans="4:4" x14ac:dyDescent="0.25">
      <c r="D2144" s="38"/>
    </row>
    <row r="2145" spans="4:4" x14ac:dyDescent="0.25">
      <c r="D2145" s="38"/>
    </row>
    <row r="2146" spans="4:4" x14ac:dyDescent="0.25">
      <c r="D2146" s="38"/>
    </row>
    <row r="2147" spans="4:4" x14ac:dyDescent="0.25">
      <c r="D2147" s="38"/>
    </row>
    <row r="2148" spans="4:4" x14ac:dyDescent="0.25">
      <c r="D2148" s="38"/>
    </row>
    <row r="2149" spans="4:4" x14ac:dyDescent="0.25">
      <c r="D2149" s="38"/>
    </row>
    <row r="2150" spans="4:4" x14ac:dyDescent="0.25">
      <c r="D2150" s="38"/>
    </row>
    <row r="2151" spans="4:4" x14ac:dyDescent="0.25">
      <c r="D2151" s="38"/>
    </row>
    <row r="2152" spans="4:4" x14ac:dyDescent="0.25">
      <c r="D2152" s="38"/>
    </row>
    <row r="2153" spans="4:4" x14ac:dyDescent="0.25">
      <c r="D2153" s="38"/>
    </row>
    <row r="2154" spans="4:4" x14ac:dyDescent="0.25">
      <c r="D2154" s="38"/>
    </row>
    <row r="2155" spans="4:4" x14ac:dyDescent="0.25">
      <c r="D2155" s="38"/>
    </row>
    <row r="2156" spans="4:4" x14ac:dyDescent="0.25">
      <c r="D2156" s="38"/>
    </row>
    <row r="2157" spans="4:4" x14ac:dyDescent="0.25">
      <c r="D2157" s="38"/>
    </row>
    <row r="2158" spans="4:4" x14ac:dyDescent="0.25">
      <c r="D2158" s="38"/>
    </row>
    <row r="2159" spans="4:4" x14ac:dyDescent="0.25">
      <c r="D2159" s="38"/>
    </row>
    <row r="2160" spans="4:4" x14ac:dyDescent="0.25">
      <c r="D2160" s="38"/>
    </row>
    <row r="2161" spans="4:4" x14ac:dyDescent="0.25">
      <c r="D2161" s="38"/>
    </row>
    <row r="2162" spans="4:4" x14ac:dyDescent="0.25">
      <c r="D2162" s="38"/>
    </row>
    <row r="2163" spans="4:4" x14ac:dyDescent="0.25">
      <c r="D2163" s="38"/>
    </row>
    <row r="2164" spans="4:4" x14ac:dyDescent="0.25">
      <c r="D2164" s="38"/>
    </row>
    <row r="2165" spans="4:4" x14ac:dyDescent="0.25">
      <c r="D2165" s="38"/>
    </row>
    <row r="2166" spans="4:4" x14ac:dyDescent="0.25">
      <c r="D2166" s="38"/>
    </row>
    <row r="2167" spans="4:4" x14ac:dyDescent="0.25">
      <c r="D2167" s="38"/>
    </row>
    <row r="2168" spans="4:4" x14ac:dyDescent="0.25">
      <c r="D2168" s="38"/>
    </row>
    <row r="2169" spans="4:4" x14ac:dyDescent="0.25">
      <c r="D2169" s="38"/>
    </row>
    <row r="2170" spans="4:4" x14ac:dyDescent="0.25">
      <c r="D2170" s="38"/>
    </row>
    <row r="2171" spans="4:4" x14ac:dyDescent="0.25">
      <c r="D2171" s="38"/>
    </row>
    <row r="2172" spans="4:4" x14ac:dyDescent="0.25">
      <c r="D2172" s="38"/>
    </row>
    <row r="2173" spans="4:4" x14ac:dyDescent="0.25">
      <c r="D2173" s="38"/>
    </row>
    <row r="2174" spans="4:4" x14ac:dyDescent="0.25">
      <c r="D2174" s="38"/>
    </row>
    <row r="2175" spans="4:4" x14ac:dyDescent="0.25">
      <c r="D2175" s="38"/>
    </row>
    <row r="2176" spans="4:4" x14ac:dyDescent="0.25">
      <c r="D2176" s="38"/>
    </row>
    <row r="2177" spans="4:4" x14ac:dyDescent="0.25">
      <c r="D2177" s="38"/>
    </row>
    <row r="2178" spans="4:4" x14ac:dyDescent="0.25">
      <c r="D2178" s="38"/>
    </row>
    <row r="2179" spans="4:4" x14ac:dyDescent="0.25">
      <c r="D2179" s="38"/>
    </row>
    <row r="2180" spans="4:4" x14ac:dyDescent="0.25">
      <c r="D2180" s="38"/>
    </row>
    <row r="2181" spans="4:4" x14ac:dyDescent="0.25">
      <c r="D2181" s="38"/>
    </row>
    <row r="2182" spans="4:4" x14ac:dyDescent="0.25">
      <c r="D2182" s="38"/>
    </row>
    <row r="2183" spans="4:4" x14ac:dyDescent="0.25">
      <c r="D2183" s="38"/>
    </row>
    <row r="2184" spans="4:4" x14ac:dyDescent="0.25">
      <c r="D2184" s="38"/>
    </row>
    <row r="2185" spans="4:4" x14ac:dyDescent="0.25">
      <c r="D2185" s="38"/>
    </row>
    <row r="2186" spans="4:4" x14ac:dyDescent="0.25">
      <c r="D2186" s="38"/>
    </row>
    <row r="2187" spans="4:4" x14ac:dyDescent="0.25">
      <c r="D2187" s="38"/>
    </row>
    <row r="2188" spans="4:4" x14ac:dyDescent="0.25">
      <c r="D2188" s="38"/>
    </row>
    <row r="2189" spans="4:4" x14ac:dyDescent="0.25">
      <c r="D2189" s="38"/>
    </row>
    <row r="2190" spans="4:4" x14ac:dyDescent="0.25">
      <c r="D2190" s="38"/>
    </row>
    <row r="2191" spans="4:4" x14ac:dyDescent="0.25">
      <c r="D2191" s="38"/>
    </row>
    <row r="2192" spans="4:4" x14ac:dyDescent="0.25">
      <c r="D2192" s="38"/>
    </row>
    <row r="2193" spans="4:4" x14ac:dyDescent="0.25">
      <c r="D2193" s="38"/>
    </row>
    <row r="2194" spans="4:4" x14ac:dyDescent="0.25">
      <c r="D2194" s="38"/>
    </row>
    <row r="2195" spans="4:4" x14ac:dyDescent="0.25">
      <c r="D2195" s="38"/>
    </row>
    <row r="2196" spans="4:4" x14ac:dyDescent="0.25">
      <c r="D2196" s="38"/>
    </row>
    <row r="2197" spans="4:4" x14ac:dyDescent="0.25">
      <c r="D2197" s="38"/>
    </row>
    <row r="2198" spans="4:4" x14ac:dyDescent="0.25">
      <c r="D2198" s="38"/>
    </row>
    <row r="2199" spans="4:4" x14ac:dyDescent="0.25">
      <c r="D2199" s="38"/>
    </row>
    <row r="2200" spans="4:4" x14ac:dyDescent="0.25">
      <c r="D2200" s="38"/>
    </row>
    <row r="2201" spans="4:4" x14ac:dyDescent="0.25">
      <c r="D2201" s="38"/>
    </row>
    <row r="2202" spans="4:4" x14ac:dyDescent="0.25">
      <c r="D2202" s="38"/>
    </row>
    <row r="2203" spans="4:4" x14ac:dyDescent="0.25">
      <c r="D2203" s="38"/>
    </row>
    <row r="2204" spans="4:4" x14ac:dyDescent="0.25">
      <c r="D2204" s="38"/>
    </row>
    <row r="2205" spans="4:4" x14ac:dyDescent="0.25">
      <c r="D2205" s="38"/>
    </row>
    <row r="2206" spans="4:4" x14ac:dyDescent="0.25">
      <c r="D2206" s="38"/>
    </row>
    <row r="2207" spans="4:4" x14ac:dyDescent="0.25">
      <c r="D2207" s="38"/>
    </row>
    <row r="2208" spans="4:4" x14ac:dyDescent="0.25">
      <c r="D2208" s="38"/>
    </row>
    <row r="2209" spans="4:4" x14ac:dyDescent="0.25">
      <c r="D2209" s="38"/>
    </row>
    <row r="2210" spans="4:4" x14ac:dyDescent="0.25">
      <c r="D2210" s="38"/>
    </row>
    <row r="2211" spans="4:4" x14ac:dyDescent="0.25">
      <c r="D2211" s="38"/>
    </row>
    <row r="2212" spans="4:4" x14ac:dyDescent="0.25">
      <c r="D2212" s="38"/>
    </row>
    <row r="2213" spans="4:4" x14ac:dyDescent="0.25">
      <c r="D2213" s="38"/>
    </row>
    <row r="2214" spans="4:4" x14ac:dyDescent="0.25">
      <c r="D2214" s="38"/>
    </row>
    <row r="2215" spans="4:4" x14ac:dyDescent="0.25">
      <c r="D2215" s="38"/>
    </row>
    <row r="2216" spans="4:4" x14ac:dyDescent="0.25">
      <c r="D2216" s="38"/>
    </row>
    <row r="2217" spans="4:4" x14ac:dyDescent="0.25">
      <c r="D2217" s="38"/>
    </row>
    <row r="2218" spans="4:4" x14ac:dyDescent="0.25">
      <c r="D2218" s="38"/>
    </row>
    <row r="2219" spans="4:4" x14ac:dyDescent="0.25">
      <c r="D2219" s="38"/>
    </row>
    <row r="2220" spans="4:4" x14ac:dyDescent="0.25">
      <c r="D2220" s="38"/>
    </row>
    <row r="2221" spans="4:4" x14ac:dyDescent="0.25">
      <c r="D2221" s="38"/>
    </row>
    <row r="2222" spans="4:4" x14ac:dyDescent="0.25">
      <c r="D2222" s="38"/>
    </row>
    <row r="2223" spans="4:4" x14ac:dyDescent="0.25">
      <c r="D2223" s="38"/>
    </row>
    <row r="2224" spans="4:4" x14ac:dyDescent="0.25">
      <c r="D2224" s="38"/>
    </row>
    <row r="2225" spans="4:4" x14ac:dyDescent="0.25">
      <c r="D2225" s="38"/>
    </row>
    <row r="2226" spans="4:4" x14ac:dyDescent="0.25">
      <c r="D2226" s="38"/>
    </row>
    <row r="2227" spans="4:4" x14ac:dyDescent="0.25">
      <c r="D2227" s="38"/>
    </row>
    <row r="2228" spans="4:4" x14ac:dyDescent="0.25">
      <c r="D2228" s="38"/>
    </row>
    <row r="2229" spans="4:4" x14ac:dyDescent="0.25">
      <c r="D2229" s="38"/>
    </row>
    <row r="2230" spans="4:4" x14ac:dyDescent="0.25">
      <c r="D2230" s="38"/>
    </row>
    <row r="2231" spans="4:4" x14ac:dyDescent="0.25">
      <c r="D2231" s="38"/>
    </row>
    <row r="2232" spans="4:4" x14ac:dyDescent="0.25">
      <c r="D2232" s="38"/>
    </row>
    <row r="2233" spans="4:4" x14ac:dyDescent="0.25">
      <c r="D2233" s="38"/>
    </row>
    <row r="2234" spans="4:4" x14ac:dyDescent="0.25">
      <c r="D2234" s="38"/>
    </row>
    <row r="2235" spans="4:4" x14ac:dyDescent="0.25">
      <c r="D2235" s="38"/>
    </row>
    <row r="2236" spans="4:4" x14ac:dyDescent="0.25">
      <c r="D2236" s="38"/>
    </row>
    <row r="2237" spans="4:4" x14ac:dyDescent="0.25">
      <c r="D2237" s="38"/>
    </row>
    <row r="2238" spans="4:4" x14ac:dyDescent="0.25">
      <c r="D2238" s="38"/>
    </row>
    <row r="2239" spans="4:4" x14ac:dyDescent="0.25">
      <c r="D2239" s="38"/>
    </row>
    <row r="2240" spans="4:4" x14ac:dyDescent="0.25">
      <c r="D2240" s="38"/>
    </row>
    <row r="2241" spans="4:4" x14ac:dyDescent="0.25">
      <c r="D2241" s="38"/>
    </row>
    <row r="2242" spans="4:4" x14ac:dyDescent="0.25">
      <c r="D2242" s="38"/>
    </row>
    <row r="2243" spans="4:4" x14ac:dyDescent="0.25">
      <c r="D2243" s="38"/>
    </row>
    <row r="2244" spans="4:4" x14ac:dyDescent="0.25">
      <c r="D2244" s="38"/>
    </row>
    <row r="2245" spans="4:4" x14ac:dyDescent="0.25">
      <c r="D2245" s="38"/>
    </row>
    <row r="2246" spans="4:4" x14ac:dyDescent="0.25">
      <c r="D2246" s="38"/>
    </row>
    <row r="2247" spans="4:4" x14ac:dyDescent="0.25">
      <c r="D2247" s="38"/>
    </row>
    <row r="2248" spans="4:4" x14ac:dyDescent="0.25">
      <c r="D2248" s="38"/>
    </row>
    <row r="2249" spans="4:4" x14ac:dyDescent="0.25">
      <c r="D2249" s="38"/>
    </row>
    <row r="2250" spans="4:4" x14ac:dyDescent="0.25">
      <c r="D2250" s="38"/>
    </row>
    <row r="2251" spans="4:4" x14ac:dyDescent="0.25">
      <c r="D2251" s="38"/>
    </row>
    <row r="2252" spans="4:4" x14ac:dyDescent="0.25">
      <c r="D2252" s="38"/>
    </row>
    <row r="2253" spans="4:4" x14ac:dyDescent="0.25">
      <c r="D2253" s="38"/>
    </row>
    <row r="2254" spans="4:4" x14ac:dyDescent="0.25">
      <c r="D2254" s="38"/>
    </row>
    <row r="2255" spans="4:4" x14ac:dyDescent="0.25">
      <c r="D2255" s="38"/>
    </row>
    <row r="2256" spans="4:4" x14ac:dyDescent="0.25">
      <c r="D2256" s="38"/>
    </row>
    <row r="2257" spans="4:4" x14ac:dyDescent="0.25">
      <c r="D2257" s="38"/>
    </row>
    <row r="2258" spans="4:4" x14ac:dyDescent="0.25">
      <c r="D2258" s="38"/>
    </row>
    <row r="2259" spans="4:4" x14ac:dyDescent="0.25">
      <c r="D2259" s="38"/>
    </row>
    <row r="2260" spans="4:4" x14ac:dyDescent="0.25">
      <c r="D2260" s="38"/>
    </row>
    <row r="2261" spans="4:4" x14ac:dyDescent="0.25">
      <c r="D2261" s="38"/>
    </row>
    <row r="2262" spans="4:4" x14ac:dyDescent="0.25">
      <c r="D2262" s="38"/>
    </row>
    <row r="2263" spans="4:4" x14ac:dyDescent="0.25">
      <c r="D2263" s="38"/>
    </row>
    <row r="2264" spans="4:4" x14ac:dyDescent="0.25">
      <c r="D2264" s="38"/>
    </row>
    <row r="2265" spans="4:4" x14ac:dyDescent="0.25">
      <c r="D2265" s="38"/>
    </row>
    <row r="2266" spans="4:4" x14ac:dyDescent="0.25">
      <c r="D2266" s="38"/>
    </row>
    <row r="2267" spans="4:4" x14ac:dyDescent="0.25">
      <c r="D2267" s="38"/>
    </row>
    <row r="2268" spans="4:4" x14ac:dyDescent="0.25">
      <c r="D2268" s="38"/>
    </row>
    <row r="2269" spans="4:4" x14ac:dyDescent="0.25">
      <c r="D2269" s="38"/>
    </row>
    <row r="2270" spans="4:4" x14ac:dyDescent="0.25">
      <c r="D2270" s="38"/>
    </row>
    <row r="2271" spans="4:4" x14ac:dyDescent="0.25">
      <c r="D2271" s="38"/>
    </row>
    <row r="2272" spans="4:4" x14ac:dyDescent="0.25">
      <c r="D2272" s="38"/>
    </row>
    <row r="2273" spans="4:4" x14ac:dyDescent="0.25">
      <c r="D2273" s="38"/>
    </row>
    <row r="2274" spans="4:4" x14ac:dyDescent="0.25">
      <c r="D2274" s="38"/>
    </row>
    <row r="2275" spans="4:4" x14ac:dyDescent="0.25">
      <c r="D2275" s="38"/>
    </row>
    <row r="2276" spans="4:4" x14ac:dyDescent="0.25">
      <c r="D2276" s="38"/>
    </row>
    <row r="2277" spans="4:4" x14ac:dyDescent="0.25">
      <c r="D2277" s="38"/>
    </row>
    <row r="2278" spans="4:4" x14ac:dyDescent="0.25">
      <c r="D2278" s="38"/>
    </row>
    <row r="2279" spans="4:4" x14ac:dyDescent="0.25">
      <c r="D2279" s="38"/>
    </row>
    <row r="2280" spans="4:4" x14ac:dyDescent="0.25">
      <c r="D2280" s="38"/>
    </row>
    <row r="2281" spans="4:4" x14ac:dyDescent="0.25">
      <c r="D2281" s="38"/>
    </row>
    <row r="2282" spans="4:4" x14ac:dyDescent="0.25">
      <c r="D2282" s="38"/>
    </row>
    <row r="2283" spans="4:4" x14ac:dyDescent="0.25">
      <c r="D2283" s="38"/>
    </row>
    <row r="2284" spans="4:4" x14ac:dyDescent="0.25">
      <c r="D2284" s="38"/>
    </row>
    <row r="2285" spans="4:4" x14ac:dyDescent="0.25">
      <c r="D2285" s="38"/>
    </row>
    <row r="2286" spans="4:4" x14ac:dyDescent="0.25">
      <c r="D2286" s="38"/>
    </row>
    <row r="2287" spans="4:4" x14ac:dyDescent="0.25">
      <c r="D2287" s="38"/>
    </row>
    <row r="2288" spans="4:4" x14ac:dyDescent="0.25">
      <c r="D2288" s="38"/>
    </row>
    <row r="2289" spans="4:4" x14ac:dyDescent="0.25">
      <c r="D2289" s="38"/>
    </row>
    <row r="2290" spans="4:4" x14ac:dyDescent="0.25">
      <c r="D2290" s="38"/>
    </row>
    <row r="2291" spans="4:4" x14ac:dyDescent="0.25">
      <c r="D2291" s="38"/>
    </row>
    <row r="2292" spans="4:4" x14ac:dyDescent="0.25">
      <c r="D2292" s="38"/>
    </row>
    <row r="2293" spans="4:4" x14ac:dyDescent="0.25">
      <c r="D2293" s="38"/>
    </row>
    <row r="2294" spans="4:4" x14ac:dyDescent="0.25">
      <c r="D2294" s="38"/>
    </row>
    <row r="2295" spans="4:4" x14ac:dyDescent="0.25">
      <c r="D2295" s="38"/>
    </row>
    <row r="2296" spans="4:4" x14ac:dyDescent="0.25">
      <c r="D2296" s="38"/>
    </row>
    <row r="2297" spans="4:4" x14ac:dyDescent="0.25">
      <c r="D2297" s="38"/>
    </row>
    <row r="2298" spans="4:4" x14ac:dyDescent="0.25">
      <c r="D2298" s="38"/>
    </row>
    <row r="2299" spans="4:4" x14ac:dyDescent="0.25">
      <c r="D2299" s="38"/>
    </row>
    <row r="2300" spans="4:4" x14ac:dyDescent="0.25">
      <c r="D2300" s="38"/>
    </row>
    <row r="2301" spans="4:4" x14ac:dyDescent="0.25">
      <c r="D2301" s="38"/>
    </row>
    <row r="2302" spans="4:4" x14ac:dyDescent="0.25">
      <c r="D2302" s="38"/>
    </row>
    <row r="2303" spans="4:4" x14ac:dyDescent="0.25">
      <c r="D2303" s="38"/>
    </row>
    <row r="2304" spans="4:4" x14ac:dyDescent="0.25">
      <c r="D2304" s="38"/>
    </row>
    <row r="2305" spans="4:4" x14ac:dyDescent="0.25">
      <c r="D2305" s="38"/>
    </row>
    <row r="2306" spans="4:4" x14ac:dyDescent="0.25">
      <c r="D2306" s="38"/>
    </row>
    <row r="2307" spans="4:4" x14ac:dyDescent="0.25">
      <c r="D2307" s="38"/>
    </row>
    <row r="2308" spans="4:4" x14ac:dyDescent="0.25">
      <c r="D2308" s="38"/>
    </row>
    <row r="2309" spans="4:4" x14ac:dyDescent="0.25">
      <c r="D2309" s="38"/>
    </row>
    <row r="2310" spans="4:4" x14ac:dyDescent="0.25">
      <c r="D2310" s="38"/>
    </row>
    <row r="2311" spans="4:4" x14ac:dyDescent="0.25">
      <c r="D2311" s="38"/>
    </row>
    <row r="2312" spans="4:4" x14ac:dyDescent="0.25">
      <c r="D2312" s="38"/>
    </row>
    <row r="2313" spans="4:4" x14ac:dyDescent="0.25">
      <c r="D2313" s="38"/>
    </row>
    <row r="2314" spans="4:4" x14ac:dyDescent="0.25">
      <c r="D2314" s="38"/>
    </row>
    <row r="2315" spans="4:4" x14ac:dyDescent="0.25">
      <c r="D2315" s="38"/>
    </row>
    <row r="2316" spans="4:4" x14ac:dyDescent="0.25">
      <c r="D2316" s="38"/>
    </row>
    <row r="2317" spans="4:4" x14ac:dyDescent="0.25">
      <c r="D2317" s="38"/>
    </row>
    <row r="2318" spans="4:4" x14ac:dyDescent="0.25">
      <c r="D2318" s="38"/>
    </row>
    <row r="2319" spans="4:4" x14ac:dyDescent="0.25">
      <c r="D2319" s="38"/>
    </row>
    <row r="2320" spans="4:4" x14ac:dyDescent="0.25">
      <c r="D2320" s="38"/>
    </row>
    <row r="2321" spans="4:4" x14ac:dyDescent="0.25">
      <c r="D2321" s="38"/>
    </row>
    <row r="2322" spans="4:4" x14ac:dyDescent="0.25">
      <c r="D2322" s="38"/>
    </row>
    <row r="2323" spans="4:4" x14ac:dyDescent="0.25">
      <c r="D2323" s="38"/>
    </row>
    <row r="2324" spans="4:4" x14ac:dyDescent="0.25">
      <c r="D2324" s="38"/>
    </row>
    <row r="2325" spans="4:4" x14ac:dyDescent="0.25">
      <c r="D2325" s="38"/>
    </row>
    <row r="2326" spans="4:4" x14ac:dyDescent="0.25">
      <c r="D2326" s="38"/>
    </row>
    <row r="2327" spans="4:4" x14ac:dyDescent="0.25">
      <c r="D2327" s="38"/>
    </row>
    <row r="2328" spans="4:4" x14ac:dyDescent="0.25">
      <c r="D2328" s="38"/>
    </row>
    <row r="2329" spans="4:4" x14ac:dyDescent="0.25">
      <c r="D2329" s="38"/>
    </row>
    <row r="2330" spans="4:4" x14ac:dyDescent="0.25">
      <c r="D2330" s="38"/>
    </row>
    <row r="2331" spans="4:4" x14ac:dyDescent="0.25">
      <c r="D2331" s="38"/>
    </row>
    <row r="2332" spans="4:4" x14ac:dyDescent="0.25">
      <c r="D2332" s="38"/>
    </row>
    <row r="2333" spans="4:4" x14ac:dyDescent="0.25">
      <c r="D2333" s="38"/>
    </row>
    <row r="2334" spans="4:4" x14ac:dyDescent="0.25">
      <c r="D2334" s="38"/>
    </row>
    <row r="2335" spans="4:4" x14ac:dyDescent="0.25">
      <c r="D2335" s="38"/>
    </row>
    <row r="2336" spans="4:4" x14ac:dyDescent="0.25">
      <c r="D2336" s="38"/>
    </row>
    <row r="2337" spans="4:4" x14ac:dyDescent="0.25">
      <c r="D2337" s="38"/>
    </row>
    <row r="2338" spans="4:4" x14ac:dyDescent="0.25">
      <c r="D2338" s="38"/>
    </row>
    <row r="2339" spans="4:4" x14ac:dyDescent="0.25">
      <c r="D2339" s="38"/>
    </row>
    <row r="2340" spans="4:4" x14ac:dyDescent="0.25">
      <c r="D2340" s="38"/>
    </row>
    <row r="2341" spans="4:4" x14ac:dyDescent="0.25">
      <c r="D2341" s="38"/>
    </row>
    <row r="2342" spans="4:4" x14ac:dyDescent="0.25">
      <c r="D2342" s="38"/>
    </row>
    <row r="2343" spans="4:4" x14ac:dyDescent="0.25">
      <c r="D2343" s="38"/>
    </row>
    <row r="2344" spans="4:4" x14ac:dyDescent="0.25">
      <c r="D2344" s="38"/>
    </row>
    <row r="2345" spans="4:4" x14ac:dyDescent="0.25">
      <c r="D2345" s="38"/>
    </row>
    <row r="2346" spans="4:4" x14ac:dyDescent="0.25">
      <c r="D2346" s="38"/>
    </row>
    <row r="2347" spans="4:4" x14ac:dyDescent="0.25">
      <c r="D2347" s="38"/>
    </row>
    <row r="2348" spans="4:4" x14ac:dyDescent="0.25">
      <c r="D2348" s="38"/>
    </row>
    <row r="2349" spans="4:4" x14ac:dyDescent="0.25">
      <c r="D2349" s="38"/>
    </row>
    <row r="2350" spans="4:4" x14ac:dyDescent="0.25">
      <c r="D2350" s="38"/>
    </row>
    <row r="2351" spans="4:4" x14ac:dyDescent="0.25">
      <c r="D2351" s="38"/>
    </row>
    <row r="2352" spans="4:4" x14ac:dyDescent="0.25">
      <c r="D2352" s="38"/>
    </row>
    <row r="2353" spans="4:4" x14ac:dyDescent="0.25">
      <c r="D2353" s="38"/>
    </row>
    <row r="2354" spans="4:4" x14ac:dyDescent="0.25">
      <c r="D2354" s="38"/>
    </row>
    <row r="2355" spans="4:4" x14ac:dyDescent="0.25">
      <c r="D2355" s="38"/>
    </row>
    <row r="2356" spans="4:4" x14ac:dyDescent="0.25">
      <c r="D2356" s="38"/>
    </row>
    <row r="2357" spans="4:4" x14ac:dyDescent="0.25">
      <c r="D2357" s="38"/>
    </row>
    <row r="2358" spans="4:4" x14ac:dyDescent="0.25">
      <c r="D2358" s="38"/>
    </row>
    <row r="2359" spans="4:4" x14ac:dyDescent="0.25">
      <c r="D2359" s="38"/>
    </row>
    <row r="2360" spans="4:4" x14ac:dyDescent="0.25">
      <c r="D2360" s="38"/>
    </row>
    <row r="2361" spans="4:4" x14ac:dyDescent="0.25">
      <c r="D2361" s="38"/>
    </row>
    <row r="2362" spans="4:4" x14ac:dyDescent="0.25">
      <c r="D2362" s="38"/>
    </row>
    <row r="2363" spans="4:4" x14ac:dyDescent="0.25">
      <c r="D2363" s="38"/>
    </row>
    <row r="2364" spans="4:4" x14ac:dyDescent="0.25">
      <c r="D2364" s="38"/>
    </row>
    <row r="2365" spans="4:4" x14ac:dyDescent="0.25">
      <c r="D2365" s="38"/>
    </row>
    <row r="2366" spans="4:4" x14ac:dyDescent="0.25">
      <c r="D2366" s="38"/>
    </row>
    <row r="2367" spans="4:4" x14ac:dyDescent="0.25">
      <c r="D2367" s="38"/>
    </row>
    <row r="2368" spans="4:4" x14ac:dyDescent="0.25">
      <c r="D2368" s="38"/>
    </row>
    <row r="2369" spans="4:4" x14ac:dyDescent="0.25">
      <c r="D2369" s="38"/>
    </row>
    <row r="2370" spans="4:4" x14ac:dyDescent="0.25">
      <c r="D2370" s="38"/>
    </row>
    <row r="2371" spans="4:4" x14ac:dyDescent="0.25">
      <c r="D2371" s="38"/>
    </row>
    <row r="2372" spans="4:4" x14ac:dyDescent="0.25">
      <c r="D2372" s="38"/>
    </row>
    <row r="2373" spans="4:4" x14ac:dyDescent="0.25">
      <c r="D2373" s="38"/>
    </row>
    <row r="2374" spans="4:4" x14ac:dyDescent="0.25">
      <c r="D2374" s="38"/>
    </row>
    <row r="2375" spans="4:4" x14ac:dyDescent="0.25">
      <c r="D2375" s="38"/>
    </row>
    <row r="2376" spans="4:4" x14ac:dyDescent="0.25">
      <c r="D2376" s="38"/>
    </row>
    <row r="2377" spans="4:4" x14ac:dyDescent="0.25">
      <c r="D2377" s="38"/>
    </row>
    <row r="2378" spans="4:4" x14ac:dyDescent="0.25">
      <c r="D2378" s="38"/>
    </row>
    <row r="2379" spans="4:4" x14ac:dyDescent="0.25">
      <c r="D2379" s="38"/>
    </row>
    <row r="2380" spans="4:4" x14ac:dyDescent="0.25">
      <c r="D2380" s="38"/>
    </row>
    <row r="2381" spans="4:4" x14ac:dyDescent="0.25">
      <c r="D2381" s="38"/>
    </row>
    <row r="2382" spans="4:4" x14ac:dyDescent="0.25">
      <c r="D2382" s="38"/>
    </row>
    <row r="2383" spans="4:4" x14ac:dyDescent="0.25">
      <c r="D2383" s="38"/>
    </row>
    <row r="2384" spans="4:4" x14ac:dyDescent="0.25">
      <c r="D2384" s="38"/>
    </row>
    <row r="2385" spans="4:4" x14ac:dyDescent="0.25">
      <c r="D2385" s="38"/>
    </row>
    <row r="2386" spans="4:4" x14ac:dyDescent="0.25">
      <c r="D2386" s="38"/>
    </row>
    <row r="2387" spans="4:4" x14ac:dyDescent="0.25">
      <c r="D2387" s="38"/>
    </row>
    <row r="2388" spans="4:4" x14ac:dyDescent="0.25">
      <c r="D2388" s="38"/>
    </row>
    <row r="2389" spans="4:4" x14ac:dyDescent="0.25">
      <c r="D2389" s="38"/>
    </row>
    <row r="2390" spans="4:4" x14ac:dyDescent="0.25">
      <c r="D2390" s="38"/>
    </row>
    <row r="2391" spans="4:4" x14ac:dyDescent="0.25">
      <c r="D2391" s="38"/>
    </row>
    <row r="2392" spans="4:4" x14ac:dyDescent="0.25">
      <c r="D2392" s="38"/>
    </row>
    <row r="2393" spans="4:4" x14ac:dyDescent="0.25">
      <c r="D2393" s="38"/>
    </row>
    <row r="2394" spans="4:4" x14ac:dyDescent="0.25">
      <c r="D2394" s="38"/>
    </row>
    <row r="2395" spans="4:4" x14ac:dyDescent="0.25">
      <c r="D2395" s="38"/>
    </row>
    <row r="2396" spans="4:4" x14ac:dyDescent="0.25">
      <c r="D2396" s="38"/>
    </row>
    <row r="2397" spans="4:4" x14ac:dyDescent="0.25">
      <c r="D2397" s="38"/>
    </row>
    <row r="2398" spans="4:4" x14ac:dyDescent="0.25">
      <c r="D2398" s="38"/>
    </row>
    <row r="2399" spans="4:4" x14ac:dyDescent="0.25">
      <c r="D2399" s="38"/>
    </row>
    <row r="2400" spans="4:4" x14ac:dyDescent="0.25">
      <c r="D2400" s="38"/>
    </row>
    <row r="2401" spans="4:4" x14ac:dyDescent="0.25">
      <c r="D2401" s="38"/>
    </row>
    <row r="2402" spans="4:4" x14ac:dyDescent="0.25">
      <c r="D2402" s="38"/>
    </row>
    <row r="2403" spans="4:4" x14ac:dyDescent="0.25">
      <c r="D2403" s="38"/>
    </row>
    <row r="2404" spans="4:4" x14ac:dyDescent="0.25">
      <c r="D2404" s="38"/>
    </row>
    <row r="2405" spans="4:4" x14ac:dyDescent="0.25">
      <c r="D2405" s="38"/>
    </row>
    <row r="2406" spans="4:4" x14ac:dyDescent="0.25">
      <c r="D2406" s="38"/>
    </row>
    <row r="2407" spans="4:4" x14ac:dyDescent="0.25">
      <c r="D2407" s="38"/>
    </row>
    <row r="2408" spans="4:4" x14ac:dyDescent="0.25">
      <c r="D2408" s="38"/>
    </row>
    <row r="2409" spans="4:4" x14ac:dyDescent="0.25">
      <c r="D2409" s="38"/>
    </row>
    <row r="2410" spans="4:4" x14ac:dyDescent="0.25">
      <c r="D2410" s="38"/>
    </row>
    <row r="2411" spans="4:4" x14ac:dyDescent="0.25">
      <c r="D2411" s="38"/>
    </row>
    <row r="2412" spans="4:4" x14ac:dyDescent="0.25">
      <c r="D2412" s="38"/>
    </row>
    <row r="2413" spans="4:4" x14ac:dyDescent="0.25">
      <c r="D2413" s="38"/>
    </row>
    <row r="2414" spans="4:4" x14ac:dyDescent="0.25">
      <c r="D2414" s="38"/>
    </row>
    <row r="2415" spans="4:4" x14ac:dyDescent="0.25">
      <c r="D2415" s="38"/>
    </row>
    <row r="2416" spans="4:4" x14ac:dyDescent="0.25">
      <c r="D2416" s="38"/>
    </row>
    <row r="2417" spans="4:4" x14ac:dyDescent="0.25">
      <c r="D2417" s="38"/>
    </row>
    <row r="2418" spans="4:4" x14ac:dyDescent="0.25">
      <c r="D2418" s="38"/>
    </row>
    <row r="2419" spans="4:4" x14ac:dyDescent="0.25">
      <c r="D2419" s="38"/>
    </row>
    <row r="2420" spans="4:4" x14ac:dyDescent="0.25">
      <c r="D2420" s="38"/>
    </row>
    <row r="2421" spans="4:4" x14ac:dyDescent="0.25">
      <c r="D2421" s="38"/>
    </row>
    <row r="2422" spans="4:4" x14ac:dyDescent="0.25">
      <c r="D2422" s="38"/>
    </row>
    <row r="2423" spans="4:4" x14ac:dyDescent="0.25">
      <c r="D2423" s="38"/>
    </row>
    <row r="2424" spans="4:4" x14ac:dyDescent="0.25">
      <c r="D2424" s="38"/>
    </row>
    <row r="2425" spans="4:4" x14ac:dyDescent="0.25">
      <c r="D2425" s="38"/>
    </row>
    <row r="2426" spans="4:4" x14ac:dyDescent="0.25">
      <c r="D2426" s="38"/>
    </row>
    <row r="2427" spans="4:4" x14ac:dyDescent="0.25">
      <c r="D2427" s="38"/>
    </row>
    <row r="2428" spans="4:4" x14ac:dyDescent="0.25">
      <c r="D2428" s="38"/>
    </row>
    <row r="2429" spans="4:4" x14ac:dyDescent="0.25">
      <c r="D2429" s="38"/>
    </row>
    <row r="2430" spans="4:4" x14ac:dyDescent="0.25">
      <c r="D2430" s="38"/>
    </row>
    <row r="2431" spans="4:4" x14ac:dyDescent="0.25">
      <c r="D2431" s="38"/>
    </row>
    <row r="2432" spans="4:4" x14ac:dyDescent="0.25">
      <c r="D2432" s="38"/>
    </row>
    <row r="2433" spans="4:4" x14ac:dyDescent="0.25">
      <c r="D2433" s="38"/>
    </row>
    <row r="2434" spans="4:4" x14ac:dyDescent="0.25">
      <c r="D2434" s="38"/>
    </row>
    <row r="2435" spans="4:4" x14ac:dyDescent="0.25">
      <c r="D2435" s="38"/>
    </row>
    <row r="2436" spans="4:4" x14ac:dyDescent="0.25">
      <c r="D2436" s="38"/>
    </row>
    <row r="2437" spans="4:4" x14ac:dyDescent="0.25">
      <c r="D2437" s="38"/>
    </row>
    <row r="2438" spans="4:4" x14ac:dyDescent="0.25">
      <c r="D2438" s="38"/>
    </row>
    <row r="2439" spans="4:4" x14ac:dyDescent="0.25">
      <c r="D2439" s="38"/>
    </row>
    <row r="2440" spans="4:4" x14ac:dyDescent="0.25">
      <c r="D2440" s="38"/>
    </row>
    <row r="2441" spans="4:4" x14ac:dyDescent="0.25">
      <c r="D2441" s="38"/>
    </row>
    <row r="2442" spans="4:4" x14ac:dyDescent="0.25">
      <c r="D2442" s="38"/>
    </row>
    <row r="2443" spans="4:4" x14ac:dyDescent="0.25">
      <c r="D2443" s="38"/>
    </row>
    <row r="2444" spans="4:4" x14ac:dyDescent="0.25">
      <c r="D2444" s="38"/>
    </row>
    <row r="2445" spans="4:4" x14ac:dyDescent="0.25">
      <c r="D2445" s="38"/>
    </row>
    <row r="2446" spans="4:4" x14ac:dyDescent="0.25">
      <c r="D2446" s="38"/>
    </row>
    <row r="2447" spans="4:4" x14ac:dyDescent="0.25">
      <c r="D2447" s="38"/>
    </row>
    <row r="2448" spans="4:4" x14ac:dyDescent="0.25">
      <c r="D2448" s="38"/>
    </row>
    <row r="2449" spans="4:4" x14ac:dyDescent="0.25">
      <c r="D2449" s="38"/>
    </row>
    <row r="2450" spans="4:4" x14ac:dyDescent="0.25">
      <c r="D2450" s="38"/>
    </row>
    <row r="2451" spans="4:4" x14ac:dyDescent="0.25">
      <c r="D2451" s="38"/>
    </row>
    <row r="2452" spans="4:4" x14ac:dyDescent="0.25">
      <c r="D2452" s="38"/>
    </row>
    <row r="2453" spans="4:4" x14ac:dyDescent="0.25">
      <c r="D2453" s="38"/>
    </row>
    <row r="2454" spans="4:4" x14ac:dyDescent="0.25">
      <c r="D2454" s="38"/>
    </row>
    <row r="2455" spans="4:4" x14ac:dyDescent="0.25">
      <c r="D2455" s="38"/>
    </row>
    <row r="2456" spans="4:4" x14ac:dyDescent="0.25">
      <c r="D2456" s="38"/>
    </row>
    <row r="2457" spans="4:4" x14ac:dyDescent="0.25">
      <c r="D2457" s="38"/>
    </row>
    <row r="2458" spans="4:4" x14ac:dyDescent="0.25">
      <c r="D2458" s="38"/>
    </row>
    <row r="2459" spans="4:4" x14ac:dyDescent="0.25">
      <c r="D2459" s="38"/>
    </row>
    <row r="2460" spans="4:4" x14ac:dyDescent="0.25">
      <c r="D2460" s="38"/>
    </row>
    <row r="2461" spans="4:4" x14ac:dyDescent="0.25">
      <c r="D2461" s="38"/>
    </row>
    <row r="2462" spans="4:4" x14ac:dyDescent="0.25">
      <c r="D2462" s="38"/>
    </row>
    <row r="2463" spans="4:4" x14ac:dyDescent="0.25">
      <c r="D2463" s="38"/>
    </row>
    <row r="2464" spans="4:4" x14ac:dyDescent="0.25">
      <c r="D2464" s="38"/>
    </row>
    <row r="2465" spans="4:4" x14ac:dyDescent="0.25">
      <c r="D2465" s="38"/>
    </row>
    <row r="2466" spans="4:4" x14ac:dyDescent="0.25">
      <c r="D2466" s="38"/>
    </row>
    <row r="2467" spans="4:4" x14ac:dyDescent="0.25">
      <c r="D2467" s="38"/>
    </row>
    <row r="2468" spans="4:4" x14ac:dyDescent="0.25">
      <c r="D2468" s="38"/>
    </row>
    <row r="2469" spans="4:4" x14ac:dyDescent="0.25">
      <c r="D2469" s="38"/>
    </row>
    <row r="2470" spans="4:4" x14ac:dyDescent="0.25">
      <c r="D2470" s="38"/>
    </row>
    <row r="2471" spans="4:4" x14ac:dyDescent="0.25">
      <c r="D2471" s="38"/>
    </row>
    <row r="2472" spans="4:4" x14ac:dyDescent="0.25">
      <c r="D2472" s="38"/>
    </row>
    <row r="2473" spans="4:4" x14ac:dyDescent="0.25">
      <c r="D2473" s="38"/>
    </row>
    <row r="2474" spans="4:4" x14ac:dyDescent="0.25">
      <c r="D2474" s="38"/>
    </row>
    <row r="2475" spans="4:4" x14ac:dyDescent="0.25">
      <c r="D2475" s="38"/>
    </row>
    <row r="2476" spans="4:4" x14ac:dyDescent="0.25">
      <c r="D2476" s="38"/>
    </row>
    <row r="2477" spans="4:4" x14ac:dyDescent="0.25">
      <c r="D2477" s="38"/>
    </row>
    <row r="2478" spans="4:4" x14ac:dyDescent="0.25">
      <c r="D2478" s="38"/>
    </row>
    <row r="2479" spans="4:4" x14ac:dyDescent="0.25">
      <c r="D2479" s="38"/>
    </row>
    <row r="2480" spans="4:4" x14ac:dyDescent="0.25">
      <c r="D2480" s="38"/>
    </row>
    <row r="2481" spans="4:4" x14ac:dyDescent="0.25">
      <c r="D2481" s="38"/>
    </row>
    <row r="2482" spans="4:4" x14ac:dyDescent="0.25">
      <c r="D2482" s="38"/>
    </row>
    <row r="2483" spans="4:4" x14ac:dyDescent="0.25">
      <c r="D2483" s="38"/>
    </row>
    <row r="2484" spans="4:4" x14ac:dyDescent="0.25">
      <c r="D2484" s="38"/>
    </row>
    <row r="2485" spans="4:4" x14ac:dyDescent="0.25">
      <c r="D2485" s="38"/>
    </row>
    <row r="2486" spans="4:4" x14ac:dyDescent="0.25">
      <c r="D2486" s="38"/>
    </row>
    <row r="2487" spans="4:4" x14ac:dyDescent="0.25">
      <c r="D2487" s="38"/>
    </row>
    <row r="2488" spans="4:4" x14ac:dyDescent="0.25">
      <c r="D2488" s="38"/>
    </row>
    <row r="2489" spans="4:4" x14ac:dyDescent="0.25">
      <c r="D2489" s="38"/>
    </row>
    <row r="2490" spans="4:4" x14ac:dyDescent="0.25">
      <c r="D2490" s="38"/>
    </row>
    <row r="2491" spans="4:4" x14ac:dyDescent="0.25">
      <c r="D2491" s="38"/>
    </row>
    <row r="2492" spans="4:4" x14ac:dyDescent="0.25">
      <c r="D2492" s="38"/>
    </row>
    <row r="2493" spans="4:4" x14ac:dyDescent="0.25">
      <c r="D2493" s="38"/>
    </row>
    <row r="2494" spans="4:4" x14ac:dyDescent="0.25">
      <c r="D2494" s="38"/>
    </row>
    <row r="2495" spans="4:4" x14ac:dyDescent="0.25">
      <c r="D2495" s="38"/>
    </row>
    <row r="2496" spans="4:4" x14ac:dyDescent="0.25">
      <c r="D2496" s="38"/>
    </row>
    <row r="2497" spans="4:4" x14ac:dyDescent="0.25">
      <c r="D2497" s="38"/>
    </row>
    <row r="2498" spans="4:4" x14ac:dyDescent="0.25">
      <c r="D2498" s="38"/>
    </row>
    <row r="2499" spans="4:4" x14ac:dyDescent="0.25">
      <c r="D2499" s="38"/>
    </row>
    <row r="2500" spans="4:4" x14ac:dyDescent="0.25">
      <c r="D2500" s="38"/>
    </row>
    <row r="2501" spans="4:4" x14ac:dyDescent="0.25">
      <c r="D2501" s="38"/>
    </row>
    <row r="2502" spans="4:4" x14ac:dyDescent="0.25">
      <c r="D2502" s="38"/>
    </row>
    <row r="2503" spans="4:4" x14ac:dyDescent="0.25">
      <c r="D2503" s="38"/>
    </row>
    <row r="2504" spans="4:4" x14ac:dyDescent="0.25">
      <c r="D2504" s="38"/>
    </row>
    <row r="2505" spans="4:4" x14ac:dyDescent="0.25">
      <c r="D2505" s="38"/>
    </row>
    <row r="2506" spans="4:4" x14ac:dyDescent="0.25">
      <c r="D2506" s="38"/>
    </row>
    <row r="2507" spans="4:4" x14ac:dyDescent="0.25">
      <c r="D2507" s="38"/>
    </row>
    <row r="2508" spans="4:4" x14ac:dyDescent="0.25">
      <c r="D2508" s="38"/>
    </row>
    <row r="2509" spans="4:4" x14ac:dyDescent="0.25">
      <c r="D2509" s="38"/>
    </row>
    <row r="2510" spans="4:4" x14ac:dyDescent="0.25">
      <c r="D2510" s="38"/>
    </row>
    <row r="2511" spans="4:4" x14ac:dyDescent="0.25">
      <c r="D2511" s="38"/>
    </row>
    <row r="2512" spans="4:4" x14ac:dyDescent="0.25">
      <c r="D2512" s="38"/>
    </row>
    <row r="2513" spans="4:4" x14ac:dyDescent="0.25">
      <c r="D2513" s="38"/>
    </row>
    <row r="2514" spans="4:4" x14ac:dyDescent="0.25">
      <c r="D2514" s="38"/>
    </row>
    <row r="2515" spans="4:4" x14ac:dyDescent="0.25">
      <c r="D2515" s="38"/>
    </row>
    <row r="2516" spans="4:4" x14ac:dyDescent="0.25">
      <c r="D2516" s="38"/>
    </row>
    <row r="2517" spans="4:4" x14ac:dyDescent="0.25">
      <c r="D2517" s="38"/>
    </row>
    <row r="2518" spans="4:4" x14ac:dyDescent="0.25">
      <c r="D2518" s="38"/>
    </row>
    <row r="2519" spans="4:4" x14ac:dyDescent="0.25">
      <c r="D2519" s="38"/>
    </row>
    <row r="2520" spans="4:4" x14ac:dyDescent="0.25">
      <c r="D2520" s="38"/>
    </row>
    <row r="2521" spans="4:4" x14ac:dyDescent="0.25">
      <c r="D2521" s="38"/>
    </row>
    <row r="2522" spans="4:4" x14ac:dyDescent="0.25">
      <c r="D2522" s="38"/>
    </row>
    <row r="2523" spans="4:4" x14ac:dyDescent="0.25">
      <c r="D2523" s="38"/>
    </row>
    <row r="2524" spans="4:4" x14ac:dyDescent="0.25">
      <c r="D2524" s="38"/>
    </row>
    <row r="2525" spans="4:4" x14ac:dyDescent="0.25">
      <c r="D2525" s="38"/>
    </row>
    <row r="2526" spans="4:4" x14ac:dyDescent="0.25">
      <c r="D2526" s="38"/>
    </row>
    <row r="2527" spans="4:4" x14ac:dyDescent="0.25">
      <c r="D2527" s="38"/>
    </row>
    <row r="2528" spans="4:4" x14ac:dyDescent="0.25">
      <c r="D2528" s="38"/>
    </row>
    <row r="2529" spans="4:4" x14ac:dyDescent="0.25">
      <c r="D2529" s="38"/>
    </row>
    <row r="2530" spans="4:4" x14ac:dyDescent="0.25">
      <c r="D2530" s="38"/>
    </row>
    <row r="2531" spans="4:4" x14ac:dyDescent="0.25">
      <c r="D2531" s="38"/>
    </row>
    <row r="2532" spans="4:4" x14ac:dyDescent="0.25">
      <c r="D2532" s="38"/>
    </row>
    <row r="2533" spans="4:4" x14ac:dyDescent="0.25">
      <c r="D2533" s="38"/>
    </row>
    <row r="2534" spans="4:4" x14ac:dyDescent="0.25">
      <c r="D2534" s="38"/>
    </row>
    <row r="2535" spans="4:4" x14ac:dyDescent="0.25">
      <c r="D2535" s="38"/>
    </row>
    <row r="2536" spans="4:4" x14ac:dyDescent="0.25">
      <c r="D2536" s="38"/>
    </row>
    <row r="2537" spans="4:4" x14ac:dyDescent="0.25">
      <c r="D2537" s="38"/>
    </row>
    <row r="2538" spans="4:4" x14ac:dyDescent="0.25">
      <c r="D2538" s="38"/>
    </row>
    <row r="2539" spans="4:4" x14ac:dyDescent="0.25">
      <c r="D2539" s="38"/>
    </row>
    <row r="2540" spans="4:4" x14ac:dyDescent="0.25">
      <c r="D2540" s="38"/>
    </row>
    <row r="2541" spans="4:4" x14ac:dyDescent="0.25">
      <c r="D2541" s="38"/>
    </row>
    <row r="2542" spans="4:4" x14ac:dyDescent="0.25">
      <c r="D2542" s="38"/>
    </row>
    <row r="2543" spans="4:4" x14ac:dyDescent="0.25">
      <c r="D2543" s="38"/>
    </row>
    <row r="2544" spans="4:4" x14ac:dyDescent="0.25">
      <c r="D2544" s="38"/>
    </row>
    <row r="2545" spans="4:4" x14ac:dyDescent="0.25">
      <c r="D2545" s="38"/>
    </row>
    <row r="2546" spans="4:4" x14ac:dyDescent="0.25">
      <c r="D2546" s="38"/>
    </row>
    <row r="2547" spans="4:4" x14ac:dyDescent="0.25">
      <c r="D2547" s="38"/>
    </row>
    <row r="2548" spans="4:4" x14ac:dyDescent="0.25">
      <c r="D2548" s="38"/>
    </row>
    <row r="2549" spans="4:4" x14ac:dyDescent="0.25">
      <c r="D2549" s="38"/>
    </row>
    <row r="2550" spans="4:4" x14ac:dyDescent="0.25">
      <c r="D2550" s="38"/>
    </row>
    <row r="2551" spans="4:4" x14ac:dyDescent="0.25">
      <c r="D2551" s="38"/>
    </row>
    <row r="2552" spans="4:4" x14ac:dyDescent="0.25">
      <c r="D2552" s="38"/>
    </row>
    <row r="2553" spans="4:4" x14ac:dyDescent="0.25">
      <c r="D2553" s="38"/>
    </row>
    <row r="2554" spans="4:4" x14ac:dyDescent="0.25">
      <c r="D2554" s="38"/>
    </row>
    <row r="2555" spans="4:4" x14ac:dyDescent="0.25">
      <c r="D2555" s="38"/>
    </row>
    <row r="2556" spans="4:4" x14ac:dyDescent="0.25">
      <c r="D2556" s="38"/>
    </row>
    <row r="2557" spans="4:4" x14ac:dyDescent="0.25">
      <c r="D2557" s="38"/>
    </row>
    <row r="2558" spans="4:4" x14ac:dyDescent="0.25">
      <c r="D2558" s="38"/>
    </row>
    <row r="2559" spans="4:4" x14ac:dyDescent="0.25">
      <c r="D2559" s="38"/>
    </row>
    <row r="2560" spans="4:4" x14ac:dyDescent="0.25">
      <c r="D2560" s="38"/>
    </row>
    <row r="2561" spans="4:4" x14ac:dyDescent="0.25">
      <c r="D2561" s="38"/>
    </row>
    <row r="2562" spans="4:4" x14ac:dyDescent="0.25">
      <c r="D2562" s="38"/>
    </row>
    <row r="2563" spans="4:4" x14ac:dyDescent="0.25">
      <c r="D2563" s="38"/>
    </row>
    <row r="2564" spans="4:4" x14ac:dyDescent="0.25">
      <c r="D2564" s="38"/>
    </row>
    <row r="2565" spans="4:4" x14ac:dyDescent="0.25">
      <c r="D2565" s="38"/>
    </row>
    <row r="2566" spans="4:4" x14ac:dyDescent="0.25">
      <c r="D2566" s="38"/>
    </row>
    <row r="2567" spans="4:4" x14ac:dyDescent="0.25">
      <c r="D2567" s="38"/>
    </row>
    <row r="2568" spans="4:4" x14ac:dyDescent="0.25">
      <c r="D2568" s="38"/>
    </row>
    <row r="2569" spans="4:4" x14ac:dyDescent="0.25">
      <c r="D2569" s="38"/>
    </row>
    <row r="2570" spans="4:4" x14ac:dyDescent="0.25">
      <c r="D2570" s="38"/>
    </row>
    <row r="2571" spans="4:4" x14ac:dyDescent="0.25">
      <c r="D2571" s="38"/>
    </row>
    <row r="2572" spans="4:4" x14ac:dyDescent="0.25">
      <c r="D2572" s="38"/>
    </row>
    <row r="2573" spans="4:4" x14ac:dyDescent="0.25">
      <c r="D2573" s="38"/>
    </row>
    <row r="2574" spans="4:4" x14ac:dyDescent="0.25">
      <c r="D2574" s="38"/>
    </row>
    <row r="2575" spans="4:4" x14ac:dyDescent="0.25">
      <c r="D2575" s="38"/>
    </row>
    <row r="2576" spans="4:4" x14ac:dyDescent="0.25">
      <c r="D2576" s="38"/>
    </row>
    <row r="2577" spans="4:4" x14ac:dyDescent="0.25">
      <c r="D2577" s="38"/>
    </row>
    <row r="2578" spans="4:4" x14ac:dyDescent="0.25">
      <c r="D2578" s="38"/>
    </row>
    <row r="2579" spans="4:4" x14ac:dyDescent="0.25">
      <c r="D2579" s="38"/>
    </row>
    <row r="2580" spans="4:4" x14ac:dyDescent="0.25">
      <c r="D2580" s="38"/>
    </row>
    <row r="2581" spans="4:4" x14ac:dyDescent="0.25">
      <c r="D2581" s="38"/>
    </row>
    <row r="2582" spans="4:4" x14ac:dyDescent="0.25">
      <c r="D2582" s="38"/>
    </row>
    <row r="2583" spans="4:4" x14ac:dyDescent="0.25">
      <c r="D2583" s="38"/>
    </row>
    <row r="2584" spans="4:4" x14ac:dyDescent="0.25">
      <c r="D2584" s="38"/>
    </row>
    <row r="2585" spans="4:4" x14ac:dyDescent="0.25">
      <c r="D2585" s="38"/>
    </row>
    <row r="2586" spans="4:4" x14ac:dyDescent="0.25">
      <c r="D2586" s="38"/>
    </row>
    <row r="2587" spans="4:4" x14ac:dyDescent="0.25">
      <c r="D2587" s="38"/>
    </row>
    <row r="2588" spans="4:4" x14ac:dyDescent="0.25">
      <c r="D2588" s="38"/>
    </row>
    <row r="2589" spans="4:4" x14ac:dyDescent="0.25">
      <c r="D2589" s="38"/>
    </row>
    <row r="2590" spans="4:4" x14ac:dyDescent="0.25">
      <c r="D2590" s="38"/>
    </row>
    <row r="2591" spans="4:4" x14ac:dyDescent="0.25">
      <c r="D2591" s="38"/>
    </row>
    <row r="2592" spans="4:4" x14ac:dyDescent="0.25">
      <c r="D2592" s="38"/>
    </row>
    <row r="2593" spans="4:4" x14ac:dyDescent="0.25">
      <c r="D2593" s="38"/>
    </row>
    <row r="2594" spans="4:4" x14ac:dyDescent="0.25">
      <c r="D2594" s="38"/>
    </row>
    <row r="2595" spans="4:4" x14ac:dyDescent="0.25">
      <c r="D2595" s="38"/>
    </row>
    <row r="2596" spans="4:4" x14ac:dyDescent="0.25">
      <c r="D2596" s="38"/>
    </row>
    <row r="2597" spans="4:4" x14ac:dyDescent="0.25">
      <c r="D2597" s="38"/>
    </row>
    <row r="2598" spans="4:4" x14ac:dyDescent="0.25">
      <c r="D2598" s="38"/>
    </row>
    <row r="2599" spans="4:4" x14ac:dyDescent="0.25">
      <c r="D2599" s="38"/>
    </row>
    <row r="2600" spans="4:4" x14ac:dyDescent="0.25">
      <c r="D2600" s="38"/>
    </row>
    <row r="2601" spans="4:4" x14ac:dyDescent="0.25">
      <c r="D2601" s="38"/>
    </row>
    <row r="2602" spans="4:4" x14ac:dyDescent="0.25">
      <c r="D2602" s="38"/>
    </row>
    <row r="2603" spans="4:4" x14ac:dyDescent="0.25">
      <c r="D2603" s="38"/>
    </row>
    <row r="2604" spans="4:4" x14ac:dyDescent="0.25">
      <c r="D2604" s="38"/>
    </row>
    <row r="2605" spans="4:4" x14ac:dyDescent="0.25">
      <c r="D2605" s="38"/>
    </row>
    <row r="2606" spans="4:4" x14ac:dyDescent="0.25">
      <c r="D2606" s="38"/>
    </row>
    <row r="2607" spans="4:4" x14ac:dyDescent="0.25">
      <c r="D2607" s="38"/>
    </row>
    <row r="2608" spans="4:4" x14ac:dyDescent="0.25">
      <c r="D2608" s="38"/>
    </row>
    <row r="2609" spans="4:4" x14ac:dyDescent="0.25">
      <c r="D2609" s="38"/>
    </row>
    <row r="2610" spans="4:4" x14ac:dyDescent="0.25">
      <c r="D2610" s="38"/>
    </row>
    <row r="2611" spans="4:4" x14ac:dyDescent="0.25">
      <c r="D2611" s="38"/>
    </row>
    <row r="2612" spans="4:4" x14ac:dyDescent="0.25">
      <c r="D2612" s="38"/>
    </row>
    <row r="2613" spans="4:4" x14ac:dyDescent="0.25">
      <c r="D2613" s="38"/>
    </row>
    <row r="2614" spans="4:4" x14ac:dyDescent="0.25">
      <c r="D2614" s="38"/>
    </row>
    <row r="2615" spans="4:4" x14ac:dyDescent="0.25">
      <c r="D2615" s="38"/>
    </row>
    <row r="2616" spans="4:4" x14ac:dyDescent="0.25">
      <c r="D2616" s="38"/>
    </row>
    <row r="2617" spans="4:4" x14ac:dyDescent="0.25">
      <c r="D2617" s="38"/>
    </row>
    <row r="2618" spans="4:4" x14ac:dyDescent="0.25">
      <c r="D2618" s="38"/>
    </row>
    <row r="2619" spans="4:4" x14ac:dyDescent="0.25">
      <c r="D2619" s="38"/>
    </row>
    <row r="2620" spans="4:4" x14ac:dyDescent="0.25">
      <c r="D2620" s="38"/>
    </row>
    <row r="2621" spans="4:4" x14ac:dyDescent="0.25">
      <c r="D2621" s="38"/>
    </row>
    <row r="2622" spans="4:4" x14ac:dyDescent="0.25">
      <c r="D2622" s="38"/>
    </row>
    <row r="2623" spans="4:4" x14ac:dyDescent="0.25">
      <c r="D2623" s="38"/>
    </row>
    <row r="2624" spans="4:4" x14ac:dyDescent="0.25">
      <c r="D2624" s="38"/>
    </row>
    <row r="2625" spans="4:4" x14ac:dyDescent="0.25">
      <c r="D2625" s="38"/>
    </row>
    <row r="2626" spans="4:4" x14ac:dyDescent="0.25">
      <c r="D2626" s="38"/>
    </row>
    <row r="2627" spans="4:4" x14ac:dyDescent="0.25">
      <c r="D2627" s="38"/>
    </row>
    <row r="2628" spans="4:4" x14ac:dyDescent="0.25">
      <c r="D2628" s="38"/>
    </row>
    <row r="2629" spans="4:4" x14ac:dyDescent="0.25">
      <c r="D2629" s="38"/>
    </row>
    <row r="2630" spans="4:4" x14ac:dyDescent="0.25">
      <c r="D2630" s="38"/>
    </row>
    <row r="2631" spans="4:4" x14ac:dyDescent="0.25">
      <c r="D2631" s="38"/>
    </row>
    <row r="2632" spans="4:4" x14ac:dyDescent="0.25">
      <c r="D2632" s="38"/>
    </row>
    <row r="2633" spans="4:4" x14ac:dyDescent="0.25">
      <c r="D2633" s="38"/>
    </row>
    <row r="2634" spans="4:4" x14ac:dyDescent="0.25">
      <c r="D2634" s="38"/>
    </row>
    <row r="2635" spans="4:4" x14ac:dyDescent="0.25">
      <c r="D2635" s="38"/>
    </row>
    <row r="2636" spans="4:4" x14ac:dyDescent="0.25">
      <c r="D2636" s="38"/>
    </row>
    <row r="2637" spans="4:4" x14ac:dyDescent="0.25">
      <c r="D2637" s="38"/>
    </row>
    <row r="2638" spans="4:4" x14ac:dyDescent="0.25">
      <c r="D2638" s="38"/>
    </row>
    <row r="2639" spans="4:4" x14ac:dyDescent="0.25">
      <c r="D2639" s="38"/>
    </row>
    <row r="2640" spans="4:4" x14ac:dyDescent="0.25">
      <c r="D2640" s="38"/>
    </row>
    <row r="2641" spans="4:4" x14ac:dyDescent="0.25">
      <c r="D2641" s="38"/>
    </row>
    <row r="2642" spans="4:4" x14ac:dyDescent="0.25">
      <c r="D2642" s="38"/>
    </row>
    <row r="2643" spans="4:4" x14ac:dyDescent="0.25">
      <c r="D2643" s="38"/>
    </row>
    <row r="2644" spans="4:4" x14ac:dyDescent="0.25">
      <c r="D2644" s="38"/>
    </row>
    <row r="2645" spans="4:4" x14ac:dyDescent="0.25">
      <c r="D2645" s="38"/>
    </row>
    <row r="2646" spans="4:4" x14ac:dyDescent="0.25">
      <c r="D2646" s="38"/>
    </row>
    <row r="2647" spans="4:4" x14ac:dyDescent="0.25">
      <c r="D2647" s="38"/>
    </row>
    <row r="2648" spans="4:4" x14ac:dyDescent="0.25">
      <c r="D2648" s="38"/>
    </row>
    <row r="2649" spans="4:4" x14ac:dyDescent="0.25">
      <c r="D2649" s="38"/>
    </row>
    <row r="2650" spans="4:4" x14ac:dyDescent="0.25">
      <c r="D2650" s="38"/>
    </row>
    <row r="2651" spans="4:4" x14ac:dyDescent="0.25">
      <c r="D2651" s="38"/>
    </row>
    <row r="2652" spans="4:4" x14ac:dyDescent="0.25">
      <c r="D2652" s="38"/>
    </row>
    <row r="2653" spans="4:4" x14ac:dyDescent="0.25">
      <c r="D2653" s="38"/>
    </row>
    <row r="2654" spans="4:4" x14ac:dyDescent="0.25">
      <c r="D2654" s="38"/>
    </row>
    <row r="2655" spans="4:4" x14ac:dyDescent="0.25">
      <c r="D2655" s="38"/>
    </row>
    <row r="2656" spans="4:4" x14ac:dyDescent="0.25">
      <c r="D2656" s="38"/>
    </row>
    <row r="2657" spans="4:4" x14ac:dyDescent="0.25">
      <c r="D2657" s="38"/>
    </row>
    <row r="2658" spans="4:4" x14ac:dyDescent="0.25">
      <c r="D2658" s="38"/>
    </row>
    <row r="2659" spans="4:4" x14ac:dyDescent="0.25">
      <c r="D2659" s="38"/>
    </row>
    <row r="2660" spans="4:4" x14ac:dyDescent="0.25">
      <c r="D2660" s="38"/>
    </row>
    <row r="2661" spans="4:4" x14ac:dyDescent="0.25">
      <c r="D2661" s="38"/>
    </row>
    <row r="2662" spans="4:4" x14ac:dyDescent="0.25">
      <c r="D2662" s="38"/>
    </row>
    <row r="2663" spans="4:4" x14ac:dyDescent="0.25">
      <c r="D2663" s="38"/>
    </row>
    <row r="2664" spans="4:4" x14ac:dyDescent="0.25">
      <c r="D2664" s="38"/>
    </row>
    <row r="2665" spans="4:4" x14ac:dyDescent="0.25">
      <c r="D2665" s="38"/>
    </row>
    <row r="2666" spans="4:4" x14ac:dyDescent="0.25">
      <c r="D2666" s="38"/>
    </row>
    <row r="2667" spans="4:4" x14ac:dyDescent="0.25">
      <c r="D2667" s="38"/>
    </row>
    <row r="2668" spans="4:4" x14ac:dyDescent="0.25">
      <c r="D2668" s="38"/>
    </row>
    <row r="2669" spans="4:4" x14ac:dyDescent="0.25">
      <c r="D2669" s="38"/>
    </row>
    <row r="2670" spans="4:4" x14ac:dyDescent="0.25">
      <c r="D2670" s="38"/>
    </row>
    <row r="2671" spans="4:4" x14ac:dyDescent="0.25">
      <c r="D2671" s="38"/>
    </row>
    <row r="2672" spans="4:4" x14ac:dyDescent="0.25">
      <c r="D2672" s="38"/>
    </row>
    <row r="2673" spans="4:4" x14ac:dyDescent="0.25">
      <c r="D2673" s="38"/>
    </row>
    <row r="2674" spans="4:4" x14ac:dyDescent="0.25">
      <c r="D2674" s="38"/>
    </row>
    <row r="2675" spans="4:4" x14ac:dyDescent="0.25">
      <c r="D2675" s="38"/>
    </row>
    <row r="2676" spans="4:4" x14ac:dyDescent="0.25">
      <c r="D2676" s="38"/>
    </row>
    <row r="2677" spans="4:4" x14ac:dyDescent="0.25">
      <c r="D2677" s="38"/>
    </row>
    <row r="2678" spans="4:4" x14ac:dyDescent="0.25">
      <c r="D2678" s="38"/>
    </row>
    <row r="2679" spans="4:4" x14ac:dyDescent="0.25">
      <c r="D2679" s="38"/>
    </row>
    <row r="2680" spans="4:4" x14ac:dyDescent="0.25">
      <c r="D2680" s="38"/>
    </row>
    <row r="2681" spans="4:4" x14ac:dyDescent="0.25">
      <c r="D2681" s="38"/>
    </row>
    <row r="2682" spans="4:4" x14ac:dyDescent="0.25">
      <c r="D2682" s="38"/>
    </row>
    <row r="2683" spans="4:4" x14ac:dyDescent="0.25">
      <c r="D2683" s="38"/>
    </row>
    <row r="2684" spans="4:4" x14ac:dyDescent="0.25">
      <c r="D2684" s="38"/>
    </row>
    <row r="2685" spans="4:4" x14ac:dyDescent="0.25">
      <c r="D2685" s="38"/>
    </row>
    <row r="2686" spans="4:4" x14ac:dyDescent="0.25">
      <c r="D2686" s="38"/>
    </row>
    <row r="2687" spans="4:4" x14ac:dyDescent="0.25">
      <c r="D2687" s="38"/>
    </row>
    <row r="2688" spans="4:4" x14ac:dyDescent="0.25">
      <c r="D2688" s="38"/>
    </row>
    <row r="2689" spans="4:4" x14ac:dyDescent="0.25">
      <c r="D2689" s="38"/>
    </row>
    <row r="2690" spans="4:4" x14ac:dyDescent="0.25">
      <c r="D2690" s="38"/>
    </row>
    <row r="2691" spans="4:4" x14ac:dyDescent="0.25">
      <c r="D2691" s="38"/>
    </row>
    <row r="2692" spans="4:4" x14ac:dyDescent="0.25">
      <c r="D2692" s="38"/>
    </row>
    <row r="2693" spans="4:4" x14ac:dyDescent="0.25">
      <c r="D2693" s="38"/>
    </row>
    <row r="2694" spans="4:4" x14ac:dyDescent="0.25">
      <c r="D2694" s="38"/>
    </row>
    <row r="2695" spans="4:4" x14ac:dyDescent="0.25">
      <c r="D2695" s="38"/>
    </row>
    <row r="2696" spans="4:4" x14ac:dyDescent="0.25">
      <c r="D2696" s="38"/>
    </row>
    <row r="2697" spans="4:4" x14ac:dyDescent="0.25">
      <c r="D2697" s="38"/>
    </row>
    <row r="2698" spans="4:4" x14ac:dyDescent="0.25">
      <c r="D2698" s="38"/>
    </row>
    <row r="2699" spans="4:4" x14ac:dyDescent="0.25">
      <c r="D2699" s="38"/>
    </row>
    <row r="2700" spans="4:4" x14ac:dyDescent="0.25">
      <c r="D2700" s="38"/>
    </row>
    <row r="2701" spans="4:4" x14ac:dyDescent="0.25">
      <c r="D2701" s="38"/>
    </row>
    <row r="2702" spans="4:4" x14ac:dyDescent="0.25">
      <c r="D2702" s="38"/>
    </row>
    <row r="2703" spans="4:4" x14ac:dyDescent="0.25">
      <c r="D2703" s="38"/>
    </row>
    <row r="2704" spans="4:4" x14ac:dyDescent="0.25">
      <c r="D2704" s="38"/>
    </row>
    <row r="2705" spans="4:4" x14ac:dyDescent="0.25">
      <c r="D2705" s="38"/>
    </row>
    <row r="2706" spans="4:4" x14ac:dyDescent="0.25">
      <c r="D2706" s="38"/>
    </row>
    <row r="2707" spans="4:4" x14ac:dyDescent="0.25">
      <c r="D2707" s="38"/>
    </row>
    <row r="2708" spans="4:4" x14ac:dyDescent="0.25">
      <c r="D2708" s="38"/>
    </row>
    <row r="2709" spans="4:4" x14ac:dyDescent="0.25">
      <c r="D2709" s="38"/>
    </row>
    <row r="2710" spans="4:4" x14ac:dyDescent="0.25">
      <c r="D2710" s="38"/>
    </row>
    <row r="2711" spans="4:4" x14ac:dyDescent="0.25">
      <c r="D2711" s="38"/>
    </row>
    <row r="2712" spans="4:4" x14ac:dyDescent="0.25">
      <c r="D2712" s="38"/>
    </row>
    <row r="2713" spans="4:4" x14ac:dyDescent="0.25">
      <c r="D2713" s="38"/>
    </row>
    <row r="2714" spans="4:4" x14ac:dyDescent="0.25">
      <c r="D2714" s="38"/>
    </row>
    <row r="2715" spans="4:4" x14ac:dyDescent="0.25">
      <c r="D2715" s="38"/>
    </row>
    <row r="2716" spans="4:4" x14ac:dyDescent="0.25">
      <c r="D2716" s="38"/>
    </row>
    <row r="2717" spans="4:4" x14ac:dyDescent="0.25">
      <c r="D2717" s="38"/>
    </row>
    <row r="2718" spans="4:4" x14ac:dyDescent="0.25">
      <c r="D2718" s="38"/>
    </row>
    <row r="2719" spans="4:4" x14ac:dyDescent="0.25">
      <c r="D2719" s="38"/>
    </row>
    <row r="2720" spans="4:4" x14ac:dyDescent="0.25">
      <c r="D2720" s="38"/>
    </row>
    <row r="2721" spans="4:4" x14ac:dyDescent="0.25">
      <c r="D2721" s="38"/>
    </row>
    <row r="2722" spans="4:4" x14ac:dyDescent="0.25">
      <c r="D2722" s="38"/>
    </row>
    <row r="2723" spans="4:4" x14ac:dyDescent="0.25">
      <c r="D2723" s="38"/>
    </row>
    <row r="2724" spans="4:4" x14ac:dyDescent="0.25">
      <c r="D2724" s="38"/>
    </row>
    <row r="2725" spans="4:4" x14ac:dyDescent="0.25">
      <c r="D2725" s="38"/>
    </row>
    <row r="2726" spans="4:4" x14ac:dyDescent="0.25">
      <c r="D2726" s="38"/>
    </row>
    <row r="2727" spans="4:4" x14ac:dyDescent="0.25">
      <c r="D2727" s="38"/>
    </row>
    <row r="2728" spans="4:4" x14ac:dyDescent="0.25">
      <c r="D2728" s="38"/>
    </row>
    <row r="2729" spans="4:4" x14ac:dyDescent="0.25">
      <c r="D2729" s="38"/>
    </row>
    <row r="2730" spans="4:4" x14ac:dyDescent="0.25">
      <c r="D2730" s="38"/>
    </row>
    <row r="2731" spans="4:4" x14ac:dyDescent="0.25">
      <c r="D2731" s="38"/>
    </row>
    <row r="2732" spans="4:4" x14ac:dyDescent="0.25">
      <c r="D2732" s="38"/>
    </row>
    <row r="2733" spans="4:4" x14ac:dyDescent="0.25">
      <c r="D2733" s="38"/>
    </row>
    <row r="2734" spans="4:4" x14ac:dyDescent="0.25">
      <c r="D2734" s="38"/>
    </row>
    <row r="2735" spans="4:4" x14ac:dyDescent="0.25">
      <c r="D2735" s="38"/>
    </row>
    <row r="2736" spans="4:4" x14ac:dyDescent="0.25">
      <c r="D2736" s="38"/>
    </row>
    <row r="2737" spans="4:4" x14ac:dyDescent="0.25">
      <c r="D2737" s="38"/>
    </row>
    <row r="2738" spans="4:4" x14ac:dyDescent="0.25">
      <c r="D2738" s="38"/>
    </row>
    <row r="2739" spans="4:4" x14ac:dyDescent="0.25">
      <c r="D2739" s="38"/>
    </row>
    <row r="2740" spans="4:4" x14ac:dyDescent="0.25">
      <c r="D2740" s="38"/>
    </row>
    <row r="2741" spans="4:4" x14ac:dyDescent="0.25">
      <c r="D2741" s="38"/>
    </row>
    <row r="2742" spans="4:4" x14ac:dyDescent="0.25">
      <c r="D2742" s="38"/>
    </row>
    <row r="2743" spans="4:4" x14ac:dyDescent="0.25">
      <c r="D2743" s="38"/>
    </row>
    <row r="2744" spans="4:4" x14ac:dyDescent="0.25">
      <c r="D2744" s="38"/>
    </row>
    <row r="2745" spans="4:4" x14ac:dyDescent="0.25">
      <c r="D2745" s="38"/>
    </row>
    <row r="2746" spans="4:4" x14ac:dyDescent="0.25">
      <c r="D2746" s="38"/>
    </row>
    <row r="2747" spans="4:4" x14ac:dyDescent="0.25">
      <c r="D2747" s="38"/>
    </row>
    <row r="2748" spans="4:4" x14ac:dyDescent="0.25">
      <c r="D2748" s="38"/>
    </row>
    <row r="2749" spans="4:4" x14ac:dyDescent="0.25">
      <c r="D2749" s="38"/>
    </row>
    <row r="2750" spans="4:4" x14ac:dyDescent="0.25">
      <c r="D2750" s="38"/>
    </row>
    <row r="2751" spans="4:4" x14ac:dyDescent="0.25">
      <c r="D2751" s="38"/>
    </row>
    <row r="2752" spans="4:4" x14ac:dyDescent="0.25">
      <c r="D2752" s="38"/>
    </row>
    <row r="2753" spans="4:4" x14ac:dyDescent="0.25">
      <c r="D2753" s="38"/>
    </row>
    <row r="2754" spans="4:4" x14ac:dyDescent="0.25">
      <c r="D2754" s="38"/>
    </row>
    <row r="2755" spans="4:4" x14ac:dyDescent="0.25">
      <c r="D2755" s="38"/>
    </row>
    <row r="2756" spans="4:4" x14ac:dyDescent="0.25">
      <c r="D2756" s="38"/>
    </row>
    <row r="2757" spans="4:4" x14ac:dyDescent="0.25">
      <c r="D2757" s="38"/>
    </row>
    <row r="2758" spans="4:4" x14ac:dyDescent="0.25">
      <c r="D2758" s="38"/>
    </row>
    <row r="2759" spans="4:4" x14ac:dyDescent="0.25">
      <c r="D2759" s="38"/>
    </row>
    <row r="2760" spans="4:4" x14ac:dyDescent="0.25">
      <c r="D2760" s="38"/>
    </row>
    <row r="2761" spans="4:4" x14ac:dyDescent="0.25">
      <c r="D2761" s="38"/>
    </row>
    <row r="2762" spans="4:4" x14ac:dyDescent="0.25">
      <c r="D2762" s="38"/>
    </row>
    <row r="2763" spans="4:4" x14ac:dyDescent="0.25">
      <c r="D2763" s="38"/>
    </row>
    <row r="2764" spans="4:4" x14ac:dyDescent="0.25">
      <c r="D2764" s="38"/>
    </row>
    <row r="2765" spans="4:4" x14ac:dyDescent="0.25">
      <c r="D2765" s="38"/>
    </row>
    <row r="2766" spans="4:4" x14ac:dyDescent="0.25">
      <c r="D2766" s="38"/>
    </row>
    <row r="2767" spans="4:4" x14ac:dyDescent="0.25">
      <c r="D2767" s="38"/>
    </row>
    <row r="2768" spans="4:4" x14ac:dyDescent="0.25">
      <c r="D2768" s="38"/>
    </row>
    <row r="2769" spans="4:4" x14ac:dyDescent="0.25">
      <c r="D2769" s="38"/>
    </row>
    <row r="2770" spans="4:4" x14ac:dyDescent="0.25">
      <c r="D2770" s="38"/>
    </row>
    <row r="2771" spans="4:4" x14ac:dyDescent="0.25">
      <c r="D2771" s="38"/>
    </row>
    <row r="2772" spans="4:4" x14ac:dyDescent="0.25">
      <c r="D2772" s="38"/>
    </row>
    <row r="2773" spans="4:4" x14ac:dyDescent="0.25">
      <c r="D2773" s="38"/>
    </row>
    <row r="2774" spans="4:4" x14ac:dyDescent="0.25">
      <c r="D2774" s="38"/>
    </row>
    <row r="2775" spans="4:4" x14ac:dyDescent="0.25">
      <c r="D2775" s="38"/>
    </row>
    <row r="2776" spans="4:4" x14ac:dyDescent="0.25">
      <c r="D2776" s="38"/>
    </row>
    <row r="2777" spans="4:4" x14ac:dyDescent="0.25">
      <c r="D2777" s="38"/>
    </row>
    <row r="2778" spans="4:4" x14ac:dyDescent="0.25">
      <c r="D2778" s="38"/>
    </row>
    <row r="2779" spans="4:4" x14ac:dyDescent="0.25">
      <c r="D2779" s="38"/>
    </row>
    <row r="2780" spans="4:4" x14ac:dyDescent="0.25">
      <c r="D2780" s="38"/>
    </row>
    <row r="2781" spans="4:4" x14ac:dyDescent="0.25">
      <c r="D2781" s="38"/>
    </row>
    <row r="2782" spans="4:4" x14ac:dyDescent="0.25">
      <c r="D2782" s="38"/>
    </row>
    <row r="2783" spans="4:4" x14ac:dyDescent="0.25">
      <c r="D2783" s="38"/>
    </row>
    <row r="2784" spans="4:4" x14ac:dyDescent="0.25">
      <c r="D2784" s="38"/>
    </row>
    <row r="2785" spans="4:4" x14ac:dyDescent="0.25">
      <c r="D2785" s="38"/>
    </row>
    <row r="2786" spans="4:4" x14ac:dyDescent="0.25">
      <c r="D2786" s="38"/>
    </row>
    <row r="2787" spans="4:4" x14ac:dyDescent="0.25">
      <c r="D2787" s="38"/>
    </row>
    <row r="2788" spans="4:4" x14ac:dyDescent="0.25">
      <c r="D2788" s="38"/>
    </row>
    <row r="2789" spans="4:4" x14ac:dyDescent="0.25">
      <c r="D2789" s="38"/>
    </row>
    <row r="2790" spans="4:4" x14ac:dyDescent="0.25">
      <c r="D2790" s="38"/>
    </row>
    <row r="2791" spans="4:4" x14ac:dyDescent="0.25">
      <c r="D2791" s="38"/>
    </row>
    <row r="2792" spans="4:4" x14ac:dyDescent="0.25">
      <c r="D2792" s="38"/>
    </row>
    <row r="2793" spans="4:4" x14ac:dyDescent="0.25">
      <c r="D2793" s="38"/>
    </row>
    <row r="2794" spans="4:4" x14ac:dyDescent="0.25">
      <c r="D2794" s="38"/>
    </row>
    <row r="2795" spans="4:4" x14ac:dyDescent="0.25">
      <c r="D2795" s="38"/>
    </row>
    <row r="2796" spans="4:4" x14ac:dyDescent="0.25">
      <c r="D2796" s="38"/>
    </row>
    <row r="2797" spans="4:4" x14ac:dyDescent="0.25">
      <c r="D2797" s="38"/>
    </row>
    <row r="2798" spans="4:4" x14ac:dyDescent="0.25">
      <c r="D2798" s="38"/>
    </row>
    <row r="2799" spans="4:4" x14ac:dyDescent="0.25">
      <c r="D2799" s="38"/>
    </row>
    <row r="2800" spans="4:4" x14ac:dyDescent="0.25">
      <c r="D2800" s="38"/>
    </row>
    <row r="2801" spans="4:4" x14ac:dyDescent="0.25">
      <c r="D2801" s="38"/>
    </row>
    <row r="2802" spans="4:4" x14ac:dyDescent="0.25">
      <c r="D2802" s="38"/>
    </row>
    <row r="2803" spans="4:4" x14ac:dyDescent="0.25">
      <c r="D2803" s="38"/>
    </row>
    <row r="2804" spans="4:4" x14ac:dyDescent="0.25">
      <c r="D2804" s="38"/>
    </row>
    <row r="2805" spans="4:4" x14ac:dyDescent="0.25">
      <c r="D2805" s="38"/>
    </row>
    <row r="2806" spans="4:4" x14ac:dyDescent="0.25">
      <c r="D2806" s="38"/>
    </row>
    <row r="2807" spans="4:4" x14ac:dyDescent="0.25">
      <c r="D2807" s="38"/>
    </row>
    <row r="2808" spans="4:4" x14ac:dyDescent="0.25">
      <c r="D2808" s="38"/>
    </row>
    <row r="2809" spans="4:4" x14ac:dyDescent="0.25">
      <c r="D2809" s="38"/>
    </row>
    <row r="2810" spans="4:4" x14ac:dyDescent="0.25">
      <c r="D2810" s="38"/>
    </row>
    <row r="2811" spans="4:4" x14ac:dyDescent="0.25">
      <c r="D2811" s="38"/>
    </row>
    <row r="2812" spans="4:4" x14ac:dyDescent="0.25">
      <c r="D2812" s="38"/>
    </row>
    <row r="2813" spans="4:4" x14ac:dyDescent="0.25">
      <c r="D2813" s="38"/>
    </row>
    <row r="2814" spans="4:4" x14ac:dyDescent="0.25">
      <c r="D2814" s="38"/>
    </row>
    <row r="2815" spans="4:4" x14ac:dyDescent="0.25">
      <c r="D2815" s="38"/>
    </row>
    <row r="2816" spans="4:4" x14ac:dyDescent="0.25">
      <c r="D2816" s="38"/>
    </row>
    <row r="2817" spans="4:4" x14ac:dyDescent="0.25">
      <c r="D2817" s="38"/>
    </row>
    <row r="2818" spans="4:4" x14ac:dyDescent="0.25">
      <c r="D2818" s="38"/>
    </row>
    <row r="2819" spans="4:4" x14ac:dyDescent="0.25">
      <c r="D2819" s="38"/>
    </row>
    <row r="2820" spans="4:4" x14ac:dyDescent="0.25">
      <c r="D2820" s="38"/>
    </row>
    <row r="2821" spans="4:4" x14ac:dyDescent="0.25">
      <c r="D2821" s="38"/>
    </row>
    <row r="2822" spans="4:4" x14ac:dyDescent="0.25">
      <c r="D2822" s="38"/>
    </row>
    <row r="2823" spans="4:4" x14ac:dyDescent="0.25">
      <c r="D2823" s="38"/>
    </row>
    <row r="2824" spans="4:4" x14ac:dyDescent="0.25">
      <c r="D2824" s="38"/>
    </row>
    <row r="2825" spans="4:4" x14ac:dyDescent="0.25">
      <c r="D2825" s="38"/>
    </row>
    <row r="2826" spans="4:4" x14ac:dyDescent="0.25">
      <c r="D2826" s="38"/>
    </row>
    <row r="2827" spans="4:4" x14ac:dyDescent="0.25">
      <c r="D2827" s="38"/>
    </row>
    <row r="2828" spans="4:4" x14ac:dyDescent="0.25">
      <c r="D2828" s="38"/>
    </row>
    <row r="2829" spans="4:4" x14ac:dyDescent="0.25">
      <c r="D2829" s="38"/>
    </row>
    <row r="2830" spans="4:4" x14ac:dyDescent="0.25">
      <c r="D2830" s="38"/>
    </row>
    <row r="2831" spans="4:4" x14ac:dyDescent="0.25">
      <c r="D2831" s="38"/>
    </row>
    <row r="2832" spans="4:4" x14ac:dyDescent="0.25">
      <c r="D2832" s="38"/>
    </row>
    <row r="2833" spans="4:4" x14ac:dyDescent="0.25">
      <c r="D2833" s="38"/>
    </row>
    <row r="2834" spans="4:4" x14ac:dyDescent="0.25">
      <c r="D2834" s="38"/>
    </row>
    <row r="2835" spans="4:4" x14ac:dyDescent="0.25">
      <c r="D2835" s="38"/>
    </row>
    <row r="2836" spans="4:4" x14ac:dyDescent="0.25">
      <c r="D2836" s="38"/>
    </row>
    <row r="2837" spans="4:4" x14ac:dyDescent="0.25">
      <c r="D2837" s="38"/>
    </row>
    <row r="2838" spans="4:4" x14ac:dyDescent="0.25">
      <c r="D2838" s="38"/>
    </row>
    <row r="2839" spans="4:4" x14ac:dyDescent="0.25">
      <c r="D2839" s="38"/>
    </row>
    <row r="2840" spans="4:4" x14ac:dyDescent="0.25">
      <c r="D2840" s="38"/>
    </row>
    <row r="2841" spans="4:4" x14ac:dyDescent="0.25">
      <c r="D2841" s="38"/>
    </row>
    <row r="2842" spans="4:4" x14ac:dyDescent="0.25">
      <c r="D2842" s="38"/>
    </row>
    <row r="2843" spans="4:4" x14ac:dyDescent="0.25">
      <c r="D2843" s="38"/>
    </row>
    <row r="2844" spans="4:4" x14ac:dyDescent="0.25">
      <c r="D2844" s="38"/>
    </row>
    <row r="2845" spans="4:4" x14ac:dyDescent="0.25">
      <c r="D2845" s="38"/>
    </row>
    <row r="2846" spans="4:4" x14ac:dyDescent="0.25">
      <c r="D2846" s="38"/>
    </row>
    <row r="2847" spans="4:4" x14ac:dyDescent="0.25">
      <c r="D2847" s="38"/>
    </row>
    <row r="2848" spans="4:4" x14ac:dyDescent="0.25">
      <c r="D2848" s="38"/>
    </row>
    <row r="2849" spans="4:4" x14ac:dyDescent="0.25">
      <c r="D2849" s="38"/>
    </row>
    <row r="2850" spans="4:4" x14ac:dyDescent="0.25">
      <c r="D2850" s="38"/>
    </row>
    <row r="2851" spans="4:4" x14ac:dyDescent="0.25">
      <c r="D2851" s="38"/>
    </row>
    <row r="2852" spans="4:4" x14ac:dyDescent="0.25">
      <c r="D2852" s="38"/>
    </row>
    <row r="2853" spans="4:4" x14ac:dyDescent="0.25">
      <c r="D2853" s="38"/>
    </row>
    <row r="2854" spans="4:4" x14ac:dyDescent="0.25">
      <c r="D2854" s="38"/>
    </row>
    <row r="2855" spans="4:4" x14ac:dyDescent="0.25">
      <c r="D2855" s="38"/>
    </row>
    <row r="2856" spans="4:4" x14ac:dyDescent="0.25">
      <c r="D2856" s="38"/>
    </row>
    <row r="2857" spans="4:4" x14ac:dyDescent="0.25">
      <c r="D2857" s="38"/>
    </row>
    <row r="2858" spans="4:4" x14ac:dyDescent="0.25">
      <c r="D2858" s="38"/>
    </row>
    <row r="2859" spans="4:4" x14ac:dyDescent="0.25">
      <c r="D2859" s="38"/>
    </row>
    <row r="2860" spans="4:4" x14ac:dyDescent="0.25">
      <c r="D2860" s="38"/>
    </row>
    <row r="2861" spans="4:4" x14ac:dyDescent="0.25">
      <c r="D2861" s="38"/>
    </row>
    <row r="2862" spans="4:4" x14ac:dyDescent="0.25">
      <c r="D2862" s="38"/>
    </row>
    <row r="2863" spans="4:4" x14ac:dyDescent="0.25">
      <c r="D2863" s="38"/>
    </row>
    <row r="2864" spans="4:4" x14ac:dyDescent="0.25">
      <c r="D2864" s="38"/>
    </row>
    <row r="2865" spans="4:4" x14ac:dyDescent="0.25">
      <c r="D2865" s="38"/>
    </row>
    <row r="2866" spans="4:4" x14ac:dyDescent="0.25">
      <c r="D2866" s="38"/>
    </row>
    <row r="2867" spans="4:4" x14ac:dyDescent="0.25">
      <c r="D2867" s="38"/>
    </row>
    <row r="2868" spans="4:4" x14ac:dyDescent="0.25">
      <c r="D2868" s="38"/>
    </row>
    <row r="2869" spans="4:4" x14ac:dyDescent="0.25">
      <c r="D2869" s="38"/>
    </row>
    <row r="2870" spans="4:4" x14ac:dyDescent="0.25">
      <c r="D2870" s="38"/>
    </row>
    <row r="2871" spans="4:4" x14ac:dyDescent="0.25">
      <c r="D2871" s="38"/>
    </row>
    <row r="2872" spans="4:4" x14ac:dyDescent="0.25">
      <c r="D2872" s="38"/>
    </row>
    <row r="2873" spans="4:4" x14ac:dyDescent="0.25">
      <c r="D2873" s="38"/>
    </row>
    <row r="2874" spans="4:4" x14ac:dyDescent="0.25">
      <c r="D2874" s="38"/>
    </row>
    <row r="2875" spans="4:4" x14ac:dyDescent="0.25">
      <c r="D2875" s="38"/>
    </row>
    <row r="2876" spans="4:4" x14ac:dyDescent="0.25">
      <c r="D2876" s="38"/>
    </row>
    <row r="2877" spans="4:4" x14ac:dyDescent="0.25">
      <c r="D2877" s="38"/>
    </row>
    <row r="2878" spans="4:4" x14ac:dyDescent="0.25">
      <c r="D2878" s="38"/>
    </row>
    <row r="2879" spans="4:4" x14ac:dyDescent="0.25">
      <c r="D2879" s="38"/>
    </row>
    <row r="2880" spans="4:4" x14ac:dyDescent="0.25">
      <c r="D2880" s="38"/>
    </row>
    <row r="2881" spans="4:4" x14ac:dyDescent="0.25">
      <c r="D2881" s="38"/>
    </row>
    <row r="2882" spans="4:4" x14ac:dyDescent="0.25">
      <c r="D2882" s="38"/>
    </row>
    <row r="2883" spans="4:4" x14ac:dyDescent="0.25">
      <c r="D2883" s="38"/>
    </row>
    <row r="2884" spans="4:4" x14ac:dyDescent="0.25">
      <c r="D2884" s="38"/>
    </row>
    <row r="2885" spans="4:4" x14ac:dyDescent="0.25">
      <c r="D2885" s="38"/>
    </row>
    <row r="2886" spans="4:4" x14ac:dyDescent="0.25">
      <c r="D2886" s="38"/>
    </row>
    <row r="2887" spans="4:4" x14ac:dyDescent="0.25">
      <c r="D2887" s="38"/>
    </row>
    <row r="2888" spans="4:4" x14ac:dyDescent="0.25">
      <c r="D2888" s="38"/>
    </row>
    <row r="2889" spans="4:4" x14ac:dyDescent="0.25">
      <c r="D2889" s="38"/>
    </row>
    <row r="2890" spans="4:4" x14ac:dyDescent="0.25">
      <c r="D2890" s="38"/>
    </row>
    <row r="2891" spans="4:4" x14ac:dyDescent="0.25">
      <c r="D2891" s="38"/>
    </row>
    <row r="2892" spans="4:4" x14ac:dyDescent="0.25">
      <c r="D2892" s="38"/>
    </row>
    <row r="2893" spans="4:4" x14ac:dyDescent="0.25">
      <c r="D2893" s="38"/>
    </row>
    <row r="2894" spans="4:4" x14ac:dyDescent="0.25">
      <c r="D2894" s="38"/>
    </row>
    <row r="2895" spans="4:4" x14ac:dyDescent="0.25">
      <c r="D2895" s="38"/>
    </row>
    <row r="2896" spans="4:4" x14ac:dyDescent="0.25">
      <c r="D2896" s="38"/>
    </row>
    <row r="2897" spans="4:4" x14ac:dyDescent="0.25">
      <c r="D2897" s="38"/>
    </row>
    <row r="2898" spans="4:4" x14ac:dyDescent="0.25">
      <c r="D2898" s="38"/>
    </row>
    <row r="2899" spans="4:4" x14ac:dyDescent="0.25">
      <c r="D2899" s="38"/>
    </row>
    <row r="2900" spans="4:4" x14ac:dyDescent="0.25">
      <c r="D2900" s="38"/>
    </row>
    <row r="2901" spans="4:4" x14ac:dyDescent="0.25">
      <c r="D2901" s="38"/>
    </row>
    <row r="2902" spans="4:4" x14ac:dyDescent="0.25">
      <c r="D2902" s="38"/>
    </row>
    <row r="2903" spans="4:4" x14ac:dyDescent="0.25">
      <c r="D2903" s="38"/>
    </row>
    <row r="2904" spans="4:4" x14ac:dyDescent="0.25">
      <c r="D2904" s="38"/>
    </row>
    <row r="2905" spans="4:4" x14ac:dyDescent="0.25">
      <c r="D2905" s="38"/>
    </row>
    <row r="2906" spans="4:4" x14ac:dyDescent="0.25">
      <c r="D2906" s="38"/>
    </row>
    <row r="2907" spans="4:4" x14ac:dyDescent="0.25">
      <c r="D2907" s="38"/>
    </row>
    <row r="2908" spans="4:4" x14ac:dyDescent="0.25">
      <c r="D2908" s="38"/>
    </row>
    <row r="2909" spans="4:4" x14ac:dyDescent="0.25">
      <c r="D2909" s="38"/>
    </row>
    <row r="2910" spans="4:4" x14ac:dyDescent="0.25">
      <c r="D2910" s="38"/>
    </row>
    <row r="2911" spans="4:4" x14ac:dyDescent="0.25">
      <c r="D2911" s="38"/>
    </row>
    <row r="2912" spans="4:4" x14ac:dyDescent="0.25">
      <c r="D2912" s="38"/>
    </row>
    <row r="2913" spans="4:4" x14ac:dyDescent="0.25">
      <c r="D2913" s="38"/>
    </row>
    <row r="2914" spans="4:4" x14ac:dyDescent="0.25">
      <c r="D2914" s="38"/>
    </row>
    <row r="2915" spans="4:4" x14ac:dyDescent="0.25">
      <c r="D2915" s="38"/>
    </row>
    <row r="2916" spans="4:4" x14ac:dyDescent="0.25">
      <c r="D2916" s="38"/>
    </row>
    <row r="2917" spans="4:4" x14ac:dyDescent="0.25">
      <c r="D2917" s="38"/>
    </row>
    <row r="2918" spans="4:4" x14ac:dyDescent="0.25">
      <c r="D2918" s="38"/>
    </row>
    <row r="2919" spans="4:4" x14ac:dyDescent="0.25">
      <c r="D2919" s="38"/>
    </row>
    <row r="2920" spans="4:4" x14ac:dyDescent="0.25">
      <c r="D2920" s="38"/>
    </row>
    <row r="2921" spans="4:4" x14ac:dyDescent="0.25">
      <c r="D2921" s="38"/>
    </row>
    <row r="2922" spans="4:4" x14ac:dyDescent="0.25">
      <c r="D2922" s="38"/>
    </row>
    <row r="2923" spans="4:4" x14ac:dyDescent="0.25">
      <c r="D2923" s="38"/>
    </row>
    <row r="2924" spans="4:4" x14ac:dyDescent="0.25">
      <c r="D2924" s="38"/>
    </row>
    <row r="2925" spans="4:4" x14ac:dyDescent="0.25">
      <c r="D2925" s="38"/>
    </row>
    <row r="2926" spans="4:4" x14ac:dyDescent="0.25">
      <c r="D2926" s="38"/>
    </row>
    <row r="2927" spans="4:4" x14ac:dyDescent="0.25">
      <c r="D2927" s="38"/>
    </row>
    <row r="2928" spans="4:4" x14ac:dyDescent="0.25">
      <c r="D2928" s="38"/>
    </row>
    <row r="2929" spans="4:4" x14ac:dyDescent="0.25">
      <c r="D2929" s="38"/>
    </row>
    <row r="2930" spans="4:4" x14ac:dyDescent="0.25">
      <c r="D2930" s="38"/>
    </row>
    <row r="2931" spans="4:4" x14ac:dyDescent="0.25">
      <c r="D2931" s="38"/>
    </row>
    <row r="2932" spans="4:4" x14ac:dyDescent="0.25">
      <c r="D2932" s="38"/>
    </row>
    <row r="2933" spans="4:4" x14ac:dyDescent="0.25">
      <c r="D2933" s="38"/>
    </row>
    <row r="2934" spans="4:4" x14ac:dyDescent="0.25">
      <c r="D2934" s="38"/>
    </row>
    <row r="2935" spans="4:4" x14ac:dyDescent="0.25">
      <c r="D2935" s="38"/>
    </row>
    <row r="2936" spans="4:4" x14ac:dyDescent="0.25">
      <c r="D2936" s="38"/>
    </row>
    <row r="2937" spans="4:4" x14ac:dyDescent="0.25">
      <c r="D2937" s="38"/>
    </row>
    <row r="2938" spans="4:4" x14ac:dyDescent="0.25">
      <c r="D2938" s="38"/>
    </row>
    <row r="2939" spans="4:4" x14ac:dyDescent="0.25">
      <c r="D2939" s="38"/>
    </row>
    <row r="2940" spans="4:4" x14ac:dyDescent="0.25">
      <c r="D2940" s="38"/>
    </row>
    <row r="2941" spans="4:4" x14ac:dyDescent="0.25">
      <c r="D2941" s="38"/>
    </row>
    <row r="2942" spans="4:4" x14ac:dyDescent="0.25">
      <c r="D2942" s="38"/>
    </row>
    <row r="2943" spans="4:4" x14ac:dyDescent="0.25">
      <c r="D2943" s="38"/>
    </row>
    <row r="2944" spans="4:4" x14ac:dyDescent="0.25">
      <c r="D2944" s="38"/>
    </row>
    <row r="2945" spans="4:4" x14ac:dyDescent="0.25">
      <c r="D2945" s="38"/>
    </row>
    <row r="2946" spans="4:4" x14ac:dyDescent="0.25">
      <c r="D2946" s="38"/>
    </row>
    <row r="2947" spans="4:4" x14ac:dyDescent="0.25">
      <c r="D2947" s="38"/>
    </row>
    <row r="2948" spans="4:4" x14ac:dyDescent="0.25">
      <c r="D2948" s="38"/>
    </row>
    <row r="2949" spans="4:4" x14ac:dyDescent="0.25">
      <c r="D2949" s="38"/>
    </row>
    <row r="2950" spans="4:4" x14ac:dyDescent="0.25">
      <c r="D2950" s="38"/>
    </row>
    <row r="2951" spans="4:4" x14ac:dyDescent="0.25">
      <c r="D2951" s="38"/>
    </row>
    <row r="2952" spans="4:4" x14ac:dyDescent="0.25">
      <c r="D2952" s="38"/>
    </row>
    <row r="2953" spans="4:4" x14ac:dyDescent="0.25">
      <c r="D2953" s="38"/>
    </row>
    <row r="2954" spans="4:4" x14ac:dyDescent="0.25">
      <c r="D2954" s="38"/>
    </row>
    <row r="2955" spans="4:4" x14ac:dyDescent="0.25">
      <c r="D2955" s="38"/>
    </row>
    <row r="2956" spans="4:4" x14ac:dyDescent="0.25">
      <c r="D2956" s="38"/>
    </row>
    <row r="2957" spans="4:4" x14ac:dyDescent="0.25">
      <c r="D2957" s="38"/>
    </row>
    <row r="2958" spans="4:4" x14ac:dyDescent="0.25">
      <c r="D2958" s="38"/>
    </row>
    <row r="2959" spans="4:4" x14ac:dyDescent="0.25">
      <c r="D2959" s="38"/>
    </row>
    <row r="2960" spans="4:4" x14ac:dyDescent="0.25">
      <c r="D2960" s="38"/>
    </row>
    <row r="2961" spans="4:4" x14ac:dyDescent="0.25">
      <c r="D2961" s="38"/>
    </row>
    <row r="2962" spans="4:4" x14ac:dyDescent="0.25">
      <c r="D2962" s="38"/>
    </row>
    <row r="2963" spans="4:4" x14ac:dyDescent="0.25">
      <c r="D2963" s="38"/>
    </row>
    <row r="2964" spans="4:4" x14ac:dyDescent="0.25">
      <c r="D2964" s="38"/>
    </row>
    <row r="2965" spans="4:4" x14ac:dyDescent="0.25">
      <c r="D2965" s="38"/>
    </row>
    <row r="2966" spans="4:4" x14ac:dyDescent="0.25">
      <c r="D2966" s="38"/>
    </row>
    <row r="2967" spans="4:4" x14ac:dyDescent="0.25">
      <c r="D2967" s="38"/>
    </row>
    <row r="2968" spans="4:4" x14ac:dyDescent="0.25">
      <c r="D2968" s="38"/>
    </row>
    <row r="2969" spans="4:4" x14ac:dyDescent="0.25">
      <c r="D2969" s="38"/>
    </row>
    <row r="2970" spans="4:4" x14ac:dyDescent="0.25">
      <c r="D2970" s="38"/>
    </row>
    <row r="2971" spans="4:4" x14ac:dyDescent="0.25">
      <c r="D2971" s="38"/>
    </row>
    <row r="2972" spans="4:4" x14ac:dyDescent="0.25">
      <c r="D2972" s="38"/>
    </row>
    <row r="2973" spans="4:4" x14ac:dyDescent="0.25">
      <c r="D2973" s="38"/>
    </row>
    <row r="2974" spans="4:4" x14ac:dyDescent="0.25">
      <c r="D2974" s="38"/>
    </row>
    <row r="2975" spans="4:4" x14ac:dyDescent="0.25">
      <c r="D2975" s="38"/>
    </row>
    <row r="2976" spans="4:4" x14ac:dyDescent="0.25">
      <c r="D2976" s="38"/>
    </row>
    <row r="2977" spans="4:4" x14ac:dyDescent="0.25">
      <c r="D2977" s="38"/>
    </row>
    <row r="2978" spans="4:4" x14ac:dyDescent="0.25">
      <c r="D2978" s="38"/>
    </row>
    <row r="2979" spans="4:4" x14ac:dyDescent="0.25">
      <c r="D2979" s="38"/>
    </row>
    <row r="2980" spans="4:4" x14ac:dyDescent="0.25">
      <c r="D2980" s="38"/>
    </row>
    <row r="2981" spans="4:4" x14ac:dyDescent="0.25">
      <c r="D2981" s="38"/>
    </row>
    <row r="2982" spans="4:4" x14ac:dyDescent="0.25">
      <c r="D2982" s="38"/>
    </row>
    <row r="2983" spans="4:4" x14ac:dyDescent="0.25">
      <c r="D2983" s="38"/>
    </row>
    <row r="2984" spans="4:4" x14ac:dyDescent="0.25">
      <c r="D2984" s="38"/>
    </row>
    <row r="2985" spans="4:4" x14ac:dyDescent="0.25">
      <c r="D2985" s="38"/>
    </row>
    <row r="2986" spans="4:4" x14ac:dyDescent="0.25">
      <c r="D2986" s="38"/>
    </row>
    <row r="2987" spans="4:4" x14ac:dyDescent="0.25">
      <c r="D2987" s="38"/>
    </row>
    <row r="2988" spans="4:4" x14ac:dyDescent="0.25">
      <c r="D2988" s="38"/>
    </row>
    <row r="2989" spans="4:4" x14ac:dyDescent="0.25">
      <c r="D2989" s="38"/>
    </row>
    <row r="2990" spans="4:4" x14ac:dyDescent="0.25">
      <c r="D2990" s="38"/>
    </row>
    <row r="2991" spans="4:4" x14ac:dyDescent="0.25">
      <c r="D2991" s="38"/>
    </row>
    <row r="2992" spans="4:4" x14ac:dyDescent="0.25">
      <c r="D2992" s="38"/>
    </row>
    <row r="2993" spans="4:4" x14ac:dyDescent="0.25">
      <c r="D2993" s="38"/>
    </row>
    <row r="2994" spans="4:4" x14ac:dyDescent="0.25">
      <c r="D2994" s="38"/>
    </row>
    <row r="2995" spans="4:4" x14ac:dyDescent="0.25">
      <c r="D2995" s="38"/>
    </row>
    <row r="2996" spans="4:4" x14ac:dyDescent="0.25">
      <c r="D2996" s="38"/>
    </row>
    <row r="2997" spans="4:4" x14ac:dyDescent="0.25">
      <c r="D2997" s="38"/>
    </row>
    <row r="2998" spans="4:4" x14ac:dyDescent="0.25">
      <c r="D2998" s="38"/>
    </row>
    <row r="2999" spans="4:4" x14ac:dyDescent="0.25">
      <c r="D2999" s="38"/>
    </row>
    <row r="3000" spans="4:4" x14ac:dyDescent="0.25">
      <c r="D3000" s="38"/>
    </row>
    <row r="3001" spans="4:4" x14ac:dyDescent="0.25">
      <c r="D3001" s="38"/>
    </row>
    <row r="3002" spans="4:4" x14ac:dyDescent="0.25">
      <c r="D3002" s="38"/>
    </row>
    <row r="3003" spans="4:4" x14ac:dyDescent="0.25">
      <c r="D3003" s="38"/>
    </row>
    <row r="3004" spans="4:4" x14ac:dyDescent="0.25">
      <c r="D3004" s="38"/>
    </row>
    <row r="3005" spans="4:4" x14ac:dyDescent="0.25">
      <c r="D3005" s="38"/>
    </row>
    <row r="3006" spans="4:4" x14ac:dyDescent="0.25">
      <c r="D3006" s="38"/>
    </row>
    <row r="3007" spans="4:4" x14ac:dyDescent="0.25">
      <c r="D3007" s="38"/>
    </row>
    <row r="3008" spans="4:4" x14ac:dyDescent="0.25">
      <c r="D3008" s="38"/>
    </row>
    <row r="3009" spans="4:4" x14ac:dyDescent="0.25">
      <c r="D3009" s="38"/>
    </row>
    <row r="3010" spans="4:4" x14ac:dyDescent="0.25">
      <c r="D3010" s="38"/>
    </row>
    <row r="3011" spans="4:4" x14ac:dyDescent="0.25">
      <c r="D3011" s="38"/>
    </row>
    <row r="3012" spans="4:4" x14ac:dyDescent="0.25">
      <c r="D3012" s="38"/>
    </row>
    <row r="3013" spans="4:4" x14ac:dyDescent="0.25">
      <c r="D3013" s="38"/>
    </row>
    <row r="3014" spans="4:4" x14ac:dyDescent="0.25">
      <c r="D3014" s="38"/>
    </row>
    <row r="3015" spans="4:4" x14ac:dyDescent="0.25">
      <c r="D3015" s="38"/>
    </row>
    <row r="3016" spans="4:4" x14ac:dyDescent="0.25">
      <c r="D3016" s="38"/>
    </row>
    <row r="3017" spans="4:4" x14ac:dyDescent="0.25">
      <c r="D3017" s="38"/>
    </row>
    <row r="3018" spans="4:4" x14ac:dyDescent="0.25">
      <c r="D3018" s="38"/>
    </row>
    <row r="3019" spans="4:4" x14ac:dyDescent="0.25">
      <c r="D3019" s="38"/>
    </row>
    <row r="3020" spans="4:4" x14ac:dyDescent="0.25">
      <c r="D3020" s="38"/>
    </row>
    <row r="3021" spans="4:4" x14ac:dyDescent="0.25">
      <c r="D3021" s="38"/>
    </row>
    <row r="3022" spans="4:4" x14ac:dyDescent="0.25">
      <c r="D3022" s="38"/>
    </row>
    <row r="3023" spans="4:4" x14ac:dyDescent="0.25">
      <c r="D3023" s="38"/>
    </row>
    <row r="3024" spans="4:4" x14ac:dyDescent="0.25">
      <c r="D3024" s="38"/>
    </row>
    <row r="3025" spans="4:4" x14ac:dyDescent="0.25">
      <c r="D3025" s="38"/>
    </row>
    <row r="3026" spans="4:4" x14ac:dyDescent="0.25">
      <c r="D3026" s="38"/>
    </row>
    <row r="3027" spans="4:4" x14ac:dyDescent="0.25">
      <c r="D3027" s="38"/>
    </row>
    <row r="3028" spans="4:4" x14ac:dyDescent="0.25">
      <c r="D3028" s="38"/>
    </row>
    <row r="3029" spans="4:4" x14ac:dyDescent="0.25">
      <c r="D3029" s="38"/>
    </row>
    <row r="3030" spans="4:4" x14ac:dyDescent="0.25">
      <c r="D3030" s="38"/>
    </row>
    <row r="3031" spans="4:4" x14ac:dyDescent="0.25">
      <c r="D3031" s="38"/>
    </row>
    <row r="3032" spans="4:4" x14ac:dyDescent="0.25">
      <c r="D3032" s="38"/>
    </row>
    <row r="3033" spans="4:4" x14ac:dyDescent="0.25">
      <c r="D3033" s="38"/>
    </row>
    <row r="3034" spans="4:4" x14ac:dyDescent="0.25">
      <c r="D3034" s="38"/>
    </row>
    <row r="3035" spans="4:4" x14ac:dyDescent="0.25">
      <c r="D3035" s="38"/>
    </row>
    <row r="3036" spans="4:4" x14ac:dyDescent="0.25">
      <c r="D3036" s="38"/>
    </row>
    <row r="3037" spans="4:4" x14ac:dyDescent="0.25">
      <c r="D3037" s="38"/>
    </row>
    <row r="3038" spans="4:4" x14ac:dyDescent="0.25">
      <c r="D3038" s="38"/>
    </row>
    <row r="3039" spans="4:4" x14ac:dyDescent="0.25">
      <c r="D3039" s="38"/>
    </row>
    <row r="3040" spans="4:4" x14ac:dyDescent="0.25">
      <c r="D3040" s="38"/>
    </row>
    <row r="3041" spans="4:4" x14ac:dyDescent="0.25">
      <c r="D3041" s="38"/>
    </row>
    <row r="3042" spans="4:4" x14ac:dyDescent="0.25">
      <c r="D3042" s="38"/>
    </row>
    <row r="3043" spans="4:4" x14ac:dyDescent="0.25">
      <c r="D3043" s="38"/>
    </row>
    <row r="3044" spans="4:4" x14ac:dyDescent="0.25">
      <c r="D3044" s="38"/>
    </row>
    <row r="3045" spans="4:4" x14ac:dyDescent="0.25">
      <c r="D3045" s="38"/>
    </row>
    <row r="3046" spans="4:4" x14ac:dyDescent="0.25">
      <c r="D3046" s="38"/>
    </row>
    <row r="3047" spans="4:4" x14ac:dyDescent="0.25">
      <c r="D3047" s="38"/>
    </row>
    <row r="3048" spans="4:4" x14ac:dyDescent="0.25">
      <c r="D3048" s="38"/>
    </row>
    <row r="3049" spans="4:4" x14ac:dyDescent="0.25">
      <c r="D3049" s="38"/>
    </row>
    <row r="3050" spans="4:4" x14ac:dyDescent="0.25">
      <c r="D3050" s="38"/>
    </row>
    <row r="3051" spans="4:4" x14ac:dyDescent="0.25">
      <c r="D3051" s="38"/>
    </row>
    <row r="3052" spans="4:4" x14ac:dyDescent="0.25">
      <c r="D3052" s="38"/>
    </row>
    <row r="3053" spans="4:4" x14ac:dyDescent="0.25">
      <c r="D3053" s="38"/>
    </row>
    <row r="3054" spans="4:4" x14ac:dyDescent="0.25">
      <c r="D3054" s="38"/>
    </row>
    <row r="3055" spans="4:4" x14ac:dyDescent="0.25">
      <c r="D3055" s="38"/>
    </row>
    <row r="3056" spans="4:4" x14ac:dyDescent="0.25">
      <c r="D3056" s="38"/>
    </row>
    <row r="3057" spans="4:4" x14ac:dyDescent="0.25">
      <c r="D3057" s="38"/>
    </row>
    <row r="3058" spans="4:4" x14ac:dyDescent="0.25">
      <c r="D3058" s="38"/>
    </row>
    <row r="3059" spans="4:4" x14ac:dyDescent="0.25">
      <c r="D3059" s="38"/>
    </row>
    <row r="3060" spans="4:4" x14ac:dyDescent="0.25">
      <c r="D3060" s="38"/>
    </row>
    <row r="3061" spans="4:4" x14ac:dyDescent="0.25">
      <c r="D3061" s="38"/>
    </row>
    <row r="3062" spans="4:4" x14ac:dyDescent="0.25">
      <c r="D3062" s="38"/>
    </row>
    <row r="3063" spans="4:4" x14ac:dyDescent="0.25">
      <c r="D3063" s="38"/>
    </row>
    <row r="3064" spans="4:4" x14ac:dyDescent="0.25">
      <c r="D3064" s="38"/>
    </row>
    <row r="3065" spans="4:4" x14ac:dyDescent="0.25">
      <c r="D3065" s="38"/>
    </row>
    <row r="3066" spans="4:4" x14ac:dyDescent="0.25">
      <c r="D3066" s="38"/>
    </row>
    <row r="3067" spans="4:4" x14ac:dyDescent="0.25">
      <c r="D3067" s="38"/>
    </row>
    <row r="3068" spans="4:4" x14ac:dyDescent="0.25">
      <c r="D3068" s="38"/>
    </row>
    <row r="3069" spans="4:4" x14ac:dyDescent="0.25">
      <c r="D3069" s="38"/>
    </row>
    <row r="3070" spans="4:4" x14ac:dyDescent="0.25">
      <c r="D3070" s="38"/>
    </row>
    <row r="3071" spans="4:4" x14ac:dyDescent="0.25">
      <c r="D3071" s="38"/>
    </row>
    <row r="3072" spans="4:4" x14ac:dyDescent="0.25">
      <c r="D3072" s="38"/>
    </row>
    <row r="3073" spans="4:4" x14ac:dyDescent="0.25">
      <c r="D3073" s="38"/>
    </row>
    <row r="3074" spans="4:4" x14ac:dyDescent="0.25">
      <c r="D3074" s="38"/>
    </row>
    <row r="3075" spans="4:4" x14ac:dyDescent="0.25">
      <c r="D3075" s="38"/>
    </row>
    <row r="3076" spans="4:4" x14ac:dyDescent="0.25">
      <c r="D3076" s="38"/>
    </row>
    <row r="3077" spans="4:4" x14ac:dyDescent="0.25">
      <c r="D3077" s="38"/>
    </row>
    <row r="3078" spans="4:4" x14ac:dyDescent="0.25">
      <c r="D3078" s="38"/>
    </row>
    <row r="3079" spans="4:4" x14ac:dyDescent="0.25">
      <c r="D3079" s="38"/>
    </row>
    <row r="3080" spans="4:4" x14ac:dyDescent="0.25">
      <c r="D3080" s="38"/>
    </row>
    <row r="3081" spans="4:4" x14ac:dyDescent="0.25">
      <c r="D3081" s="38"/>
    </row>
    <row r="3082" spans="4:4" x14ac:dyDescent="0.25">
      <c r="D3082" s="38"/>
    </row>
    <row r="3083" spans="4:4" x14ac:dyDescent="0.25">
      <c r="D3083" s="38"/>
    </row>
    <row r="3084" spans="4:4" x14ac:dyDescent="0.25">
      <c r="D3084" s="38"/>
    </row>
    <row r="3085" spans="4:4" x14ac:dyDescent="0.25">
      <c r="D3085" s="38"/>
    </row>
    <row r="3086" spans="4:4" x14ac:dyDescent="0.25">
      <c r="D3086" s="38"/>
    </row>
    <row r="3087" spans="4:4" x14ac:dyDescent="0.25">
      <c r="D3087" s="38"/>
    </row>
    <row r="3088" spans="4:4" x14ac:dyDescent="0.25">
      <c r="D3088" s="38"/>
    </row>
    <row r="3089" spans="4:4" x14ac:dyDescent="0.25">
      <c r="D3089" s="38"/>
    </row>
    <row r="3090" spans="4:4" x14ac:dyDescent="0.25">
      <c r="D3090" s="38"/>
    </row>
    <row r="3091" spans="4:4" x14ac:dyDescent="0.25">
      <c r="D3091" s="38"/>
    </row>
    <row r="3092" spans="4:4" x14ac:dyDescent="0.25">
      <c r="D3092" s="38"/>
    </row>
    <row r="3093" spans="4:4" x14ac:dyDescent="0.25">
      <c r="D3093" s="38"/>
    </row>
    <row r="3094" spans="4:4" x14ac:dyDescent="0.25">
      <c r="D3094" s="38"/>
    </row>
    <row r="3095" spans="4:4" x14ac:dyDescent="0.25">
      <c r="D3095" s="38"/>
    </row>
    <row r="3096" spans="4:4" x14ac:dyDescent="0.25">
      <c r="D3096" s="38"/>
    </row>
    <row r="3097" spans="4:4" x14ac:dyDescent="0.25">
      <c r="D3097" s="38"/>
    </row>
    <row r="3098" spans="4:4" x14ac:dyDescent="0.25">
      <c r="D3098" s="38"/>
    </row>
    <row r="3099" spans="4:4" x14ac:dyDescent="0.25">
      <c r="D3099" s="38"/>
    </row>
    <row r="3100" spans="4:4" x14ac:dyDescent="0.25">
      <c r="D3100" s="38"/>
    </row>
    <row r="3101" spans="4:4" x14ac:dyDescent="0.25">
      <c r="D3101" s="38"/>
    </row>
    <row r="3102" spans="4:4" x14ac:dyDescent="0.25">
      <c r="D3102" s="38"/>
    </row>
    <row r="3103" spans="4:4" x14ac:dyDescent="0.25">
      <c r="D3103" s="38"/>
    </row>
    <row r="3104" spans="4:4" x14ac:dyDescent="0.25">
      <c r="D3104" s="38"/>
    </row>
    <row r="3105" spans="4:4" x14ac:dyDescent="0.25">
      <c r="D3105" s="38"/>
    </row>
    <row r="3106" spans="4:4" x14ac:dyDescent="0.25">
      <c r="D3106" s="38"/>
    </row>
    <row r="3107" spans="4:4" x14ac:dyDescent="0.25">
      <c r="D3107" s="38"/>
    </row>
    <row r="3108" spans="4:4" x14ac:dyDescent="0.25">
      <c r="D3108" s="38"/>
    </row>
    <row r="3109" spans="4:4" x14ac:dyDescent="0.25">
      <c r="D3109" s="38"/>
    </row>
    <row r="3110" spans="4:4" x14ac:dyDescent="0.25">
      <c r="D3110" s="38"/>
    </row>
    <row r="3111" spans="4:4" x14ac:dyDescent="0.25">
      <c r="D3111" s="38"/>
    </row>
    <row r="3112" spans="4:4" x14ac:dyDescent="0.25">
      <c r="D3112" s="38"/>
    </row>
    <row r="3113" spans="4:4" x14ac:dyDescent="0.25">
      <c r="D3113" s="38"/>
    </row>
    <row r="3114" spans="4:4" x14ac:dyDescent="0.25">
      <c r="D3114" s="38"/>
    </row>
    <row r="3115" spans="4:4" x14ac:dyDescent="0.25">
      <c r="D3115" s="38"/>
    </row>
    <row r="3116" spans="4:4" x14ac:dyDescent="0.25">
      <c r="D3116" s="38"/>
    </row>
    <row r="3117" spans="4:4" x14ac:dyDescent="0.25">
      <c r="D3117" s="38"/>
    </row>
    <row r="3118" spans="4:4" x14ac:dyDescent="0.25">
      <c r="D3118" s="38"/>
    </row>
    <row r="3119" spans="4:4" x14ac:dyDescent="0.25">
      <c r="D3119" s="38"/>
    </row>
    <row r="3120" spans="4:4" x14ac:dyDescent="0.25">
      <c r="D3120" s="38"/>
    </row>
    <row r="3121" spans="4:4" x14ac:dyDescent="0.25">
      <c r="D3121" s="38"/>
    </row>
    <row r="3122" spans="4:4" x14ac:dyDescent="0.25">
      <c r="D3122" s="38"/>
    </row>
    <row r="3123" spans="4:4" x14ac:dyDescent="0.25">
      <c r="D3123" s="38"/>
    </row>
    <row r="3124" spans="4:4" x14ac:dyDescent="0.25">
      <c r="D3124" s="38"/>
    </row>
    <row r="3125" spans="4:4" x14ac:dyDescent="0.25">
      <c r="D3125" s="38"/>
    </row>
    <row r="3126" spans="4:4" x14ac:dyDescent="0.25">
      <c r="D3126" s="38"/>
    </row>
    <row r="3127" spans="4:4" x14ac:dyDescent="0.25">
      <c r="D3127" s="38"/>
    </row>
    <row r="3128" spans="4:4" x14ac:dyDescent="0.25">
      <c r="D3128" s="38"/>
    </row>
    <row r="3129" spans="4:4" x14ac:dyDescent="0.25">
      <c r="D3129" s="38"/>
    </row>
    <row r="3130" spans="4:4" x14ac:dyDescent="0.25">
      <c r="D3130" s="38"/>
    </row>
    <row r="3131" spans="4:4" x14ac:dyDescent="0.25">
      <c r="D3131" s="38"/>
    </row>
    <row r="3132" spans="4:4" x14ac:dyDescent="0.25">
      <c r="D3132" s="38"/>
    </row>
    <row r="3133" spans="4:4" x14ac:dyDescent="0.25">
      <c r="D3133" s="38"/>
    </row>
    <row r="3134" spans="4:4" x14ac:dyDescent="0.25">
      <c r="D3134" s="38"/>
    </row>
    <row r="3135" spans="4:4" x14ac:dyDescent="0.25">
      <c r="D3135" s="38"/>
    </row>
    <row r="3136" spans="4:4" x14ac:dyDescent="0.25">
      <c r="D3136" s="38"/>
    </row>
    <row r="3137" spans="4:4" x14ac:dyDescent="0.25">
      <c r="D3137" s="38"/>
    </row>
    <row r="3138" spans="4:4" x14ac:dyDescent="0.25">
      <c r="D3138" s="38"/>
    </row>
    <row r="3139" spans="4:4" x14ac:dyDescent="0.25">
      <c r="D3139" s="38"/>
    </row>
    <row r="3140" spans="4:4" x14ac:dyDescent="0.25">
      <c r="D3140" s="38"/>
    </row>
    <row r="3141" spans="4:4" x14ac:dyDescent="0.25">
      <c r="D3141" s="38"/>
    </row>
    <row r="3142" spans="4:4" x14ac:dyDescent="0.25">
      <c r="D3142" s="38"/>
    </row>
    <row r="3143" spans="4:4" x14ac:dyDescent="0.25">
      <c r="D3143" s="38"/>
    </row>
    <row r="3144" spans="4:4" x14ac:dyDescent="0.25">
      <c r="D3144" s="38"/>
    </row>
    <row r="3145" spans="4:4" x14ac:dyDescent="0.25">
      <c r="D3145" s="38"/>
    </row>
    <row r="3146" spans="4:4" x14ac:dyDescent="0.25">
      <c r="D3146" s="38"/>
    </row>
    <row r="3147" spans="4:4" x14ac:dyDescent="0.25">
      <c r="D3147" s="38"/>
    </row>
    <row r="3148" spans="4:4" x14ac:dyDescent="0.25">
      <c r="D3148" s="38"/>
    </row>
    <row r="3149" spans="4:4" x14ac:dyDescent="0.25">
      <c r="D3149" s="38"/>
    </row>
    <row r="3150" spans="4:4" x14ac:dyDescent="0.25">
      <c r="D3150" s="38"/>
    </row>
    <row r="3151" spans="4:4" x14ac:dyDescent="0.25">
      <c r="D3151" s="38"/>
    </row>
    <row r="3152" spans="4:4" x14ac:dyDescent="0.25">
      <c r="D3152" s="38"/>
    </row>
    <row r="3153" spans="4:4" x14ac:dyDescent="0.25">
      <c r="D3153" s="38"/>
    </row>
    <row r="3154" spans="4:4" x14ac:dyDescent="0.25">
      <c r="D3154" s="38"/>
    </row>
    <row r="3155" spans="4:4" x14ac:dyDescent="0.25">
      <c r="D3155" s="38"/>
    </row>
    <row r="3156" spans="4:4" x14ac:dyDescent="0.25">
      <c r="D3156" s="38"/>
    </row>
    <row r="3157" spans="4:4" x14ac:dyDescent="0.25">
      <c r="D3157" s="38"/>
    </row>
    <row r="3158" spans="4:4" x14ac:dyDescent="0.25">
      <c r="D3158" s="38"/>
    </row>
    <row r="3159" spans="4:4" x14ac:dyDescent="0.25">
      <c r="D3159" s="38"/>
    </row>
    <row r="3160" spans="4:4" x14ac:dyDescent="0.25">
      <c r="D3160" s="38"/>
    </row>
    <row r="3161" spans="4:4" x14ac:dyDescent="0.25">
      <c r="D3161" s="38"/>
    </row>
    <row r="3162" spans="4:4" x14ac:dyDescent="0.25">
      <c r="D3162" s="38"/>
    </row>
    <row r="3163" spans="4:4" x14ac:dyDescent="0.25">
      <c r="D3163" s="38"/>
    </row>
    <row r="3164" spans="4:4" x14ac:dyDescent="0.25">
      <c r="D3164" s="38"/>
    </row>
    <row r="3165" spans="4:4" x14ac:dyDescent="0.25">
      <c r="D3165" s="38"/>
    </row>
    <row r="3166" spans="4:4" x14ac:dyDescent="0.25">
      <c r="D3166" s="38"/>
    </row>
    <row r="3167" spans="4:4" x14ac:dyDescent="0.25">
      <c r="D3167" s="38"/>
    </row>
    <row r="3168" spans="4:4" x14ac:dyDescent="0.25">
      <c r="D3168" s="38"/>
    </row>
    <row r="3169" spans="4:4" x14ac:dyDescent="0.25">
      <c r="D3169" s="38"/>
    </row>
    <row r="3170" spans="4:4" x14ac:dyDescent="0.25">
      <c r="D3170" s="38"/>
    </row>
    <row r="3171" spans="4:4" x14ac:dyDescent="0.25">
      <c r="D3171" s="38"/>
    </row>
    <row r="3172" spans="4:4" x14ac:dyDescent="0.25">
      <c r="D3172" s="38"/>
    </row>
    <row r="3173" spans="4:4" x14ac:dyDescent="0.25">
      <c r="D3173" s="38"/>
    </row>
    <row r="3174" spans="4:4" x14ac:dyDescent="0.25">
      <c r="D3174" s="38"/>
    </row>
    <row r="3175" spans="4:4" x14ac:dyDescent="0.25">
      <c r="D3175" s="38"/>
    </row>
    <row r="3176" spans="4:4" x14ac:dyDescent="0.25">
      <c r="D3176" s="38"/>
    </row>
    <row r="3177" spans="4:4" x14ac:dyDescent="0.25">
      <c r="D3177" s="38"/>
    </row>
    <row r="3178" spans="4:4" x14ac:dyDescent="0.25">
      <c r="D3178" s="38"/>
    </row>
    <row r="3179" spans="4:4" x14ac:dyDescent="0.25">
      <c r="D3179" s="38"/>
    </row>
    <row r="3180" spans="4:4" x14ac:dyDescent="0.25">
      <c r="D3180" s="38"/>
    </row>
    <row r="3181" spans="4:4" x14ac:dyDescent="0.25">
      <c r="D3181" s="38"/>
    </row>
    <row r="3182" spans="4:4" x14ac:dyDescent="0.25">
      <c r="D3182" s="38"/>
    </row>
    <row r="3183" spans="4:4" x14ac:dyDescent="0.25">
      <c r="D3183" s="38"/>
    </row>
    <row r="3184" spans="4:4" x14ac:dyDescent="0.25">
      <c r="D3184" s="38"/>
    </row>
    <row r="3185" spans="4:4" x14ac:dyDescent="0.25">
      <c r="D3185" s="38"/>
    </row>
    <row r="3186" spans="4:4" x14ac:dyDescent="0.25">
      <c r="D3186" s="38"/>
    </row>
    <row r="3187" spans="4:4" x14ac:dyDescent="0.25">
      <c r="D3187" s="38"/>
    </row>
    <row r="3188" spans="4:4" x14ac:dyDescent="0.25">
      <c r="D3188" s="38"/>
    </row>
    <row r="3189" spans="4:4" x14ac:dyDescent="0.25">
      <c r="D3189" s="38"/>
    </row>
    <row r="3190" spans="4:4" x14ac:dyDescent="0.25">
      <c r="D3190" s="38"/>
    </row>
    <row r="3191" spans="4:4" x14ac:dyDescent="0.25">
      <c r="D3191" s="38"/>
    </row>
    <row r="3192" spans="4:4" x14ac:dyDescent="0.25">
      <c r="D3192" s="38"/>
    </row>
    <row r="3193" spans="4:4" x14ac:dyDescent="0.25">
      <c r="D3193" s="38"/>
    </row>
    <row r="3194" spans="4:4" x14ac:dyDescent="0.25">
      <c r="D3194" s="38"/>
    </row>
    <row r="3195" spans="4:4" x14ac:dyDescent="0.25">
      <c r="D3195" s="38"/>
    </row>
    <row r="3196" spans="4:4" x14ac:dyDescent="0.25">
      <c r="D3196" s="38"/>
    </row>
    <row r="3197" spans="4:4" x14ac:dyDescent="0.25">
      <c r="D3197" s="38"/>
    </row>
    <row r="3198" spans="4:4" x14ac:dyDescent="0.25">
      <c r="D3198" s="38"/>
    </row>
    <row r="3199" spans="4:4" x14ac:dyDescent="0.25">
      <c r="D3199" s="38"/>
    </row>
    <row r="3200" spans="4:4" x14ac:dyDescent="0.25">
      <c r="D3200" s="38"/>
    </row>
    <row r="3201" spans="4:4" x14ac:dyDescent="0.25">
      <c r="D3201" s="38"/>
    </row>
    <row r="3202" spans="4:4" x14ac:dyDescent="0.25">
      <c r="D3202" s="38"/>
    </row>
    <row r="3203" spans="4:4" x14ac:dyDescent="0.25">
      <c r="D3203" s="38"/>
    </row>
    <row r="3204" spans="4:4" x14ac:dyDescent="0.25">
      <c r="D3204" s="38"/>
    </row>
    <row r="3205" spans="4:4" x14ac:dyDescent="0.25">
      <c r="D3205" s="38"/>
    </row>
    <row r="3206" spans="4:4" x14ac:dyDescent="0.25">
      <c r="D3206" s="38"/>
    </row>
    <row r="3207" spans="4:4" x14ac:dyDescent="0.25">
      <c r="D3207" s="38"/>
    </row>
    <row r="3208" spans="4:4" x14ac:dyDescent="0.25">
      <c r="D3208" s="38"/>
    </row>
    <row r="3209" spans="4:4" x14ac:dyDescent="0.25">
      <c r="D3209" s="38"/>
    </row>
    <row r="3210" spans="4:4" x14ac:dyDescent="0.25">
      <c r="D3210" s="38"/>
    </row>
    <row r="3211" spans="4:4" x14ac:dyDescent="0.25">
      <c r="D3211" s="38"/>
    </row>
    <row r="3212" spans="4:4" x14ac:dyDescent="0.25">
      <c r="D3212" s="38"/>
    </row>
    <row r="3213" spans="4:4" x14ac:dyDescent="0.25">
      <c r="D3213" s="38"/>
    </row>
    <row r="3214" spans="4:4" x14ac:dyDescent="0.25">
      <c r="D3214" s="38"/>
    </row>
    <row r="3215" spans="4:4" x14ac:dyDescent="0.25">
      <c r="D3215" s="38"/>
    </row>
    <row r="3216" spans="4:4" x14ac:dyDescent="0.25">
      <c r="D3216" s="38"/>
    </row>
    <row r="3217" spans="4:4" x14ac:dyDescent="0.25">
      <c r="D3217" s="38"/>
    </row>
    <row r="3218" spans="4:4" x14ac:dyDescent="0.25">
      <c r="D3218" s="38"/>
    </row>
    <row r="3219" spans="4:4" x14ac:dyDescent="0.25">
      <c r="D3219" s="38"/>
    </row>
    <row r="3220" spans="4:4" x14ac:dyDescent="0.25">
      <c r="D3220" s="38"/>
    </row>
    <row r="3221" spans="4:4" x14ac:dyDescent="0.25">
      <c r="D3221" s="38"/>
    </row>
    <row r="3222" spans="4:4" x14ac:dyDescent="0.25">
      <c r="D3222" s="38"/>
    </row>
    <row r="3223" spans="4:4" x14ac:dyDescent="0.25">
      <c r="D3223" s="38"/>
    </row>
    <row r="3224" spans="4:4" x14ac:dyDescent="0.25">
      <c r="D3224" s="38"/>
    </row>
    <row r="3225" spans="4:4" x14ac:dyDescent="0.25">
      <c r="D3225" s="38"/>
    </row>
    <row r="3226" spans="4:4" x14ac:dyDescent="0.25">
      <c r="D3226" s="38"/>
    </row>
    <row r="3227" spans="4:4" x14ac:dyDescent="0.25">
      <c r="D3227" s="38"/>
    </row>
    <row r="3228" spans="4:4" x14ac:dyDescent="0.25">
      <c r="D3228" s="38"/>
    </row>
    <row r="3229" spans="4:4" x14ac:dyDescent="0.25">
      <c r="D3229" s="38"/>
    </row>
    <row r="3230" spans="4:4" x14ac:dyDescent="0.25">
      <c r="D3230" s="38"/>
    </row>
    <row r="3231" spans="4:4" x14ac:dyDescent="0.25">
      <c r="D3231" s="38"/>
    </row>
    <row r="3232" spans="4:4" x14ac:dyDescent="0.25">
      <c r="D3232" s="38"/>
    </row>
    <row r="3233" spans="4:4" x14ac:dyDescent="0.25">
      <c r="D3233" s="38"/>
    </row>
    <row r="3234" spans="4:4" x14ac:dyDescent="0.25">
      <c r="D3234" s="38"/>
    </row>
    <row r="3235" spans="4:4" x14ac:dyDescent="0.25">
      <c r="D3235" s="38"/>
    </row>
    <row r="3236" spans="4:4" x14ac:dyDescent="0.25">
      <c r="D3236" s="38"/>
    </row>
    <row r="3237" spans="4:4" x14ac:dyDescent="0.25">
      <c r="D3237" s="38"/>
    </row>
    <row r="3238" spans="4:4" x14ac:dyDescent="0.25">
      <c r="D3238" s="38"/>
    </row>
    <row r="3239" spans="4:4" x14ac:dyDescent="0.25">
      <c r="D3239" s="38"/>
    </row>
    <row r="3240" spans="4:4" x14ac:dyDescent="0.25">
      <c r="D3240" s="38"/>
    </row>
    <row r="3241" spans="4:4" x14ac:dyDescent="0.25">
      <c r="D3241" s="38"/>
    </row>
    <row r="3242" spans="4:4" x14ac:dyDescent="0.25">
      <c r="D3242" s="38"/>
    </row>
    <row r="3243" spans="4:4" x14ac:dyDescent="0.25">
      <c r="D3243" s="38"/>
    </row>
    <row r="3244" spans="4:4" x14ac:dyDescent="0.25">
      <c r="D3244" s="38"/>
    </row>
    <row r="3245" spans="4:4" x14ac:dyDescent="0.25">
      <c r="D3245" s="38"/>
    </row>
    <row r="3246" spans="4:4" x14ac:dyDescent="0.25">
      <c r="D3246" s="38"/>
    </row>
    <row r="3247" spans="4:4" x14ac:dyDescent="0.25">
      <c r="D3247" s="38"/>
    </row>
    <row r="3248" spans="4:4" x14ac:dyDescent="0.25">
      <c r="D3248" s="38"/>
    </row>
    <row r="3249" spans="4:4" x14ac:dyDescent="0.25">
      <c r="D3249" s="38"/>
    </row>
    <row r="3250" spans="4:4" x14ac:dyDescent="0.25">
      <c r="D3250" s="38"/>
    </row>
    <row r="3251" spans="4:4" x14ac:dyDescent="0.25">
      <c r="D3251" s="38"/>
    </row>
    <row r="3252" spans="4:4" x14ac:dyDescent="0.25">
      <c r="D3252" s="38"/>
    </row>
    <row r="3253" spans="4:4" x14ac:dyDescent="0.25">
      <c r="D3253" s="38"/>
    </row>
    <row r="3254" spans="4:4" x14ac:dyDescent="0.25">
      <c r="D3254" s="38"/>
    </row>
    <row r="3255" spans="4:4" x14ac:dyDescent="0.25">
      <c r="D3255" s="38"/>
    </row>
    <row r="3256" spans="4:4" x14ac:dyDescent="0.25">
      <c r="D3256" s="38"/>
    </row>
    <row r="3257" spans="4:4" x14ac:dyDescent="0.25">
      <c r="D3257" s="38"/>
    </row>
    <row r="3258" spans="4:4" x14ac:dyDescent="0.25">
      <c r="D3258" s="38"/>
    </row>
    <row r="3259" spans="4:4" x14ac:dyDescent="0.25">
      <c r="D3259" s="38"/>
    </row>
    <row r="3260" spans="4:4" x14ac:dyDescent="0.25">
      <c r="D3260" s="38"/>
    </row>
    <row r="3261" spans="4:4" x14ac:dyDescent="0.25">
      <c r="D3261" s="38"/>
    </row>
    <row r="3262" spans="4:4" x14ac:dyDescent="0.25">
      <c r="D3262" s="38"/>
    </row>
    <row r="3263" spans="4:4" x14ac:dyDescent="0.25">
      <c r="D3263" s="38"/>
    </row>
    <row r="3264" spans="4:4" x14ac:dyDescent="0.25">
      <c r="D3264" s="38"/>
    </row>
    <row r="3265" spans="4:4" x14ac:dyDescent="0.25">
      <c r="D3265" s="38"/>
    </row>
    <row r="3266" spans="4:4" x14ac:dyDescent="0.25">
      <c r="D3266" s="38"/>
    </row>
    <row r="3267" spans="4:4" x14ac:dyDescent="0.25">
      <c r="D3267" s="38"/>
    </row>
    <row r="3268" spans="4:4" x14ac:dyDescent="0.25">
      <c r="D3268" s="38"/>
    </row>
    <row r="3269" spans="4:4" x14ac:dyDescent="0.25">
      <c r="D3269" s="38"/>
    </row>
    <row r="3270" spans="4:4" x14ac:dyDescent="0.25">
      <c r="D3270" s="38"/>
    </row>
    <row r="3271" spans="4:4" x14ac:dyDescent="0.25">
      <c r="D3271" s="38"/>
    </row>
    <row r="3272" spans="4:4" x14ac:dyDescent="0.25">
      <c r="D3272" s="38"/>
    </row>
    <row r="3273" spans="4:4" x14ac:dyDescent="0.25">
      <c r="D3273" s="38"/>
    </row>
    <row r="3274" spans="4:4" x14ac:dyDescent="0.25">
      <c r="D3274" s="38"/>
    </row>
    <row r="3275" spans="4:4" x14ac:dyDescent="0.25">
      <c r="D3275" s="38"/>
    </row>
    <row r="3276" spans="4:4" x14ac:dyDescent="0.25">
      <c r="D3276" s="38"/>
    </row>
    <row r="3277" spans="4:4" x14ac:dyDescent="0.25">
      <c r="D3277" s="38"/>
    </row>
    <row r="3278" spans="4:4" x14ac:dyDescent="0.25">
      <c r="D3278" s="38"/>
    </row>
    <row r="3279" spans="4:4" x14ac:dyDescent="0.25">
      <c r="D3279" s="38"/>
    </row>
    <row r="3280" spans="4:4" x14ac:dyDescent="0.25">
      <c r="D3280" s="38"/>
    </row>
    <row r="3281" spans="4:4" x14ac:dyDescent="0.25">
      <c r="D3281" s="38"/>
    </row>
    <row r="3282" spans="4:4" x14ac:dyDescent="0.25">
      <c r="D3282" s="38"/>
    </row>
    <row r="3283" spans="4:4" x14ac:dyDescent="0.25">
      <c r="D3283" s="38"/>
    </row>
    <row r="3284" spans="4:4" x14ac:dyDescent="0.25">
      <c r="D3284" s="38"/>
    </row>
    <row r="3285" spans="4:4" x14ac:dyDescent="0.25">
      <c r="D3285" s="38"/>
    </row>
    <row r="3286" spans="4:4" x14ac:dyDescent="0.25">
      <c r="D3286" s="38"/>
    </row>
    <row r="3287" spans="4:4" x14ac:dyDescent="0.25">
      <c r="D3287" s="38"/>
    </row>
    <row r="3288" spans="4:4" x14ac:dyDescent="0.25">
      <c r="D3288" s="38"/>
    </row>
    <row r="3289" spans="4:4" x14ac:dyDescent="0.25">
      <c r="D3289" s="38"/>
    </row>
    <row r="3290" spans="4:4" x14ac:dyDescent="0.25">
      <c r="D3290" s="38"/>
    </row>
    <row r="3291" spans="4:4" x14ac:dyDescent="0.25">
      <c r="D3291" s="38"/>
    </row>
    <row r="3292" spans="4:4" x14ac:dyDescent="0.25">
      <c r="D3292" s="38"/>
    </row>
    <row r="3293" spans="4:4" x14ac:dyDescent="0.25">
      <c r="D3293" s="38"/>
    </row>
    <row r="3294" spans="4:4" x14ac:dyDescent="0.25">
      <c r="D3294" s="38"/>
    </row>
    <row r="3295" spans="4:4" x14ac:dyDescent="0.25">
      <c r="D3295" s="38"/>
    </row>
    <row r="3296" spans="4:4" x14ac:dyDescent="0.25">
      <c r="D3296" s="38"/>
    </row>
    <row r="3297" spans="4:4" x14ac:dyDescent="0.25">
      <c r="D3297" s="38"/>
    </row>
    <row r="3298" spans="4:4" x14ac:dyDescent="0.25">
      <c r="D3298" s="38"/>
    </row>
    <row r="3299" spans="4:4" x14ac:dyDescent="0.25">
      <c r="D3299" s="38"/>
    </row>
    <row r="3300" spans="4:4" x14ac:dyDescent="0.25">
      <c r="D3300" s="38"/>
    </row>
    <row r="3301" spans="4:4" x14ac:dyDescent="0.25">
      <c r="D3301" s="38"/>
    </row>
    <row r="3302" spans="4:4" x14ac:dyDescent="0.25">
      <c r="D3302" s="38"/>
    </row>
    <row r="3303" spans="4:4" x14ac:dyDescent="0.25">
      <c r="D3303" s="38"/>
    </row>
    <row r="3304" spans="4:4" x14ac:dyDescent="0.25">
      <c r="D3304" s="38"/>
    </row>
    <row r="3305" spans="4:4" x14ac:dyDescent="0.25">
      <c r="D3305" s="38"/>
    </row>
    <row r="3306" spans="4:4" x14ac:dyDescent="0.25">
      <c r="D3306" s="38"/>
    </row>
    <row r="3307" spans="4:4" x14ac:dyDescent="0.25">
      <c r="D3307" s="38"/>
    </row>
    <row r="3308" spans="4:4" x14ac:dyDescent="0.25">
      <c r="D3308" s="38"/>
    </row>
    <row r="3309" spans="4:4" x14ac:dyDescent="0.25">
      <c r="D3309" s="38"/>
    </row>
    <row r="3310" spans="4:4" x14ac:dyDescent="0.25">
      <c r="D3310" s="38"/>
    </row>
    <row r="3311" spans="4:4" x14ac:dyDescent="0.25">
      <c r="D3311" s="38"/>
    </row>
    <row r="3312" spans="4:4" x14ac:dyDescent="0.25">
      <c r="D3312" s="38"/>
    </row>
    <row r="3313" spans="4:4" x14ac:dyDescent="0.25">
      <c r="D3313" s="38"/>
    </row>
    <row r="3314" spans="4:4" x14ac:dyDescent="0.25">
      <c r="D3314" s="38"/>
    </row>
    <row r="3315" spans="4:4" x14ac:dyDescent="0.25">
      <c r="D3315" s="38"/>
    </row>
    <row r="3316" spans="4:4" x14ac:dyDescent="0.25">
      <c r="D3316" s="38"/>
    </row>
    <row r="3317" spans="4:4" x14ac:dyDescent="0.25">
      <c r="D3317" s="38"/>
    </row>
    <row r="3318" spans="4:4" x14ac:dyDescent="0.25">
      <c r="D3318" s="38"/>
    </row>
    <row r="3319" spans="4:4" x14ac:dyDescent="0.25">
      <c r="D3319" s="38"/>
    </row>
    <row r="3320" spans="4:4" x14ac:dyDescent="0.25">
      <c r="D3320" s="38"/>
    </row>
    <row r="3321" spans="4:4" x14ac:dyDescent="0.25">
      <c r="D3321" s="38"/>
    </row>
    <row r="3322" spans="4:4" x14ac:dyDescent="0.25">
      <c r="D3322" s="38"/>
    </row>
    <row r="3323" spans="4:4" x14ac:dyDescent="0.25">
      <c r="D3323" s="38"/>
    </row>
    <row r="3324" spans="4:4" x14ac:dyDescent="0.25">
      <c r="D3324" s="38"/>
    </row>
    <row r="3325" spans="4:4" x14ac:dyDescent="0.25">
      <c r="D3325" s="38"/>
    </row>
    <row r="3326" spans="4:4" x14ac:dyDescent="0.25">
      <c r="D3326" s="38"/>
    </row>
    <row r="3327" spans="4:4" x14ac:dyDescent="0.25">
      <c r="D3327" s="38"/>
    </row>
    <row r="3328" spans="4:4" x14ac:dyDescent="0.25">
      <c r="D3328" s="38"/>
    </row>
    <row r="3329" spans="4:4" x14ac:dyDescent="0.25">
      <c r="D3329" s="38"/>
    </row>
    <row r="3330" spans="4:4" x14ac:dyDescent="0.25">
      <c r="D3330" s="38"/>
    </row>
    <row r="3331" spans="4:4" x14ac:dyDescent="0.25">
      <c r="D3331" s="38"/>
    </row>
    <row r="3332" spans="4:4" x14ac:dyDescent="0.25">
      <c r="D3332" s="38"/>
    </row>
    <row r="3333" spans="4:4" x14ac:dyDescent="0.25">
      <c r="D3333" s="38"/>
    </row>
    <row r="3334" spans="4:4" x14ac:dyDescent="0.25">
      <c r="D3334" s="38"/>
    </row>
    <row r="3335" spans="4:4" x14ac:dyDescent="0.25">
      <c r="D3335" s="38"/>
    </row>
    <row r="3336" spans="4:4" x14ac:dyDescent="0.25">
      <c r="D3336" s="38"/>
    </row>
    <row r="3337" spans="4:4" x14ac:dyDescent="0.25">
      <c r="D3337" s="38"/>
    </row>
    <row r="3338" spans="4:4" x14ac:dyDescent="0.25">
      <c r="D3338" s="38"/>
    </row>
    <row r="3339" spans="4:4" x14ac:dyDescent="0.25">
      <c r="D3339" s="38"/>
    </row>
    <row r="3340" spans="4:4" x14ac:dyDescent="0.25">
      <c r="D3340" s="38"/>
    </row>
    <row r="3341" spans="4:4" x14ac:dyDescent="0.25">
      <c r="D3341" s="38"/>
    </row>
    <row r="3342" spans="4:4" x14ac:dyDescent="0.25">
      <c r="D3342" s="38"/>
    </row>
    <row r="3343" spans="4:4" x14ac:dyDescent="0.25">
      <c r="D3343" s="38"/>
    </row>
    <row r="3344" spans="4:4" x14ac:dyDescent="0.25">
      <c r="D3344" s="38"/>
    </row>
    <row r="3345" spans="4:4" x14ac:dyDescent="0.25">
      <c r="D3345" s="38"/>
    </row>
    <row r="3346" spans="4:4" x14ac:dyDescent="0.25">
      <c r="D3346" s="38"/>
    </row>
    <row r="3347" spans="4:4" x14ac:dyDescent="0.25">
      <c r="D3347" s="38"/>
    </row>
    <row r="3348" spans="4:4" x14ac:dyDescent="0.25">
      <c r="D3348" s="38"/>
    </row>
    <row r="3349" spans="4:4" x14ac:dyDescent="0.25">
      <c r="D3349" s="38"/>
    </row>
    <row r="3350" spans="4:4" x14ac:dyDescent="0.25">
      <c r="D3350" s="38"/>
    </row>
    <row r="3351" spans="4:4" x14ac:dyDescent="0.25">
      <c r="D3351" s="38"/>
    </row>
    <row r="3352" spans="4:4" x14ac:dyDescent="0.25">
      <c r="D3352" s="38"/>
    </row>
    <row r="3353" spans="4:4" x14ac:dyDescent="0.25">
      <c r="D3353" s="38"/>
    </row>
    <row r="3354" spans="4:4" x14ac:dyDescent="0.25">
      <c r="D3354" s="38"/>
    </row>
    <row r="3355" spans="4:4" x14ac:dyDescent="0.25">
      <c r="D3355" s="38"/>
    </row>
    <row r="3356" spans="4:4" x14ac:dyDescent="0.25">
      <c r="D3356" s="38"/>
    </row>
    <row r="3357" spans="4:4" x14ac:dyDescent="0.25">
      <c r="D3357" s="38"/>
    </row>
    <row r="3358" spans="4:4" x14ac:dyDescent="0.25">
      <c r="D3358" s="38"/>
    </row>
    <row r="3359" spans="4:4" x14ac:dyDescent="0.25">
      <c r="D3359" s="38"/>
    </row>
    <row r="3360" spans="4:4" x14ac:dyDescent="0.25">
      <c r="D3360" s="38"/>
    </row>
    <row r="3361" spans="4:4" x14ac:dyDescent="0.25">
      <c r="D3361" s="38"/>
    </row>
    <row r="3362" spans="4:4" x14ac:dyDescent="0.25">
      <c r="D3362" s="38"/>
    </row>
    <row r="3363" spans="4:4" x14ac:dyDescent="0.25">
      <c r="D3363" s="38"/>
    </row>
    <row r="3364" spans="4:4" x14ac:dyDescent="0.25">
      <c r="D3364" s="38"/>
    </row>
    <row r="3365" spans="4:4" x14ac:dyDescent="0.25">
      <c r="D3365" s="38"/>
    </row>
    <row r="3366" spans="4:4" x14ac:dyDescent="0.25">
      <c r="D3366" s="38"/>
    </row>
    <row r="3367" spans="4:4" x14ac:dyDescent="0.25">
      <c r="D3367" s="38"/>
    </row>
    <row r="3368" spans="4:4" x14ac:dyDescent="0.25">
      <c r="D3368" s="38"/>
    </row>
    <row r="3369" spans="4:4" x14ac:dyDescent="0.25">
      <c r="D3369" s="38"/>
    </row>
    <row r="3370" spans="4:4" x14ac:dyDescent="0.25">
      <c r="D3370" s="38"/>
    </row>
    <row r="3371" spans="4:4" x14ac:dyDescent="0.25">
      <c r="D3371" s="38"/>
    </row>
    <row r="3372" spans="4:4" x14ac:dyDescent="0.25">
      <c r="D3372" s="38"/>
    </row>
    <row r="3373" spans="4:4" x14ac:dyDescent="0.25">
      <c r="D3373" s="38"/>
    </row>
    <row r="3374" spans="4:4" x14ac:dyDescent="0.25">
      <c r="D3374" s="38"/>
    </row>
    <row r="3375" spans="4:4" x14ac:dyDescent="0.25">
      <c r="D3375" s="38"/>
    </row>
    <row r="3376" spans="4:4" x14ac:dyDescent="0.25">
      <c r="D3376" s="38"/>
    </row>
    <row r="3377" spans="4:4" x14ac:dyDescent="0.25">
      <c r="D3377" s="38"/>
    </row>
    <row r="3378" spans="4:4" x14ac:dyDescent="0.25">
      <c r="D3378" s="38"/>
    </row>
    <row r="3379" spans="4:4" x14ac:dyDescent="0.25">
      <c r="D3379" s="38"/>
    </row>
    <row r="3380" spans="4:4" x14ac:dyDescent="0.25">
      <c r="D3380" s="38"/>
    </row>
    <row r="3381" spans="4:4" x14ac:dyDescent="0.25">
      <c r="D3381" s="38"/>
    </row>
    <row r="3382" spans="4:4" x14ac:dyDescent="0.25">
      <c r="D3382" s="38"/>
    </row>
    <row r="3383" spans="4:4" x14ac:dyDescent="0.25">
      <c r="D3383" s="38"/>
    </row>
    <row r="3384" spans="4:4" x14ac:dyDescent="0.25">
      <c r="D3384" s="38"/>
    </row>
    <row r="3385" spans="4:4" x14ac:dyDescent="0.25">
      <c r="D3385" s="38"/>
    </row>
    <row r="3386" spans="4:4" x14ac:dyDescent="0.25">
      <c r="D3386" s="38"/>
    </row>
    <row r="3387" spans="4:4" x14ac:dyDescent="0.25">
      <c r="D3387" s="38"/>
    </row>
    <row r="3388" spans="4:4" x14ac:dyDescent="0.25">
      <c r="D3388" s="38"/>
    </row>
    <row r="3389" spans="4:4" x14ac:dyDescent="0.25">
      <c r="D3389" s="38"/>
    </row>
    <row r="3390" spans="4:4" x14ac:dyDescent="0.25">
      <c r="D3390" s="38"/>
    </row>
    <row r="3391" spans="4:4" x14ac:dyDescent="0.25">
      <c r="D3391" s="38"/>
    </row>
    <row r="3392" spans="4:4" x14ac:dyDescent="0.25">
      <c r="D3392" s="38"/>
    </row>
    <row r="3393" spans="4:4" x14ac:dyDescent="0.25">
      <c r="D3393" s="38"/>
    </row>
    <row r="3394" spans="4:4" x14ac:dyDescent="0.25">
      <c r="D3394" s="38"/>
    </row>
    <row r="3395" spans="4:4" x14ac:dyDescent="0.25">
      <c r="D3395" s="38"/>
    </row>
    <row r="3396" spans="4:4" x14ac:dyDescent="0.25">
      <c r="D3396" s="38"/>
    </row>
    <row r="3397" spans="4:4" x14ac:dyDescent="0.25">
      <c r="D3397" s="38"/>
    </row>
    <row r="3398" spans="4:4" x14ac:dyDescent="0.25">
      <c r="D3398" s="38"/>
    </row>
    <row r="3399" spans="4:4" x14ac:dyDescent="0.25">
      <c r="D3399" s="38"/>
    </row>
    <row r="3400" spans="4:4" x14ac:dyDescent="0.25">
      <c r="D3400" s="38"/>
    </row>
    <row r="3401" spans="4:4" x14ac:dyDescent="0.25">
      <c r="D3401" s="38"/>
    </row>
    <row r="3402" spans="4:4" x14ac:dyDescent="0.25">
      <c r="D3402" s="38"/>
    </row>
    <row r="3403" spans="4:4" x14ac:dyDescent="0.25">
      <c r="D3403" s="38"/>
    </row>
    <row r="3404" spans="4:4" x14ac:dyDescent="0.25">
      <c r="D3404" s="38"/>
    </row>
    <row r="3405" spans="4:4" x14ac:dyDescent="0.25">
      <c r="D3405" s="38"/>
    </row>
    <row r="3406" spans="4:4" x14ac:dyDescent="0.25">
      <c r="D3406" s="38"/>
    </row>
    <row r="3407" spans="4:4" x14ac:dyDescent="0.25">
      <c r="D3407" s="38"/>
    </row>
    <row r="3408" spans="4:4" x14ac:dyDescent="0.25">
      <c r="D3408" s="38"/>
    </row>
    <row r="3409" spans="4:4" x14ac:dyDescent="0.25">
      <c r="D3409" s="38"/>
    </row>
    <row r="3410" spans="4:4" x14ac:dyDescent="0.25">
      <c r="D3410" s="38"/>
    </row>
    <row r="3411" spans="4:4" x14ac:dyDescent="0.25">
      <c r="D3411" s="38"/>
    </row>
    <row r="3412" spans="4:4" x14ac:dyDescent="0.25">
      <c r="D3412" s="38"/>
    </row>
    <row r="3413" spans="4:4" x14ac:dyDescent="0.25">
      <c r="D3413" s="38"/>
    </row>
    <row r="3414" spans="4:4" x14ac:dyDescent="0.25">
      <c r="D3414" s="38"/>
    </row>
    <row r="3415" spans="4:4" x14ac:dyDescent="0.25">
      <c r="D3415" s="38"/>
    </row>
    <row r="3416" spans="4:4" x14ac:dyDescent="0.25">
      <c r="D3416" s="38"/>
    </row>
    <row r="3417" spans="4:4" x14ac:dyDescent="0.25">
      <c r="D3417" s="38"/>
    </row>
    <row r="3418" spans="4:4" x14ac:dyDescent="0.25">
      <c r="D3418" s="38"/>
    </row>
    <row r="3419" spans="4:4" x14ac:dyDescent="0.25">
      <c r="D3419" s="38"/>
    </row>
    <row r="3420" spans="4:4" x14ac:dyDescent="0.25">
      <c r="D3420" s="38"/>
    </row>
    <row r="3421" spans="4:4" x14ac:dyDescent="0.25">
      <c r="D3421" s="38"/>
    </row>
    <row r="3422" spans="4:4" x14ac:dyDescent="0.25">
      <c r="D3422" s="38"/>
    </row>
    <row r="3423" spans="4:4" x14ac:dyDescent="0.25">
      <c r="D3423" s="38"/>
    </row>
    <row r="3424" spans="4:4" x14ac:dyDescent="0.25">
      <c r="D3424" s="38"/>
    </row>
    <row r="3425" spans="4:4" x14ac:dyDescent="0.25">
      <c r="D3425" s="38"/>
    </row>
    <row r="3426" spans="4:4" x14ac:dyDescent="0.25">
      <c r="D3426" s="38"/>
    </row>
    <row r="3427" spans="4:4" x14ac:dyDescent="0.25">
      <c r="D3427" s="38"/>
    </row>
    <row r="3428" spans="4:4" x14ac:dyDescent="0.25">
      <c r="D3428" s="38"/>
    </row>
    <row r="3429" spans="4:4" x14ac:dyDescent="0.25">
      <c r="D3429" s="38"/>
    </row>
    <row r="3430" spans="4:4" x14ac:dyDescent="0.25">
      <c r="D3430" s="38"/>
    </row>
    <row r="3431" spans="4:4" x14ac:dyDescent="0.25">
      <c r="D3431" s="38"/>
    </row>
    <row r="3432" spans="4:4" x14ac:dyDescent="0.25">
      <c r="D3432" s="38"/>
    </row>
    <row r="3433" spans="4:4" x14ac:dyDescent="0.25">
      <c r="D3433" s="38"/>
    </row>
    <row r="3434" spans="4:4" x14ac:dyDescent="0.25">
      <c r="D3434" s="38"/>
    </row>
    <row r="3435" spans="4:4" x14ac:dyDescent="0.25">
      <c r="D3435" s="38"/>
    </row>
    <row r="3436" spans="4:4" x14ac:dyDescent="0.25">
      <c r="D3436" s="38"/>
    </row>
    <row r="3437" spans="4:4" x14ac:dyDescent="0.25">
      <c r="D3437" s="38"/>
    </row>
    <row r="3438" spans="4:4" x14ac:dyDescent="0.25">
      <c r="D3438" s="38"/>
    </row>
    <row r="3439" spans="4:4" x14ac:dyDescent="0.25">
      <c r="D3439" s="38"/>
    </row>
    <row r="3440" spans="4:4" x14ac:dyDescent="0.25">
      <c r="D3440" s="38"/>
    </row>
    <row r="3441" spans="4:4" x14ac:dyDescent="0.25">
      <c r="D3441" s="38"/>
    </row>
    <row r="3442" spans="4:4" x14ac:dyDescent="0.25">
      <c r="D3442" s="38"/>
    </row>
    <row r="3443" spans="4:4" x14ac:dyDescent="0.25">
      <c r="D3443" s="38"/>
    </row>
    <row r="3444" spans="4:4" x14ac:dyDescent="0.25">
      <c r="D3444" s="38"/>
    </row>
    <row r="3445" spans="4:4" x14ac:dyDescent="0.25">
      <c r="D3445" s="38"/>
    </row>
    <row r="3446" spans="4:4" x14ac:dyDescent="0.25">
      <c r="D3446" s="38"/>
    </row>
    <row r="3447" spans="4:4" x14ac:dyDescent="0.25">
      <c r="D3447" s="38"/>
    </row>
    <row r="3448" spans="4:4" x14ac:dyDescent="0.25">
      <c r="D3448" s="38"/>
    </row>
    <row r="3449" spans="4:4" x14ac:dyDescent="0.25">
      <c r="D3449" s="38"/>
    </row>
    <row r="3450" spans="4:4" x14ac:dyDescent="0.25">
      <c r="D3450" s="38"/>
    </row>
    <row r="3451" spans="4:4" x14ac:dyDescent="0.25">
      <c r="D3451" s="38"/>
    </row>
    <row r="3452" spans="4:4" x14ac:dyDescent="0.25">
      <c r="D3452" s="38"/>
    </row>
    <row r="3453" spans="4:4" x14ac:dyDescent="0.25">
      <c r="D3453" s="38"/>
    </row>
    <row r="3454" spans="4:4" x14ac:dyDescent="0.25">
      <c r="D3454" s="38"/>
    </row>
    <row r="3455" spans="4:4" x14ac:dyDescent="0.25">
      <c r="D3455" s="38"/>
    </row>
    <row r="3456" spans="4:4" x14ac:dyDescent="0.25">
      <c r="D3456" s="38"/>
    </row>
    <row r="3457" spans="4:4" x14ac:dyDescent="0.25">
      <c r="D3457" s="38"/>
    </row>
    <row r="3458" spans="4:4" x14ac:dyDescent="0.25">
      <c r="D3458" s="38"/>
    </row>
    <row r="3459" spans="4:4" x14ac:dyDescent="0.25">
      <c r="D3459" s="38"/>
    </row>
    <row r="3460" spans="4:4" x14ac:dyDescent="0.25">
      <c r="D3460" s="38"/>
    </row>
    <row r="3461" spans="4:4" x14ac:dyDescent="0.25">
      <c r="D3461" s="38"/>
    </row>
    <row r="3462" spans="4:4" x14ac:dyDescent="0.25">
      <c r="D3462" s="38"/>
    </row>
    <row r="3463" spans="4:4" x14ac:dyDescent="0.25">
      <c r="D3463" s="38"/>
    </row>
    <row r="3464" spans="4:4" x14ac:dyDescent="0.25">
      <c r="D3464" s="38"/>
    </row>
    <row r="3465" spans="4:4" x14ac:dyDescent="0.25">
      <c r="D3465" s="38"/>
    </row>
    <row r="3466" spans="4:4" x14ac:dyDescent="0.25">
      <c r="D3466" s="38"/>
    </row>
    <row r="3467" spans="4:4" x14ac:dyDescent="0.25">
      <c r="D3467" s="38"/>
    </row>
    <row r="3468" spans="4:4" x14ac:dyDescent="0.25">
      <c r="D3468" s="38"/>
    </row>
    <row r="3469" spans="4:4" x14ac:dyDescent="0.25">
      <c r="D3469" s="38"/>
    </row>
    <row r="3470" spans="4:4" x14ac:dyDescent="0.25">
      <c r="D3470" s="38"/>
    </row>
    <row r="3471" spans="4:4" x14ac:dyDescent="0.25">
      <c r="D3471" s="38"/>
    </row>
  </sheetData>
  <mergeCells count="3">
    <mergeCell ref="A3:B3"/>
    <mergeCell ref="A6:B6"/>
    <mergeCell ref="A9:B9"/>
  </mergeCells>
  <conditionalFormatting sqref="E569">
    <cfRule type="expression" dxfId="10" priority="1">
      <formula>COUNTIF(lista,E569)=0</formula>
    </cfRule>
  </conditionalFormatting>
  <hyperlinks>
    <hyperlink ref="A3" location="Categorias!A1" display="Categorias" xr:uid="{00000000-0004-0000-0500-000000000000}"/>
    <hyperlink ref="A9:B9" location="'Resumo total'!A1" display="Resumo" xr:uid="{00000000-0004-0000-0500-000001000000}"/>
    <hyperlink ref="A6:B6" location="topo_cb" display="CadastroCB" xr:uid="{00000000-0004-0000-0500-000002000000}"/>
    <hyperlink ref="A3:B3" location="topocategorias" display="Categorias" xr:uid="{00000000-0004-0000-0500-000003000000}"/>
    <hyperlink ref="D1" location="topo_basedados" display="Topo" xr:uid="{00000000-0004-0000-0500-000004000000}"/>
  </hyperlink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31</vt:i4>
      </vt:variant>
    </vt:vector>
  </HeadingPairs>
  <TitlesOfParts>
    <vt:vector size="37" baseType="lpstr">
      <vt:lpstr>Cadastro</vt:lpstr>
      <vt:lpstr>CadastroCB</vt:lpstr>
      <vt:lpstr>Resumo total</vt:lpstr>
      <vt:lpstr>Pivot tables e charts</vt:lpstr>
      <vt:lpstr>Categorias</vt:lpstr>
      <vt:lpstr>Base de dados</vt:lpstr>
      <vt:lpstr>Codigo_barras</vt:lpstr>
      <vt:lpstr>Codigo_barras_unidade</vt:lpstr>
      <vt:lpstr>extras</vt:lpstr>
      <vt:lpstr>frase</vt:lpstr>
      <vt:lpstr>lista</vt:lpstr>
      <vt:lpstr>mercado1</vt:lpstr>
      <vt:lpstr>mercado10</vt:lpstr>
      <vt:lpstr>mercado11</vt:lpstr>
      <vt:lpstr>mercado12</vt:lpstr>
      <vt:lpstr>mercado13</vt:lpstr>
      <vt:lpstr>mercado14</vt:lpstr>
      <vt:lpstr>mercado15</vt:lpstr>
      <vt:lpstr>mercado16</vt:lpstr>
      <vt:lpstr>mercado17</vt:lpstr>
      <vt:lpstr>mercado18</vt:lpstr>
      <vt:lpstr>mercado2</vt:lpstr>
      <vt:lpstr>mercado3</vt:lpstr>
      <vt:lpstr>mercado4</vt:lpstr>
      <vt:lpstr>mercado5</vt:lpstr>
      <vt:lpstr>mercado6</vt:lpstr>
      <vt:lpstr>mercado7</vt:lpstr>
      <vt:lpstr>mercado8</vt:lpstr>
      <vt:lpstr>mercado9</vt:lpstr>
      <vt:lpstr>nome_mercado</vt:lpstr>
      <vt:lpstr>nome_mercado_cb</vt:lpstr>
      <vt:lpstr>PMA</vt:lpstr>
      <vt:lpstr>topo_basedados</vt:lpstr>
      <vt:lpstr>topo_cb</vt:lpstr>
      <vt:lpstr>topo1</vt:lpstr>
      <vt:lpstr>topocategorias</vt:lpstr>
      <vt:lpstr>toporesumo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natori</dc:creator>
  <cp:lastModifiedBy>Felipe Anache</cp:lastModifiedBy>
  <dcterms:created xsi:type="dcterms:W3CDTF">2017-09-18T00:33:26Z</dcterms:created>
  <dcterms:modified xsi:type="dcterms:W3CDTF">2018-09-16T23:45:09Z</dcterms:modified>
</cp:coreProperties>
</file>